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filterPrivacy="1" autoCompressPictures="0"/>
  <xr:revisionPtr revIDLastSave="0" documentId="13_ncr:1_{63919713-A54E-B149-A507-AACA3E9920F5}" xr6:coauthVersionLast="47" xr6:coauthVersionMax="47" xr10:uidLastSave="{00000000-0000-0000-0000-000000000000}"/>
  <bookViews>
    <workbookView xWindow="0" yWindow="760" windowWidth="34560" windowHeight="20160" tabRatio="687" activeTab="2" xr2:uid="{00000000-000D-0000-FFFF-FFFF00000000}"/>
  </bookViews>
  <sheets>
    <sheet name="Lines" sheetId="1" r:id="rId1"/>
    <sheet name="1000" sheetId="16" r:id="rId2"/>
    <sheet name="750" sheetId="5" r:id="rId3"/>
    <sheet name="500" sheetId="4" r:id="rId4"/>
    <sheet name="330" sheetId="6" r:id="rId5"/>
    <sheet name="220" sheetId="7" r:id="rId6"/>
    <sheet name="500DC" sheetId="8" r:id="rId7"/>
    <sheet name="800DC" sheetId="9" r:id="rId8"/>
    <sheet name="Other" sheetId="10" r:id="rId9"/>
    <sheet name="NW-GSW,GSS" sheetId="21" r:id="rId10"/>
    <sheet name="NW" sheetId="18" r:id="rId11"/>
    <sheet name="NE" sheetId="15" r:id="rId12"/>
    <sheet name="IMW" sheetId="20" r:id="rId13"/>
    <sheet name="Check Entries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T48" i="5" l="1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B8" i="4"/>
  <c r="C8" i="4"/>
  <c r="D14" i="21"/>
  <c r="D4" i="18"/>
  <c r="B4" i="21"/>
  <c r="C4" i="21"/>
  <c r="D4" i="21"/>
  <c r="E4" i="21"/>
  <c r="F4" i="21"/>
  <c r="G4" i="21"/>
  <c r="H4" i="21"/>
  <c r="I4" i="21"/>
  <c r="B5" i="21"/>
  <c r="C5" i="21"/>
  <c r="D5" i="21"/>
  <c r="E5" i="21"/>
  <c r="F5" i="21"/>
  <c r="G5" i="21"/>
  <c r="H5" i="21"/>
  <c r="I5" i="21"/>
  <c r="B6" i="21"/>
  <c r="C6" i="21"/>
  <c r="D6" i="21"/>
  <c r="E6" i="21"/>
  <c r="F6" i="21"/>
  <c r="G6" i="21"/>
  <c r="H6" i="21"/>
  <c r="I6" i="21"/>
  <c r="B7" i="21"/>
  <c r="C7" i="21"/>
  <c r="D7" i="21"/>
  <c r="E7" i="21"/>
  <c r="F7" i="21"/>
  <c r="G7" i="21"/>
  <c r="H7" i="21"/>
  <c r="I7" i="21"/>
  <c r="B8" i="21"/>
  <c r="C8" i="21"/>
  <c r="D8" i="21"/>
  <c r="E8" i="21"/>
  <c r="F8" i="21"/>
  <c r="G8" i="21"/>
  <c r="H8" i="21"/>
  <c r="I8" i="21"/>
  <c r="B9" i="21"/>
  <c r="C9" i="21"/>
  <c r="D9" i="21"/>
  <c r="E9" i="21"/>
  <c r="F9" i="21"/>
  <c r="G9" i="21"/>
  <c r="H9" i="21"/>
  <c r="I9" i="21"/>
  <c r="B10" i="21"/>
  <c r="C10" i="21"/>
  <c r="D10" i="21"/>
  <c r="E10" i="21"/>
  <c r="F10" i="21"/>
  <c r="G10" i="21"/>
  <c r="H10" i="21"/>
  <c r="I10" i="21"/>
  <c r="C3" i="21"/>
  <c r="D3" i="21"/>
  <c r="E3" i="21"/>
  <c r="F3" i="21"/>
  <c r="G3" i="21"/>
  <c r="H3" i="21"/>
  <c r="I3" i="21"/>
  <c r="B3" i="21"/>
  <c r="B4" i="18"/>
  <c r="C4" i="18"/>
  <c r="E4" i="18"/>
  <c r="F4" i="18"/>
  <c r="G4" i="18"/>
  <c r="H4" i="18"/>
  <c r="B5" i="18"/>
  <c r="C5" i="18"/>
  <c r="D5" i="18"/>
  <c r="E5" i="18"/>
  <c r="F5" i="18"/>
  <c r="G5" i="18"/>
  <c r="H5" i="18"/>
  <c r="B6" i="18"/>
  <c r="C6" i="18"/>
  <c r="D6" i="18"/>
  <c r="E6" i="18"/>
  <c r="F6" i="18"/>
  <c r="G6" i="18"/>
  <c r="H6" i="18"/>
  <c r="B7" i="18"/>
  <c r="C7" i="18"/>
  <c r="D7" i="18"/>
  <c r="E7" i="18"/>
  <c r="F7" i="18"/>
  <c r="G7" i="18"/>
  <c r="H7" i="18"/>
  <c r="B8" i="18"/>
  <c r="C8" i="18"/>
  <c r="D8" i="18"/>
  <c r="E8" i="18"/>
  <c r="F8" i="18"/>
  <c r="G8" i="18"/>
  <c r="H8" i="18"/>
  <c r="B9" i="18"/>
  <c r="C9" i="18"/>
  <c r="D9" i="18"/>
  <c r="E9" i="18"/>
  <c r="F9" i="18"/>
  <c r="G9" i="18"/>
  <c r="H9" i="18"/>
  <c r="C3" i="18"/>
  <c r="D3" i="18"/>
  <c r="E3" i="18"/>
  <c r="F3" i="18"/>
  <c r="G3" i="18"/>
  <c r="H3" i="18"/>
  <c r="B3" i="18"/>
  <c r="B15" i="21"/>
  <c r="C15" i="21"/>
  <c r="D15" i="21"/>
  <c r="E15" i="21"/>
  <c r="F15" i="21"/>
  <c r="G15" i="21"/>
  <c r="H15" i="21"/>
  <c r="I15" i="21"/>
  <c r="B16" i="21"/>
  <c r="C16" i="21"/>
  <c r="D16" i="21"/>
  <c r="E16" i="21"/>
  <c r="F16" i="21"/>
  <c r="G16" i="21"/>
  <c r="H16" i="21"/>
  <c r="I16" i="21"/>
  <c r="B17" i="21"/>
  <c r="C17" i="21"/>
  <c r="D17" i="21"/>
  <c r="E17" i="21"/>
  <c r="F17" i="21"/>
  <c r="G17" i="21"/>
  <c r="H17" i="21"/>
  <c r="I17" i="21"/>
  <c r="B18" i="21"/>
  <c r="C18" i="21"/>
  <c r="D18" i="21"/>
  <c r="E18" i="21"/>
  <c r="F18" i="21"/>
  <c r="G18" i="21"/>
  <c r="H18" i="21"/>
  <c r="I18" i="21"/>
  <c r="B19" i="21"/>
  <c r="C19" i="21"/>
  <c r="D19" i="21"/>
  <c r="E19" i="21"/>
  <c r="F19" i="21"/>
  <c r="G19" i="21"/>
  <c r="H19" i="21"/>
  <c r="I19" i="21"/>
  <c r="B20" i="21"/>
  <c r="C20" i="21"/>
  <c r="D20" i="21"/>
  <c r="E20" i="21"/>
  <c r="F20" i="21"/>
  <c r="G20" i="21"/>
  <c r="H20" i="21"/>
  <c r="I20" i="21"/>
  <c r="B21" i="21"/>
  <c r="C21" i="21"/>
  <c r="D21" i="21"/>
  <c r="E21" i="21"/>
  <c r="F21" i="21"/>
  <c r="G21" i="21"/>
  <c r="H21" i="21"/>
  <c r="I21" i="21"/>
  <c r="B14" i="21"/>
  <c r="C14" i="21"/>
  <c r="E14" i="21"/>
  <c r="F14" i="21"/>
  <c r="G14" i="21"/>
  <c r="H14" i="21"/>
  <c r="I14" i="21"/>
  <c r="B9" i="20"/>
  <c r="C8" i="20"/>
  <c r="C4" i="20"/>
  <c r="B4" i="20"/>
  <c r="C3" i="20"/>
  <c r="B3" i="20"/>
  <c r="D24" i="15"/>
  <c r="B26" i="15"/>
  <c r="B4" i="15"/>
  <c r="C4" i="15"/>
  <c r="D4" i="15"/>
  <c r="E4" i="15"/>
  <c r="F4" i="15"/>
  <c r="B5" i="15"/>
  <c r="C5" i="15"/>
  <c r="D5" i="15"/>
  <c r="E5" i="15"/>
  <c r="F5" i="15"/>
  <c r="B6" i="15"/>
  <c r="C6" i="15"/>
  <c r="D6" i="15"/>
  <c r="E6" i="15"/>
  <c r="F6" i="15"/>
  <c r="B7" i="15"/>
  <c r="C7" i="15"/>
  <c r="D7" i="15"/>
  <c r="E7" i="15"/>
  <c r="F7" i="15"/>
  <c r="C3" i="15"/>
  <c r="D3" i="15"/>
  <c r="E3" i="15"/>
  <c r="F3" i="15"/>
  <c r="B3" i="15"/>
  <c r="F13" i="15"/>
  <c r="D15" i="15"/>
  <c r="C13" i="18"/>
  <c r="D13" i="18"/>
  <c r="E13" i="18"/>
  <c r="F13" i="18"/>
  <c r="G13" i="18"/>
  <c r="H13" i="18"/>
  <c r="C14" i="18"/>
  <c r="D14" i="18"/>
  <c r="E14" i="18"/>
  <c r="F14" i="18"/>
  <c r="G14" i="18"/>
  <c r="H14" i="18"/>
  <c r="C15" i="18"/>
  <c r="D15" i="18"/>
  <c r="E15" i="18"/>
  <c r="F15" i="18"/>
  <c r="G15" i="18"/>
  <c r="H15" i="18"/>
  <c r="C16" i="18"/>
  <c r="D16" i="18"/>
  <c r="E16" i="18"/>
  <c r="F16" i="18"/>
  <c r="G16" i="18"/>
  <c r="H16" i="18"/>
  <c r="C17" i="18"/>
  <c r="D17" i="18"/>
  <c r="E17" i="18"/>
  <c r="F17" i="18"/>
  <c r="G17" i="18"/>
  <c r="H17" i="18"/>
  <c r="C18" i="18"/>
  <c r="D18" i="18"/>
  <c r="E18" i="18"/>
  <c r="F18" i="18"/>
  <c r="G18" i="18"/>
  <c r="H18" i="18"/>
  <c r="C19" i="18"/>
  <c r="D19" i="18"/>
  <c r="E19" i="18"/>
  <c r="F19" i="18"/>
  <c r="G19" i="18"/>
  <c r="H19" i="18"/>
  <c r="B14" i="18"/>
  <c r="B15" i="18"/>
  <c r="B16" i="18"/>
  <c r="B17" i="18"/>
  <c r="B18" i="18"/>
  <c r="B19" i="18"/>
  <c r="B13" i="18"/>
  <c r="E12" i="15"/>
  <c r="E13" i="15"/>
  <c r="E11" i="15"/>
  <c r="C14" i="15"/>
  <c r="D14" i="15"/>
  <c r="C13" i="15"/>
  <c r="B14" i="15"/>
  <c r="B12" i="15"/>
  <c r="C11" i="15"/>
  <c r="D12" i="15"/>
  <c r="B13" i="15"/>
  <c r="D11" i="15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C12" i="17"/>
  <c r="D12" i="17"/>
  <c r="E12" i="17"/>
  <c r="F12" i="17"/>
  <c r="G12" i="17"/>
  <c r="H12" i="17"/>
  <c r="I12" i="17"/>
  <c r="J12" i="17"/>
  <c r="K12" i="17"/>
  <c r="L12" i="17"/>
  <c r="M12" i="8"/>
  <c r="M12" i="9"/>
  <c r="M12" i="17"/>
  <c r="N12" i="17"/>
  <c r="O12" i="17"/>
  <c r="P12" i="17"/>
  <c r="Q12" i="17"/>
  <c r="R12" i="17"/>
  <c r="S12" i="17"/>
  <c r="T12" i="17"/>
  <c r="U12" i="17"/>
  <c r="V12" i="17"/>
  <c r="W12" i="17"/>
  <c r="X12" i="8"/>
  <c r="X12" i="9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C15" i="17"/>
  <c r="D15" i="17"/>
  <c r="E15" i="17"/>
  <c r="F15" i="17"/>
  <c r="G15" i="17"/>
  <c r="H15" i="17"/>
  <c r="I15" i="17"/>
  <c r="J15" i="8"/>
  <c r="J15" i="9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9"/>
  <c r="AC15" i="16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9"/>
  <c r="AQ15" i="17"/>
  <c r="AR15" i="17"/>
  <c r="AS15" i="17"/>
  <c r="AT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9"/>
  <c r="AE16" i="17"/>
  <c r="AF16" i="17"/>
  <c r="AG16" i="16"/>
  <c r="AG16" i="9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8"/>
  <c r="AJ17" i="9"/>
  <c r="AJ17" i="17"/>
  <c r="AK17" i="17"/>
  <c r="AL17" i="17"/>
  <c r="AM17" i="17"/>
  <c r="AN17" i="17"/>
  <c r="AO17" i="17"/>
  <c r="AP17" i="17"/>
  <c r="AQ17" i="17"/>
  <c r="AR17" i="17"/>
  <c r="AS17" i="17"/>
  <c r="AT17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9"/>
  <c r="AL19" i="17"/>
  <c r="AM19" i="17"/>
  <c r="AN19" i="17"/>
  <c r="AO19" i="17"/>
  <c r="AP19" i="17"/>
  <c r="AQ19" i="9"/>
  <c r="AQ19" i="17"/>
  <c r="AR19" i="17"/>
  <c r="AS19" i="17"/>
  <c r="AT19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9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8"/>
  <c r="AC22" i="9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9"/>
  <c r="AT22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9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C26" i="17"/>
  <c r="D26" i="17"/>
  <c r="E26" i="17"/>
  <c r="F26" i="17"/>
  <c r="G26" i="17"/>
  <c r="H26" i="17"/>
  <c r="I26" i="17"/>
  <c r="J26" i="8"/>
  <c r="J26" i="9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6"/>
  <c r="AA26" i="17"/>
  <c r="AB26" i="17"/>
  <c r="AC26" i="17"/>
  <c r="AD26" i="8"/>
  <c r="AD26" i="9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6"/>
  <c r="AA27" i="17"/>
  <c r="AB27" i="16"/>
  <c r="AB27" i="17"/>
  <c r="AC27" i="9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6"/>
  <c r="X29" i="17"/>
  <c r="Y29" i="16"/>
  <c r="Y29" i="17"/>
  <c r="Z29" i="17"/>
  <c r="AA29" i="17"/>
  <c r="AB29" i="17"/>
  <c r="AC29" i="16"/>
  <c r="AC29" i="17"/>
  <c r="AD29" i="9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6"/>
  <c r="Y30" i="17"/>
  <c r="Z30" i="17"/>
  <c r="AA30" i="17"/>
  <c r="AB30" i="17"/>
  <c r="AC30" i="17"/>
  <c r="AD30" i="16"/>
  <c r="AD30" i="17"/>
  <c r="AE30" i="16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9"/>
  <c r="AQ30" i="17"/>
  <c r="AR30" i="17"/>
  <c r="AS30" i="17"/>
  <c r="AT30" i="17"/>
  <c r="C31" i="17"/>
  <c r="D31" i="17"/>
  <c r="E31" i="17"/>
  <c r="F31" i="17"/>
  <c r="G31" i="17"/>
  <c r="H31" i="17"/>
  <c r="I31" i="17"/>
  <c r="J31" i="17"/>
  <c r="K31" i="17"/>
  <c r="L31" i="17"/>
  <c r="M31" i="8"/>
  <c r="M31" i="9"/>
  <c r="M31" i="16"/>
  <c r="M31" i="17"/>
  <c r="N31" i="9"/>
  <c r="N31" i="17"/>
  <c r="O31" i="17"/>
  <c r="P31" i="17"/>
  <c r="Q31" i="17"/>
  <c r="R31" i="17"/>
  <c r="S31" i="17"/>
  <c r="T31" i="8"/>
  <c r="T31" i="9"/>
  <c r="T31" i="17"/>
  <c r="U31" i="17"/>
  <c r="V31" i="17"/>
  <c r="W31" i="17"/>
  <c r="X31" i="17"/>
  <c r="Y31" i="17"/>
  <c r="Z31" i="17"/>
  <c r="AA31" i="16"/>
  <c r="AA31" i="17"/>
  <c r="AB31" i="17"/>
  <c r="AC31" i="17"/>
  <c r="AD31" i="9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8"/>
  <c r="X32" i="9"/>
  <c r="X32" i="17"/>
  <c r="Y32" i="17"/>
  <c r="Z32" i="17"/>
  <c r="AA32" i="17"/>
  <c r="AB32" i="16"/>
  <c r="AB32" i="17"/>
  <c r="AC32" i="9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C33" i="17"/>
  <c r="D33" i="17"/>
  <c r="E33" i="17"/>
  <c r="F33" i="17"/>
  <c r="G33" i="17"/>
  <c r="H33" i="17"/>
  <c r="I33" i="17"/>
  <c r="J33" i="17"/>
  <c r="K33" i="17"/>
  <c r="L33" i="17"/>
  <c r="M33" i="17"/>
  <c r="N33" i="9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6"/>
  <c r="AB33" i="17"/>
  <c r="AC33" i="17"/>
  <c r="AD33" i="17"/>
  <c r="AE33" i="17"/>
  <c r="AF33" i="17"/>
  <c r="AG33" i="17"/>
  <c r="AH33" i="17"/>
  <c r="AI33" i="17"/>
  <c r="AJ33" i="16"/>
  <c r="AJ33" i="17"/>
  <c r="AK33" i="8"/>
  <c r="AK33" i="9"/>
  <c r="AK33" i="17"/>
  <c r="AL33" i="17"/>
  <c r="AM33" i="17"/>
  <c r="AN33" i="17"/>
  <c r="AO33" i="17"/>
  <c r="AP33" i="8"/>
  <c r="AP33" i="17"/>
  <c r="AQ33" i="8"/>
  <c r="AQ33" i="17"/>
  <c r="AR33" i="17"/>
  <c r="AS33" i="17"/>
  <c r="AT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8"/>
  <c r="AK34" i="17"/>
  <c r="AL34" i="17"/>
  <c r="AM34" i="17"/>
  <c r="AN34" i="17"/>
  <c r="AO34" i="17"/>
  <c r="AP34" i="17"/>
  <c r="AQ34" i="17"/>
  <c r="AR34" i="17"/>
  <c r="AS34" i="17"/>
  <c r="AT34" i="17"/>
  <c r="C35" i="17"/>
  <c r="D35" i="17"/>
  <c r="E35" i="17"/>
  <c r="F35" i="17"/>
  <c r="G35" i="17"/>
  <c r="H35" i="17"/>
  <c r="I35" i="17"/>
  <c r="J35" i="17"/>
  <c r="K35" i="17"/>
  <c r="L35" i="17"/>
  <c r="M35" i="17"/>
  <c r="N35" i="9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9"/>
  <c r="AJ35" i="17"/>
  <c r="AK35" i="17"/>
  <c r="AL35" i="17"/>
  <c r="AM35" i="17"/>
  <c r="AN35" i="17"/>
  <c r="AO35" i="17"/>
  <c r="AP35" i="17"/>
  <c r="AQ35" i="17"/>
  <c r="AR35" i="17"/>
  <c r="AS35" i="17"/>
  <c r="AT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9"/>
  <c r="S36" i="17"/>
  <c r="T36" i="17"/>
  <c r="U36" i="9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8"/>
  <c r="O38" i="9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6"/>
  <c r="AE38" i="17"/>
  <c r="AF38" i="17"/>
  <c r="AG38" i="9"/>
  <c r="AG38" i="17"/>
  <c r="AH38" i="17"/>
  <c r="AI38" i="17"/>
  <c r="AJ38" i="17"/>
  <c r="AK38" i="17"/>
  <c r="AL38" i="17"/>
  <c r="AM38" i="17"/>
  <c r="AN38" i="17"/>
  <c r="AO38" i="17"/>
  <c r="AP38" i="9"/>
  <c r="AP38" i="17"/>
  <c r="AQ38" i="9"/>
  <c r="AQ38" i="17"/>
  <c r="AR38" i="17"/>
  <c r="AS38" i="17"/>
  <c r="AT38" i="9"/>
  <c r="AT38" i="8"/>
  <c r="AT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8"/>
  <c r="AE39" i="9"/>
  <c r="AE39" i="17"/>
  <c r="AF39" i="8"/>
  <c r="AF39" i="17"/>
  <c r="AG39" i="17"/>
  <c r="AH39" i="17"/>
  <c r="AI39" i="17"/>
  <c r="AJ39" i="17"/>
  <c r="AK39" i="17"/>
  <c r="AL39" i="17"/>
  <c r="AM39" i="17"/>
  <c r="AN39" i="8"/>
  <c r="AN39" i="9"/>
  <c r="AN39" i="17"/>
  <c r="AO39" i="8"/>
  <c r="AO39" i="9"/>
  <c r="AO39" i="17"/>
  <c r="AP39" i="17"/>
  <c r="AQ39" i="17"/>
  <c r="AR39" i="17"/>
  <c r="AS39" i="17"/>
  <c r="AT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9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8"/>
  <c r="AO41" i="9"/>
  <c r="AO41" i="17"/>
  <c r="AP41" i="17"/>
  <c r="AQ41" i="17"/>
  <c r="AR41" i="17"/>
  <c r="AS41" i="17"/>
  <c r="AT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8"/>
  <c r="AK42" i="9"/>
  <c r="AK42" i="17"/>
  <c r="AL42" i="17"/>
  <c r="AM42" i="17"/>
  <c r="AN42" i="17"/>
  <c r="AO42" i="17"/>
  <c r="AP42" i="17"/>
  <c r="AQ42" i="17"/>
  <c r="AR42" i="17"/>
  <c r="AS42" i="17"/>
  <c r="AT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8"/>
  <c r="AK43" i="9"/>
  <c r="AK43" i="17"/>
  <c r="AL43" i="17"/>
  <c r="AM43" i="8"/>
  <c r="AM43" i="9"/>
  <c r="AM43" i="17"/>
  <c r="AN43" i="17"/>
  <c r="AO43" i="17"/>
  <c r="AP43" i="17"/>
  <c r="AQ43" i="17"/>
  <c r="AR43" i="17"/>
  <c r="AS43" i="17"/>
  <c r="AT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8"/>
  <c r="AE44" i="17"/>
  <c r="AF44" i="17"/>
  <c r="AG44" i="17"/>
  <c r="AH44" i="17"/>
  <c r="AI44" i="17"/>
  <c r="AJ44" i="8"/>
  <c r="AJ44" i="9"/>
  <c r="AJ44" i="17"/>
  <c r="AK44" i="17"/>
  <c r="AL44" i="17"/>
  <c r="AM44" i="17"/>
  <c r="AN44" i="17"/>
  <c r="AO44" i="17"/>
  <c r="AP44" i="17"/>
  <c r="AQ44" i="17"/>
  <c r="AR44" i="17"/>
  <c r="AS44" i="17"/>
  <c r="AT44" i="16"/>
  <c r="AT44" i="17"/>
  <c r="C45" i="17"/>
  <c r="D45" i="17"/>
  <c r="E45" i="17"/>
  <c r="F45" i="17"/>
  <c r="G45" i="17"/>
  <c r="H45" i="17"/>
  <c r="I45" i="17"/>
  <c r="J45" i="17"/>
  <c r="K45" i="17"/>
  <c r="L45" i="17"/>
  <c r="M45" i="9"/>
  <c r="M45" i="17"/>
  <c r="N45" i="17"/>
  <c r="O45" i="17"/>
  <c r="P45" i="17"/>
  <c r="Q45" i="9"/>
  <c r="Q45" i="17"/>
  <c r="R45" i="17"/>
  <c r="S45" i="17"/>
  <c r="T45" i="17"/>
  <c r="U45" i="17"/>
  <c r="V45" i="17"/>
  <c r="W45" i="17"/>
  <c r="X45" i="17"/>
  <c r="Y45" i="17"/>
  <c r="Z45" i="17"/>
  <c r="AA45" i="17"/>
  <c r="AB45" i="8"/>
  <c r="AB45" i="9"/>
  <c r="AB45" i="17"/>
  <c r="AC45" i="17"/>
  <c r="AD45" i="17"/>
  <c r="AE45" i="8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9"/>
  <c r="AJ47" i="17"/>
  <c r="AK47" i="17"/>
  <c r="AL47" i="17"/>
  <c r="AM47" i="17"/>
  <c r="AN47" i="17"/>
  <c r="AO47" i="17"/>
  <c r="AP47" i="17"/>
  <c r="AQ47" i="17"/>
  <c r="AR47" i="17"/>
  <c r="AS47" i="17"/>
  <c r="AT47" i="16"/>
  <c r="AT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9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9"/>
  <c r="AJ48" i="8"/>
  <c r="AJ48" i="17"/>
  <c r="AK48" i="17"/>
  <c r="AL48" i="17"/>
  <c r="AM48" i="17"/>
  <c r="AN48" i="17"/>
  <c r="AO48" i="17"/>
  <c r="AP48" i="16"/>
  <c r="AP48" i="17"/>
  <c r="AQ48" i="17"/>
  <c r="AR48" i="17"/>
  <c r="AS48" i="16"/>
  <c r="AS48" i="17"/>
  <c r="AT48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" i="17"/>
  <c r="C4" i="8"/>
  <c r="C4" i="9"/>
  <c r="C4" i="16"/>
  <c r="D4" i="8"/>
  <c r="D4" i="9"/>
  <c r="D4" i="16"/>
  <c r="E4" i="8"/>
  <c r="E4" i="9"/>
  <c r="E4" i="16"/>
  <c r="F4" i="8"/>
  <c r="F4" i="9"/>
  <c r="F4" i="16"/>
  <c r="G4" i="8"/>
  <c r="G4" i="9"/>
  <c r="G4" i="16"/>
  <c r="H4" i="8"/>
  <c r="H4" i="9"/>
  <c r="H4" i="16"/>
  <c r="I4" i="8"/>
  <c r="I4" i="9"/>
  <c r="I4" i="16"/>
  <c r="J4" i="8"/>
  <c r="J4" i="9"/>
  <c r="J4" i="16"/>
  <c r="K4" i="8"/>
  <c r="K4" i="9"/>
  <c r="K4" i="16"/>
  <c r="L4" i="8"/>
  <c r="L4" i="9"/>
  <c r="L4" i="16"/>
  <c r="M4" i="8"/>
  <c r="M4" i="9"/>
  <c r="M4" i="16"/>
  <c r="N4" i="8"/>
  <c r="N4" i="9"/>
  <c r="N4" i="16"/>
  <c r="O4" i="8"/>
  <c r="O4" i="9"/>
  <c r="O4" i="16"/>
  <c r="P4" i="8"/>
  <c r="P4" i="9"/>
  <c r="P4" i="16"/>
  <c r="Q4" i="8"/>
  <c r="Q4" i="9"/>
  <c r="Q4" i="16"/>
  <c r="R4" i="8"/>
  <c r="R4" i="9"/>
  <c r="R4" i="16"/>
  <c r="S4" i="8"/>
  <c r="S4" i="9"/>
  <c r="S4" i="16"/>
  <c r="T4" i="8"/>
  <c r="T4" i="9"/>
  <c r="T4" i="16"/>
  <c r="U4" i="8"/>
  <c r="U4" i="9"/>
  <c r="U4" i="16"/>
  <c r="V4" i="8"/>
  <c r="V4" i="9"/>
  <c r="V4" i="16"/>
  <c r="W4" i="8"/>
  <c r="W4" i="9"/>
  <c r="W4" i="16"/>
  <c r="X4" i="8"/>
  <c r="X4" i="9"/>
  <c r="X4" i="16"/>
  <c r="Y4" i="8"/>
  <c r="Y4" i="9"/>
  <c r="Y4" i="16"/>
  <c r="Z4" i="8"/>
  <c r="Z4" i="9"/>
  <c r="Z4" i="16"/>
  <c r="AA4" i="8"/>
  <c r="AA4" i="9"/>
  <c r="AA4" i="16"/>
  <c r="AB4" i="8"/>
  <c r="AB4" i="9"/>
  <c r="AB4" i="16"/>
  <c r="AC4" i="8"/>
  <c r="AC4" i="9"/>
  <c r="AC4" i="16"/>
  <c r="AD4" i="8"/>
  <c r="AD4" i="9"/>
  <c r="AD4" i="16"/>
  <c r="AE4" i="8"/>
  <c r="AE4" i="9"/>
  <c r="AE4" i="16"/>
  <c r="AF4" i="8"/>
  <c r="AF4" i="9"/>
  <c r="AF4" i="16"/>
  <c r="AG4" i="8"/>
  <c r="AG4" i="9"/>
  <c r="AG4" i="16"/>
  <c r="AH4" i="8"/>
  <c r="AH4" i="9"/>
  <c r="AH4" i="16"/>
  <c r="AI4" i="8"/>
  <c r="AI4" i="9"/>
  <c r="AI4" i="16"/>
  <c r="AJ4" i="8"/>
  <c r="AJ4" i="9"/>
  <c r="AJ4" i="16"/>
  <c r="AK4" i="8"/>
  <c r="AK4" i="9"/>
  <c r="AK4" i="16"/>
  <c r="AL4" i="8"/>
  <c r="AL4" i="9"/>
  <c r="AL4" i="16"/>
  <c r="AM4" i="8"/>
  <c r="AM4" i="9"/>
  <c r="AM4" i="16"/>
  <c r="AN4" i="8"/>
  <c r="AN4" i="9"/>
  <c r="AN4" i="16"/>
  <c r="AO4" i="8"/>
  <c r="AO4" i="9"/>
  <c r="AO4" i="16"/>
  <c r="AP4" i="8"/>
  <c r="AP4" i="9"/>
  <c r="AP4" i="16"/>
  <c r="AQ4" i="8"/>
  <c r="AQ4" i="9"/>
  <c r="AQ4" i="16"/>
  <c r="AR4" i="8"/>
  <c r="AR4" i="9"/>
  <c r="AR4" i="16"/>
  <c r="AS4" i="8"/>
  <c r="AS4" i="9"/>
  <c r="AS4" i="16"/>
  <c r="AT4" i="8"/>
  <c r="AT4" i="9"/>
  <c r="AT4" i="16"/>
  <c r="C5" i="8"/>
  <c r="C5" i="9"/>
  <c r="C5" i="16"/>
  <c r="D5" i="8"/>
  <c r="D5" i="9"/>
  <c r="D5" i="16"/>
  <c r="E5" i="8"/>
  <c r="E5" i="9"/>
  <c r="E5" i="16"/>
  <c r="F5" i="8"/>
  <c r="F5" i="9"/>
  <c r="F5" i="16"/>
  <c r="G5" i="8"/>
  <c r="G5" i="9"/>
  <c r="G5" i="16"/>
  <c r="H5" i="8"/>
  <c r="H5" i="9"/>
  <c r="H5" i="16"/>
  <c r="I5" i="8"/>
  <c r="I5" i="9"/>
  <c r="I5" i="16"/>
  <c r="J5" i="8"/>
  <c r="J5" i="9"/>
  <c r="J5" i="16"/>
  <c r="K5" i="8"/>
  <c r="K5" i="9"/>
  <c r="K5" i="16"/>
  <c r="L5" i="8"/>
  <c r="L5" i="9"/>
  <c r="L5" i="16"/>
  <c r="M5" i="8"/>
  <c r="M5" i="9"/>
  <c r="M5" i="16"/>
  <c r="N5" i="8"/>
  <c r="N5" i="9"/>
  <c r="N5" i="16"/>
  <c r="O5" i="8"/>
  <c r="O5" i="9"/>
  <c r="O5" i="16"/>
  <c r="P5" i="8"/>
  <c r="P5" i="9"/>
  <c r="P5" i="16"/>
  <c r="Q5" i="8"/>
  <c r="Q5" i="9"/>
  <c r="Q5" i="16"/>
  <c r="R5" i="8"/>
  <c r="R5" i="9"/>
  <c r="R5" i="16"/>
  <c r="S5" i="8"/>
  <c r="S5" i="9"/>
  <c r="S5" i="16"/>
  <c r="T5" i="8"/>
  <c r="T5" i="9"/>
  <c r="T5" i="16"/>
  <c r="U5" i="8"/>
  <c r="U5" i="9"/>
  <c r="U5" i="16"/>
  <c r="V5" i="8"/>
  <c r="V5" i="9"/>
  <c r="V5" i="16"/>
  <c r="W5" i="8"/>
  <c r="W5" i="9"/>
  <c r="W5" i="16"/>
  <c r="X5" i="8"/>
  <c r="X5" i="9"/>
  <c r="X5" i="16"/>
  <c r="Y5" i="8"/>
  <c r="Y5" i="9"/>
  <c r="Y5" i="16"/>
  <c r="Z5" i="8"/>
  <c r="Z5" i="9"/>
  <c r="Z5" i="16"/>
  <c r="AA5" i="8"/>
  <c r="AA5" i="9"/>
  <c r="AA5" i="16"/>
  <c r="AB5" i="8"/>
  <c r="AB5" i="9"/>
  <c r="AB5" i="16"/>
  <c r="AC5" i="8"/>
  <c r="AC5" i="9"/>
  <c r="AC5" i="16"/>
  <c r="AD5" i="8"/>
  <c r="AD5" i="9"/>
  <c r="AD5" i="16"/>
  <c r="AE5" i="8"/>
  <c r="AE5" i="9"/>
  <c r="AE5" i="16"/>
  <c r="AF5" i="8"/>
  <c r="AF5" i="9"/>
  <c r="AF5" i="16"/>
  <c r="AG5" i="8"/>
  <c r="AG5" i="9"/>
  <c r="AG5" i="16"/>
  <c r="AH5" i="8"/>
  <c r="AH5" i="9"/>
  <c r="AH5" i="16"/>
  <c r="AI5" i="8"/>
  <c r="AI5" i="9"/>
  <c r="AI5" i="16"/>
  <c r="AJ5" i="8"/>
  <c r="AJ5" i="9"/>
  <c r="AJ5" i="16"/>
  <c r="AK5" i="8"/>
  <c r="AK5" i="9"/>
  <c r="AK5" i="16"/>
  <c r="AL5" i="8"/>
  <c r="AL5" i="9"/>
  <c r="AL5" i="16"/>
  <c r="AM5" i="8"/>
  <c r="AM5" i="9"/>
  <c r="AM5" i="16"/>
  <c r="AN5" i="8"/>
  <c r="AN5" i="9"/>
  <c r="AN5" i="16"/>
  <c r="AO5" i="8"/>
  <c r="AO5" i="9"/>
  <c r="AO5" i="16"/>
  <c r="AP5" i="8"/>
  <c r="AP5" i="9"/>
  <c r="AP5" i="16"/>
  <c r="AQ5" i="8"/>
  <c r="AQ5" i="9"/>
  <c r="AQ5" i="16"/>
  <c r="AR5" i="8"/>
  <c r="AR5" i="9"/>
  <c r="AR5" i="16"/>
  <c r="AS5" i="8"/>
  <c r="AS5" i="9"/>
  <c r="AS5" i="16"/>
  <c r="AT5" i="8"/>
  <c r="AT5" i="9"/>
  <c r="AT5" i="16"/>
  <c r="C6" i="8"/>
  <c r="C6" i="9"/>
  <c r="C6" i="16"/>
  <c r="D6" i="8"/>
  <c r="D6" i="9"/>
  <c r="D6" i="16"/>
  <c r="E6" i="8"/>
  <c r="E6" i="9"/>
  <c r="E6" i="16"/>
  <c r="F6" i="8"/>
  <c r="F6" i="9"/>
  <c r="F6" i="16"/>
  <c r="G6" i="8"/>
  <c r="G6" i="9"/>
  <c r="G6" i="16"/>
  <c r="H6" i="8"/>
  <c r="H6" i="9"/>
  <c r="H6" i="16"/>
  <c r="I6" i="8"/>
  <c r="I6" i="9"/>
  <c r="I6" i="16"/>
  <c r="J6" i="8"/>
  <c r="J6" i="9"/>
  <c r="J6" i="16"/>
  <c r="K6" i="8"/>
  <c r="K6" i="9"/>
  <c r="K6" i="16"/>
  <c r="L6" i="8"/>
  <c r="L6" i="9"/>
  <c r="L6" i="16"/>
  <c r="M6" i="8"/>
  <c r="M6" i="9"/>
  <c r="M6" i="16"/>
  <c r="N6" i="8"/>
  <c r="N6" i="9"/>
  <c r="N6" i="16"/>
  <c r="O6" i="8"/>
  <c r="O6" i="9"/>
  <c r="O6" i="16"/>
  <c r="P6" i="8"/>
  <c r="P6" i="9"/>
  <c r="P6" i="16"/>
  <c r="Q6" i="8"/>
  <c r="Q6" i="9"/>
  <c r="Q6" i="16"/>
  <c r="R6" i="8"/>
  <c r="R6" i="9"/>
  <c r="R6" i="16"/>
  <c r="S6" i="8"/>
  <c r="S6" i="9"/>
  <c r="S6" i="16"/>
  <c r="T6" i="8"/>
  <c r="T6" i="9"/>
  <c r="T6" i="16"/>
  <c r="U6" i="8"/>
  <c r="U6" i="9"/>
  <c r="U6" i="16"/>
  <c r="V6" i="8"/>
  <c r="V6" i="9"/>
  <c r="V6" i="16"/>
  <c r="W6" i="8"/>
  <c r="W6" i="9"/>
  <c r="W6" i="16"/>
  <c r="X6" i="8"/>
  <c r="X6" i="9"/>
  <c r="X6" i="16"/>
  <c r="Y6" i="8"/>
  <c r="Y6" i="9"/>
  <c r="Y6" i="16"/>
  <c r="Z6" i="8"/>
  <c r="Z6" i="9"/>
  <c r="Z6" i="16"/>
  <c r="AA6" i="8"/>
  <c r="AA6" i="9"/>
  <c r="AA6" i="16"/>
  <c r="AB6" i="8"/>
  <c r="AB6" i="9"/>
  <c r="AB6" i="16"/>
  <c r="AC6" i="8"/>
  <c r="AC6" i="9"/>
  <c r="AC6" i="16"/>
  <c r="AD6" i="8"/>
  <c r="AD6" i="9"/>
  <c r="AD6" i="16"/>
  <c r="AE6" i="8"/>
  <c r="AE6" i="9"/>
  <c r="AE6" i="16"/>
  <c r="AF6" i="8"/>
  <c r="AF6" i="9"/>
  <c r="AF6" i="16"/>
  <c r="AG6" i="8"/>
  <c r="AG6" i="9"/>
  <c r="AG6" i="16"/>
  <c r="AH6" i="8"/>
  <c r="AH6" i="9"/>
  <c r="AH6" i="16"/>
  <c r="AI6" i="8"/>
  <c r="AI6" i="9"/>
  <c r="AI6" i="16"/>
  <c r="AJ6" i="8"/>
  <c r="AJ6" i="9"/>
  <c r="AJ6" i="16"/>
  <c r="AK6" i="8"/>
  <c r="AK6" i="9"/>
  <c r="AK6" i="16"/>
  <c r="AL6" i="8"/>
  <c r="AL6" i="9"/>
  <c r="AL6" i="16"/>
  <c r="AM6" i="8"/>
  <c r="AM6" i="9"/>
  <c r="AM6" i="16"/>
  <c r="AN6" i="8"/>
  <c r="AN6" i="9"/>
  <c r="AN6" i="16"/>
  <c r="AO6" i="8"/>
  <c r="AO6" i="9"/>
  <c r="AO6" i="16"/>
  <c r="AP6" i="8"/>
  <c r="AP6" i="9"/>
  <c r="AP6" i="16"/>
  <c r="AQ6" i="8"/>
  <c r="AQ6" i="9"/>
  <c r="AQ6" i="16"/>
  <c r="AR6" i="8"/>
  <c r="AR6" i="9"/>
  <c r="AR6" i="16"/>
  <c r="AS6" i="8"/>
  <c r="AS6" i="9"/>
  <c r="AS6" i="16"/>
  <c r="AT6" i="8"/>
  <c r="AT6" i="9"/>
  <c r="AT6" i="16"/>
  <c r="C7" i="8"/>
  <c r="C7" i="9"/>
  <c r="C7" i="16"/>
  <c r="D7" i="8"/>
  <c r="D7" i="9"/>
  <c r="D7" i="16"/>
  <c r="E7" i="8"/>
  <c r="E7" i="9"/>
  <c r="E7" i="16"/>
  <c r="F7" i="8"/>
  <c r="F7" i="9"/>
  <c r="F7" i="16"/>
  <c r="G7" i="8"/>
  <c r="G7" i="9"/>
  <c r="G7" i="16"/>
  <c r="H7" i="8"/>
  <c r="H7" i="9"/>
  <c r="H7" i="16"/>
  <c r="I7" i="8"/>
  <c r="I7" i="9"/>
  <c r="I7" i="16"/>
  <c r="J7" i="8"/>
  <c r="J7" i="9"/>
  <c r="J7" i="16"/>
  <c r="K7" i="8"/>
  <c r="K7" i="9"/>
  <c r="K7" i="16"/>
  <c r="L7" i="8"/>
  <c r="L7" i="9"/>
  <c r="L7" i="16"/>
  <c r="M7" i="8"/>
  <c r="M7" i="9"/>
  <c r="M7" i="16"/>
  <c r="N7" i="8"/>
  <c r="N7" i="9"/>
  <c r="N7" i="16"/>
  <c r="O7" i="8"/>
  <c r="O7" i="9"/>
  <c r="O7" i="16"/>
  <c r="P7" i="8"/>
  <c r="P7" i="9"/>
  <c r="P7" i="16"/>
  <c r="Q7" i="8"/>
  <c r="Q7" i="9"/>
  <c r="Q7" i="16"/>
  <c r="R7" i="8"/>
  <c r="R7" i="9"/>
  <c r="R7" i="16"/>
  <c r="S7" i="8"/>
  <c r="S7" i="9"/>
  <c r="S7" i="16"/>
  <c r="T7" i="8"/>
  <c r="T7" i="9"/>
  <c r="T7" i="16"/>
  <c r="U7" i="8"/>
  <c r="U7" i="9"/>
  <c r="U7" i="16"/>
  <c r="V7" i="8"/>
  <c r="V7" i="9"/>
  <c r="V7" i="16"/>
  <c r="W7" i="8"/>
  <c r="W7" i="9"/>
  <c r="W7" i="16"/>
  <c r="X7" i="8"/>
  <c r="X7" i="9"/>
  <c r="X7" i="16"/>
  <c r="Y7" i="8"/>
  <c r="Y7" i="9"/>
  <c r="Y7" i="16"/>
  <c r="Z7" i="8"/>
  <c r="Z7" i="9"/>
  <c r="Z7" i="16"/>
  <c r="AA7" i="8"/>
  <c r="AA7" i="9"/>
  <c r="AA7" i="16"/>
  <c r="AB7" i="8"/>
  <c r="AB7" i="9"/>
  <c r="AB7" i="16"/>
  <c r="AC7" i="8"/>
  <c r="AC7" i="9"/>
  <c r="AC7" i="16"/>
  <c r="AD7" i="8"/>
  <c r="AD7" i="9"/>
  <c r="AD7" i="16"/>
  <c r="AE7" i="8"/>
  <c r="AE7" i="9"/>
  <c r="AE7" i="16"/>
  <c r="AF7" i="8"/>
  <c r="AF7" i="9"/>
  <c r="AF7" i="16"/>
  <c r="AG7" i="8"/>
  <c r="AG7" i="9"/>
  <c r="AG7" i="16"/>
  <c r="AH7" i="8"/>
  <c r="AH7" i="9"/>
  <c r="AH7" i="16"/>
  <c r="AI7" i="8"/>
  <c r="AI7" i="9"/>
  <c r="AI7" i="16"/>
  <c r="AJ7" i="8"/>
  <c r="AJ7" i="9"/>
  <c r="AJ7" i="16"/>
  <c r="AK7" i="8"/>
  <c r="AK7" i="9"/>
  <c r="AK7" i="16"/>
  <c r="AL7" i="8"/>
  <c r="AL7" i="9"/>
  <c r="AL7" i="16"/>
  <c r="AM7" i="8"/>
  <c r="AM7" i="9"/>
  <c r="AM7" i="16"/>
  <c r="AN7" i="8"/>
  <c r="AN7" i="9"/>
  <c r="AN7" i="16"/>
  <c r="AO7" i="8"/>
  <c r="AO7" i="9"/>
  <c r="AO7" i="16"/>
  <c r="AP7" i="8"/>
  <c r="AP7" i="9"/>
  <c r="AP7" i="16"/>
  <c r="AQ7" i="8"/>
  <c r="AQ7" i="9"/>
  <c r="AQ7" i="16"/>
  <c r="AR7" i="8"/>
  <c r="AR7" i="9"/>
  <c r="AR7" i="16"/>
  <c r="AS7" i="8"/>
  <c r="AS7" i="9"/>
  <c r="AS7" i="16"/>
  <c r="AT7" i="8"/>
  <c r="AT7" i="9"/>
  <c r="AT7" i="16"/>
  <c r="C8" i="8"/>
  <c r="C8" i="9"/>
  <c r="C8" i="16"/>
  <c r="D8" i="8"/>
  <c r="D8" i="9"/>
  <c r="D8" i="16"/>
  <c r="E8" i="8"/>
  <c r="E8" i="9"/>
  <c r="E8" i="16"/>
  <c r="F8" i="8"/>
  <c r="F8" i="9"/>
  <c r="F8" i="16"/>
  <c r="G8" i="8"/>
  <c r="G8" i="9"/>
  <c r="G8" i="16"/>
  <c r="H8" i="8"/>
  <c r="H8" i="9"/>
  <c r="H8" i="16"/>
  <c r="I8" i="8"/>
  <c r="I8" i="9"/>
  <c r="I8" i="16"/>
  <c r="J8" i="8"/>
  <c r="J8" i="9"/>
  <c r="J8" i="16"/>
  <c r="K8" i="8"/>
  <c r="K8" i="9"/>
  <c r="K8" i="16"/>
  <c r="L8" i="8"/>
  <c r="L8" i="9"/>
  <c r="L8" i="16"/>
  <c r="M8" i="8"/>
  <c r="M8" i="9"/>
  <c r="M8" i="16"/>
  <c r="N8" i="8"/>
  <c r="N8" i="9"/>
  <c r="N8" i="16"/>
  <c r="O8" i="8"/>
  <c r="O8" i="9"/>
  <c r="O8" i="16"/>
  <c r="P8" i="8"/>
  <c r="P8" i="9"/>
  <c r="P8" i="16"/>
  <c r="Q8" i="8"/>
  <c r="Q8" i="9"/>
  <c r="Q8" i="16"/>
  <c r="R8" i="8"/>
  <c r="R8" i="9"/>
  <c r="R8" i="16"/>
  <c r="S8" i="8"/>
  <c r="S8" i="9"/>
  <c r="S8" i="16"/>
  <c r="T8" i="8"/>
  <c r="T8" i="9"/>
  <c r="T8" i="16"/>
  <c r="U8" i="8"/>
  <c r="U8" i="9"/>
  <c r="U8" i="16"/>
  <c r="V8" i="8"/>
  <c r="V8" i="9"/>
  <c r="V8" i="16"/>
  <c r="W8" i="8"/>
  <c r="W8" i="9"/>
  <c r="W8" i="16"/>
  <c r="X8" i="8"/>
  <c r="X8" i="9"/>
  <c r="X8" i="16"/>
  <c r="Y8" i="8"/>
  <c r="Y8" i="9"/>
  <c r="Y8" i="16"/>
  <c r="Z8" i="8"/>
  <c r="Z8" i="9"/>
  <c r="Z8" i="16"/>
  <c r="AA8" i="8"/>
  <c r="AA8" i="9"/>
  <c r="AA8" i="16"/>
  <c r="AB8" i="8"/>
  <c r="AB8" i="9"/>
  <c r="AB8" i="16"/>
  <c r="AC8" i="8"/>
  <c r="AC8" i="9"/>
  <c r="AC8" i="16"/>
  <c r="AD8" i="8"/>
  <c r="AD8" i="9"/>
  <c r="AD8" i="16"/>
  <c r="AE8" i="8"/>
  <c r="AE8" i="9"/>
  <c r="AE8" i="16"/>
  <c r="AF8" i="8"/>
  <c r="AF8" i="9"/>
  <c r="AF8" i="16"/>
  <c r="AG8" i="8"/>
  <c r="AG8" i="9"/>
  <c r="AG8" i="16"/>
  <c r="AH8" i="8"/>
  <c r="AH8" i="9"/>
  <c r="AH8" i="16"/>
  <c r="AI8" i="8"/>
  <c r="AI8" i="9"/>
  <c r="AI8" i="16"/>
  <c r="AJ8" i="8"/>
  <c r="AJ8" i="9"/>
  <c r="AJ8" i="16"/>
  <c r="AK8" i="8"/>
  <c r="AK8" i="9"/>
  <c r="AK8" i="16"/>
  <c r="AL8" i="8"/>
  <c r="AL8" i="9"/>
  <c r="AL8" i="16"/>
  <c r="AM8" i="8"/>
  <c r="AM8" i="9"/>
  <c r="AM8" i="16"/>
  <c r="AN8" i="8"/>
  <c r="AN8" i="9"/>
  <c r="AN8" i="16"/>
  <c r="AO8" i="8"/>
  <c r="AO8" i="9"/>
  <c r="AO8" i="16"/>
  <c r="AP8" i="8"/>
  <c r="AP8" i="9"/>
  <c r="AP8" i="16"/>
  <c r="AQ8" i="8"/>
  <c r="AQ8" i="9"/>
  <c r="AQ8" i="16"/>
  <c r="AR8" i="8"/>
  <c r="AR8" i="9"/>
  <c r="AR8" i="16"/>
  <c r="AS8" i="8"/>
  <c r="AS8" i="9"/>
  <c r="AS8" i="16"/>
  <c r="AT8" i="8"/>
  <c r="AT8" i="9"/>
  <c r="AT8" i="16"/>
  <c r="C9" i="8"/>
  <c r="C9" i="9"/>
  <c r="C9" i="16"/>
  <c r="D9" i="8"/>
  <c r="D9" i="9"/>
  <c r="D9" i="16"/>
  <c r="E9" i="8"/>
  <c r="E9" i="9"/>
  <c r="E9" i="16"/>
  <c r="F9" i="8"/>
  <c r="F9" i="9"/>
  <c r="F9" i="16"/>
  <c r="G9" i="8"/>
  <c r="G9" i="9"/>
  <c r="G9" i="16"/>
  <c r="H9" i="8"/>
  <c r="H9" i="9"/>
  <c r="H9" i="16"/>
  <c r="I9" i="8"/>
  <c r="I9" i="9"/>
  <c r="I9" i="16"/>
  <c r="J9" i="8"/>
  <c r="J9" i="9"/>
  <c r="J9" i="16"/>
  <c r="K9" i="8"/>
  <c r="K9" i="9"/>
  <c r="K9" i="16"/>
  <c r="L9" i="8"/>
  <c r="L9" i="9"/>
  <c r="L9" i="16"/>
  <c r="M9" i="8"/>
  <c r="M9" i="9"/>
  <c r="M9" i="16"/>
  <c r="N9" i="8"/>
  <c r="N9" i="9"/>
  <c r="N9" i="16"/>
  <c r="O9" i="8"/>
  <c r="O9" i="9"/>
  <c r="O9" i="16"/>
  <c r="P9" i="8"/>
  <c r="P9" i="9"/>
  <c r="P9" i="16"/>
  <c r="Q9" i="8"/>
  <c r="Q9" i="9"/>
  <c r="Q9" i="16"/>
  <c r="R9" i="8"/>
  <c r="R9" i="9"/>
  <c r="R9" i="16"/>
  <c r="S9" i="8"/>
  <c r="S9" i="9"/>
  <c r="S9" i="16"/>
  <c r="T9" i="8"/>
  <c r="T9" i="9"/>
  <c r="T9" i="16"/>
  <c r="U9" i="8"/>
  <c r="U9" i="9"/>
  <c r="U9" i="16"/>
  <c r="V9" i="8"/>
  <c r="V9" i="9"/>
  <c r="V9" i="16"/>
  <c r="W9" i="8"/>
  <c r="W9" i="9"/>
  <c r="W9" i="16"/>
  <c r="X9" i="8"/>
  <c r="X9" i="9"/>
  <c r="X9" i="16"/>
  <c r="Y9" i="8"/>
  <c r="Y9" i="9"/>
  <c r="Y9" i="16"/>
  <c r="Z9" i="8"/>
  <c r="Z9" i="9"/>
  <c r="Z9" i="16"/>
  <c r="AA9" i="8"/>
  <c r="AA9" i="9"/>
  <c r="AA9" i="16"/>
  <c r="AB9" i="8"/>
  <c r="AB9" i="9"/>
  <c r="AB9" i="16"/>
  <c r="AC9" i="8"/>
  <c r="AC9" i="9"/>
  <c r="AC9" i="16"/>
  <c r="AD9" i="8"/>
  <c r="AD9" i="9"/>
  <c r="AD9" i="16"/>
  <c r="AE9" i="8"/>
  <c r="AE9" i="9"/>
  <c r="AE9" i="16"/>
  <c r="AF9" i="8"/>
  <c r="AF9" i="9"/>
  <c r="AF9" i="16"/>
  <c r="AG9" i="8"/>
  <c r="AG9" i="9"/>
  <c r="AG9" i="16"/>
  <c r="AH9" i="8"/>
  <c r="AH9" i="9"/>
  <c r="AH9" i="16"/>
  <c r="AI9" i="8"/>
  <c r="AI9" i="9"/>
  <c r="AI9" i="16"/>
  <c r="AJ9" i="8"/>
  <c r="AJ9" i="9"/>
  <c r="AJ9" i="16"/>
  <c r="AK9" i="8"/>
  <c r="AK9" i="9"/>
  <c r="AK9" i="16"/>
  <c r="AL9" i="8"/>
  <c r="AL9" i="9"/>
  <c r="AL9" i="16"/>
  <c r="AM9" i="8"/>
  <c r="AM9" i="9"/>
  <c r="AM9" i="16"/>
  <c r="AN9" i="8"/>
  <c r="AN9" i="9"/>
  <c r="AN9" i="16"/>
  <c r="AO9" i="8"/>
  <c r="AO9" i="9"/>
  <c r="AO9" i="16"/>
  <c r="AP9" i="8"/>
  <c r="AP9" i="9"/>
  <c r="AP9" i="16"/>
  <c r="AQ9" i="8"/>
  <c r="AQ9" i="9"/>
  <c r="AQ9" i="16"/>
  <c r="AR9" i="8"/>
  <c r="AR9" i="9"/>
  <c r="AR9" i="16"/>
  <c r="AS9" i="8"/>
  <c r="AS9" i="9"/>
  <c r="AS9" i="16"/>
  <c r="AT9" i="8"/>
  <c r="AT9" i="9"/>
  <c r="AT9" i="16"/>
  <c r="C10" i="8"/>
  <c r="C10" i="9"/>
  <c r="C10" i="16"/>
  <c r="D10" i="8"/>
  <c r="D10" i="9"/>
  <c r="D10" i="16"/>
  <c r="E10" i="8"/>
  <c r="E10" i="9"/>
  <c r="E10" i="16"/>
  <c r="F10" i="8"/>
  <c r="F10" i="9"/>
  <c r="F10" i="16"/>
  <c r="G10" i="8"/>
  <c r="G10" i="9"/>
  <c r="G10" i="16"/>
  <c r="H10" i="8"/>
  <c r="H10" i="9"/>
  <c r="H10" i="16"/>
  <c r="I10" i="8"/>
  <c r="I10" i="9"/>
  <c r="I10" i="16"/>
  <c r="J10" i="8"/>
  <c r="J10" i="9"/>
  <c r="J10" i="16"/>
  <c r="K10" i="8"/>
  <c r="K10" i="9"/>
  <c r="K10" i="16"/>
  <c r="L10" i="8"/>
  <c r="L10" i="9"/>
  <c r="L10" i="16"/>
  <c r="M10" i="8"/>
  <c r="M10" i="9"/>
  <c r="M10" i="16"/>
  <c r="N10" i="8"/>
  <c r="N10" i="9"/>
  <c r="N10" i="16"/>
  <c r="O10" i="8"/>
  <c r="O10" i="9"/>
  <c r="O10" i="16"/>
  <c r="P10" i="8"/>
  <c r="P10" i="9"/>
  <c r="P10" i="16"/>
  <c r="Q10" i="8"/>
  <c r="Q10" i="9"/>
  <c r="Q10" i="16"/>
  <c r="R10" i="8"/>
  <c r="R10" i="9"/>
  <c r="R10" i="16"/>
  <c r="S10" i="8"/>
  <c r="S10" i="9"/>
  <c r="S10" i="16"/>
  <c r="T10" i="8"/>
  <c r="T10" i="9"/>
  <c r="T10" i="16"/>
  <c r="U10" i="8"/>
  <c r="U10" i="9"/>
  <c r="U10" i="16"/>
  <c r="V10" i="8"/>
  <c r="V10" i="9"/>
  <c r="V10" i="16"/>
  <c r="W10" i="8"/>
  <c r="W10" i="9"/>
  <c r="W10" i="16"/>
  <c r="X10" i="8"/>
  <c r="X10" i="9"/>
  <c r="X10" i="16"/>
  <c r="Y10" i="8"/>
  <c r="Y10" i="9"/>
  <c r="Y10" i="16"/>
  <c r="Z10" i="8"/>
  <c r="Z10" i="9"/>
  <c r="Z10" i="16"/>
  <c r="AA10" i="8"/>
  <c r="AA10" i="9"/>
  <c r="AA10" i="16"/>
  <c r="AB10" i="8"/>
  <c r="AB10" i="9"/>
  <c r="AB10" i="16"/>
  <c r="AC10" i="8"/>
  <c r="AC10" i="9"/>
  <c r="AC10" i="16"/>
  <c r="AD10" i="8"/>
  <c r="AD10" i="9"/>
  <c r="AD10" i="16"/>
  <c r="AE10" i="8"/>
  <c r="AE10" i="9"/>
  <c r="AE10" i="16"/>
  <c r="AF10" i="8"/>
  <c r="AF10" i="9"/>
  <c r="AF10" i="16"/>
  <c r="AG10" i="8"/>
  <c r="AG10" i="9"/>
  <c r="AG10" i="16"/>
  <c r="AH10" i="8"/>
  <c r="AH10" i="9"/>
  <c r="AH10" i="16"/>
  <c r="AI10" i="8"/>
  <c r="AI10" i="9"/>
  <c r="AI10" i="16"/>
  <c r="AJ10" i="8"/>
  <c r="AJ10" i="9"/>
  <c r="AJ10" i="16"/>
  <c r="AK10" i="8"/>
  <c r="AK10" i="9"/>
  <c r="AK10" i="16"/>
  <c r="AL10" i="8"/>
  <c r="AL10" i="9"/>
  <c r="AL10" i="16"/>
  <c r="AM10" i="8"/>
  <c r="AM10" i="9"/>
  <c r="AM10" i="16"/>
  <c r="AN10" i="8"/>
  <c r="AN10" i="9"/>
  <c r="AN10" i="16"/>
  <c r="AO10" i="8"/>
  <c r="AO10" i="9"/>
  <c r="AO10" i="16"/>
  <c r="AP10" i="8"/>
  <c r="AP10" i="9"/>
  <c r="AP10" i="16"/>
  <c r="AQ10" i="8"/>
  <c r="AQ10" i="9"/>
  <c r="AQ10" i="16"/>
  <c r="AR10" i="8"/>
  <c r="AR10" i="9"/>
  <c r="AR10" i="16"/>
  <c r="AS10" i="8"/>
  <c r="AS10" i="9"/>
  <c r="AS10" i="16"/>
  <c r="AT10" i="8"/>
  <c r="AT10" i="9"/>
  <c r="AT10" i="16"/>
  <c r="C11" i="8"/>
  <c r="C11" i="9"/>
  <c r="C11" i="16"/>
  <c r="D11" i="8"/>
  <c r="D11" i="9"/>
  <c r="D11" i="16"/>
  <c r="E11" i="8"/>
  <c r="E11" i="9"/>
  <c r="E11" i="16"/>
  <c r="F11" i="8"/>
  <c r="F11" i="9"/>
  <c r="F11" i="16"/>
  <c r="G11" i="8"/>
  <c r="G11" i="9"/>
  <c r="G11" i="16"/>
  <c r="H11" i="8"/>
  <c r="H11" i="9"/>
  <c r="H11" i="16"/>
  <c r="I11" i="8"/>
  <c r="I11" i="9"/>
  <c r="I11" i="16"/>
  <c r="J11" i="8"/>
  <c r="J11" i="9"/>
  <c r="J11" i="16"/>
  <c r="K11" i="8"/>
  <c r="K11" i="9"/>
  <c r="K11" i="16"/>
  <c r="L11" i="8"/>
  <c r="L11" i="9"/>
  <c r="L11" i="16"/>
  <c r="M11" i="8"/>
  <c r="M11" i="9"/>
  <c r="M11" i="16"/>
  <c r="N11" i="8"/>
  <c r="N11" i="9"/>
  <c r="N11" i="16"/>
  <c r="O11" i="8"/>
  <c r="O11" i="9"/>
  <c r="O11" i="16"/>
  <c r="P11" i="8"/>
  <c r="P11" i="9"/>
  <c r="P11" i="16"/>
  <c r="Q11" i="8"/>
  <c r="Q11" i="9"/>
  <c r="Q11" i="16"/>
  <c r="R11" i="8"/>
  <c r="R11" i="9"/>
  <c r="R11" i="16"/>
  <c r="S11" i="8"/>
  <c r="S11" i="9"/>
  <c r="S11" i="16"/>
  <c r="T11" i="8"/>
  <c r="T11" i="9"/>
  <c r="T11" i="16"/>
  <c r="U11" i="8"/>
  <c r="U11" i="9"/>
  <c r="U11" i="16"/>
  <c r="V11" i="8"/>
  <c r="V11" i="9"/>
  <c r="V11" i="16"/>
  <c r="W11" i="8"/>
  <c r="W11" i="9"/>
  <c r="W11" i="16"/>
  <c r="X11" i="8"/>
  <c r="X11" i="9"/>
  <c r="X11" i="16"/>
  <c r="Y11" i="8"/>
  <c r="Y11" i="9"/>
  <c r="Y11" i="16"/>
  <c r="Z11" i="8"/>
  <c r="Z11" i="9"/>
  <c r="Z11" i="16"/>
  <c r="AA11" i="8"/>
  <c r="AA11" i="9"/>
  <c r="AA11" i="16"/>
  <c r="AB11" i="8"/>
  <c r="AB11" i="9"/>
  <c r="AB11" i="16"/>
  <c r="AC11" i="8"/>
  <c r="AC11" i="9"/>
  <c r="AC11" i="16"/>
  <c r="AD11" i="8"/>
  <c r="AD11" i="9"/>
  <c r="AD11" i="16"/>
  <c r="AE11" i="8"/>
  <c r="AE11" i="9"/>
  <c r="AE11" i="16"/>
  <c r="AF11" i="8"/>
  <c r="AF11" i="9"/>
  <c r="AF11" i="16"/>
  <c r="AG11" i="8"/>
  <c r="AG11" i="9"/>
  <c r="AG11" i="16"/>
  <c r="AH11" i="8"/>
  <c r="AH11" i="9"/>
  <c r="AH11" i="16"/>
  <c r="AI11" i="8"/>
  <c r="AI11" i="9"/>
  <c r="AI11" i="16"/>
  <c r="AJ11" i="8"/>
  <c r="AJ11" i="9"/>
  <c r="AJ11" i="16"/>
  <c r="AK11" i="8"/>
  <c r="AK11" i="9"/>
  <c r="AK11" i="16"/>
  <c r="AL11" i="8"/>
  <c r="AL11" i="9"/>
  <c r="AL11" i="16"/>
  <c r="AM11" i="8"/>
  <c r="AM11" i="9"/>
  <c r="AM11" i="16"/>
  <c r="AN11" i="8"/>
  <c r="AN11" i="9"/>
  <c r="AN11" i="16"/>
  <c r="AO11" i="8"/>
  <c r="AO11" i="9"/>
  <c r="AO11" i="16"/>
  <c r="AP11" i="8"/>
  <c r="AP11" i="9"/>
  <c r="AP11" i="16"/>
  <c r="AQ11" i="8"/>
  <c r="AQ11" i="9"/>
  <c r="AQ11" i="16"/>
  <c r="AR11" i="8"/>
  <c r="AR11" i="9"/>
  <c r="AR11" i="16"/>
  <c r="AS11" i="8"/>
  <c r="AS11" i="9"/>
  <c r="AS11" i="16"/>
  <c r="AT11" i="8"/>
  <c r="AT11" i="9"/>
  <c r="AT11" i="16"/>
  <c r="C12" i="8"/>
  <c r="C12" i="9"/>
  <c r="C12" i="16"/>
  <c r="D12" i="8"/>
  <c r="D12" i="9"/>
  <c r="D12" i="16"/>
  <c r="E12" i="8"/>
  <c r="E12" i="9"/>
  <c r="E12" i="16"/>
  <c r="F12" i="8"/>
  <c r="F12" i="9"/>
  <c r="F12" i="16"/>
  <c r="G12" i="8"/>
  <c r="G12" i="9"/>
  <c r="G12" i="16"/>
  <c r="H12" i="8"/>
  <c r="H12" i="9"/>
  <c r="H12" i="16"/>
  <c r="I12" i="8"/>
  <c r="I12" i="9"/>
  <c r="I12" i="16"/>
  <c r="J12" i="8"/>
  <c r="J12" i="9"/>
  <c r="J12" i="16"/>
  <c r="K12" i="8"/>
  <c r="K12" i="9"/>
  <c r="K12" i="16"/>
  <c r="L12" i="8"/>
  <c r="L12" i="9"/>
  <c r="L12" i="16"/>
  <c r="M12" i="16"/>
  <c r="N12" i="8"/>
  <c r="N12" i="9"/>
  <c r="N12" i="16"/>
  <c r="O12" i="8"/>
  <c r="O12" i="9"/>
  <c r="O12" i="16"/>
  <c r="P12" i="8"/>
  <c r="P12" i="9"/>
  <c r="P12" i="16"/>
  <c r="Q12" i="8"/>
  <c r="Q12" i="9"/>
  <c r="Q12" i="16"/>
  <c r="R12" i="8"/>
  <c r="R12" i="9"/>
  <c r="R12" i="16"/>
  <c r="S12" i="8"/>
  <c r="S12" i="9"/>
  <c r="S12" i="16"/>
  <c r="T12" i="8"/>
  <c r="T12" i="9"/>
  <c r="T12" i="16"/>
  <c r="U12" i="8"/>
  <c r="U12" i="9"/>
  <c r="U12" i="16"/>
  <c r="V12" i="8"/>
  <c r="V12" i="9"/>
  <c r="V12" i="16"/>
  <c r="W12" i="8"/>
  <c r="W12" i="9"/>
  <c r="W12" i="16"/>
  <c r="X12" i="16"/>
  <c r="Y12" i="8"/>
  <c r="Y12" i="9"/>
  <c r="Y12" i="16"/>
  <c r="Z12" i="8"/>
  <c r="Z12" i="9"/>
  <c r="Z12" i="16"/>
  <c r="AA12" i="8"/>
  <c r="AA12" i="9"/>
  <c r="AA12" i="16"/>
  <c r="AB12" i="8"/>
  <c r="AB12" i="9"/>
  <c r="AB12" i="16"/>
  <c r="AC12" i="8"/>
  <c r="AC12" i="9"/>
  <c r="AC12" i="16"/>
  <c r="AD12" i="8"/>
  <c r="AD12" i="9"/>
  <c r="AD12" i="16"/>
  <c r="AE12" i="8"/>
  <c r="AE12" i="9"/>
  <c r="AE12" i="16"/>
  <c r="AF12" i="8"/>
  <c r="AF12" i="9"/>
  <c r="AF12" i="16"/>
  <c r="AG12" i="8"/>
  <c r="AG12" i="9"/>
  <c r="AG12" i="16"/>
  <c r="AH12" i="8"/>
  <c r="AH12" i="9"/>
  <c r="AH12" i="16"/>
  <c r="AI12" i="8"/>
  <c r="AI12" i="9"/>
  <c r="AI12" i="16"/>
  <c r="AJ12" i="8"/>
  <c r="AJ12" i="9"/>
  <c r="AJ12" i="16"/>
  <c r="AK12" i="8"/>
  <c r="AK12" i="9"/>
  <c r="AK12" i="16"/>
  <c r="AL12" i="8"/>
  <c r="AL12" i="9"/>
  <c r="AL12" i="16"/>
  <c r="AM12" i="8"/>
  <c r="AM12" i="9"/>
  <c r="AM12" i="16"/>
  <c r="AN12" i="8"/>
  <c r="AN12" i="9"/>
  <c r="AN12" i="16"/>
  <c r="AO12" i="8"/>
  <c r="AO12" i="9"/>
  <c r="AO12" i="16"/>
  <c r="AP12" i="8"/>
  <c r="AP12" i="9"/>
  <c r="AP12" i="16"/>
  <c r="AQ12" i="8"/>
  <c r="AQ12" i="9"/>
  <c r="AQ12" i="16"/>
  <c r="AR12" i="8"/>
  <c r="AR12" i="9"/>
  <c r="AR12" i="16"/>
  <c r="AS12" i="8"/>
  <c r="AS12" i="9"/>
  <c r="AS12" i="16"/>
  <c r="AT12" i="8"/>
  <c r="AT12" i="9"/>
  <c r="AT12" i="16"/>
  <c r="C13" i="8"/>
  <c r="C13" i="9"/>
  <c r="C13" i="16"/>
  <c r="D13" i="8"/>
  <c r="D13" i="9"/>
  <c r="D13" i="16"/>
  <c r="E13" i="8"/>
  <c r="E13" i="9"/>
  <c r="E13" i="16"/>
  <c r="F13" i="8"/>
  <c r="F13" i="9"/>
  <c r="F13" i="16"/>
  <c r="G13" i="8"/>
  <c r="G13" i="9"/>
  <c r="G13" i="16"/>
  <c r="H13" i="8"/>
  <c r="H13" i="9"/>
  <c r="H13" i="16"/>
  <c r="I13" i="8"/>
  <c r="I13" i="9"/>
  <c r="I13" i="16"/>
  <c r="J13" i="8"/>
  <c r="J13" i="9"/>
  <c r="J13" i="16"/>
  <c r="K13" i="8"/>
  <c r="K13" i="9"/>
  <c r="K13" i="16"/>
  <c r="L13" i="8"/>
  <c r="L13" i="9"/>
  <c r="L13" i="16"/>
  <c r="M13" i="8"/>
  <c r="M13" i="9"/>
  <c r="M13" i="16"/>
  <c r="N13" i="8"/>
  <c r="N13" i="9"/>
  <c r="N13" i="16"/>
  <c r="O13" i="8"/>
  <c r="O13" i="9"/>
  <c r="O13" i="16"/>
  <c r="P13" i="8"/>
  <c r="P13" i="9"/>
  <c r="P13" i="16"/>
  <c r="Q13" i="8"/>
  <c r="Q13" i="9"/>
  <c r="Q13" i="16"/>
  <c r="R13" i="8"/>
  <c r="R13" i="9"/>
  <c r="R13" i="16"/>
  <c r="S13" i="8"/>
  <c r="S13" i="9"/>
  <c r="S13" i="16"/>
  <c r="T13" i="8"/>
  <c r="T13" i="9"/>
  <c r="T13" i="16"/>
  <c r="U13" i="8"/>
  <c r="U13" i="9"/>
  <c r="U13" i="16"/>
  <c r="V13" i="8"/>
  <c r="V13" i="9"/>
  <c r="V13" i="16"/>
  <c r="W13" i="8"/>
  <c r="W13" i="9"/>
  <c r="W13" i="16"/>
  <c r="X13" i="8"/>
  <c r="X13" i="9"/>
  <c r="X13" i="16"/>
  <c r="Y13" i="8"/>
  <c r="Y13" i="9"/>
  <c r="Y13" i="16"/>
  <c r="Z13" i="8"/>
  <c r="Z13" i="9"/>
  <c r="Z13" i="16"/>
  <c r="AA13" i="8"/>
  <c r="AA13" i="9"/>
  <c r="AA13" i="16"/>
  <c r="AB13" i="8"/>
  <c r="AB13" i="9"/>
  <c r="AB13" i="16"/>
  <c r="AC13" i="8"/>
  <c r="AC13" i="9"/>
  <c r="AC13" i="16"/>
  <c r="AD13" i="8"/>
  <c r="AD13" i="9"/>
  <c r="AD13" i="16"/>
  <c r="AE13" i="8"/>
  <c r="AE13" i="9"/>
  <c r="AE13" i="16"/>
  <c r="AF13" i="8"/>
  <c r="AF13" i="9"/>
  <c r="AF13" i="16"/>
  <c r="AG13" i="8"/>
  <c r="AG13" i="9"/>
  <c r="AG13" i="16"/>
  <c r="AH13" i="8"/>
  <c r="AH13" i="9"/>
  <c r="AH13" i="16"/>
  <c r="AI13" i="8"/>
  <c r="AI13" i="9"/>
  <c r="AI13" i="16"/>
  <c r="AJ13" i="8"/>
  <c r="AJ13" i="9"/>
  <c r="AJ13" i="16"/>
  <c r="AK13" i="8"/>
  <c r="AK13" i="9"/>
  <c r="AK13" i="16"/>
  <c r="AL13" i="8"/>
  <c r="AL13" i="9"/>
  <c r="AL13" i="16"/>
  <c r="AM13" i="8"/>
  <c r="AM13" i="9"/>
  <c r="AM13" i="16"/>
  <c r="AN13" i="8"/>
  <c r="AN13" i="9"/>
  <c r="AN13" i="16"/>
  <c r="AO13" i="8"/>
  <c r="AO13" i="9"/>
  <c r="AO13" i="16"/>
  <c r="AP13" i="8"/>
  <c r="AP13" i="9"/>
  <c r="AP13" i="16"/>
  <c r="AQ13" i="8"/>
  <c r="AQ13" i="9"/>
  <c r="AQ13" i="16"/>
  <c r="AR13" i="8"/>
  <c r="AR13" i="9"/>
  <c r="AR13" i="16"/>
  <c r="AS13" i="8"/>
  <c r="AS13" i="9"/>
  <c r="AS13" i="16"/>
  <c r="AT13" i="8"/>
  <c r="AT13" i="9"/>
  <c r="AT13" i="16"/>
  <c r="C14" i="8"/>
  <c r="C14" i="9"/>
  <c r="C14" i="16"/>
  <c r="D14" i="8"/>
  <c r="D14" i="9"/>
  <c r="D14" i="16"/>
  <c r="E14" i="8"/>
  <c r="E14" i="9"/>
  <c r="E14" i="16"/>
  <c r="F14" i="8"/>
  <c r="F14" i="9"/>
  <c r="F14" i="16"/>
  <c r="G14" i="8"/>
  <c r="G14" i="9"/>
  <c r="G14" i="16"/>
  <c r="H14" i="8"/>
  <c r="H14" i="9"/>
  <c r="H14" i="16"/>
  <c r="I14" i="8"/>
  <c r="I14" i="9"/>
  <c r="I14" i="16"/>
  <c r="J14" i="8"/>
  <c r="J14" i="9"/>
  <c r="J14" i="16"/>
  <c r="K14" i="8"/>
  <c r="K14" i="9"/>
  <c r="K14" i="16"/>
  <c r="L14" i="8"/>
  <c r="L14" i="9"/>
  <c r="L14" i="16"/>
  <c r="M14" i="8"/>
  <c r="M14" i="9"/>
  <c r="M14" i="16"/>
  <c r="N14" i="8"/>
  <c r="N14" i="9"/>
  <c r="N14" i="16"/>
  <c r="O14" i="8"/>
  <c r="O14" i="9"/>
  <c r="O14" i="16"/>
  <c r="P14" i="8"/>
  <c r="P14" i="9"/>
  <c r="P14" i="16"/>
  <c r="Q14" i="8"/>
  <c r="Q14" i="9"/>
  <c r="Q14" i="16"/>
  <c r="R14" i="8"/>
  <c r="R14" i="9"/>
  <c r="R14" i="16"/>
  <c r="S14" i="8"/>
  <c r="S14" i="9"/>
  <c r="S14" i="16"/>
  <c r="T14" i="8"/>
  <c r="T14" i="9"/>
  <c r="T14" i="16"/>
  <c r="U14" i="8"/>
  <c r="U14" i="9"/>
  <c r="U14" i="16"/>
  <c r="V14" i="8"/>
  <c r="V14" i="9"/>
  <c r="V14" i="16"/>
  <c r="W14" i="8"/>
  <c r="W14" i="9"/>
  <c r="W14" i="16"/>
  <c r="X14" i="8"/>
  <c r="X14" i="9"/>
  <c r="X14" i="16"/>
  <c r="Y14" i="8"/>
  <c r="Y14" i="9"/>
  <c r="Y14" i="16"/>
  <c r="Z14" i="8"/>
  <c r="Z14" i="9"/>
  <c r="Z14" i="16"/>
  <c r="AA14" i="8"/>
  <c r="AA14" i="9"/>
  <c r="AA14" i="16"/>
  <c r="AB14" i="8"/>
  <c r="AB14" i="9"/>
  <c r="AB14" i="16"/>
  <c r="AC14" i="8"/>
  <c r="AC14" i="9"/>
  <c r="AC14" i="16"/>
  <c r="AD14" i="8"/>
  <c r="AD14" i="9"/>
  <c r="AD14" i="16"/>
  <c r="AE14" i="8"/>
  <c r="AE14" i="9"/>
  <c r="AE14" i="16"/>
  <c r="AF14" i="8"/>
  <c r="AF14" i="9"/>
  <c r="AF14" i="16"/>
  <c r="AG14" i="8"/>
  <c r="AG14" i="9"/>
  <c r="AG14" i="16"/>
  <c r="AH14" i="8"/>
  <c r="AH14" i="9"/>
  <c r="AH14" i="16"/>
  <c r="AI14" i="8"/>
  <c r="AI14" i="9"/>
  <c r="AI14" i="16"/>
  <c r="AJ14" i="8"/>
  <c r="AJ14" i="9"/>
  <c r="AJ14" i="16"/>
  <c r="AK14" i="8"/>
  <c r="AK14" i="9"/>
  <c r="AK14" i="16"/>
  <c r="AL14" i="8"/>
  <c r="AL14" i="9"/>
  <c r="AL14" i="16"/>
  <c r="AM14" i="8"/>
  <c r="AM14" i="9"/>
  <c r="AM14" i="16"/>
  <c r="AN14" i="8"/>
  <c r="AN14" i="9"/>
  <c r="AN14" i="16"/>
  <c r="AO14" i="8"/>
  <c r="AO14" i="9"/>
  <c r="AO14" i="16"/>
  <c r="AP14" i="8"/>
  <c r="AP14" i="9"/>
  <c r="AP14" i="16"/>
  <c r="AQ14" i="8"/>
  <c r="AQ14" i="9"/>
  <c r="AQ14" i="16"/>
  <c r="AR14" i="8"/>
  <c r="AR14" i="9"/>
  <c r="AR14" i="16"/>
  <c r="AS14" i="8"/>
  <c r="AS14" i="9"/>
  <c r="AS14" i="16"/>
  <c r="AT14" i="8"/>
  <c r="AT14" i="9"/>
  <c r="AT14" i="16"/>
  <c r="C15" i="8"/>
  <c r="C15" i="9"/>
  <c r="C15" i="16"/>
  <c r="D15" i="8"/>
  <c r="D15" i="9"/>
  <c r="D15" i="16"/>
  <c r="E15" i="8"/>
  <c r="E15" i="9"/>
  <c r="E15" i="16"/>
  <c r="F15" i="8"/>
  <c r="F15" i="9"/>
  <c r="F15" i="16"/>
  <c r="G15" i="8"/>
  <c r="G15" i="9"/>
  <c r="G15" i="16"/>
  <c r="H15" i="8"/>
  <c r="H15" i="9"/>
  <c r="H15" i="16"/>
  <c r="I15" i="8"/>
  <c r="I15" i="9"/>
  <c r="I15" i="16"/>
  <c r="J15" i="16"/>
  <c r="K15" i="8"/>
  <c r="K15" i="9"/>
  <c r="K15" i="16"/>
  <c r="L15" i="8"/>
  <c r="L15" i="9"/>
  <c r="L15" i="16"/>
  <c r="M15" i="8"/>
  <c r="M15" i="9"/>
  <c r="M15" i="16"/>
  <c r="N15" i="8"/>
  <c r="N15" i="9"/>
  <c r="N15" i="16"/>
  <c r="O15" i="8"/>
  <c r="O15" i="9"/>
  <c r="O15" i="16"/>
  <c r="P15" i="8"/>
  <c r="P15" i="9"/>
  <c r="P15" i="16"/>
  <c r="Q15" i="8"/>
  <c r="Q15" i="9"/>
  <c r="Q15" i="16"/>
  <c r="R15" i="8"/>
  <c r="R15" i="9"/>
  <c r="R15" i="16"/>
  <c r="S15" i="8"/>
  <c r="S15" i="9"/>
  <c r="S15" i="16"/>
  <c r="T15" i="8"/>
  <c r="T15" i="9"/>
  <c r="T15" i="16"/>
  <c r="U15" i="8"/>
  <c r="U15" i="9"/>
  <c r="U15" i="16"/>
  <c r="V15" i="8"/>
  <c r="V15" i="9"/>
  <c r="V15" i="16"/>
  <c r="W15" i="8"/>
  <c r="W15" i="9"/>
  <c r="W15" i="16"/>
  <c r="X15" i="8"/>
  <c r="X15" i="9"/>
  <c r="X15" i="16"/>
  <c r="Y15" i="8"/>
  <c r="Y15" i="9"/>
  <c r="Y15" i="16"/>
  <c r="Z15" i="8"/>
  <c r="Z15" i="9"/>
  <c r="Z15" i="16"/>
  <c r="AA15" i="8"/>
  <c r="AA15" i="9"/>
  <c r="AA15" i="16"/>
  <c r="AB15" i="8"/>
  <c r="AB15" i="9"/>
  <c r="AB15" i="16"/>
  <c r="AC15" i="8"/>
  <c r="AD15" i="8"/>
  <c r="AD15" i="9"/>
  <c r="AD15" i="16"/>
  <c r="AE15" i="8"/>
  <c r="AE15" i="9"/>
  <c r="AE15" i="16"/>
  <c r="AF15" i="8"/>
  <c r="AF15" i="9"/>
  <c r="AF15" i="16"/>
  <c r="AG15" i="8"/>
  <c r="AG15" i="9"/>
  <c r="AG15" i="16"/>
  <c r="AH15" i="8"/>
  <c r="AH15" i="9"/>
  <c r="AH15" i="16"/>
  <c r="AI15" i="8"/>
  <c r="AI15" i="9"/>
  <c r="AI15" i="16"/>
  <c r="AJ15" i="8"/>
  <c r="AJ15" i="9"/>
  <c r="AJ15" i="16"/>
  <c r="AK15" i="8"/>
  <c r="AK15" i="9"/>
  <c r="AK15" i="16"/>
  <c r="AL15" i="8"/>
  <c r="AL15" i="9"/>
  <c r="AL15" i="16"/>
  <c r="AM15" i="8"/>
  <c r="AM15" i="9"/>
  <c r="AM15" i="16"/>
  <c r="AN15" i="8"/>
  <c r="AN15" i="9"/>
  <c r="AN15" i="16"/>
  <c r="AO15" i="8"/>
  <c r="AO15" i="9"/>
  <c r="AO15" i="16"/>
  <c r="AP15" i="8"/>
  <c r="AP15" i="9"/>
  <c r="AP15" i="16"/>
  <c r="AQ15" i="8"/>
  <c r="AQ15" i="16"/>
  <c r="AR15" i="8"/>
  <c r="AR15" i="9"/>
  <c r="AR15" i="16"/>
  <c r="AS15" i="8"/>
  <c r="AS15" i="9"/>
  <c r="AS15" i="16"/>
  <c r="AT15" i="8"/>
  <c r="AT15" i="9"/>
  <c r="AT15" i="16"/>
  <c r="C16" i="8"/>
  <c r="C16" i="9"/>
  <c r="C16" i="16"/>
  <c r="D16" i="8"/>
  <c r="D16" i="9"/>
  <c r="D16" i="16"/>
  <c r="E16" i="8"/>
  <c r="E16" i="9"/>
  <c r="E16" i="16"/>
  <c r="F16" i="8"/>
  <c r="F16" i="9"/>
  <c r="F16" i="16"/>
  <c r="G16" i="8"/>
  <c r="G16" i="9"/>
  <c r="G16" i="16"/>
  <c r="H16" i="8"/>
  <c r="H16" i="9"/>
  <c r="H16" i="16"/>
  <c r="I16" i="8"/>
  <c r="I16" i="9"/>
  <c r="I16" i="16"/>
  <c r="J16" i="8"/>
  <c r="J16" i="9"/>
  <c r="J16" i="16"/>
  <c r="K16" i="8"/>
  <c r="K16" i="9"/>
  <c r="K16" i="16"/>
  <c r="L16" i="8"/>
  <c r="L16" i="9"/>
  <c r="L16" i="16"/>
  <c r="M16" i="8"/>
  <c r="M16" i="9"/>
  <c r="M16" i="16"/>
  <c r="N16" i="8"/>
  <c r="N16" i="9"/>
  <c r="N16" i="16"/>
  <c r="O16" i="8"/>
  <c r="O16" i="9"/>
  <c r="O16" i="16"/>
  <c r="P16" i="8"/>
  <c r="P16" i="9"/>
  <c r="P16" i="16"/>
  <c r="Q16" i="8"/>
  <c r="Q16" i="9"/>
  <c r="Q16" i="16"/>
  <c r="R16" i="8"/>
  <c r="R16" i="9"/>
  <c r="R16" i="16"/>
  <c r="S16" i="8"/>
  <c r="S16" i="9"/>
  <c r="S16" i="16"/>
  <c r="T16" i="8"/>
  <c r="T16" i="9"/>
  <c r="T16" i="16"/>
  <c r="U16" i="8"/>
  <c r="U16" i="9"/>
  <c r="U16" i="16"/>
  <c r="V16" i="8"/>
  <c r="V16" i="9"/>
  <c r="V16" i="16"/>
  <c r="W16" i="8"/>
  <c r="W16" i="9"/>
  <c r="W16" i="16"/>
  <c r="X16" i="8"/>
  <c r="X16" i="9"/>
  <c r="X16" i="16"/>
  <c r="Y16" i="8"/>
  <c r="Y16" i="9"/>
  <c r="Y16" i="16"/>
  <c r="Z16" i="8"/>
  <c r="Z16" i="9"/>
  <c r="Z16" i="16"/>
  <c r="AA16" i="8"/>
  <c r="AA16" i="9"/>
  <c r="AA16" i="16"/>
  <c r="AB16" i="8"/>
  <c r="AB16" i="9"/>
  <c r="AB16" i="16"/>
  <c r="AC16" i="8"/>
  <c r="AC16" i="9"/>
  <c r="AC16" i="16"/>
  <c r="AD16" i="8"/>
  <c r="AD16" i="9"/>
  <c r="AD16" i="16"/>
  <c r="AE16" i="8"/>
  <c r="AE16" i="16"/>
  <c r="AF16" i="8"/>
  <c r="AF16" i="9"/>
  <c r="AF16" i="16"/>
  <c r="AG16" i="8"/>
  <c r="AH16" i="8"/>
  <c r="AH16" i="9"/>
  <c r="AH16" i="16"/>
  <c r="AI16" i="8"/>
  <c r="AI16" i="9"/>
  <c r="AI16" i="16"/>
  <c r="AJ16" i="8"/>
  <c r="AJ16" i="9"/>
  <c r="AJ16" i="16"/>
  <c r="AK16" i="8"/>
  <c r="AK16" i="9"/>
  <c r="AK16" i="16"/>
  <c r="AL16" i="8"/>
  <c r="AL16" i="9"/>
  <c r="AL16" i="16"/>
  <c r="AM16" i="8"/>
  <c r="AM16" i="9"/>
  <c r="AM16" i="16"/>
  <c r="AN16" i="8"/>
  <c r="AN16" i="9"/>
  <c r="AN16" i="16"/>
  <c r="AO16" i="8"/>
  <c r="AO16" i="9"/>
  <c r="AO16" i="16"/>
  <c r="AP16" i="8"/>
  <c r="AP16" i="9"/>
  <c r="AP16" i="16"/>
  <c r="AQ16" i="8"/>
  <c r="AQ16" i="9"/>
  <c r="AQ16" i="16"/>
  <c r="AR16" i="8"/>
  <c r="AR16" i="9"/>
  <c r="AR16" i="16"/>
  <c r="AS16" i="8"/>
  <c r="AS16" i="9"/>
  <c r="AS16" i="16"/>
  <c r="AT16" i="8"/>
  <c r="AT16" i="9"/>
  <c r="AT16" i="16"/>
  <c r="C17" i="8"/>
  <c r="C17" i="9"/>
  <c r="C17" i="16"/>
  <c r="D17" i="8"/>
  <c r="D17" i="9"/>
  <c r="D17" i="16"/>
  <c r="E17" i="8"/>
  <c r="E17" i="9"/>
  <c r="E17" i="16"/>
  <c r="F17" i="8"/>
  <c r="F17" i="9"/>
  <c r="F17" i="16"/>
  <c r="G17" i="8"/>
  <c r="G17" i="9"/>
  <c r="G17" i="16"/>
  <c r="H17" i="8"/>
  <c r="H17" i="9"/>
  <c r="H17" i="16"/>
  <c r="I17" i="8"/>
  <c r="I17" i="9"/>
  <c r="I17" i="16"/>
  <c r="J17" i="8"/>
  <c r="J17" i="9"/>
  <c r="J17" i="16"/>
  <c r="K17" i="8"/>
  <c r="K17" i="9"/>
  <c r="K17" i="16"/>
  <c r="L17" i="8"/>
  <c r="L17" i="9"/>
  <c r="L17" i="16"/>
  <c r="M17" i="8"/>
  <c r="M17" i="9"/>
  <c r="M17" i="16"/>
  <c r="N17" i="8"/>
  <c r="N17" i="9"/>
  <c r="N17" i="16"/>
  <c r="O17" i="8"/>
  <c r="O17" i="9"/>
  <c r="O17" i="16"/>
  <c r="P17" i="8"/>
  <c r="P17" i="9"/>
  <c r="P17" i="16"/>
  <c r="Q17" i="8"/>
  <c r="Q17" i="9"/>
  <c r="Q17" i="16"/>
  <c r="R17" i="8"/>
  <c r="R17" i="9"/>
  <c r="R17" i="16"/>
  <c r="S17" i="8"/>
  <c r="S17" i="9"/>
  <c r="S17" i="16"/>
  <c r="T17" i="8"/>
  <c r="T17" i="9"/>
  <c r="T17" i="16"/>
  <c r="U17" i="8"/>
  <c r="U17" i="9"/>
  <c r="U17" i="16"/>
  <c r="V17" i="8"/>
  <c r="V17" i="9"/>
  <c r="V17" i="16"/>
  <c r="W17" i="8"/>
  <c r="W17" i="9"/>
  <c r="W17" i="16"/>
  <c r="X17" i="8"/>
  <c r="X17" i="9"/>
  <c r="X17" i="16"/>
  <c r="Y17" i="8"/>
  <c r="Y17" i="9"/>
  <c r="Y17" i="16"/>
  <c r="Z17" i="8"/>
  <c r="Z17" i="9"/>
  <c r="Z17" i="16"/>
  <c r="AA17" i="8"/>
  <c r="AA17" i="9"/>
  <c r="AA17" i="16"/>
  <c r="AB17" i="8"/>
  <c r="AB17" i="9"/>
  <c r="AB17" i="16"/>
  <c r="AC17" i="8"/>
  <c r="AC17" i="9"/>
  <c r="AC17" i="16"/>
  <c r="AD17" i="8"/>
  <c r="AD17" i="9"/>
  <c r="AD17" i="16"/>
  <c r="AE17" i="8"/>
  <c r="AE17" i="9"/>
  <c r="AE17" i="16"/>
  <c r="AF17" i="8"/>
  <c r="AF17" i="9"/>
  <c r="AF17" i="16"/>
  <c r="AG17" i="8"/>
  <c r="AG17" i="9"/>
  <c r="AG17" i="16"/>
  <c r="AH17" i="8"/>
  <c r="AH17" i="9"/>
  <c r="AH17" i="16"/>
  <c r="AI17" i="8"/>
  <c r="AI17" i="9"/>
  <c r="AI17" i="16"/>
  <c r="AJ17" i="16"/>
  <c r="AK17" i="8"/>
  <c r="AK17" i="9"/>
  <c r="AK17" i="16"/>
  <c r="AL17" i="8"/>
  <c r="AL17" i="9"/>
  <c r="AL17" i="16"/>
  <c r="AM17" i="8"/>
  <c r="AM17" i="9"/>
  <c r="AM17" i="16"/>
  <c r="AN17" i="8"/>
  <c r="AN17" i="9"/>
  <c r="AN17" i="16"/>
  <c r="AO17" i="8"/>
  <c r="AO17" i="9"/>
  <c r="AO17" i="16"/>
  <c r="AP17" i="8"/>
  <c r="AP17" i="9"/>
  <c r="AP17" i="16"/>
  <c r="AQ17" i="8"/>
  <c r="AQ17" i="9"/>
  <c r="AQ17" i="16"/>
  <c r="AR17" i="8"/>
  <c r="AR17" i="9"/>
  <c r="AR17" i="16"/>
  <c r="AS17" i="8"/>
  <c r="AS17" i="9"/>
  <c r="AS17" i="16"/>
  <c r="AT17" i="8"/>
  <c r="AT17" i="9"/>
  <c r="AT17" i="16"/>
  <c r="C18" i="8"/>
  <c r="C18" i="9"/>
  <c r="C18" i="16"/>
  <c r="D18" i="8"/>
  <c r="D18" i="9"/>
  <c r="D18" i="16"/>
  <c r="E18" i="8"/>
  <c r="E18" i="9"/>
  <c r="E18" i="16"/>
  <c r="F18" i="8"/>
  <c r="F18" i="9"/>
  <c r="F18" i="16"/>
  <c r="G18" i="8"/>
  <c r="G18" i="9"/>
  <c r="G18" i="16"/>
  <c r="H18" i="8"/>
  <c r="H18" i="9"/>
  <c r="H18" i="16"/>
  <c r="I18" i="8"/>
  <c r="I18" i="9"/>
  <c r="I18" i="16"/>
  <c r="J18" i="8"/>
  <c r="J18" i="9"/>
  <c r="J18" i="16"/>
  <c r="K18" i="8"/>
  <c r="K18" i="9"/>
  <c r="K18" i="16"/>
  <c r="L18" i="8"/>
  <c r="L18" i="9"/>
  <c r="L18" i="16"/>
  <c r="M18" i="8"/>
  <c r="M18" i="9"/>
  <c r="M18" i="16"/>
  <c r="N18" i="8"/>
  <c r="N18" i="9"/>
  <c r="N18" i="16"/>
  <c r="O18" i="8"/>
  <c r="O18" i="9"/>
  <c r="O18" i="16"/>
  <c r="P18" i="8"/>
  <c r="P18" i="9"/>
  <c r="P18" i="16"/>
  <c r="Q18" i="8"/>
  <c r="Q18" i="9"/>
  <c r="Q18" i="16"/>
  <c r="R18" i="8"/>
  <c r="R18" i="9"/>
  <c r="R18" i="16"/>
  <c r="S18" i="8"/>
  <c r="S18" i="9"/>
  <c r="S18" i="16"/>
  <c r="T18" i="8"/>
  <c r="T18" i="9"/>
  <c r="T18" i="16"/>
  <c r="U18" i="8"/>
  <c r="U18" i="9"/>
  <c r="U18" i="16"/>
  <c r="V18" i="8"/>
  <c r="V18" i="9"/>
  <c r="V18" i="16"/>
  <c r="W18" i="8"/>
  <c r="W18" i="9"/>
  <c r="W18" i="16"/>
  <c r="X18" i="8"/>
  <c r="X18" i="9"/>
  <c r="X18" i="16"/>
  <c r="Y18" i="8"/>
  <c r="Y18" i="9"/>
  <c r="Y18" i="16"/>
  <c r="Z18" i="8"/>
  <c r="Z18" i="9"/>
  <c r="Z18" i="16"/>
  <c r="AA18" i="8"/>
  <c r="AA18" i="9"/>
  <c r="AA18" i="16"/>
  <c r="AB18" i="8"/>
  <c r="AB18" i="9"/>
  <c r="AB18" i="16"/>
  <c r="AC18" i="8"/>
  <c r="AC18" i="9"/>
  <c r="AC18" i="16"/>
  <c r="AD18" i="8"/>
  <c r="AD18" i="9"/>
  <c r="AD18" i="16"/>
  <c r="AE18" i="8"/>
  <c r="AE18" i="9"/>
  <c r="AE18" i="16"/>
  <c r="AF18" i="8"/>
  <c r="AF18" i="9"/>
  <c r="AF18" i="16"/>
  <c r="AG18" i="8"/>
  <c r="AG18" i="9"/>
  <c r="AG18" i="16"/>
  <c r="AH18" i="8"/>
  <c r="AH18" i="9"/>
  <c r="AH18" i="16"/>
  <c r="AI18" i="8"/>
  <c r="AI18" i="9"/>
  <c r="AI18" i="16"/>
  <c r="AJ18" i="8"/>
  <c r="AJ18" i="9"/>
  <c r="AJ18" i="16"/>
  <c r="AK18" i="8"/>
  <c r="AK18" i="9"/>
  <c r="AK18" i="16"/>
  <c r="AL18" i="8"/>
  <c r="AL18" i="9"/>
  <c r="AL18" i="16"/>
  <c r="AM18" i="8"/>
  <c r="AM18" i="9"/>
  <c r="AM18" i="16"/>
  <c r="AN18" i="8"/>
  <c r="AN18" i="9"/>
  <c r="AN18" i="16"/>
  <c r="AO18" i="8"/>
  <c r="AO18" i="9"/>
  <c r="AO18" i="16"/>
  <c r="AP18" i="8"/>
  <c r="AP18" i="9"/>
  <c r="AP18" i="16"/>
  <c r="AQ18" i="8"/>
  <c r="AQ18" i="9"/>
  <c r="AQ18" i="16"/>
  <c r="AR18" i="8"/>
  <c r="AR18" i="9"/>
  <c r="AR18" i="16"/>
  <c r="AS18" i="8"/>
  <c r="AS18" i="9"/>
  <c r="AS18" i="16"/>
  <c r="AT18" i="8"/>
  <c r="AT18" i="9"/>
  <c r="AT18" i="16"/>
  <c r="C19" i="8"/>
  <c r="C19" i="9"/>
  <c r="C19" i="16"/>
  <c r="D19" i="8"/>
  <c r="D19" i="9"/>
  <c r="D19" i="16"/>
  <c r="E19" i="8"/>
  <c r="E19" i="9"/>
  <c r="E19" i="16"/>
  <c r="F19" i="8"/>
  <c r="F19" i="9"/>
  <c r="F19" i="16"/>
  <c r="G19" i="8"/>
  <c r="G19" i="9"/>
  <c r="G19" i="16"/>
  <c r="H19" i="8"/>
  <c r="H19" i="9"/>
  <c r="H19" i="16"/>
  <c r="I19" i="8"/>
  <c r="I19" i="9"/>
  <c r="I19" i="16"/>
  <c r="J19" i="8"/>
  <c r="J19" i="9"/>
  <c r="J19" i="16"/>
  <c r="K19" i="8"/>
  <c r="K19" i="9"/>
  <c r="K19" i="16"/>
  <c r="L19" i="8"/>
  <c r="L19" i="9"/>
  <c r="L19" i="16"/>
  <c r="M19" i="8"/>
  <c r="M19" i="9"/>
  <c r="M19" i="16"/>
  <c r="N19" i="8"/>
  <c r="N19" i="9"/>
  <c r="N19" i="16"/>
  <c r="O19" i="8"/>
  <c r="O19" i="9"/>
  <c r="O19" i="16"/>
  <c r="P19" i="8"/>
  <c r="P19" i="9"/>
  <c r="P19" i="16"/>
  <c r="Q19" i="8"/>
  <c r="Q19" i="9"/>
  <c r="Q19" i="16"/>
  <c r="R19" i="8"/>
  <c r="R19" i="9"/>
  <c r="R19" i="16"/>
  <c r="S19" i="8"/>
  <c r="S19" i="9"/>
  <c r="S19" i="16"/>
  <c r="T19" i="8"/>
  <c r="T19" i="9"/>
  <c r="T19" i="16"/>
  <c r="U19" i="8"/>
  <c r="U19" i="9"/>
  <c r="U19" i="16"/>
  <c r="V19" i="8"/>
  <c r="V19" i="9"/>
  <c r="V19" i="16"/>
  <c r="W19" i="8"/>
  <c r="W19" i="9"/>
  <c r="W19" i="16"/>
  <c r="X19" i="8"/>
  <c r="X19" i="9"/>
  <c r="X19" i="16"/>
  <c r="Y19" i="8"/>
  <c r="Y19" i="9"/>
  <c r="Y19" i="16"/>
  <c r="Z19" i="8"/>
  <c r="Z19" i="9"/>
  <c r="Z19" i="16"/>
  <c r="AA19" i="8"/>
  <c r="AA19" i="9"/>
  <c r="AA19" i="16"/>
  <c r="AB19" i="8"/>
  <c r="AB19" i="9"/>
  <c r="AB19" i="16"/>
  <c r="AC19" i="8"/>
  <c r="AC19" i="9"/>
  <c r="AC19" i="16"/>
  <c r="AD19" i="8"/>
  <c r="AD19" i="9"/>
  <c r="AD19" i="16"/>
  <c r="AE19" i="8"/>
  <c r="AE19" i="9"/>
  <c r="AE19" i="16"/>
  <c r="AF19" i="8"/>
  <c r="AF19" i="9"/>
  <c r="AF19" i="16"/>
  <c r="AG19" i="8"/>
  <c r="AG19" i="9"/>
  <c r="AG19" i="16"/>
  <c r="AH19" i="8"/>
  <c r="AH19" i="9"/>
  <c r="AH19" i="16"/>
  <c r="AI19" i="8"/>
  <c r="AI19" i="9"/>
  <c r="AI19" i="16"/>
  <c r="AJ19" i="8"/>
  <c r="AJ19" i="9"/>
  <c r="AJ19" i="16"/>
  <c r="AK19" i="8"/>
  <c r="AK19" i="9"/>
  <c r="AK19" i="16"/>
  <c r="AL19" i="8"/>
  <c r="AL19" i="16"/>
  <c r="AM19" i="8"/>
  <c r="AM19" i="9"/>
  <c r="AM19" i="16"/>
  <c r="AN19" i="8"/>
  <c r="AN19" i="9"/>
  <c r="AN19" i="16"/>
  <c r="AO19" i="8"/>
  <c r="AO19" i="9"/>
  <c r="AO19" i="16"/>
  <c r="AP19" i="8"/>
  <c r="AP19" i="9"/>
  <c r="AP19" i="16"/>
  <c r="AQ19" i="8"/>
  <c r="AQ19" i="16"/>
  <c r="AR19" i="8"/>
  <c r="AR19" i="9"/>
  <c r="AR19" i="16"/>
  <c r="AS19" i="8"/>
  <c r="AS19" i="9"/>
  <c r="AS19" i="16"/>
  <c r="AT19" i="8"/>
  <c r="AT19" i="9"/>
  <c r="AT19" i="16"/>
  <c r="C20" i="8"/>
  <c r="C20" i="9"/>
  <c r="C20" i="16"/>
  <c r="D20" i="8"/>
  <c r="D20" i="9"/>
  <c r="D20" i="16"/>
  <c r="E20" i="8"/>
  <c r="E20" i="9"/>
  <c r="E20" i="16"/>
  <c r="F20" i="8"/>
  <c r="F20" i="9"/>
  <c r="F20" i="16"/>
  <c r="G20" i="8"/>
  <c r="G20" i="9"/>
  <c r="G20" i="16"/>
  <c r="H20" i="8"/>
  <c r="H20" i="9"/>
  <c r="H20" i="16"/>
  <c r="I20" i="8"/>
  <c r="I20" i="9"/>
  <c r="I20" i="16"/>
  <c r="J20" i="8"/>
  <c r="J20" i="9"/>
  <c r="J20" i="16"/>
  <c r="K20" i="8"/>
  <c r="K20" i="9"/>
  <c r="K20" i="16"/>
  <c r="L20" i="8"/>
  <c r="L20" i="9"/>
  <c r="L20" i="16"/>
  <c r="M20" i="8"/>
  <c r="M20" i="9"/>
  <c r="M20" i="16"/>
  <c r="N20" i="8"/>
  <c r="N20" i="9"/>
  <c r="N20" i="16"/>
  <c r="O20" i="8"/>
  <c r="O20" i="9"/>
  <c r="O20" i="16"/>
  <c r="P20" i="8"/>
  <c r="P20" i="9"/>
  <c r="P20" i="16"/>
  <c r="Q20" i="8"/>
  <c r="Q20" i="9"/>
  <c r="Q20" i="16"/>
  <c r="R20" i="8"/>
  <c r="R20" i="9"/>
  <c r="R20" i="16"/>
  <c r="S20" i="8"/>
  <c r="S20" i="9"/>
  <c r="S20" i="16"/>
  <c r="T20" i="8"/>
  <c r="T20" i="9"/>
  <c r="T20" i="16"/>
  <c r="U20" i="8"/>
  <c r="U20" i="9"/>
  <c r="U20" i="16"/>
  <c r="V20" i="8"/>
  <c r="V20" i="9"/>
  <c r="V20" i="16"/>
  <c r="W20" i="8"/>
  <c r="W20" i="9"/>
  <c r="W20" i="16"/>
  <c r="X20" i="8"/>
  <c r="X20" i="9"/>
  <c r="X20" i="16"/>
  <c r="Y20" i="8"/>
  <c r="Y20" i="9"/>
  <c r="Y20" i="16"/>
  <c r="Z20" i="8"/>
  <c r="Z20" i="9"/>
  <c r="Z20" i="16"/>
  <c r="AA20" i="8"/>
  <c r="AA20" i="9"/>
  <c r="AA20" i="16"/>
  <c r="AB20" i="8"/>
  <c r="AB20" i="9"/>
  <c r="AB20" i="16"/>
  <c r="AC20" i="8"/>
  <c r="AC20" i="9"/>
  <c r="AC20" i="16"/>
  <c r="AD20" i="8"/>
  <c r="AD20" i="9"/>
  <c r="AD20" i="16"/>
  <c r="AE20" i="8"/>
  <c r="AE20" i="9"/>
  <c r="AE20" i="16"/>
  <c r="AF20" i="8"/>
  <c r="AF20" i="9"/>
  <c r="AF20" i="16"/>
  <c r="AG20" i="8"/>
  <c r="AG20" i="9"/>
  <c r="AG20" i="16"/>
  <c r="AH20" i="8"/>
  <c r="AH20" i="9"/>
  <c r="AH20" i="16"/>
  <c r="AI20" i="8"/>
  <c r="AI20" i="9"/>
  <c r="AI20" i="16"/>
  <c r="AJ20" i="8"/>
  <c r="AJ20" i="9"/>
  <c r="AJ20" i="16"/>
  <c r="AK20" i="8"/>
  <c r="AK20" i="9"/>
  <c r="AK20" i="16"/>
  <c r="AL20" i="8"/>
  <c r="AL20" i="9"/>
  <c r="AL20" i="16"/>
  <c r="AM20" i="8"/>
  <c r="AM20" i="9"/>
  <c r="AM20" i="16"/>
  <c r="AN20" i="8"/>
  <c r="AN20" i="9"/>
  <c r="AN20" i="16"/>
  <c r="AO20" i="8"/>
  <c r="AO20" i="9"/>
  <c r="AO20" i="16"/>
  <c r="AP20" i="8"/>
  <c r="AP20" i="9"/>
  <c r="AP20" i="16"/>
  <c r="AQ20" i="8"/>
  <c r="AQ20" i="9"/>
  <c r="AQ20" i="16"/>
  <c r="AR20" i="8"/>
  <c r="AR20" i="9"/>
  <c r="AR20" i="16"/>
  <c r="AS20" i="8"/>
  <c r="AS20" i="9"/>
  <c r="AS20" i="16"/>
  <c r="AT20" i="8"/>
  <c r="AT20" i="9"/>
  <c r="AT20" i="16"/>
  <c r="C21" i="8"/>
  <c r="C21" i="9"/>
  <c r="C21" i="16"/>
  <c r="D21" i="8"/>
  <c r="D21" i="9"/>
  <c r="D21" i="16"/>
  <c r="E21" i="8"/>
  <c r="E21" i="9"/>
  <c r="E21" i="16"/>
  <c r="F21" i="8"/>
  <c r="F21" i="9"/>
  <c r="F21" i="16"/>
  <c r="G21" i="8"/>
  <c r="G21" i="9"/>
  <c r="G21" i="16"/>
  <c r="H21" i="8"/>
  <c r="H21" i="9"/>
  <c r="H21" i="16"/>
  <c r="I21" i="8"/>
  <c r="I21" i="9"/>
  <c r="I21" i="16"/>
  <c r="J21" i="8"/>
  <c r="J21" i="9"/>
  <c r="J21" i="16"/>
  <c r="K21" i="8"/>
  <c r="K21" i="9"/>
  <c r="K21" i="16"/>
  <c r="L21" i="8"/>
  <c r="L21" i="9"/>
  <c r="L21" i="16"/>
  <c r="M21" i="8"/>
  <c r="M21" i="9"/>
  <c r="M21" i="16"/>
  <c r="N21" i="8"/>
  <c r="N21" i="9"/>
  <c r="N21" i="16"/>
  <c r="O21" i="8"/>
  <c r="O21" i="9"/>
  <c r="O21" i="16"/>
  <c r="P21" i="8"/>
  <c r="P21" i="9"/>
  <c r="P21" i="16"/>
  <c r="Q21" i="8"/>
  <c r="Q21" i="9"/>
  <c r="Q21" i="16"/>
  <c r="R21" i="8"/>
  <c r="R21" i="9"/>
  <c r="R21" i="16"/>
  <c r="S21" i="8"/>
  <c r="S21" i="9"/>
  <c r="S21" i="16"/>
  <c r="T21" i="8"/>
  <c r="T21" i="9"/>
  <c r="T21" i="16"/>
  <c r="U21" i="8"/>
  <c r="U21" i="9"/>
  <c r="U21" i="16"/>
  <c r="V21" i="8"/>
  <c r="V21" i="9"/>
  <c r="V21" i="16"/>
  <c r="W21" i="8"/>
  <c r="W21" i="9"/>
  <c r="W21" i="16"/>
  <c r="X21" i="8"/>
  <c r="X21" i="9"/>
  <c r="X21" i="16"/>
  <c r="Y21" i="8"/>
  <c r="Y21" i="9"/>
  <c r="Y21" i="16"/>
  <c r="Z21" i="8"/>
  <c r="Z21" i="9"/>
  <c r="Z21" i="16"/>
  <c r="AA21" i="8"/>
  <c r="AA21" i="9"/>
  <c r="AA21" i="16"/>
  <c r="AB21" i="8"/>
  <c r="AB21" i="9"/>
  <c r="AB21" i="16"/>
  <c r="AC21" i="8"/>
  <c r="AC21" i="9"/>
  <c r="AC21" i="16"/>
  <c r="AD21" i="8"/>
  <c r="AD21" i="9"/>
  <c r="AD21" i="16"/>
  <c r="AE21" i="8"/>
  <c r="AE21" i="9"/>
  <c r="AE21" i="16"/>
  <c r="AF21" i="8"/>
  <c r="AF21" i="9"/>
  <c r="AF21" i="16"/>
  <c r="AG21" i="8"/>
  <c r="AG21" i="9"/>
  <c r="AG21" i="16"/>
  <c r="AH21" i="8"/>
  <c r="AH21" i="16"/>
  <c r="AI21" i="8"/>
  <c r="AI21" i="9"/>
  <c r="AI21" i="16"/>
  <c r="AJ21" i="8"/>
  <c r="AJ21" i="9"/>
  <c r="AJ21" i="16"/>
  <c r="AK21" i="8"/>
  <c r="AK21" i="9"/>
  <c r="AK21" i="16"/>
  <c r="AL21" i="8"/>
  <c r="AL21" i="9"/>
  <c r="AL21" i="16"/>
  <c r="AM21" i="8"/>
  <c r="AM21" i="9"/>
  <c r="AM21" i="16"/>
  <c r="AN21" i="8"/>
  <c r="AN21" i="9"/>
  <c r="AN21" i="16"/>
  <c r="AO21" i="8"/>
  <c r="AO21" i="9"/>
  <c r="AO21" i="16"/>
  <c r="AP21" i="8"/>
  <c r="AP21" i="9"/>
  <c r="AP21" i="16"/>
  <c r="AQ21" i="8"/>
  <c r="AQ21" i="9"/>
  <c r="AQ21" i="16"/>
  <c r="AR21" i="8"/>
  <c r="AR21" i="9"/>
  <c r="AR21" i="16"/>
  <c r="AS21" i="8"/>
  <c r="AS21" i="9"/>
  <c r="AS21" i="16"/>
  <c r="AT21" i="8"/>
  <c r="AT21" i="9"/>
  <c r="AT21" i="16"/>
  <c r="C22" i="8"/>
  <c r="C22" i="9"/>
  <c r="C22" i="16"/>
  <c r="D22" i="8"/>
  <c r="D22" i="9"/>
  <c r="D22" i="16"/>
  <c r="E22" i="8"/>
  <c r="E22" i="9"/>
  <c r="E22" i="16"/>
  <c r="F22" i="8"/>
  <c r="F22" i="9"/>
  <c r="F22" i="16"/>
  <c r="G22" i="8"/>
  <c r="G22" i="9"/>
  <c r="G22" i="16"/>
  <c r="H22" i="8"/>
  <c r="H22" i="9"/>
  <c r="H22" i="16"/>
  <c r="I22" i="8"/>
  <c r="I22" i="9"/>
  <c r="I22" i="16"/>
  <c r="J22" i="8"/>
  <c r="J22" i="9"/>
  <c r="J22" i="16"/>
  <c r="K22" i="8"/>
  <c r="K22" i="9"/>
  <c r="K22" i="16"/>
  <c r="L22" i="8"/>
  <c r="L22" i="9"/>
  <c r="L22" i="16"/>
  <c r="M22" i="8"/>
  <c r="M22" i="9"/>
  <c r="M22" i="16"/>
  <c r="N22" i="8"/>
  <c r="N22" i="9"/>
  <c r="N22" i="16"/>
  <c r="O22" i="8"/>
  <c r="O22" i="9"/>
  <c r="O22" i="16"/>
  <c r="P22" i="8"/>
  <c r="P22" i="9"/>
  <c r="P22" i="16"/>
  <c r="Q22" i="8"/>
  <c r="Q22" i="9"/>
  <c r="Q22" i="16"/>
  <c r="R22" i="8"/>
  <c r="R22" i="9"/>
  <c r="R22" i="16"/>
  <c r="S22" i="8"/>
  <c r="S22" i="9"/>
  <c r="S22" i="16"/>
  <c r="T22" i="8"/>
  <c r="T22" i="9"/>
  <c r="T22" i="16"/>
  <c r="U22" i="8"/>
  <c r="U22" i="9"/>
  <c r="U22" i="16"/>
  <c r="V22" i="8"/>
  <c r="V22" i="9"/>
  <c r="V22" i="16"/>
  <c r="W22" i="8"/>
  <c r="W22" i="9"/>
  <c r="W22" i="16"/>
  <c r="X22" i="8"/>
  <c r="X22" i="9"/>
  <c r="X22" i="16"/>
  <c r="Y22" i="8"/>
  <c r="Y22" i="9"/>
  <c r="Y22" i="16"/>
  <c r="Z22" i="8"/>
  <c r="Z22" i="9"/>
  <c r="Z22" i="16"/>
  <c r="AA22" i="8"/>
  <c r="AA22" i="9"/>
  <c r="AA22" i="16"/>
  <c r="AB22" i="8"/>
  <c r="AB22" i="9"/>
  <c r="AB22" i="16"/>
  <c r="AC22" i="16"/>
  <c r="AD22" i="8"/>
  <c r="AD22" i="9"/>
  <c r="AD22" i="16"/>
  <c r="AE22" i="8"/>
  <c r="AE22" i="9"/>
  <c r="AE22" i="16"/>
  <c r="AF22" i="8"/>
  <c r="AF22" i="9"/>
  <c r="AF22" i="16"/>
  <c r="AG22" i="8"/>
  <c r="AG22" i="9"/>
  <c r="AG22" i="16"/>
  <c r="AH22" i="8"/>
  <c r="AH22" i="9"/>
  <c r="AH22" i="16"/>
  <c r="AI22" i="8"/>
  <c r="AI22" i="9"/>
  <c r="AI22" i="16"/>
  <c r="AJ22" i="8"/>
  <c r="AJ22" i="9"/>
  <c r="AJ22" i="16"/>
  <c r="AK22" i="8"/>
  <c r="AK22" i="9"/>
  <c r="AK22" i="16"/>
  <c r="AL22" i="8"/>
  <c r="AL22" i="9"/>
  <c r="AL22" i="16"/>
  <c r="AM22" i="8"/>
  <c r="AM22" i="9"/>
  <c r="AM22" i="16"/>
  <c r="AN22" i="8"/>
  <c r="AN22" i="9"/>
  <c r="AN22" i="16"/>
  <c r="AO22" i="8"/>
  <c r="AO22" i="9"/>
  <c r="AO22" i="16"/>
  <c r="AP22" i="8"/>
  <c r="AP22" i="9"/>
  <c r="AP22" i="16"/>
  <c r="AQ22" i="8"/>
  <c r="AQ22" i="9"/>
  <c r="AQ22" i="16"/>
  <c r="AR22" i="8"/>
  <c r="AR22" i="9"/>
  <c r="AR22" i="16"/>
  <c r="AS22" i="8"/>
  <c r="AS22" i="9"/>
  <c r="AS22" i="16"/>
  <c r="AT22" i="8"/>
  <c r="AT22" i="16"/>
  <c r="C23" i="8"/>
  <c r="C23" i="9"/>
  <c r="C23" i="16"/>
  <c r="D23" i="8"/>
  <c r="D23" i="9"/>
  <c r="D23" i="16"/>
  <c r="E23" i="8"/>
  <c r="E23" i="9"/>
  <c r="E23" i="16"/>
  <c r="F23" i="8"/>
  <c r="F23" i="9"/>
  <c r="F23" i="16"/>
  <c r="G23" i="8"/>
  <c r="G23" i="9"/>
  <c r="G23" i="16"/>
  <c r="H23" i="8"/>
  <c r="H23" i="9"/>
  <c r="H23" i="16"/>
  <c r="I23" i="8"/>
  <c r="I23" i="9"/>
  <c r="I23" i="16"/>
  <c r="J23" i="8"/>
  <c r="J23" i="9"/>
  <c r="J23" i="16"/>
  <c r="K23" i="8"/>
  <c r="K23" i="9"/>
  <c r="K23" i="16"/>
  <c r="L23" i="8"/>
  <c r="L23" i="9"/>
  <c r="L23" i="16"/>
  <c r="M23" i="8"/>
  <c r="M23" i="9"/>
  <c r="M23" i="16"/>
  <c r="N23" i="8"/>
  <c r="N23" i="9"/>
  <c r="N23" i="16"/>
  <c r="O23" i="8"/>
  <c r="O23" i="9"/>
  <c r="O23" i="16"/>
  <c r="P23" i="8"/>
  <c r="P23" i="9"/>
  <c r="P23" i="16"/>
  <c r="Q23" i="8"/>
  <c r="Q23" i="9"/>
  <c r="Q23" i="16"/>
  <c r="R23" i="8"/>
  <c r="R23" i="9"/>
  <c r="R23" i="16"/>
  <c r="S23" i="8"/>
  <c r="S23" i="9"/>
  <c r="S23" i="16"/>
  <c r="T23" i="8"/>
  <c r="T23" i="9"/>
  <c r="T23" i="16"/>
  <c r="U23" i="8"/>
  <c r="U23" i="9"/>
  <c r="U23" i="16"/>
  <c r="V23" i="8"/>
  <c r="V23" i="9"/>
  <c r="V23" i="16"/>
  <c r="W23" i="8"/>
  <c r="W23" i="9"/>
  <c r="W23" i="16"/>
  <c r="X23" i="8"/>
  <c r="X23" i="9"/>
  <c r="X23" i="16"/>
  <c r="Y23" i="8"/>
  <c r="Y23" i="9"/>
  <c r="Y23" i="16"/>
  <c r="Z23" i="8"/>
  <c r="Z23" i="9"/>
  <c r="Z23" i="16"/>
  <c r="AA23" i="8"/>
  <c r="AA23" i="9"/>
  <c r="AA23" i="16"/>
  <c r="AB23" i="8"/>
  <c r="AB23" i="9"/>
  <c r="AB23" i="16"/>
  <c r="AC23" i="8"/>
  <c r="AC23" i="9"/>
  <c r="AC23" i="16"/>
  <c r="AD23" i="8"/>
  <c r="AD23" i="9"/>
  <c r="AD23" i="16"/>
  <c r="AE23" i="8"/>
  <c r="AE23" i="9"/>
  <c r="AE23" i="16"/>
  <c r="AF23" i="8"/>
  <c r="AF23" i="9"/>
  <c r="AF23" i="16"/>
  <c r="AG23" i="8"/>
  <c r="AG23" i="9"/>
  <c r="AG23" i="16"/>
  <c r="AH23" i="8"/>
  <c r="AH23" i="16"/>
  <c r="AI23" i="8"/>
  <c r="AI23" i="9"/>
  <c r="AI23" i="16"/>
  <c r="AJ23" i="8"/>
  <c r="AJ23" i="9"/>
  <c r="AJ23" i="16"/>
  <c r="AK23" i="8"/>
  <c r="AK23" i="9"/>
  <c r="AK23" i="16"/>
  <c r="AL23" i="8"/>
  <c r="AL23" i="9"/>
  <c r="AL23" i="16"/>
  <c r="AM23" i="8"/>
  <c r="AM23" i="9"/>
  <c r="AM23" i="16"/>
  <c r="AN23" i="8"/>
  <c r="AN23" i="9"/>
  <c r="AN23" i="16"/>
  <c r="AO23" i="8"/>
  <c r="AO23" i="9"/>
  <c r="AO23" i="16"/>
  <c r="AP23" i="8"/>
  <c r="AP23" i="9"/>
  <c r="AP23" i="16"/>
  <c r="AQ23" i="8"/>
  <c r="AQ23" i="9"/>
  <c r="AQ23" i="16"/>
  <c r="AR23" i="8"/>
  <c r="AR23" i="9"/>
  <c r="AR23" i="16"/>
  <c r="AS23" i="8"/>
  <c r="AS23" i="9"/>
  <c r="AS23" i="16"/>
  <c r="AT23" i="8"/>
  <c r="AT23" i="9"/>
  <c r="AT23" i="16"/>
  <c r="C24" i="8"/>
  <c r="C24" i="9"/>
  <c r="C24" i="16"/>
  <c r="D24" i="8"/>
  <c r="D24" i="9"/>
  <c r="D24" i="16"/>
  <c r="E24" i="8"/>
  <c r="E24" i="9"/>
  <c r="E24" i="16"/>
  <c r="F24" i="8"/>
  <c r="F24" i="9"/>
  <c r="F24" i="16"/>
  <c r="G24" i="8"/>
  <c r="G24" i="9"/>
  <c r="G24" i="16"/>
  <c r="H24" i="8"/>
  <c r="H24" i="9"/>
  <c r="H24" i="16"/>
  <c r="I24" i="8"/>
  <c r="I24" i="9"/>
  <c r="I24" i="16"/>
  <c r="J24" i="8"/>
  <c r="J24" i="9"/>
  <c r="J24" i="16"/>
  <c r="K24" i="8"/>
  <c r="K24" i="9"/>
  <c r="K24" i="16"/>
  <c r="L24" i="8"/>
  <c r="L24" i="9"/>
  <c r="L24" i="16"/>
  <c r="M24" i="8"/>
  <c r="M24" i="9"/>
  <c r="M24" i="16"/>
  <c r="N24" i="8"/>
  <c r="N24" i="9"/>
  <c r="N24" i="16"/>
  <c r="O24" i="8"/>
  <c r="O24" i="9"/>
  <c r="O24" i="16"/>
  <c r="P24" i="8"/>
  <c r="P24" i="9"/>
  <c r="P24" i="16"/>
  <c r="Q24" i="8"/>
  <c r="Q24" i="9"/>
  <c r="Q24" i="16"/>
  <c r="R24" i="8"/>
  <c r="R24" i="9"/>
  <c r="R24" i="16"/>
  <c r="S24" i="8"/>
  <c r="S24" i="9"/>
  <c r="S24" i="16"/>
  <c r="T24" i="8"/>
  <c r="T24" i="9"/>
  <c r="T24" i="16"/>
  <c r="U24" i="8"/>
  <c r="U24" i="9"/>
  <c r="U24" i="16"/>
  <c r="V24" i="8"/>
  <c r="V24" i="9"/>
  <c r="V24" i="16"/>
  <c r="W24" i="8"/>
  <c r="W24" i="9"/>
  <c r="W24" i="16"/>
  <c r="X24" i="8"/>
  <c r="X24" i="9"/>
  <c r="X24" i="16"/>
  <c r="Y24" i="8"/>
  <c r="Y24" i="9"/>
  <c r="Y24" i="16"/>
  <c r="Z24" i="8"/>
  <c r="Z24" i="9"/>
  <c r="Z24" i="16"/>
  <c r="AA24" i="8"/>
  <c r="AA24" i="9"/>
  <c r="AA24" i="16"/>
  <c r="AB24" i="8"/>
  <c r="AB24" i="9"/>
  <c r="AB24" i="16"/>
  <c r="AC24" i="8"/>
  <c r="AC24" i="9"/>
  <c r="AC24" i="16"/>
  <c r="AD24" i="8"/>
  <c r="AD24" i="9"/>
  <c r="AD24" i="16"/>
  <c r="AE24" i="8"/>
  <c r="AE24" i="9"/>
  <c r="AE24" i="16"/>
  <c r="AF24" i="8"/>
  <c r="AF24" i="9"/>
  <c r="AF24" i="16"/>
  <c r="AG24" i="8"/>
  <c r="AG24" i="9"/>
  <c r="AG24" i="16"/>
  <c r="AH24" i="8"/>
  <c r="AH24" i="9"/>
  <c r="AH24" i="16"/>
  <c r="AI24" i="8"/>
  <c r="AI24" i="9"/>
  <c r="AI24" i="16"/>
  <c r="AJ24" i="8"/>
  <c r="AJ24" i="9"/>
  <c r="AJ24" i="16"/>
  <c r="AK24" i="8"/>
  <c r="AK24" i="9"/>
  <c r="AK24" i="16"/>
  <c r="AL24" i="8"/>
  <c r="AL24" i="9"/>
  <c r="AL24" i="16"/>
  <c r="AM24" i="8"/>
  <c r="AM24" i="9"/>
  <c r="AM24" i="16"/>
  <c r="AN24" i="8"/>
  <c r="AN24" i="9"/>
  <c r="AN24" i="16"/>
  <c r="AO24" i="8"/>
  <c r="AO24" i="9"/>
  <c r="AO24" i="16"/>
  <c r="AP24" i="8"/>
  <c r="AP24" i="9"/>
  <c r="AP24" i="16"/>
  <c r="AQ24" i="8"/>
  <c r="AQ24" i="9"/>
  <c r="AQ24" i="16"/>
  <c r="AR24" i="8"/>
  <c r="AR24" i="9"/>
  <c r="AR24" i="16"/>
  <c r="AS24" i="8"/>
  <c r="AS24" i="9"/>
  <c r="AS24" i="16"/>
  <c r="AT24" i="8"/>
  <c r="AT24" i="9"/>
  <c r="AT24" i="16"/>
  <c r="C25" i="8"/>
  <c r="C25" i="9"/>
  <c r="C25" i="16"/>
  <c r="D25" i="8"/>
  <c r="D25" i="9"/>
  <c r="D25" i="16"/>
  <c r="E25" i="8"/>
  <c r="E25" i="9"/>
  <c r="E25" i="16"/>
  <c r="F25" i="8"/>
  <c r="F25" i="9"/>
  <c r="F25" i="16"/>
  <c r="G25" i="8"/>
  <c r="G25" i="9"/>
  <c r="G25" i="16"/>
  <c r="H25" i="8"/>
  <c r="H25" i="9"/>
  <c r="H25" i="16"/>
  <c r="I25" i="8"/>
  <c r="I25" i="9"/>
  <c r="I25" i="16"/>
  <c r="J25" i="8"/>
  <c r="J25" i="9"/>
  <c r="J25" i="16"/>
  <c r="K25" i="8"/>
  <c r="K25" i="9"/>
  <c r="K25" i="16"/>
  <c r="L25" i="8"/>
  <c r="L25" i="9"/>
  <c r="L25" i="16"/>
  <c r="M25" i="8"/>
  <c r="M25" i="9"/>
  <c r="M25" i="16"/>
  <c r="N25" i="8"/>
  <c r="N25" i="9"/>
  <c r="N25" i="16"/>
  <c r="O25" i="8"/>
  <c r="O25" i="9"/>
  <c r="O25" i="16"/>
  <c r="P25" i="8"/>
  <c r="P25" i="9"/>
  <c r="P25" i="16"/>
  <c r="Q25" i="8"/>
  <c r="Q25" i="9"/>
  <c r="Q25" i="16"/>
  <c r="R25" i="8"/>
  <c r="R25" i="9"/>
  <c r="R25" i="16"/>
  <c r="S25" i="8"/>
  <c r="S25" i="9"/>
  <c r="S25" i="16"/>
  <c r="T25" i="8"/>
  <c r="T25" i="9"/>
  <c r="T25" i="16"/>
  <c r="U25" i="8"/>
  <c r="U25" i="9"/>
  <c r="U25" i="16"/>
  <c r="V25" i="8"/>
  <c r="V25" i="9"/>
  <c r="V25" i="16"/>
  <c r="W25" i="8"/>
  <c r="W25" i="9"/>
  <c r="W25" i="16"/>
  <c r="X25" i="8"/>
  <c r="X25" i="9"/>
  <c r="X25" i="16"/>
  <c r="Y25" i="8"/>
  <c r="Y25" i="9"/>
  <c r="Y25" i="16"/>
  <c r="Z25" i="8"/>
  <c r="Z25" i="9"/>
  <c r="Z25" i="16"/>
  <c r="AA25" i="8"/>
  <c r="AA25" i="9"/>
  <c r="AA25" i="16"/>
  <c r="AB25" i="8"/>
  <c r="AB25" i="9"/>
  <c r="AB25" i="16"/>
  <c r="AC25" i="8"/>
  <c r="AC25" i="9"/>
  <c r="AC25" i="16"/>
  <c r="AD25" i="8"/>
  <c r="AD25" i="9"/>
  <c r="AD25" i="16"/>
  <c r="AE25" i="8"/>
  <c r="AE25" i="9"/>
  <c r="AE25" i="16"/>
  <c r="AF25" i="8"/>
  <c r="AF25" i="9"/>
  <c r="AF25" i="16"/>
  <c r="AG25" i="8"/>
  <c r="AG25" i="9"/>
  <c r="AG25" i="16"/>
  <c r="AH25" i="8"/>
  <c r="AH25" i="9"/>
  <c r="AH25" i="16"/>
  <c r="AI25" i="8"/>
  <c r="AI25" i="9"/>
  <c r="AI25" i="16"/>
  <c r="AJ25" i="8"/>
  <c r="AJ25" i="9"/>
  <c r="AJ25" i="16"/>
  <c r="AK25" i="8"/>
  <c r="AK25" i="9"/>
  <c r="AK25" i="16"/>
  <c r="AL25" i="8"/>
  <c r="AL25" i="9"/>
  <c r="AL25" i="16"/>
  <c r="AM25" i="8"/>
  <c r="AM25" i="9"/>
  <c r="AM25" i="16"/>
  <c r="AN25" i="8"/>
  <c r="AN25" i="9"/>
  <c r="AN25" i="16"/>
  <c r="AO25" i="8"/>
  <c r="AO25" i="9"/>
  <c r="AO25" i="16"/>
  <c r="AP25" i="8"/>
  <c r="AP25" i="9"/>
  <c r="AP25" i="16"/>
  <c r="AQ25" i="8"/>
  <c r="AQ25" i="9"/>
  <c r="AQ25" i="16"/>
  <c r="AR25" i="8"/>
  <c r="AR25" i="9"/>
  <c r="AR25" i="16"/>
  <c r="AS25" i="8"/>
  <c r="AS25" i="9"/>
  <c r="AS25" i="16"/>
  <c r="AT25" i="8"/>
  <c r="AT25" i="9"/>
  <c r="AT25" i="16"/>
  <c r="C26" i="8"/>
  <c r="C26" i="9"/>
  <c r="C26" i="16"/>
  <c r="D26" i="8"/>
  <c r="D26" i="9"/>
  <c r="D26" i="16"/>
  <c r="E26" i="8"/>
  <c r="E26" i="9"/>
  <c r="E26" i="16"/>
  <c r="F26" i="8"/>
  <c r="F26" i="9"/>
  <c r="F26" i="16"/>
  <c r="G26" i="8"/>
  <c r="G26" i="9"/>
  <c r="G26" i="16"/>
  <c r="H26" i="8"/>
  <c r="H26" i="9"/>
  <c r="H26" i="16"/>
  <c r="I26" i="8"/>
  <c r="I26" i="9"/>
  <c r="I26" i="16"/>
  <c r="J26" i="16"/>
  <c r="K26" i="8"/>
  <c r="K26" i="9"/>
  <c r="K26" i="16"/>
  <c r="L26" i="8"/>
  <c r="L26" i="9"/>
  <c r="L26" i="16"/>
  <c r="M26" i="8"/>
  <c r="M26" i="9"/>
  <c r="M26" i="16"/>
  <c r="N26" i="8"/>
  <c r="N26" i="9"/>
  <c r="N26" i="16"/>
  <c r="O26" i="8"/>
  <c r="O26" i="9"/>
  <c r="O26" i="16"/>
  <c r="P26" i="8"/>
  <c r="P26" i="9"/>
  <c r="P26" i="16"/>
  <c r="Q26" i="8"/>
  <c r="Q26" i="9"/>
  <c r="Q26" i="16"/>
  <c r="R26" i="8"/>
  <c r="R26" i="9"/>
  <c r="R26" i="16"/>
  <c r="S26" i="8"/>
  <c r="S26" i="9"/>
  <c r="S26" i="16"/>
  <c r="T26" i="8"/>
  <c r="T26" i="9"/>
  <c r="T26" i="16"/>
  <c r="U26" i="8"/>
  <c r="U26" i="9"/>
  <c r="U26" i="16"/>
  <c r="V26" i="8"/>
  <c r="V26" i="9"/>
  <c r="V26" i="16"/>
  <c r="W26" i="8"/>
  <c r="W26" i="9"/>
  <c r="W26" i="16"/>
  <c r="X26" i="8"/>
  <c r="X26" i="9"/>
  <c r="X26" i="16"/>
  <c r="Y26" i="8"/>
  <c r="Y26" i="9"/>
  <c r="Y26" i="16"/>
  <c r="Z26" i="8"/>
  <c r="Z26" i="9"/>
  <c r="Z26" i="16"/>
  <c r="AA26" i="8"/>
  <c r="AA26" i="9"/>
  <c r="AB26" i="8"/>
  <c r="AB26" i="9"/>
  <c r="AB26" i="16"/>
  <c r="AC26" i="8"/>
  <c r="AC26" i="9"/>
  <c r="AC26" i="16"/>
  <c r="AD26" i="16"/>
  <c r="AE26" i="8"/>
  <c r="AE26" i="9"/>
  <c r="AE26" i="16"/>
  <c r="AF26" i="8"/>
  <c r="AF26" i="9"/>
  <c r="AF26" i="16"/>
  <c r="AG26" i="8"/>
  <c r="AG26" i="9"/>
  <c r="AG26" i="16"/>
  <c r="AH26" i="8"/>
  <c r="AH26" i="9"/>
  <c r="AH26" i="16"/>
  <c r="AI26" i="8"/>
  <c r="AI26" i="9"/>
  <c r="AI26" i="16"/>
  <c r="AJ26" i="8"/>
  <c r="AJ26" i="9"/>
  <c r="AJ26" i="16"/>
  <c r="AK26" i="8"/>
  <c r="AK26" i="9"/>
  <c r="AK26" i="16"/>
  <c r="AL26" i="8"/>
  <c r="AL26" i="9"/>
  <c r="AL26" i="16"/>
  <c r="AM26" i="8"/>
  <c r="AM26" i="9"/>
  <c r="AM26" i="16"/>
  <c r="AN26" i="8"/>
  <c r="AN26" i="9"/>
  <c r="AN26" i="16"/>
  <c r="AO26" i="8"/>
  <c r="AO26" i="9"/>
  <c r="AO26" i="16"/>
  <c r="AP26" i="8"/>
  <c r="AP26" i="9"/>
  <c r="AP26" i="16"/>
  <c r="AQ26" i="8"/>
  <c r="AQ26" i="9"/>
  <c r="AQ26" i="16"/>
  <c r="AR26" i="8"/>
  <c r="AR26" i="9"/>
  <c r="AR26" i="16"/>
  <c r="AS26" i="8"/>
  <c r="AS26" i="9"/>
  <c r="AS26" i="16"/>
  <c r="AT26" i="8"/>
  <c r="AT26" i="9"/>
  <c r="AT26" i="16"/>
  <c r="C27" i="8"/>
  <c r="C27" i="9"/>
  <c r="C27" i="16"/>
  <c r="D27" i="8"/>
  <c r="D27" i="9"/>
  <c r="D27" i="16"/>
  <c r="E27" i="8"/>
  <c r="E27" i="9"/>
  <c r="E27" i="16"/>
  <c r="F27" i="8"/>
  <c r="F27" i="9"/>
  <c r="F27" i="16"/>
  <c r="G27" i="8"/>
  <c r="G27" i="9"/>
  <c r="G27" i="16"/>
  <c r="H27" i="8"/>
  <c r="H27" i="9"/>
  <c r="H27" i="16"/>
  <c r="I27" i="8"/>
  <c r="I27" i="9"/>
  <c r="I27" i="16"/>
  <c r="J27" i="8"/>
  <c r="J27" i="9"/>
  <c r="J27" i="16"/>
  <c r="K27" i="8"/>
  <c r="K27" i="9"/>
  <c r="K27" i="16"/>
  <c r="L27" i="8"/>
  <c r="L27" i="9"/>
  <c r="L27" i="16"/>
  <c r="M27" i="8"/>
  <c r="M27" i="9"/>
  <c r="M27" i="16"/>
  <c r="N27" i="8"/>
  <c r="N27" i="9"/>
  <c r="N27" i="16"/>
  <c r="O27" i="8"/>
  <c r="O27" i="9"/>
  <c r="O27" i="16"/>
  <c r="P27" i="8"/>
  <c r="P27" i="9"/>
  <c r="P27" i="16"/>
  <c r="Q27" i="8"/>
  <c r="Q27" i="9"/>
  <c r="Q27" i="16"/>
  <c r="R27" i="8"/>
  <c r="R27" i="9"/>
  <c r="R27" i="16"/>
  <c r="S27" i="8"/>
  <c r="S27" i="9"/>
  <c r="S27" i="16"/>
  <c r="T27" i="8"/>
  <c r="T27" i="9"/>
  <c r="T27" i="16"/>
  <c r="U27" i="8"/>
  <c r="U27" i="9"/>
  <c r="U27" i="16"/>
  <c r="V27" i="8"/>
  <c r="V27" i="9"/>
  <c r="V27" i="16"/>
  <c r="W27" i="8"/>
  <c r="W27" i="9"/>
  <c r="W27" i="16"/>
  <c r="X27" i="8"/>
  <c r="X27" i="9"/>
  <c r="X27" i="16"/>
  <c r="Y27" i="8"/>
  <c r="Y27" i="9"/>
  <c r="Y27" i="16"/>
  <c r="Z27" i="8"/>
  <c r="Z27" i="9"/>
  <c r="Z27" i="16"/>
  <c r="AA27" i="8"/>
  <c r="AA27" i="9"/>
  <c r="AB27" i="8"/>
  <c r="AB27" i="9"/>
  <c r="AC27" i="8"/>
  <c r="AC27" i="16"/>
  <c r="AD27" i="8"/>
  <c r="AD27" i="9"/>
  <c r="AD27" i="16"/>
  <c r="AE27" i="8"/>
  <c r="AE27" i="9"/>
  <c r="AE27" i="16"/>
  <c r="AF27" i="8"/>
  <c r="AF27" i="9"/>
  <c r="AF27" i="16"/>
  <c r="AG27" i="8"/>
  <c r="AG27" i="9"/>
  <c r="AG27" i="16"/>
  <c r="AH27" i="8"/>
  <c r="AH27" i="9"/>
  <c r="AH27" i="16"/>
  <c r="AI27" i="8"/>
  <c r="AI27" i="9"/>
  <c r="AI27" i="16"/>
  <c r="AJ27" i="8"/>
  <c r="AJ27" i="9"/>
  <c r="AJ27" i="16"/>
  <c r="AK27" i="8"/>
  <c r="AK27" i="9"/>
  <c r="AK27" i="16"/>
  <c r="AL27" i="8"/>
  <c r="AL27" i="9"/>
  <c r="AL27" i="16"/>
  <c r="AM27" i="8"/>
  <c r="AM27" i="9"/>
  <c r="AM27" i="16"/>
  <c r="AN27" i="8"/>
  <c r="AN27" i="9"/>
  <c r="AN27" i="16"/>
  <c r="AO27" i="8"/>
  <c r="AO27" i="9"/>
  <c r="AO27" i="16"/>
  <c r="AP27" i="8"/>
  <c r="AP27" i="9"/>
  <c r="AP27" i="16"/>
  <c r="AQ27" i="8"/>
  <c r="AQ27" i="9"/>
  <c r="AQ27" i="16"/>
  <c r="AR27" i="8"/>
  <c r="AR27" i="9"/>
  <c r="AR27" i="16"/>
  <c r="AS27" i="8"/>
  <c r="AS27" i="9"/>
  <c r="AS27" i="16"/>
  <c r="AT27" i="8"/>
  <c r="AT27" i="9"/>
  <c r="AT27" i="16"/>
  <c r="C28" i="8"/>
  <c r="C28" i="9"/>
  <c r="C28" i="16"/>
  <c r="D28" i="8"/>
  <c r="D28" i="9"/>
  <c r="D28" i="16"/>
  <c r="E28" i="8"/>
  <c r="E28" i="9"/>
  <c r="E28" i="16"/>
  <c r="F28" i="8"/>
  <c r="F28" i="9"/>
  <c r="F28" i="16"/>
  <c r="G28" i="8"/>
  <c r="G28" i="9"/>
  <c r="G28" i="16"/>
  <c r="H28" i="8"/>
  <c r="H28" i="9"/>
  <c r="H28" i="16"/>
  <c r="I28" i="8"/>
  <c r="I28" i="9"/>
  <c r="I28" i="16"/>
  <c r="J28" i="8"/>
  <c r="J28" i="9"/>
  <c r="J28" i="16"/>
  <c r="K28" i="8"/>
  <c r="K28" i="9"/>
  <c r="K28" i="16"/>
  <c r="L28" i="8"/>
  <c r="L28" i="9"/>
  <c r="L28" i="16"/>
  <c r="M28" i="8"/>
  <c r="M28" i="9"/>
  <c r="M28" i="16"/>
  <c r="N28" i="8"/>
  <c r="N28" i="9"/>
  <c r="N28" i="16"/>
  <c r="O28" i="8"/>
  <c r="O28" i="9"/>
  <c r="O28" i="16"/>
  <c r="P28" i="8"/>
  <c r="P28" i="9"/>
  <c r="P28" i="16"/>
  <c r="Q28" i="8"/>
  <c r="Q28" i="9"/>
  <c r="Q28" i="16"/>
  <c r="R28" i="8"/>
  <c r="R28" i="9"/>
  <c r="R28" i="16"/>
  <c r="S28" i="8"/>
  <c r="S28" i="9"/>
  <c r="S28" i="16"/>
  <c r="T28" i="8"/>
  <c r="T28" i="9"/>
  <c r="T28" i="16"/>
  <c r="U28" i="8"/>
  <c r="U28" i="9"/>
  <c r="U28" i="16"/>
  <c r="V28" i="8"/>
  <c r="V28" i="9"/>
  <c r="V28" i="16"/>
  <c r="W28" i="8"/>
  <c r="W28" i="9"/>
  <c r="W28" i="16"/>
  <c r="X28" i="8"/>
  <c r="X28" i="9"/>
  <c r="X28" i="16"/>
  <c r="Y28" i="8"/>
  <c r="Y28" i="9"/>
  <c r="Y28" i="16"/>
  <c r="Z28" i="8"/>
  <c r="Z28" i="9"/>
  <c r="Z28" i="16"/>
  <c r="AA28" i="8"/>
  <c r="AA28" i="9"/>
  <c r="AA28" i="16"/>
  <c r="AB28" i="8"/>
  <c r="AB28" i="9"/>
  <c r="AB28" i="16"/>
  <c r="AC28" i="8"/>
  <c r="AC28" i="9"/>
  <c r="AC28" i="16"/>
  <c r="AD28" i="8"/>
  <c r="AD28" i="9"/>
  <c r="AD28" i="16"/>
  <c r="AE28" i="8"/>
  <c r="AE28" i="9"/>
  <c r="AE28" i="16"/>
  <c r="AF28" i="8"/>
  <c r="AF28" i="9"/>
  <c r="AF28" i="16"/>
  <c r="AG28" i="8"/>
  <c r="AG28" i="9"/>
  <c r="AG28" i="16"/>
  <c r="AH28" i="8"/>
  <c r="AH28" i="9"/>
  <c r="AH28" i="16"/>
  <c r="AI28" i="8"/>
  <c r="AI28" i="9"/>
  <c r="AI28" i="16"/>
  <c r="AJ28" i="8"/>
  <c r="AJ28" i="9"/>
  <c r="AJ28" i="16"/>
  <c r="AK28" i="8"/>
  <c r="AK28" i="9"/>
  <c r="AK28" i="16"/>
  <c r="AL28" i="8"/>
  <c r="AL28" i="9"/>
  <c r="AL28" i="16"/>
  <c r="AM28" i="8"/>
  <c r="AM28" i="9"/>
  <c r="AM28" i="16"/>
  <c r="AN28" i="8"/>
  <c r="AN28" i="9"/>
  <c r="AN28" i="16"/>
  <c r="AO28" i="8"/>
  <c r="AO28" i="9"/>
  <c r="AO28" i="16"/>
  <c r="AP28" i="8"/>
  <c r="AP28" i="9"/>
  <c r="AP28" i="16"/>
  <c r="AQ28" i="8"/>
  <c r="AQ28" i="9"/>
  <c r="AQ28" i="16"/>
  <c r="AR28" i="8"/>
  <c r="AR28" i="9"/>
  <c r="AR28" i="16"/>
  <c r="AS28" i="8"/>
  <c r="AS28" i="9"/>
  <c r="AS28" i="16"/>
  <c r="AT28" i="8"/>
  <c r="AT28" i="9"/>
  <c r="AT28" i="16"/>
  <c r="C29" i="8"/>
  <c r="C29" i="9"/>
  <c r="C29" i="16"/>
  <c r="D29" i="8"/>
  <c r="D29" i="9"/>
  <c r="D29" i="16"/>
  <c r="E29" i="8"/>
  <c r="E29" i="9"/>
  <c r="E29" i="16"/>
  <c r="F29" i="8"/>
  <c r="F29" i="9"/>
  <c r="F29" i="16"/>
  <c r="G29" i="8"/>
  <c r="G29" i="9"/>
  <c r="G29" i="16"/>
  <c r="H29" i="8"/>
  <c r="H29" i="9"/>
  <c r="H29" i="16"/>
  <c r="I29" i="8"/>
  <c r="I29" i="9"/>
  <c r="I29" i="16"/>
  <c r="J29" i="8"/>
  <c r="J29" i="9"/>
  <c r="J29" i="16"/>
  <c r="K29" i="8"/>
  <c r="K29" i="9"/>
  <c r="K29" i="16"/>
  <c r="L29" i="8"/>
  <c r="L29" i="9"/>
  <c r="L29" i="16"/>
  <c r="M29" i="8"/>
  <c r="M29" i="9"/>
  <c r="M29" i="16"/>
  <c r="N29" i="8"/>
  <c r="N29" i="9"/>
  <c r="N29" i="16"/>
  <c r="O29" i="8"/>
  <c r="O29" i="9"/>
  <c r="O29" i="16"/>
  <c r="P29" i="8"/>
  <c r="P29" i="9"/>
  <c r="P29" i="16"/>
  <c r="Q29" i="8"/>
  <c r="Q29" i="9"/>
  <c r="Q29" i="16"/>
  <c r="R29" i="8"/>
  <c r="R29" i="9"/>
  <c r="R29" i="16"/>
  <c r="S29" i="8"/>
  <c r="S29" i="9"/>
  <c r="S29" i="16"/>
  <c r="T29" i="8"/>
  <c r="T29" i="9"/>
  <c r="T29" i="16"/>
  <c r="U29" i="8"/>
  <c r="U29" i="9"/>
  <c r="U29" i="16"/>
  <c r="V29" i="8"/>
  <c r="V29" i="9"/>
  <c r="V29" i="16"/>
  <c r="W29" i="8"/>
  <c r="W29" i="9"/>
  <c r="W29" i="16"/>
  <c r="X29" i="8"/>
  <c r="X29" i="9"/>
  <c r="Y29" i="8"/>
  <c r="Y29" i="9"/>
  <c r="Z29" i="8"/>
  <c r="Z29" i="9"/>
  <c r="Z29" i="16"/>
  <c r="AA29" i="8"/>
  <c r="AA29" i="9"/>
  <c r="AA29" i="16"/>
  <c r="AB29" i="8"/>
  <c r="AB29" i="9"/>
  <c r="AB29" i="16"/>
  <c r="AC29" i="8"/>
  <c r="AC29" i="9"/>
  <c r="AD29" i="8"/>
  <c r="AD29" i="16"/>
  <c r="AE29" i="8"/>
  <c r="AE29" i="9"/>
  <c r="AE29" i="16"/>
  <c r="AF29" i="8"/>
  <c r="AF29" i="9"/>
  <c r="AF29" i="16"/>
  <c r="AG29" i="8"/>
  <c r="AG29" i="9"/>
  <c r="AG29" i="16"/>
  <c r="AH29" i="8"/>
  <c r="AH29" i="9"/>
  <c r="AH29" i="16"/>
  <c r="AI29" i="8"/>
  <c r="AI29" i="9"/>
  <c r="AI29" i="16"/>
  <c r="AJ29" i="8"/>
  <c r="AJ29" i="9"/>
  <c r="AJ29" i="16"/>
  <c r="AK29" i="8"/>
  <c r="AK29" i="9"/>
  <c r="AK29" i="16"/>
  <c r="AL29" i="8"/>
  <c r="AL29" i="9"/>
  <c r="AL29" i="16"/>
  <c r="AM29" i="8"/>
  <c r="AM29" i="9"/>
  <c r="AM29" i="16"/>
  <c r="AN29" i="8"/>
  <c r="AN29" i="9"/>
  <c r="AN29" i="16"/>
  <c r="AO29" i="8"/>
  <c r="AO29" i="9"/>
  <c r="AO29" i="16"/>
  <c r="AP29" i="8"/>
  <c r="AP29" i="9"/>
  <c r="AP29" i="16"/>
  <c r="AQ29" i="8"/>
  <c r="AQ29" i="9"/>
  <c r="AQ29" i="16"/>
  <c r="AR29" i="8"/>
  <c r="AR29" i="9"/>
  <c r="AR29" i="16"/>
  <c r="AS29" i="8"/>
  <c r="AS29" i="9"/>
  <c r="AS29" i="16"/>
  <c r="AT29" i="8"/>
  <c r="AT29" i="9"/>
  <c r="AT29" i="16"/>
  <c r="C30" i="8"/>
  <c r="C30" i="9"/>
  <c r="C30" i="16"/>
  <c r="D30" i="8"/>
  <c r="D30" i="9"/>
  <c r="D30" i="16"/>
  <c r="E30" i="8"/>
  <c r="E30" i="9"/>
  <c r="E30" i="16"/>
  <c r="F30" i="8"/>
  <c r="F30" i="9"/>
  <c r="F30" i="16"/>
  <c r="G30" i="8"/>
  <c r="G30" i="9"/>
  <c r="G30" i="16"/>
  <c r="H30" i="8"/>
  <c r="H30" i="9"/>
  <c r="H30" i="16"/>
  <c r="I30" i="8"/>
  <c r="I30" i="9"/>
  <c r="I30" i="16"/>
  <c r="J30" i="8"/>
  <c r="J30" i="9"/>
  <c r="J30" i="16"/>
  <c r="K30" i="8"/>
  <c r="K30" i="9"/>
  <c r="K30" i="16"/>
  <c r="L30" i="8"/>
  <c r="L30" i="9"/>
  <c r="L30" i="16"/>
  <c r="M30" i="8"/>
  <c r="M30" i="9"/>
  <c r="M30" i="16"/>
  <c r="N30" i="8"/>
  <c r="N30" i="9"/>
  <c r="N30" i="16"/>
  <c r="O30" i="8"/>
  <c r="O30" i="9"/>
  <c r="O30" i="16"/>
  <c r="P30" i="8"/>
  <c r="P30" i="9"/>
  <c r="P30" i="16"/>
  <c r="Q30" i="8"/>
  <c r="Q30" i="9"/>
  <c r="Q30" i="16"/>
  <c r="R30" i="8"/>
  <c r="R30" i="9"/>
  <c r="R30" i="16"/>
  <c r="S30" i="8"/>
  <c r="S30" i="9"/>
  <c r="S30" i="16"/>
  <c r="T30" i="8"/>
  <c r="T30" i="9"/>
  <c r="T30" i="16"/>
  <c r="U30" i="8"/>
  <c r="U30" i="9"/>
  <c r="U30" i="16"/>
  <c r="V30" i="8"/>
  <c r="V30" i="9"/>
  <c r="V30" i="16"/>
  <c r="W30" i="8"/>
  <c r="W30" i="9"/>
  <c r="W30" i="16"/>
  <c r="X30" i="8"/>
  <c r="X30" i="9"/>
  <c r="X30" i="16"/>
  <c r="Y30" i="8"/>
  <c r="Y30" i="9"/>
  <c r="Z30" i="8"/>
  <c r="Z30" i="9"/>
  <c r="Z30" i="16"/>
  <c r="AA30" i="8"/>
  <c r="AA30" i="9"/>
  <c r="AA30" i="16"/>
  <c r="AB30" i="8"/>
  <c r="AB30" i="9"/>
  <c r="AB30" i="16"/>
  <c r="AC30" i="8"/>
  <c r="AC30" i="9"/>
  <c r="AC30" i="16"/>
  <c r="AD30" i="8"/>
  <c r="AD30" i="9"/>
  <c r="AE30" i="8"/>
  <c r="AE30" i="9"/>
  <c r="AF30" i="8"/>
  <c r="AF30" i="9"/>
  <c r="AF30" i="16"/>
  <c r="AG30" i="8"/>
  <c r="AG30" i="9"/>
  <c r="AG30" i="16"/>
  <c r="AH30" i="8"/>
  <c r="AH30" i="9"/>
  <c r="AH30" i="16"/>
  <c r="AI30" i="8"/>
  <c r="AI30" i="9"/>
  <c r="AI30" i="16"/>
  <c r="AJ30" i="8"/>
  <c r="AJ30" i="9"/>
  <c r="AJ30" i="16"/>
  <c r="AK30" i="8"/>
  <c r="AK30" i="9"/>
  <c r="AK30" i="16"/>
  <c r="AL30" i="8"/>
  <c r="AL30" i="9"/>
  <c r="AL30" i="16"/>
  <c r="AM30" i="8"/>
  <c r="AM30" i="9"/>
  <c r="AM30" i="16"/>
  <c r="AN30" i="8"/>
  <c r="AN30" i="9"/>
  <c r="AN30" i="16"/>
  <c r="AO30" i="8"/>
  <c r="AO30" i="9"/>
  <c r="AO30" i="16"/>
  <c r="AP30" i="8"/>
  <c r="AP30" i="9"/>
  <c r="AP30" i="16"/>
  <c r="AQ30" i="8"/>
  <c r="AQ30" i="16"/>
  <c r="AR30" i="8"/>
  <c r="AR30" i="9"/>
  <c r="AR30" i="16"/>
  <c r="AS30" i="8"/>
  <c r="AS30" i="9"/>
  <c r="AS30" i="16"/>
  <c r="AT30" i="8"/>
  <c r="AT30" i="9"/>
  <c r="AT30" i="16"/>
  <c r="C31" i="8"/>
  <c r="C31" i="9"/>
  <c r="C31" i="16"/>
  <c r="D31" i="8"/>
  <c r="D31" i="9"/>
  <c r="D31" i="16"/>
  <c r="E31" i="8"/>
  <c r="E31" i="9"/>
  <c r="E31" i="16"/>
  <c r="F31" i="8"/>
  <c r="F31" i="9"/>
  <c r="F31" i="16"/>
  <c r="G31" i="8"/>
  <c r="G31" i="9"/>
  <c r="G31" i="16"/>
  <c r="H31" i="8"/>
  <c r="H31" i="9"/>
  <c r="H31" i="16"/>
  <c r="I31" i="8"/>
  <c r="I31" i="9"/>
  <c r="I31" i="16"/>
  <c r="J31" i="8"/>
  <c r="J31" i="9"/>
  <c r="J31" i="16"/>
  <c r="K31" i="8"/>
  <c r="K31" i="9"/>
  <c r="K31" i="16"/>
  <c r="L31" i="8"/>
  <c r="L31" i="9"/>
  <c r="L31" i="16"/>
  <c r="N31" i="8"/>
  <c r="N31" i="16"/>
  <c r="O31" i="8"/>
  <c r="O31" i="9"/>
  <c r="O31" i="16"/>
  <c r="P31" i="8"/>
  <c r="P31" i="9"/>
  <c r="P31" i="16"/>
  <c r="Q31" i="8"/>
  <c r="Q31" i="9"/>
  <c r="Q31" i="16"/>
  <c r="R31" i="8"/>
  <c r="R31" i="9"/>
  <c r="R31" i="16"/>
  <c r="S31" i="8"/>
  <c r="S31" i="9"/>
  <c r="S31" i="16"/>
  <c r="T31" i="16"/>
  <c r="U31" i="8"/>
  <c r="U31" i="9"/>
  <c r="U31" i="16"/>
  <c r="V31" i="8"/>
  <c r="V31" i="9"/>
  <c r="V31" i="16"/>
  <c r="W31" i="8"/>
  <c r="W31" i="9"/>
  <c r="W31" i="16"/>
  <c r="X31" i="8"/>
  <c r="X31" i="9"/>
  <c r="X31" i="16"/>
  <c r="Y31" i="8"/>
  <c r="Y31" i="9"/>
  <c r="Y31" i="16"/>
  <c r="Z31" i="8"/>
  <c r="Z31" i="9"/>
  <c r="Z31" i="16"/>
  <c r="AA31" i="8"/>
  <c r="AA31" i="9"/>
  <c r="AB31" i="8"/>
  <c r="AB31" i="9"/>
  <c r="AB31" i="16"/>
  <c r="AC31" i="8"/>
  <c r="AC31" i="9"/>
  <c r="AC31" i="16"/>
  <c r="AD31" i="8"/>
  <c r="AD31" i="16"/>
  <c r="AE31" i="8"/>
  <c r="AE31" i="9"/>
  <c r="AE31" i="16"/>
  <c r="AF31" i="8"/>
  <c r="AF31" i="9"/>
  <c r="AF31" i="16"/>
  <c r="AG31" i="8"/>
  <c r="AG31" i="9"/>
  <c r="AG31" i="16"/>
  <c r="AH31" i="8"/>
  <c r="AH31" i="9"/>
  <c r="AH31" i="16"/>
  <c r="AI31" i="8"/>
  <c r="AI31" i="9"/>
  <c r="AI31" i="16"/>
  <c r="AJ31" i="8"/>
  <c r="AJ31" i="9"/>
  <c r="AJ31" i="16"/>
  <c r="AK31" i="8"/>
  <c r="AK31" i="9"/>
  <c r="AK31" i="16"/>
  <c r="AL31" i="8"/>
  <c r="AL31" i="9"/>
  <c r="AL31" i="16"/>
  <c r="AM31" i="8"/>
  <c r="AM31" i="9"/>
  <c r="AM31" i="16"/>
  <c r="AN31" i="8"/>
  <c r="AN31" i="9"/>
  <c r="AN31" i="16"/>
  <c r="AO31" i="8"/>
  <c r="AO31" i="9"/>
  <c r="AO31" i="16"/>
  <c r="AP31" i="8"/>
  <c r="AP31" i="9"/>
  <c r="AP31" i="16"/>
  <c r="AQ31" i="8"/>
  <c r="AQ31" i="9"/>
  <c r="AQ31" i="16"/>
  <c r="AR31" i="8"/>
  <c r="AR31" i="9"/>
  <c r="AR31" i="16"/>
  <c r="AS31" i="8"/>
  <c r="AS31" i="9"/>
  <c r="AS31" i="16"/>
  <c r="AT31" i="8"/>
  <c r="AT31" i="9"/>
  <c r="AT31" i="16"/>
  <c r="C32" i="8"/>
  <c r="C32" i="9"/>
  <c r="C32" i="16"/>
  <c r="D32" i="8"/>
  <c r="D32" i="9"/>
  <c r="D32" i="16"/>
  <c r="E32" i="8"/>
  <c r="E32" i="9"/>
  <c r="E32" i="16"/>
  <c r="F32" i="8"/>
  <c r="F32" i="9"/>
  <c r="F32" i="16"/>
  <c r="G32" i="8"/>
  <c r="G32" i="9"/>
  <c r="G32" i="16"/>
  <c r="H32" i="8"/>
  <c r="H32" i="9"/>
  <c r="H32" i="16"/>
  <c r="I32" i="8"/>
  <c r="I32" i="9"/>
  <c r="I32" i="16"/>
  <c r="J32" i="8"/>
  <c r="J32" i="9"/>
  <c r="J32" i="16"/>
  <c r="K32" i="8"/>
  <c r="K32" i="9"/>
  <c r="K32" i="16"/>
  <c r="L32" i="8"/>
  <c r="L32" i="9"/>
  <c r="L32" i="16"/>
  <c r="M32" i="8"/>
  <c r="M32" i="9"/>
  <c r="M32" i="16"/>
  <c r="N32" i="8"/>
  <c r="N32" i="9"/>
  <c r="N32" i="16"/>
  <c r="O32" i="8"/>
  <c r="O32" i="9"/>
  <c r="O32" i="16"/>
  <c r="P32" i="8"/>
  <c r="P32" i="9"/>
  <c r="P32" i="16"/>
  <c r="Q32" i="8"/>
  <c r="Q32" i="9"/>
  <c r="Q32" i="16"/>
  <c r="R32" i="8"/>
  <c r="R32" i="9"/>
  <c r="R32" i="16"/>
  <c r="S32" i="8"/>
  <c r="S32" i="9"/>
  <c r="S32" i="16"/>
  <c r="T32" i="8"/>
  <c r="T32" i="9"/>
  <c r="T32" i="16"/>
  <c r="U32" i="8"/>
  <c r="U32" i="9"/>
  <c r="U32" i="16"/>
  <c r="V32" i="8"/>
  <c r="V32" i="9"/>
  <c r="V32" i="16"/>
  <c r="W32" i="8"/>
  <c r="W32" i="9"/>
  <c r="W32" i="16"/>
  <c r="X32" i="16"/>
  <c r="Y32" i="8"/>
  <c r="Y32" i="9"/>
  <c r="Y32" i="16"/>
  <c r="Z32" i="8"/>
  <c r="Z32" i="9"/>
  <c r="Z32" i="16"/>
  <c r="AA32" i="8"/>
  <c r="AA32" i="9"/>
  <c r="AA32" i="16"/>
  <c r="AB32" i="8"/>
  <c r="AB32" i="9"/>
  <c r="AC32" i="8"/>
  <c r="AC32" i="16"/>
  <c r="AD32" i="8"/>
  <c r="AD32" i="9"/>
  <c r="AD32" i="16"/>
  <c r="AE32" i="8"/>
  <c r="AE32" i="9"/>
  <c r="AE32" i="16"/>
  <c r="AF32" i="8"/>
  <c r="AF32" i="9"/>
  <c r="AF32" i="16"/>
  <c r="AG32" i="8"/>
  <c r="AG32" i="9"/>
  <c r="AG32" i="16"/>
  <c r="AH32" i="8"/>
  <c r="AH32" i="9"/>
  <c r="AH32" i="16"/>
  <c r="AI32" i="8"/>
  <c r="AI32" i="9"/>
  <c r="AI32" i="16"/>
  <c r="AJ32" i="8"/>
  <c r="AJ32" i="9"/>
  <c r="AJ32" i="16"/>
  <c r="AK32" i="8"/>
  <c r="AK32" i="9"/>
  <c r="AK32" i="16"/>
  <c r="AL32" i="8"/>
  <c r="AL32" i="9"/>
  <c r="AL32" i="16"/>
  <c r="AM32" i="8"/>
  <c r="AM32" i="9"/>
  <c r="AM32" i="16"/>
  <c r="AN32" i="8"/>
  <c r="AN32" i="9"/>
  <c r="AN32" i="16"/>
  <c r="AO32" i="8"/>
  <c r="AO32" i="9"/>
  <c r="AO32" i="16"/>
  <c r="AP32" i="8"/>
  <c r="AP32" i="9"/>
  <c r="AP32" i="16"/>
  <c r="AQ32" i="8"/>
  <c r="AQ32" i="9"/>
  <c r="AQ32" i="16"/>
  <c r="AR32" i="8"/>
  <c r="AR32" i="9"/>
  <c r="AR32" i="16"/>
  <c r="AS32" i="8"/>
  <c r="AS32" i="9"/>
  <c r="AS32" i="16"/>
  <c r="AT32" i="8"/>
  <c r="AT32" i="9"/>
  <c r="AT32" i="16"/>
  <c r="C33" i="8"/>
  <c r="C33" i="9"/>
  <c r="C33" i="16"/>
  <c r="D33" i="8"/>
  <c r="D33" i="9"/>
  <c r="D33" i="16"/>
  <c r="E33" i="8"/>
  <c r="E33" i="9"/>
  <c r="E33" i="16"/>
  <c r="F33" i="8"/>
  <c r="F33" i="9"/>
  <c r="F33" i="16"/>
  <c r="G33" i="8"/>
  <c r="G33" i="9"/>
  <c r="G33" i="16"/>
  <c r="H33" i="8"/>
  <c r="H33" i="9"/>
  <c r="H33" i="16"/>
  <c r="I33" i="8"/>
  <c r="I33" i="9"/>
  <c r="I33" i="16"/>
  <c r="J33" i="8"/>
  <c r="J33" i="9"/>
  <c r="J33" i="16"/>
  <c r="K33" i="8"/>
  <c r="K33" i="9"/>
  <c r="K33" i="16"/>
  <c r="L33" i="8"/>
  <c r="L33" i="9"/>
  <c r="L33" i="16"/>
  <c r="M33" i="8"/>
  <c r="M33" i="9"/>
  <c r="M33" i="16"/>
  <c r="N33" i="8"/>
  <c r="N33" i="16"/>
  <c r="O33" i="8"/>
  <c r="O33" i="9"/>
  <c r="O33" i="16"/>
  <c r="P33" i="8"/>
  <c r="P33" i="9"/>
  <c r="P33" i="16"/>
  <c r="Q33" i="8"/>
  <c r="Q33" i="9"/>
  <c r="Q33" i="16"/>
  <c r="R33" i="8"/>
  <c r="R33" i="9"/>
  <c r="R33" i="16"/>
  <c r="S33" i="8"/>
  <c r="S33" i="9"/>
  <c r="S33" i="16"/>
  <c r="T33" i="8"/>
  <c r="T33" i="9"/>
  <c r="T33" i="16"/>
  <c r="U33" i="8"/>
  <c r="U33" i="9"/>
  <c r="U33" i="16"/>
  <c r="V33" i="8"/>
  <c r="V33" i="9"/>
  <c r="V33" i="16"/>
  <c r="W33" i="8"/>
  <c r="W33" i="9"/>
  <c r="W33" i="16"/>
  <c r="X33" i="8"/>
  <c r="X33" i="9"/>
  <c r="X33" i="16"/>
  <c r="Y33" i="8"/>
  <c r="Y33" i="9"/>
  <c r="Y33" i="16"/>
  <c r="Z33" i="8"/>
  <c r="Z33" i="9"/>
  <c r="Z33" i="16"/>
  <c r="AA33" i="8"/>
  <c r="AA33" i="9"/>
  <c r="AA33" i="16"/>
  <c r="AB33" i="8"/>
  <c r="AB33" i="9"/>
  <c r="AC33" i="8"/>
  <c r="AC33" i="9"/>
  <c r="AC33" i="16"/>
  <c r="AD33" i="8"/>
  <c r="AD33" i="9"/>
  <c r="AD33" i="16"/>
  <c r="AE33" i="8"/>
  <c r="AE33" i="9"/>
  <c r="AE33" i="16"/>
  <c r="AF33" i="8"/>
  <c r="AF33" i="9"/>
  <c r="AF33" i="16"/>
  <c r="AG33" i="8"/>
  <c r="AG33" i="9"/>
  <c r="AG33" i="16"/>
  <c r="AH33" i="8"/>
  <c r="AH33" i="9"/>
  <c r="AH33" i="16"/>
  <c r="AI33" i="8"/>
  <c r="AI33" i="9"/>
  <c r="AI33" i="16"/>
  <c r="AJ33" i="8"/>
  <c r="AJ33" i="9"/>
  <c r="AK33" i="16"/>
  <c r="AL33" i="8"/>
  <c r="AL33" i="9"/>
  <c r="AL33" i="16"/>
  <c r="AM33" i="8"/>
  <c r="AM33" i="9"/>
  <c r="AM33" i="16"/>
  <c r="AN33" i="8"/>
  <c r="AN33" i="9"/>
  <c r="AN33" i="16"/>
  <c r="AO33" i="8"/>
  <c r="AO33" i="9"/>
  <c r="AO33" i="16"/>
  <c r="AP33" i="9"/>
  <c r="AP33" i="16"/>
  <c r="AQ33" i="9"/>
  <c r="AQ33" i="16"/>
  <c r="AR33" i="8"/>
  <c r="AR33" i="9"/>
  <c r="AR33" i="16"/>
  <c r="AS33" i="8"/>
  <c r="AS33" i="9"/>
  <c r="AS33" i="16"/>
  <c r="AT33" i="8"/>
  <c r="AT33" i="9"/>
  <c r="AT33" i="16"/>
  <c r="C34" i="8"/>
  <c r="C34" i="9"/>
  <c r="C34" i="16"/>
  <c r="D34" i="8"/>
  <c r="D34" i="9"/>
  <c r="D34" i="16"/>
  <c r="E34" i="8"/>
  <c r="E34" i="9"/>
  <c r="E34" i="16"/>
  <c r="F34" i="8"/>
  <c r="F34" i="9"/>
  <c r="F34" i="16"/>
  <c r="G34" i="8"/>
  <c r="G34" i="9"/>
  <c r="G34" i="16"/>
  <c r="H34" i="8"/>
  <c r="H34" i="9"/>
  <c r="H34" i="16"/>
  <c r="I34" i="8"/>
  <c r="I34" i="9"/>
  <c r="I34" i="16"/>
  <c r="J34" i="8"/>
  <c r="J34" i="9"/>
  <c r="J34" i="16"/>
  <c r="K34" i="8"/>
  <c r="K34" i="9"/>
  <c r="K34" i="16"/>
  <c r="L34" i="8"/>
  <c r="L34" i="9"/>
  <c r="L34" i="16"/>
  <c r="M34" i="8"/>
  <c r="M34" i="9"/>
  <c r="M34" i="16"/>
  <c r="N34" i="8"/>
  <c r="N34" i="9"/>
  <c r="N34" i="16"/>
  <c r="O34" i="8"/>
  <c r="O34" i="9"/>
  <c r="O34" i="16"/>
  <c r="P34" i="8"/>
  <c r="P34" i="9"/>
  <c r="P34" i="16"/>
  <c r="Q34" i="8"/>
  <c r="Q34" i="9"/>
  <c r="Q34" i="16"/>
  <c r="R34" i="8"/>
  <c r="R34" i="9"/>
  <c r="R34" i="16"/>
  <c r="S34" i="8"/>
  <c r="S34" i="9"/>
  <c r="S34" i="16"/>
  <c r="T34" i="8"/>
  <c r="T34" i="9"/>
  <c r="T34" i="16"/>
  <c r="U34" i="8"/>
  <c r="U34" i="9"/>
  <c r="U34" i="16"/>
  <c r="V34" i="8"/>
  <c r="V34" i="9"/>
  <c r="V34" i="16"/>
  <c r="W34" i="8"/>
  <c r="W34" i="9"/>
  <c r="W34" i="16"/>
  <c r="X34" i="8"/>
  <c r="X34" i="9"/>
  <c r="X34" i="16"/>
  <c r="Y34" i="8"/>
  <c r="Y34" i="9"/>
  <c r="Y34" i="16"/>
  <c r="Z34" i="8"/>
  <c r="Z34" i="9"/>
  <c r="Z34" i="16"/>
  <c r="AA34" i="8"/>
  <c r="AA34" i="9"/>
  <c r="AA34" i="16"/>
  <c r="AB34" i="8"/>
  <c r="AB34" i="9"/>
  <c r="AB34" i="16"/>
  <c r="AC34" i="8"/>
  <c r="AC34" i="9"/>
  <c r="AC34" i="16"/>
  <c r="AD34" i="8"/>
  <c r="AD34" i="9"/>
  <c r="AD34" i="16"/>
  <c r="AE34" i="8"/>
  <c r="AE34" i="9"/>
  <c r="AE34" i="16"/>
  <c r="AF34" i="8"/>
  <c r="AF34" i="9"/>
  <c r="AF34" i="16"/>
  <c r="AG34" i="8"/>
  <c r="AG34" i="9"/>
  <c r="AG34" i="16"/>
  <c r="AH34" i="8"/>
  <c r="AH34" i="9"/>
  <c r="AH34" i="16"/>
  <c r="AI34" i="8"/>
  <c r="AI34" i="9"/>
  <c r="AI34" i="16"/>
  <c r="AJ34" i="8"/>
  <c r="AJ34" i="9"/>
  <c r="AJ34" i="16"/>
  <c r="AK34" i="9"/>
  <c r="AK34" i="16"/>
  <c r="AL34" i="8"/>
  <c r="AL34" i="9"/>
  <c r="AL34" i="16"/>
  <c r="AM34" i="8"/>
  <c r="AM34" i="9"/>
  <c r="AM34" i="16"/>
  <c r="AN34" i="8"/>
  <c r="AN34" i="9"/>
  <c r="AN34" i="16"/>
  <c r="AO34" i="8"/>
  <c r="AO34" i="9"/>
  <c r="AO34" i="16"/>
  <c r="AP34" i="8"/>
  <c r="AP34" i="9"/>
  <c r="AP34" i="16"/>
  <c r="AQ34" i="8"/>
  <c r="AQ34" i="9"/>
  <c r="AQ34" i="16"/>
  <c r="AR34" i="8"/>
  <c r="AR34" i="9"/>
  <c r="AR34" i="16"/>
  <c r="AS34" i="8"/>
  <c r="AS34" i="9"/>
  <c r="AS34" i="16"/>
  <c r="AT34" i="8"/>
  <c r="AT34" i="9"/>
  <c r="AT34" i="16"/>
  <c r="C35" i="8"/>
  <c r="C35" i="9"/>
  <c r="C35" i="16"/>
  <c r="D35" i="8"/>
  <c r="D35" i="9"/>
  <c r="D35" i="16"/>
  <c r="E35" i="8"/>
  <c r="E35" i="9"/>
  <c r="E35" i="16"/>
  <c r="F35" i="8"/>
  <c r="F35" i="9"/>
  <c r="F35" i="16"/>
  <c r="G35" i="8"/>
  <c r="G35" i="9"/>
  <c r="G35" i="16"/>
  <c r="H35" i="8"/>
  <c r="H35" i="9"/>
  <c r="H35" i="16"/>
  <c r="I35" i="8"/>
  <c r="I35" i="9"/>
  <c r="I35" i="16"/>
  <c r="J35" i="8"/>
  <c r="J35" i="9"/>
  <c r="J35" i="16"/>
  <c r="K35" i="8"/>
  <c r="K35" i="9"/>
  <c r="K35" i="16"/>
  <c r="L35" i="8"/>
  <c r="L35" i="9"/>
  <c r="L35" i="16"/>
  <c r="M35" i="8"/>
  <c r="M35" i="9"/>
  <c r="M35" i="16"/>
  <c r="N35" i="8"/>
  <c r="N35" i="16"/>
  <c r="O35" i="8"/>
  <c r="O35" i="9"/>
  <c r="O35" i="16"/>
  <c r="P35" i="8"/>
  <c r="P35" i="9"/>
  <c r="P35" i="16"/>
  <c r="Q35" i="8"/>
  <c r="Q35" i="9"/>
  <c r="Q35" i="16"/>
  <c r="R35" i="8"/>
  <c r="R35" i="9"/>
  <c r="R35" i="16"/>
  <c r="S35" i="8"/>
  <c r="S35" i="9"/>
  <c r="S35" i="16"/>
  <c r="T35" i="8"/>
  <c r="T35" i="9"/>
  <c r="T35" i="16"/>
  <c r="U35" i="8"/>
  <c r="U35" i="9"/>
  <c r="U35" i="16"/>
  <c r="V35" i="8"/>
  <c r="V35" i="9"/>
  <c r="V35" i="16"/>
  <c r="W35" i="8"/>
  <c r="W35" i="9"/>
  <c r="W35" i="16"/>
  <c r="X35" i="8"/>
  <c r="X35" i="9"/>
  <c r="X35" i="16"/>
  <c r="Y35" i="8"/>
  <c r="Y35" i="9"/>
  <c r="Y35" i="16"/>
  <c r="Z35" i="8"/>
  <c r="Z35" i="9"/>
  <c r="Z35" i="16"/>
  <c r="AA35" i="8"/>
  <c r="AA35" i="9"/>
  <c r="AA35" i="16"/>
  <c r="AB35" i="8"/>
  <c r="AB35" i="9"/>
  <c r="AB35" i="16"/>
  <c r="AC35" i="8"/>
  <c r="AC35" i="9"/>
  <c r="AC35" i="16"/>
  <c r="AD35" i="8"/>
  <c r="AD35" i="9"/>
  <c r="AD35" i="16"/>
  <c r="AE35" i="8"/>
  <c r="AE35" i="9"/>
  <c r="AE35" i="16"/>
  <c r="AF35" i="8"/>
  <c r="AF35" i="9"/>
  <c r="AF35" i="16"/>
  <c r="AG35" i="8"/>
  <c r="AG35" i="9"/>
  <c r="AG35" i="16"/>
  <c r="AH35" i="8"/>
  <c r="AH35" i="9"/>
  <c r="AH35" i="16"/>
  <c r="AI35" i="8"/>
  <c r="AI35" i="9"/>
  <c r="AI35" i="16"/>
  <c r="AJ35" i="8"/>
  <c r="AJ35" i="16"/>
  <c r="AK35" i="8"/>
  <c r="AK35" i="9"/>
  <c r="AK35" i="16"/>
  <c r="AL35" i="8"/>
  <c r="AL35" i="9"/>
  <c r="AL35" i="16"/>
  <c r="AM35" i="8"/>
  <c r="AM35" i="9"/>
  <c r="AM35" i="16"/>
  <c r="AN35" i="8"/>
  <c r="AN35" i="9"/>
  <c r="AN35" i="16"/>
  <c r="AO35" i="8"/>
  <c r="AO35" i="9"/>
  <c r="AO35" i="16"/>
  <c r="AP35" i="8"/>
  <c r="AP35" i="9"/>
  <c r="AP35" i="16"/>
  <c r="AQ35" i="8"/>
  <c r="AQ35" i="9"/>
  <c r="AQ35" i="16"/>
  <c r="AR35" i="8"/>
  <c r="AR35" i="9"/>
  <c r="AR35" i="16"/>
  <c r="AS35" i="8"/>
  <c r="AS35" i="9"/>
  <c r="AS35" i="16"/>
  <c r="AT35" i="8"/>
  <c r="AT35" i="9"/>
  <c r="AT35" i="16"/>
  <c r="C36" i="8"/>
  <c r="C36" i="9"/>
  <c r="C36" i="16"/>
  <c r="D36" i="8"/>
  <c r="D36" i="9"/>
  <c r="D36" i="16"/>
  <c r="E36" i="8"/>
  <c r="E36" i="9"/>
  <c r="E36" i="16"/>
  <c r="F36" i="8"/>
  <c r="F36" i="9"/>
  <c r="F36" i="16"/>
  <c r="G36" i="8"/>
  <c r="G36" i="9"/>
  <c r="G36" i="16"/>
  <c r="H36" i="8"/>
  <c r="H36" i="9"/>
  <c r="H36" i="16"/>
  <c r="I36" i="8"/>
  <c r="I36" i="9"/>
  <c r="I36" i="16"/>
  <c r="J36" i="8"/>
  <c r="J36" i="9"/>
  <c r="J36" i="16"/>
  <c r="K36" i="8"/>
  <c r="K36" i="9"/>
  <c r="K36" i="16"/>
  <c r="L36" i="8"/>
  <c r="L36" i="9"/>
  <c r="L36" i="16"/>
  <c r="M36" i="8"/>
  <c r="M36" i="9"/>
  <c r="M36" i="16"/>
  <c r="N36" i="8"/>
  <c r="N36" i="9"/>
  <c r="N36" i="16"/>
  <c r="O36" i="8"/>
  <c r="O36" i="9"/>
  <c r="O36" i="16"/>
  <c r="P36" i="8"/>
  <c r="P36" i="9"/>
  <c r="P36" i="16"/>
  <c r="Q36" i="8"/>
  <c r="Q36" i="9"/>
  <c r="Q36" i="16"/>
  <c r="R36" i="8"/>
  <c r="R36" i="9"/>
  <c r="R36" i="16"/>
  <c r="S36" i="8"/>
  <c r="S36" i="16"/>
  <c r="T36" i="8"/>
  <c r="T36" i="9"/>
  <c r="T36" i="16"/>
  <c r="U36" i="8"/>
  <c r="U36" i="16"/>
  <c r="V36" i="8"/>
  <c r="V36" i="9"/>
  <c r="V36" i="16"/>
  <c r="W36" i="8"/>
  <c r="W36" i="9"/>
  <c r="W36" i="16"/>
  <c r="X36" i="8"/>
  <c r="X36" i="9"/>
  <c r="X36" i="16"/>
  <c r="Y36" i="8"/>
  <c r="Y36" i="9"/>
  <c r="Y36" i="16"/>
  <c r="Z36" i="8"/>
  <c r="Z36" i="9"/>
  <c r="Z36" i="16"/>
  <c r="AA36" i="8"/>
  <c r="AA36" i="9"/>
  <c r="AA36" i="16"/>
  <c r="AB36" i="8"/>
  <c r="AB36" i="9"/>
  <c r="AB36" i="16"/>
  <c r="AC36" i="8"/>
  <c r="AC36" i="9"/>
  <c r="AC36" i="16"/>
  <c r="AD36" i="8"/>
  <c r="AD36" i="9"/>
  <c r="AD36" i="16"/>
  <c r="AE36" i="8"/>
  <c r="AE36" i="9"/>
  <c r="AE36" i="16"/>
  <c r="AF36" i="8"/>
  <c r="AF36" i="9"/>
  <c r="AF36" i="16"/>
  <c r="AG36" i="8"/>
  <c r="AG36" i="9"/>
  <c r="AG36" i="16"/>
  <c r="AH36" i="8"/>
  <c r="AH36" i="9"/>
  <c r="AH36" i="16"/>
  <c r="AI36" i="8"/>
  <c r="AI36" i="9"/>
  <c r="AI36" i="16"/>
  <c r="AJ36" i="8"/>
  <c r="AJ36" i="9"/>
  <c r="AJ36" i="16"/>
  <c r="AK36" i="8"/>
  <c r="AK36" i="9"/>
  <c r="AK36" i="16"/>
  <c r="AL36" i="8"/>
  <c r="AL36" i="9"/>
  <c r="AL36" i="16"/>
  <c r="AM36" i="8"/>
  <c r="AM36" i="9"/>
  <c r="AM36" i="16"/>
  <c r="AN36" i="8"/>
  <c r="AN36" i="9"/>
  <c r="AN36" i="16"/>
  <c r="AO36" i="8"/>
  <c r="AO36" i="9"/>
  <c r="AO36" i="16"/>
  <c r="AP36" i="8"/>
  <c r="AP36" i="9"/>
  <c r="AP36" i="16"/>
  <c r="AQ36" i="8"/>
  <c r="AQ36" i="9"/>
  <c r="AQ36" i="16"/>
  <c r="AR36" i="8"/>
  <c r="AR36" i="9"/>
  <c r="AR36" i="16"/>
  <c r="AS36" i="8"/>
  <c r="AS36" i="9"/>
  <c r="AS36" i="16"/>
  <c r="AT36" i="8"/>
  <c r="AT36" i="9"/>
  <c r="AT36" i="16"/>
  <c r="C37" i="8"/>
  <c r="C37" i="9"/>
  <c r="C37" i="16"/>
  <c r="D37" i="8"/>
  <c r="D37" i="9"/>
  <c r="D37" i="16"/>
  <c r="E37" i="8"/>
  <c r="E37" i="9"/>
  <c r="E37" i="16"/>
  <c r="F37" i="8"/>
  <c r="F37" i="9"/>
  <c r="F37" i="16"/>
  <c r="G37" i="8"/>
  <c r="G37" i="9"/>
  <c r="G37" i="16"/>
  <c r="H37" i="8"/>
  <c r="H37" i="9"/>
  <c r="H37" i="16"/>
  <c r="I37" i="8"/>
  <c r="I37" i="9"/>
  <c r="I37" i="16"/>
  <c r="J37" i="8"/>
  <c r="J37" i="9"/>
  <c r="J37" i="16"/>
  <c r="K37" i="8"/>
  <c r="K37" i="9"/>
  <c r="K37" i="16"/>
  <c r="L37" i="8"/>
  <c r="L37" i="9"/>
  <c r="L37" i="16"/>
  <c r="M37" i="8"/>
  <c r="M37" i="9"/>
  <c r="M37" i="16"/>
  <c r="N37" i="8"/>
  <c r="N37" i="9"/>
  <c r="N37" i="16"/>
  <c r="O37" i="8"/>
  <c r="O37" i="9"/>
  <c r="O37" i="16"/>
  <c r="P37" i="8"/>
  <c r="P37" i="9"/>
  <c r="P37" i="16"/>
  <c r="Q37" i="8"/>
  <c r="Q37" i="9"/>
  <c r="Q37" i="16"/>
  <c r="R37" i="8"/>
  <c r="R37" i="9"/>
  <c r="R37" i="16"/>
  <c r="S37" i="8"/>
  <c r="S37" i="9"/>
  <c r="S37" i="16"/>
  <c r="T37" i="8"/>
  <c r="T37" i="9"/>
  <c r="T37" i="16"/>
  <c r="U37" i="8"/>
  <c r="U37" i="9"/>
  <c r="U37" i="16"/>
  <c r="V37" i="8"/>
  <c r="V37" i="9"/>
  <c r="V37" i="16"/>
  <c r="W37" i="8"/>
  <c r="W37" i="9"/>
  <c r="W37" i="16"/>
  <c r="X37" i="8"/>
  <c r="X37" i="9"/>
  <c r="X37" i="16"/>
  <c r="Y37" i="8"/>
  <c r="Y37" i="9"/>
  <c r="Y37" i="16"/>
  <c r="Z37" i="8"/>
  <c r="Z37" i="9"/>
  <c r="Z37" i="16"/>
  <c r="AA37" i="8"/>
  <c r="AA37" i="9"/>
  <c r="AA37" i="16"/>
  <c r="AB37" i="8"/>
  <c r="AB37" i="9"/>
  <c r="AB37" i="16"/>
  <c r="AC37" i="8"/>
  <c r="AC37" i="9"/>
  <c r="AC37" i="16"/>
  <c r="AD37" i="8"/>
  <c r="AD37" i="9"/>
  <c r="AD37" i="16"/>
  <c r="AE37" i="8"/>
  <c r="AE37" i="9"/>
  <c r="AE37" i="16"/>
  <c r="AF37" i="8"/>
  <c r="AF37" i="9"/>
  <c r="AF37" i="16"/>
  <c r="AG37" i="8"/>
  <c r="AG37" i="9"/>
  <c r="AG37" i="16"/>
  <c r="AH37" i="8"/>
  <c r="AH37" i="9"/>
  <c r="AH37" i="16"/>
  <c r="AI37" i="8"/>
  <c r="AI37" i="9"/>
  <c r="AI37" i="16"/>
  <c r="AJ37" i="8"/>
  <c r="AJ37" i="9"/>
  <c r="AJ37" i="16"/>
  <c r="AK37" i="8"/>
  <c r="AK37" i="9"/>
  <c r="AK37" i="16"/>
  <c r="AL37" i="8"/>
  <c r="AL37" i="9"/>
  <c r="AL37" i="16"/>
  <c r="AM37" i="8"/>
  <c r="AM37" i="9"/>
  <c r="AM37" i="16"/>
  <c r="AN37" i="8"/>
  <c r="AN37" i="9"/>
  <c r="AN37" i="16"/>
  <c r="AO37" i="8"/>
  <c r="AO37" i="9"/>
  <c r="AO37" i="16"/>
  <c r="AP37" i="8"/>
  <c r="AP37" i="9"/>
  <c r="AP37" i="16"/>
  <c r="AQ37" i="8"/>
  <c r="AQ37" i="9"/>
  <c r="AQ37" i="16"/>
  <c r="AR37" i="8"/>
  <c r="AR37" i="9"/>
  <c r="AR37" i="16"/>
  <c r="AS37" i="8"/>
  <c r="AS37" i="9"/>
  <c r="AS37" i="16"/>
  <c r="AT37" i="8"/>
  <c r="AT37" i="9"/>
  <c r="AT37" i="16"/>
  <c r="C38" i="8"/>
  <c r="C38" i="9"/>
  <c r="C38" i="16"/>
  <c r="D38" i="8"/>
  <c r="D38" i="9"/>
  <c r="D38" i="16"/>
  <c r="E38" i="8"/>
  <c r="E38" i="9"/>
  <c r="E38" i="16"/>
  <c r="F38" i="8"/>
  <c r="F38" i="9"/>
  <c r="F38" i="16"/>
  <c r="G38" i="8"/>
  <c r="G38" i="9"/>
  <c r="G38" i="16"/>
  <c r="H38" i="8"/>
  <c r="H38" i="9"/>
  <c r="H38" i="16"/>
  <c r="I38" i="8"/>
  <c r="I38" i="9"/>
  <c r="I38" i="16"/>
  <c r="J38" i="8"/>
  <c r="J38" i="9"/>
  <c r="J38" i="16"/>
  <c r="K38" i="8"/>
  <c r="K38" i="9"/>
  <c r="K38" i="16"/>
  <c r="L38" i="8"/>
  <c r="L38" i="9"/>
  <c r="L38" i="16"/>
  <c r="M38" i="8"/>
  <c r="M38" i="9"/>
  <c r="M38" i="16"/>
  <c r="N38" i="8"/>
  <c r="N38" i="9"/>
  <c r="N38" i="16"/>
  <c r="O38" i="16"/>
  <c r="P38" i="8"/>
  <c r="P38" i="9"/>
  <c r="P38" i="16"/>
  <c r="Q38" i="8"/>
  <c r="Q38" i="9"/>
  <c r="Q38" i="16"/>
  <c r="R38" i="8"/>
  <c r="R38" i="9"/>
  <c r="R38" i="16"/>
  <c r="S38" i="8"/>
  <c r="S38" i="9"/>
  <c r="S38" i="16"/>
  <c r="T38" i="8"/>
  <c r="T38" i="9"/>
  <c r="T38" i="16"/>
  <c r="U38" i="8"/>
  <c r="U38" i="9"/>
  <c r="U38" i="16"/>
  <c r="V38" i="8"/>
  <c r="V38" i="9"/>
  <c r="V38" i="16"/>
  <c r="W38" i="8"/>
  <c r="W38" i="9"/>
  <c r="W38" i="16"/>
  <c r="X38" i="8"/>
  <c r="X38" i="9"/>
  <c r="X38" i="16"/>
  <c r="Y38" i="8"/>
  <c r="Y38" i="9"/>
  <c r="Y38" i="16"/>
  <c r="Z38" i="8"/>
  <c r="Z38" i="9"/>
  <c r="Z38" i="16"/>
  <c r="AA38" i="8"/>
  <c r="AA38" i="9"/>
  <c r="AA38" i="16"/>
  <c r="AB38" i="8"/>
  <c r="AB38" i="9"/>
  <c r="AB38" i="16"/>
  <c r="AC38" i="8"/>
  <c r="AC38" i="9"/>
  <c r="AC38" i="16"/>
  <c r="AD38" i="8"/>
  <c r="AD38" i="9"/>
  <c r="AD38" i="16"/>
  <c r="AE38" i="8"/>
  <c r="AE38" i="9"/>
  <c r="AF38" i="8"/>
  <c r="AF38" i="9"/>
  <c r="AF38" i="16"/>
  <c r="AG38" i="8"/>
  <c r="AG38" i="16"/>
  <c r="AH38" i="8"/>
  <c r="AH38" i="9"/>
  <c r="AH38" i="16"/>
  <c r="AI38" i="8"/>
  <c r="AI38" i="9"/>
  <c r="AI38" i="16"/>
  <c r="AJ38" i="8"/>
  <c r="AJ38" i="9"/>
  <c r="AJ38" i="16"/>
  <c r="AK38" i="8"/>
  <c r="AK38" i="9"/>
  <c r="AK38" i="16"/>
  <c r="AL38" i="8"/>
  <c r="AL38" i="9"/>
  <c r="AL38" i="16"/>
  <c r="AM38" i="8"/>
  <c r="AM38" i="9"/>
  <c r="AM38" i="16"/>
  <c r="AN38" i="8"/>
  <c r="AN38" i="9"/>
  <c r="AN38" i="16"/>
  <c r="AO38" i="8"/>
  <c r="AO38" i="9"/>
  <c r="AO38" i="16"/>
  <c r="AP38" i="8"/>
  <c r="AP38" i="16"/>
  <c r="AQ38" i="8"/>
  <c r="AQ38" i="16"/>
  <c r="AR38" i="8"/>
  <c r="AR38" i="9"/>
  <c r="AR38" i="16"/>
  <c r="AS38" i="8"/>
  <c r="AS38" i="9"/>
  <c r="AS38" i="16"/>
  <c r="AT38" i="16"/>
  <c r="C39" i="8"/>
  <c r="C39" i="9"/>
  <c r="C39" i="16"/>
  <c r="D39" i="8"/>
  <c r="D39" i="9"/>
  <c r="D39" i="16"/>
  <c r="E39" i="8"/>
  <c r="E39" i="9"/>
  <c r="E39" i="16"/>
  <c r="F39" i="8"/>
  <c r="F39" i="9"/>
  <c r="F39" i="16"/>
  <c r="G39" i="8"/>
  <c r="G39" i="9"/>
  <c r="G39" i="16"/>
  <c r="H39" i="8"/>
  <c r="H39" i="9"/>
  <c r="H39" i="16"/>
  <c r="I39" i="8"/>
  <c r="I39" i="9"/>
  <c r="I39" i="16"/>
  <c r="J39" i="8"/>
  <c r="J39" i="9"/>
  <c r="J39" i="16"/>
  <c r="K39" i="8"/>
  <c r="K39" i="9"/>
  <c r="K39" i="16"/>
  <c r="L39" i="8"/>
  <c r="L39" i="9"/>
  <c r="L39" i="16"/>
  <c r="M39" i="8"/>
  <c r="M39" i="9"/>
  <c r="M39" i="16"/>
  <c r="N39" i="8"/>
  <c r="N39" i="9"/>
  <c r="N39" i="16"/>
  <c r="O39" i="8"/>
  <c r="O39" i="9"/>
  <c r="O39" i="16"/>
  <c r="P39" i="8"/>
  <c r="P39" i="9"/>
  <c r="P39" i="16"/>
  <c r="Q39" i="8"/>
  <c r="Q39" i="9"/>
  <c r="Q39" i="16"/>
  <c r="R39" i="8"/>
  <c r="R39" i="9"/>
  <c r="R39" i="16"/>
  <c r="S39" i="8"/>
  <c r="S39" i="9"/>
  <c r="S39" i="16"/>
  <c r="T39" i="8"/>
  <c r="T39" i="9"/>
  <c r="T39" i="16"/>
  <c r="U39" i="8"/>
  <c r="U39" i="9"/>
  <c r="U39" i="16"/>
  <c r="V39" i="8"/>
  <c r="V39" i="9"/>
  <c r="V39" i="16"/>
  <c r="W39" i="8"/>
  <c r="W39" i="9"/>
  <c r="W39" i="16"/>
  <c r="X39" i="8"/>
  <c r="X39" i="9"/>
  <c r="X39" i="16"/>
  <c r="Y39" i="8"/>
  <c r="Y39" i="9"/>
  <c r="Y39" i="16"/>
  <c r="Z39" i="8"/>
  <c r="Z39" i="9"/>
  <c r="Z39" i="16"/>
  <c r="AA39" i="8"/>
  <c r="AA39" i="9"/>
  <c r="AA39" i="16"/>
  <c r="AB39" i="8"/>
  <c r="AB39" i="9"/>
  <c r="AB39" i="16"/>
  <c r="AC39" i="8"/>
  <c r="AC39" i="9"/>
  <c r="AC39" i="16"/>
  <c r="AD39" i="8"/>
  <c r="AD39" i="9"/>
  <c r="AD39" i="16"/>
  <c r="AE39" i="16"/>
  <c r="AF39" i="9"/>
  <c r="AF39" i="16"/>
  <c r="AG39" i="8"/>
  <c r="AG39" i="9"/>
  <c r="AG39" i="16"/>
  <c r="AH39" i="8"/>
  <c r="AH39" i="9"/>
  <c r="AH39" i="16"/>
  <c r="AI39" i="8"/>
  <c r="AI39" i="9"/>
  <c r="AI39" i="16"/>
  <c r="AJ39" i="8"/>
  <c r="AJ39" i="9"/>
  <c r="AJ39" i="16"/>
  <c r="AK39" i="8"/>
  <c r="AK39" i="9"/>
  <c r="AK39" i="16"/>
  <c r="AL39" i="8"/>
  <c r="AL39" i="9"/>
  <c r="AL39" i="16"/>
  <c r="AM39" i="8"/>
  <c r="AM39" i="9"/>
  <c r="AM39" i="16"/>
  <c r="AN39" i="16"/>
  <c r="AO39" i="16"/>
  <c r="AP39" i="8"/>
  <c r="AP39" i="9"/>
  <c r="AP39" i="16"/>
  <c r="AQ39" i="8"/>
  <c r="AQ39" i="9"/>
  <c r="AQ39" i="16"/>
  <c r="AR39" i="8"/>
  <c r="AR39" i="9"/>
  <c r="AR39" i="16"/>
  <c r="AS39" i="8"/>
  <c r="AS39" i="9"/>
  <c r="AS39" i="16"/>
  <c r="AT39" i="8"/>
  <c r="AT39" i="9"/>
  <c r="AT39" i="16"/>
  <c r="C40" i="8"/>
  <c r="C40" i="9"/>
  <c r="C40" i="16"/>
  <c r="D40" i="8"/>
  <c r="D40" i="9"/>
  <c r="D40" i="16"/>
  <c r="E40" i="8"/>
  <c r="E40" i="9"/>
  <c r="E40" i="16"/>
  <c r="F40" i="8"/>
  <c r="F40" i="9"/>
  <c r="F40" i="16"/>
  <c r="G40" i="8"/>
  <c r="G40" i="9"/>
  <c r="G40" i="16"/>
  <c r="H40" i="8"/>
  <c r="H40" i="9"/>
  <c r="H40" i="16"/>
  <c r="I40" i="8"/>
  <c r="I40" i="9"/>
  <c r="I40" i="16"/>
  <c r="J40" i="8"/>
  <c r="J40" i="9"/>
  <c r="J40" i="16"/>
  <c r="K40" i="8"/>
  <c r="K40" i="9"/>
  <c r="K40" i="16"/>
  <c r="L40" i="8"/>
  <c r="L40" i="9"/>
  <c r="L40" i="16"/>
  <c r="M40" i="8"/>
  <c r="M40" i="9"/>
  <c r="M40" i="16"/>
  <c r="N40" i="8"/>
  <c r="N40" i="9"/>
  <c r="N40" i="16"/>
  <c r="O40" i="8"/>
  <c r="O40" i="9"/>
  <c r="O40" i="16"/>
  <c r="P40" i="8"/>
  <c r="P40" i="9"/>
  <c r="P40" i="16"/>
  <c r="Q40" i="8"/>
  <c r="Q40" i="16"/>
  <c r="R40" i="8"/>
  <c r="R40" i="9"/>
  <c r="R40" i="16"/>
  <c r="S40" i="8"/>
  <c r="S40" i="9"/>
  <c r="S40" i="16"/>
  <c r="T40" i="8"/>
  <c r="T40" i="9"/>
  <c r="T40" i="16"/>
  <c r="U40" i="8"/>
  <c r="U40" i="9"/>
  <c r="U40" i="16"/>
  <c r="V40" i="8"/>
  <c r="V40" i="9"/>
  <c r="V40" i="16"/>
  <c r="W40" i="8"/>
  <c r="W40" i="9"/>
  <c r="W40" i="16"/>
  <c r="X40" i="8"/>
  <c r="X40" i="9"/>
  <c r="X40" i="16"/>
  <c r="Y40" i="8"/>
  <c r="Y40" i="9"/>
  <c r="Y40" i="16"/>
  <c r="Z40" i="8"/>
  <c r="Z40" i="9"/>
  <c r="Z40" i="16"/>
  <c r="AA40" i="8"/>
  <c r="AA40" i="9"/>
  <c r="AA40" i="16"/>
  <c r="AB40" i="8"/>
  <c r="AB40" i="9"/>
  <c r="AB40" i="16"/>
  <c r="AC40" i="8"/>
  <c r="AC40" i="9"/>
  <c r="AC40" i="16"/>
  <c r="AD40" i="8"/>
  <c r="AD40" i="9"/>
  <c r="AD40" i="16"/>
  <c r="AE40" i="8"/>
  <c r="AE40" i="9"/>
  <c r="AE40" i="16"/>
  <c r="AF40" i="8"/>
  <c r="AF40" i="9"/>
  <c r="AF40" i="16"/>
  <c r="AG40" i="8"/>
  <c r="AG40" i="9"/>
  <c r="AG40" i="16"/>
  <c r="AH40" i="8"/>
  <c r="AH40" i="9"/>
  <c r="AH40" i="16"/>
  <c r="AI40" i="8"/>
  <c r="AI40" i="9"/>
  <c r="AI40" i="16"/>
  <c r="AJ40" i="8"/>
  <c r="AJ40" i="9"/>
  <c r="AJ40" i="16"/>
  <c r="AK40" i="8"/>
  <c r="AK40" i="9"/>
  <c r="AK40" i="16"/>
  <c r="AL40" i="8"/>
  <c r="AL40" i="9"/>
  <c r="AL40" i="16"/>
  <c r="AM40" i="8"/>
  <c r="AM40" i="9"/>
  <c r="AM40" i="16"/>
  <c r="AN40" i="8"/>
  <c r="AN40" i="9"/>
  <c r="AN40" i="16"/>
  <c r="AO40" i="8"/>
  <c r="AO40" i="9"/>
  <c r="AO40" i="16"/>
  <c r="AP40" i="8"/>
  <c r="AP40" i="9"/>
  <c r="AP40" i="16"/>
  <c r="AQ40" i="8"/>
  <c r="AQ40" i="9"/>
  <c r="AQ40" i="16"/>
  <c r="AR40" i="8"/>
  <c r="AR40" i="9"/>
  <c r="AR40" i="16"/>
  <c r="AS40" i="8"/>
  <c r="AS40" i="9"/>
  <c r="AS40" i="16"/>
  <c r="AT40" i="8"/>
  <c r="AT40" i="9"/>
  <c r="AT40" i="16"/>
  <c r="C41" i="8"/>
  <c r="C41" i="9"/>
  <c r="C41" i="16"/>
  <c r="D41" i="8"/>
  <c r="D41" i="9"/>
  <c r="D41" i="16"/>
  <c r="E41" i="8"/>
  <c r="E41" i="9"/>
  <c r="E41" i="16"/>
  <c r="F41" i="8"/>
  <c r="F41" i="9"/>
  <c r="F41" i="16"/>
  <c r="G41" i="8"/>
  <c r="G41" i="9"/>
  <c r="G41" i="16"/>
  <c r="H41" i="8"/>
  <c r="H41" i="9"/>
  <c r="H41" i="16"/>
  <c r="I41" i="8"/>
  <c r="I41" i="9"/>
  <c r="I41" i="16"/>
  <c r="J41" i="8"/>
  <c r="J41" i="9"/>
  <c r="J41" i="16"/>
  <c r="K41" i="8"/>
  <c r="K41" i="9"/>
  <c r="K41" i="16"/>
  <c r="L41" i="8"/>
  <c r="L41" i="9"/>
  <c r="L41" i="16"/>
  <c r="M41" i="8"/>
  <c r="M41" i="9"/>
  <c r="M41" i="16"/>
  <c r="N41" i="8"/>
  <c r="N41" i="9"/>
  <c r="N41" i="16"/>
  <c r="O41" i="8"/>
  <c r="O41" i="9"/>
  <c r="O41" i="16"/>
  <c r="P41" i="8"/>
  <c r="P41" i="9"/>
  <c r="P41" i="16"/>
  <c r="Q41" i="8"/>
  <c r="Q41" i="9"/>
  <c r="Q41" i="16"/>
  <c r="R41" i="8"/>
  <c r="R41" i="9"/>
  <c r="R41" i="16"/>
  <c r="S41" i="8"/>
  <c r="S41" i="9"/>
  <c r="S41" i="16"/>
  <c r="T41" i="8"/>
  <c r="T41" i="9"/>
  <c r="T41" i="16"/>
  <c r="U41" i="8"/>
  <c r="U41" i="9"/>
  <c r="U41" i="16"/>
  <c r="V41" i="8"/>
  <c r="V41" i="9"/>
  <c r="V41" i="16"/>
  <c r="W41" i="8"/>
  <c r="W41" i="9"/>
  <c r="W41" i="16"/>
  <c r="X41" i="8"/>
  <c r="X41" i="9"/>
  <c r="X41" i="16"/>
  <c r="Y41" i="8"/>
  <c r="Y41" i="9"/>
  <c r="Y41" i="16"/>
  <c r="Z41" i="8"/>
  <c r="Z41" i="9"/>
  <c r="Z41" i="16"/>
  <c r="AA41" i="8"/>
  <c r="AA41" i="9"/>
  <c r="AA41" i="16"/>
  <c r="AB41" i="8"/>
  <c r="AB41" i="9"/>
  <c r="AB41" i="16"/>
  <c r="AC41" i="8"/>
  <c r="AC41" i="9"/>
  <c r="AC41" i="16"/>
  <c r="AD41" i="8"/>
  <c r="AD41" i="9"/>
  <c r="AD41" i="16"/>
  <c r="AE41" i="8"/>
  <c r="AE41" i="9"/>
  <c r="AE41" i="16"/>
  <c r="AF41" i="8"/>
  <c r="AF41" i="9"/>
  <c r="AF41" i="16"/>
  <c r="AG41" i="8"/>
  <c r="AG41" i="9"/>
  <c r="AG41" i="16"/>
  <c r="AH41" i="8"/>
  <c r="AH41" i="9"/>
  <c r="AH41" i="16"/>
  <c r="AI41" i="8"/>
  <c r="AI41" i="9"/>
  <c r="AI41" i="16"/>
  <c r="AJ41" i="8"/>
  <c r="AJ41" i="9"/>
  <c r="AJ41" i="16"/>
  <c r="AK41" i="8"/>
  <c r="AK41" i="9"/>
  <c r="AK41" i="16"/>
  <c r="AL41" i="8"/>
  <c r="AL41" i="9"/>
  <c r="AL41" i="16"/>
  <c r="AM41" i="8"/>
  <c r="AM41" i="9"/>
  <c r="AM41" i="16"/>
  <c r="AN41" i="8"/>
  <c r="AN41" i="9"/>
  <c r="AN41" i="16"/>
  <c r="AO41" i="16"/>
  <c r="AP41" i="8"/>
  <c r="AP41" i="9"/>
  <c r="AP41" i="16"/>
  <c r="AQ41" i="8"/>
  <c r="AQ41" i="9"/>
  <c r="AQ41" i="16"/>
  <c r="AR41" i="8"/>
  <c r="AR41" i="9"/>
  <c r="AR41" i="16"/>
  <c r="AS41" i="8"/>
  <c r="AS41" i="9"/>
  <c r="AS41" i="16"/>
  <c r="AT41" i="8"/>
  <c r="AT41" i="9"/>
  <c r="AT41" i="16"/>
  <c r="C42" i="8"/>
  <c r="C42" i="9"/>
  <c r="C42" i="16"/>
  <c r="D42" i="8"/>
  <c r="D42" i="9"/>
  <c r="D42" i="16"/>
  <c r="E42" i="8"/>
  <c r="E42" i="9"/>
  <c r="E42" i="16"/>
  <c r="F42" i="8"/>
  <c r="F42" i="9"/>
  <c r="F42" i="16"/>
  <c r="G42" i="8"/>
  <c r="G42" i="9"/>
  <c r="G42" i="16"/>
  <c r="H42" i="8"/>
  <c r="H42" i="9"/>
  <c r="H42" i="16"/>
  <c r="I42" i="8"/>
  <c r="I42" i="9"/>
  <c r="I42" i="16"/>
  <c r="J42" i="8"/>
  <c r="J42" i="9"/>
  <c r="J42" i="16"/>
  <c r="K42" i="8"/>
  <c r="K42" i="9"/>
  <c r="K42" i="16"/>
  <c r="L42" i="8"/>
  <c r="L42" i="9"/>
  <c r="L42" i="16"/>
  <c r="M42" i="8"/>
  <c r="M42" i="9"/>
  <c r="M42" i="16"/>
  <c r="N42" i="8"/>
  <c r="N42" i="9"/>
  <c r="N42" i="16"/>
  <c r="O42" i="8"/>
  <c r="O42" i="9"/>
  <c r="O42" i="16"/>
  <c r="P42" i="8"/>
  <c r="P42" i="9"/>
  <c r="P42" i="16"/>
  <c r="Q42" i="8"/>
  <c r="Q42" i="9"/>
  <c r="Q42" i="16"/>
  <c r="R42" i="8"/>
  <c r="R42" i="9"/>
  <c r="R42" i="16"/>
  <c r="S42" i="8"/>
  <c r="S42" i="9"/>
  <c r="S42" i="16"/>
  <c r="T42" i="8"/>
  <c r="T42" i="9"/>
  <c r="T42" i="16"/>
  <c r="U42" i="8"/>
  <c r="U42" i="9"/>
  <c r="U42" i="16"/>
  <c r="V42" i="8"/>
  <c r="V42" i="9"/>
  <c r="V42" i="16"/>
  <c r="W42" i="8"/>
  <c r="W42" i="9"/>
  <c r="W42" i="16"/>
  <c r="X42" i="8"/>
  <c r="X42" i="9"/>
  <c r="X42" i="16"/>
  <c r="Y42" i="8"/>
  <c r="Y42" i="9"/>
  <c r="Y42" i="16"/>
  <c r="Z42" i="8"/>
  <c r="Z42" i="9"/>
  <c r="Z42" i="16"/>
  <c r="AA42" i="8"/>
  <c r="AA42" i="9"/>
  <c r="AA42" i="16"/>
  <c r="AB42" i="8"/>
  <c r="AB42" i="9"/>
  <c r="AB42" i="16"/>
  <c r="AC42" i="8"/>
  <c r="AC42" i="9"/>
  <c r="AC42" i="16"/>
  <c r="AD42" i="8"/>
  <c r="AD42" i="9"/>
  <c r="AD42" i="16"/>
  <c r="AE42" i="8"/>
  <c r="AE42" i="9"/>
  <c r="AE42" i="16"/>
  <c r="AF42" i="8"/>
  <c r="AF42" i="9"/>
  <c r="AF42" i="16"/>
  <c r="AG42" i="8"/>
  <c r="AG42" i="9"/>
  <c r="AG42" i="16"/>
  <c r="AH42" i="8"/>
  <c r="AH42" i="9"/>
  <c r="AH42" i="16"/>
  <c r="AI42" i="8"/>
  <c r="AI42" i="9"/>
  <c r="AI42" i="16"/>
  <c r="AJ42" i="8"/>
  <c r="AJ42" i="9"/>
  <c r="AJ42" i="16"/>
  <c r="AK42" i="16"/>
  <c r="AL42" i="8"/>
  <c r="AL42" i="9"/>
  <c r="AL42" i="16"/>
  <c r="AM42" i="8"/>
  <c r="AM42" i="9"/>
  <c r="AM42" i="16"/>
  <c r="AN42" i="8"/>
  <c r="AN42" i="9"/>
  <c r="AN42" i="16"/>
  <c r="AO42" i="8"/>
  <c r="AO42" i="9"/>
  <c r="AO42" i="16"/>
  <c r="AP42" i="8"/>
  <c r="AP42" i="9"/>
  <c r="AP42" i="16"/>
  <c r="AQ42" i="8"/>
  <c r="AQ42" i="9"/>
  <c r="AQ42" i="16"/>
  <c r="AR42" i="8"/>
  <c r="AR42" i="9"/>
  <c r="AR42" i="16"/>
  <c r="AS42" i="8"/>
  <c r="AS42" i="9"/>
  <c r="AS42" i="16"/>
  <c r="AT42" i="8"/>
  <c r="AT42" i="9"/>
  <c r="AT42" i="16"/>
  <c r="C43" i="8"/>
  <c r="C43" i="9"/>
  <c r="C43" i="16"/>
  <c r="D43" i="8"/>
  <c r="D43" i="9"/>
  <c r="D43" i="16"/>
  <c r="E43" i="8"/>
  <c r="E43" i="9"/>
  <c r="E43" i="16"/>
  <c r="F43" i="8"/>
  <c r="F43" i="9"/>
  <c r="F43" i="16"/>
  <c r="G43" i="8"/>
  <c r="G43" i="9"/>
  <c r="G43" i="16"/>
  <c r="H43" i="8"/>
  <c r="H43" i="9"/>
  <c r="H43" i="16"/>
  <c r="I43" i="8"/>
  <c r="I43" i="9"/>
  <c r="I43" i="16"/>
  <c r="J43" i="8"/>
  <c r="J43" i="9"/>
  <c r="J43" i="16"/>
  <c r="K43" i="8"/>
  <c r="K43" i="9"/>
  <c r="K43" i="16"/>
  <c r="L43" i="8"/>
  <c r="L43" i="9"/>
  <c r="L43" i="16"/>
  <c r="M43" i="8"/>
  <c r="M43" i="9"/>
  <c r="M43" i="16"/>
  <c r="N43" i="8"/>
  <c r="N43" i="9"/>
  <c r="N43" i="16"/>
  <c r="O43" i="8"/>
  <c r="O43" i="9"/>
  <c r="O43" i="16"/>
  <c r="P43" i="8"/>
  <c r="P43" i="9"/>
  <c r="P43" i="16"/>
  <c r="Q43" i="8"/>
  <c r="Q43" i="9"/>
  <c r="Q43" i="16"/>
  <c r="R43" i="8"/>
  <c r="R43" i="9"/>
  <c r="R43" i="16"/>
  <c r="S43" i="8"/>
  <c r="S43" i="9"/>
  <c r="S43" i="16"/>
  <c r="T43" i="8"/>
  <c r="T43" i="9"/>
  <c r="T43" i="16"/>
  <c r="U43" i="8"/>
  <c r="U43" i="9"/>
  <c r="U43" i="16"/>
  <c r="V43" i="8"/>
  <c r="V43" i="9"/>
  <c r="V43" i="16"/>
  <c r="W43" i="8"/>
  <c r="W43" i="9"/>
  <c r="W43" i="16"/>
  <c r="X43" i="8"/>
  <c r="X43" i="9"/>
  <c r="X43" i="16"/>
  <c r="Y43" i="8"/>
  <c r="Y43" i="9"/>
  <c r="Y43" i="16"/>
  <c r="Z43" i="8"/>
  <c r="Z43" i="9"/>
  <c r="Z43" i="16"/>
  <c r="AA43" i="8"/>
  <c r="AA43" i="9"/>
  <c r="AA43" i="16"/>
  <c r="AB43" i="8"/>
  <c r="AB43" i="9"/>
  <c r="AB43" i="16"/>
  <c r="AC43" i="8"/>
  <c r="AC43" i="9"/>
  <c r="AC43" i="16"/>
  <c r="AD43" i="8"/>
  <c r="AD43" i="9"/>
  <c r="AD43" i="16"/>
  <c r="AE43" i="8"/>
  <c r="AE43" i="9"/>
  <c r="AE43" i="16"/>
  <c r="AF43" i="8"/>
  <c r="AF43" i="9"/>
  <c r="AF43" i="16"/>
  <c r="AG43" i="8"/>
  <c r="AG43" i="9"/>
  <c r="AG43" i="16"/>
  <c r="AH43" i="8"/>
  <c r="AH43" i="9"/>
  <c r="AH43" i="16"/>
  <c r="AI43" i="8"/>
  <c r="AI43" i="9"/>
  <c r="AI43" i="16"/>
  <c r="AJ43" i="8"/>
  <c r="AJ43" i="9"/>
  <c r="AJ43" i="16"/>
  <c r="AK43" i="16"/>
  <c r="AL43" i="8"/>
  <c r="AL43" i="9"/>
  <c r="AL43" i="16"/>
  <c r="AM43" i="16"/>
  <c r="AN43" i="8"/>
  <c r="AN43" i="9"/>
  <c r="AN43" i="16"/>
  <c r="AO43" i="8"/>
  <c r="AO43" i="9"/>
  <c r="AO43" i="16"/>
  <c r="AP43" i="8"/>
  <c r="AP43" i="9"/>
  <c r="AP43" i="16"/>
  <c r="AQ43" i="8"/>
  <c r="AQ43" i="9"/>
  <c r="AQ43" i="16"/>
  <c r="AR43" i="8"/>
  <c r="AR43" i="9"/>
  <c r="AR43" i="16"/>
  <c r="AS43" i="8"/>
  <c r="AS43" i="9"/>
  <c r="AS43" i="16"/>
  <c r="AT43" i="8"/>
  <c r="AT43" i="9"/>
  <c r="AT43" i="16"/>
  <c r="C44" i="8"/>
  <c r="C44" i="9"/>
  <c r="C44" i="16"/>
  <c r="D44" i="8"/>
  <c r="D44" i="9"/>
  <c r="D44" i="16"/>
  <c r="E44" i="8"/>
  <c r="E44" i="9"/>
  <c r="E44" i="16"/>
  <c r="F44" i="8"/>
  <c r="F44" i="9"/>
  <c r="F44" i="16"/>
  <c r="G44" i="8"/>
  <c r="G44" i="9"/>
  <c r="G44" i="16"/>
  <c r="H44" i="8"/>
  <c r="H44" i="9"/>
  <c r="H44" i="16"/>
  <c r="I44" i="8"/>
  <c r="I44" i="9"/>
  <c r="I44" i="16"/>
  <c r="J44" i="8"/>
  <c r="J44" i="9"/>
  <c r="J44" i="16"/>
  <c r="K44" i="8"/>
  <c r="K44" i="9"/>
  <c r="K44" i="16"/>
  <c r="L44" i="8"/>
  <c r="L44" i="9"/>
  <c r="L44" i="16"/>
  <c r="M44" i="8"/>
  <c r="M44" i="9"/>
  <c r="M44" i="16"/>
  <c r="N44" i="8"/>
  <c r="N44" i="9"/>
  <c r="N44" i="16"/>
  <c r="O44" i="8"/>
  <c r="O44" i="9"/>
  <c r="O44" i="16"/>
  <c r="P44" i="8"/>
  <c r="P44" i="9"/>
  <c r="P44" i="16"/>
  <c r="Q44" i="8"/>
  <c r="Q44" i="9"/>
  <c r="Q44" i="16"/>
  <c r="R44" i="8"/>
  <c r="R44" i="9"/>
  <c r="R44" i="16"/>
  <c r="S44" i="8"/>
  <c r="S44" i="9"/>
  <c r="S44" i="16"/>
  <c r="T44" i="8"/>
  <c r="T44" i="9"/>
  <c r="T44" i="16"/>
  <c r="U44" i="8"/>
  <c r="U44" i="9"/>
  <c r="U44" i="16"/>
  <c r="V44" i="8"/>
  <c r="V44" i="9"/>
  <c r="V44" i="16"/>
  <c r="W44" i="8"/>
  <c r="W44" i="9"/>
  <c r="W44" i="16"/>
  <c r="X44" i="8"/>
  <c r="X44" i="9"/>
  <c r="X44" i="16"/>
  <c r="Y44" i="8"/>
  <c r="Y44" i="9"/>
  <c r="Y44" i="16"/>
  <c r="Z44" i="8"/>
  <c r="Z44" i="9"/>
  <c r="Z44" i="16"/>
  <c r="AA44" i="8"/>
  <c r="AA44" i="9"/>
  <c r="AA44" i="16"/>
  <c r="AB44" i="8"/>
  <c r="AB44" i="9"/>
  <c r="AB44" i="16"/>
  <c r="AC44" i="8"/>
  <c r="AC44" i="9"/>
  <c r="AC44" i="16"/>
  <c r="AD44" i="8"/>
  <c r="AD44" i="9"/>
  <c r="AD44" i="16"/>
  <c r="AE44" i="9"/>
  <c r="AE44" i="16"/>
  <c r="AF44" i="8"/>
  <c r="AF44" i="9"/>
  <c r="AF44" i="16"/>
  <c r="AG44" i="8"/>
  <c r="AG44" i="9"/>
  <c r="AG44" i="16"/>
  <c r="AH44" i="8"/>
  <c r="AH44" i="9"/>
  <c r="AH44" i="16"/>
  <c r="AI44" i="8"/>
  <c r="AI44" i="9"/>
  <c r="AI44" i="16"/>
  <c r="AJ44" i="16"/>
  <c r="AK44" i="8"/>
  <c r="AK44" i="9"/>
  <c r="AK44" i="16"/>
  <c r="AL44" i="8"/>
  <c r="AL44" i="9"/>
  <c r="AL44" i="16"/>
  <c r="AM44" i="8"/>
  <c r="AM44" i="9"/>
  <c r="AM44" i="16"/>
  <c r="AN44" i="8"/>
  <c r="AN44" i="9"/>
  <c r="AN44" i="16"/>
  <c r="AO44" i="8"/>
  <c r="AO44" i="9"/>
  <c r="AO44" i="16"/>
  <c r="AP44" i="8"/>
  <c r="AP44" i="9"/>
  <c r="AP44" i="16"/>
  <c r="AQ44" i="8"/>
  <c r="AQ44" i="9"/>
  <c r="AQ44" i="16"/>
  <c r="AR44" i="8"/>
  <c r="AR44" i="9"/>
  <c r="AR44" i="16"/>
  <c r="AS44" i="8"/>
  <c r="AS44" i="9"/>
  <c r="AS44" i="16"/>
  <c r="AT44" i="8"/>
  <c r="AT44" i="9"/>
  <c r="C45" i="8"/>
  <c r="C45" i="9"/>
  <c r="C45" i="16"/>
  <c r="D45" i="8"/>
  <c r="D45" i="9"/>
  <c r="D45" i="16"/>
  <c r="E45" i="8"/>
  <c r="E45" i="9"/>
  <c r="E45" i="16"/>
  <c r="F45" i="8"/>
  <c r="F45" i="9"/>
  <c r="F45" i="16"/>
  <c r="G45" i="8"/>
  <c r="G45" i="9"/>
  <c r="G45" i="16"/>
  <c r="H45" i="8"/>
  <c r="H45" i="9"/>
  <c r="H45" i="16"/>
  <c r="I45" i="8"/>
  <c r="I45" i="9"/>
  <c r="I45" i="16"/>
  <c r="J45" i="8"/>
  <c r="J45" i="9"/>
  <c r="J45" i="16"/>
  <c r="K45" i="8"/>
  <c r="K45" i="9"/>
  <c r="K45" i="16"/>
  <c r="L45" i="8"/>
  <c r="L45" i="9"/>
  <c r="L45" i="16"/>
  <c r="M45" i="8"/>
  <c r="M45" i="16"/>
  <c r="N45" i="8"/>
  <c r="N45" i="9"/>
  <c r="N45" i="16"/>
  <c r="O45" i="8"/>
  <c r="O45" i="9"/>
  <c r="O45" i="16"/>
  <c r="P45" i="8"/>
  <c r="P45" i="9"/>
  <c r="P45" i="16"/>
  <c r="Q45" i="8"/>
  <c r="Q45" i="16"/>
  <c r="R45" i="8"/>
  <c r="R45" i="9"/>
  <c r="R45" i="16"/>
  <c r="S45" i="8"/>
  <c r="S45" i="9"/>
  <c r="S45" i="16"/>
  <c r="T45" i="8"/>
  <c r="T45" i="9"/>
  <c r="T45" i="16"/>
  <c r="U45" i="8"/>
  <c r="U45" i="9"/>
  <c r="U45" i="16"/>
  <c r="V45" i="8"/>
  <c r="V45" i="9"/>
  <c r="V45" i="16"/>
  <c r="W45" i="8"/>
  <c r="W45" i="9"/>
  <c r="W45" i="16"/>
  <c r="X45" i="8"/>
  <c r="X45" i="9"/>
  <c r="X45" i="16"/>
  <c r="Y45" i="8"/>
  <c r="Y45" i="9"/>
  <c r="Y45" i="16"/>
  <c r="Z45" i="8"/>
  <c r="Z45" i="9"/>
  <c r="Z45" i="16"/>
  <c r="AA45" i="8"/>
  <c r="AA45" i="9"/>
  <c r="AA45" i="16"/>
  <c r="AB45" i="16"/>
  <c r="AC45" i="8"/>
  <c r="AC45" i="9"/>
  <c r="AC45" i="16"/>
  <c r="AD45" i="8"/>
  <c r="AD45" i="9"/>
  <c r="AD45" i="16"/>
  <c r="AE45" i="9"/>
  <c r="AE45" i="16"/>
  <c r="AF45" i="8"/>
  <c r="AF45" i="9"/>
  <c r="AF45" i="16"/>
  <c r="AG45" i="8"/>
  <c r="AG45" i="9"/>
  <c r="AG45" i="16"/>
  <c r="AH45" i="8"/>
  <c r="AH45" i="9"/>
  <c r="AH45" i="16"/>
  <c r="AI45" i="8"/>
  <c r="AI45" i="9"/>
  <c r="AI45" i="16"/>
  <c r="AJ45" i="8"/>
  <c r="AJ45" i="9"/>
  <c r="AJ45" i="16"/>
  <c r="AK45" i="8"/>
  <c r="AK45" i="9"/>
  <c r="AK45" i="16"/>
  <c r="AL45" i="8"/>
  <c r="AL45" i="9"/>
  <c r="AL45" i="16"/>
  <c r="AM45" i="8"/>
  <c r="AM45" i="9"/>
  <c r="AM45" i="16"/>
  <c r="AN45" i="8"/>
  <c r="AN45" i="9"/>
  <c r="AN45" i="16"/>
  <c r="AO45" i="8"/>
  <c r="AO45" i="9"/>
  <c r="AO45" i="16"/>
  <c r="AP45" i="8"/>
  <c r="AP45" i="9"/>
  <c r="AP45" i="16"/>
  <c r="AQ45" i="8"/>
  <c r="AQ45" i="9"/>
  <c r="AQ45" i="16"/>
  <c r="AR45" i="8"/>
  <c r="AR45" i="9"/>
  <c r="AR45" i="16"/>
  <c r="AS45" i="8"/>
  <c r="AS45" i="9"/>
  <c r="AS45" i="16"/>
  <c r="AT45" i="8"/>
  <c r="AT45" i="9"/>
  <c r="AT45" i="16"/>
  <c r="C46" i="8"/>
  <c r="C46" i="9"/>
  <c r="C46" i="16"/>
  <c r="D46" i="8"/>
  <c r="D46" i="9"/>
  <c r="D46" i="16"/>
  <c r="E46" i="8"/>
  <c r="E46" i="9"/>
  <c r="E46" i="16"/>
  <c r="F46" i="8"/>
  <c r="F46" i="9"/>
  <c r="F46" i="16"/>
  <c r="G46" i="8"/>
  <c r="G46" i="9"/>
  <c r="G46" i="16"/>
  <c r="H46" i="8"/>
  <c r="H46" i="9"/>
  <c r="H46" i="16"/>
  <c r="I46" i="8"/>
  <c r="I46" i="9"/>
  <c r="I46" i="16"/>
  <c r="J46" i="8"/>
  <c r="J46" i="9"/>
  <c r="J46" i="16"/>
  <c r="K46" i="8"/>
  <c r="K46" i="9"/>
  <c r="K46" i="16"/>
  <c r="L46" i="8"/>
  <c r="L46" i="9"/>
  <c r="L46" i="16"/>
  <c r="M46" i="8"/>
  <c r="M46" i="9"/>
  <c r="M46" i="16"/>
  <c r="N46" i="8"/>
  <c r="N46" i="9"/>
  <c r="N46" i="16"/>
  <c r="O46" i="8"/>
  <c r="O46" i="9"/>
  <c r="O46" i="16"/>
  <c r="P46" i="8"/>
  <c r="P46" i="9"/>
  <c r="P46" i="16"/>
  <c r="Q46" i="8"/>
  <c r="Q46" i="9"/>
  <c r="Q46" i="16"/>
  <c r="R46" i="8"/>
  <c r="R46" i="9"/>
  <c r="R46" i="16"/>
  <c r="S46" i="8"/>
  <c r="S46" i="9"/>
  <c r="S46" i="16"/>
  <c r="T46" i="8"/>
  <c r="T46" i="9"/>
  <c r="T46" i="16"/>
  <c r="U46" i="8"/>
  <c r="U46" i="9"/>
  <c r="U46" i="16"/>
  <c r="V46" i="8"/>
  <c r="V46" i="9"/>
  <c r="V46" i="16"/>
  <c r="W46" i="8"/>
  <c r="W46" i="9"/>
  <c r="W46" i="16"/>
  <c r="X46" i="8"/>
  <c r="X46" i="9"/>
  <c r="X46" i="16"/>
  <c r="Y46" i="8"/>
  <c r="Y46" i="9"/>
  <c r="Y46" i="16"/>
  <c r="Z46" i="8"/>
  <c r="Z46" i="9"/>
  <c r="Z46" i="16"/>
  <c r="AA46" i="8"/>
  <c r="AA46" i="9"/>
  <c r="AA46" i="16"/>
  <c r="AB46" i="8"/>
  <c r="AB46" i="9"/>
  <c r="AB46" i="16"/>
  <c r="AC46" i="8"/>
  <c r="AC46" i="9"/>
  <c r="AC46" i="16"/>
  <c r="AD46" i="8"/>
  <c r="AD46" i="9"/>
  <c r="AD46" i="16"/>
  <c r="AE46" i="8"/>
  <c r="AE46" i="9"/>
  <c r="AE46" i="16"/>
  <c r="AF46" i="8"/>
  <c r="AF46" i="9"/>
  <c r="AF46" i="16"/>
  <c r="AG46" i="8"/>
  <c r="AG46" i="9"/>
  <c r="AG46" i="16"/>
  <c r="AH46" i="8"/>
  <c r="AH46" i="9"/>
  <c r="AH46" i="16"/>
  <c r="AI46" i="8"/>
  <c r="AI46" i="9"/>
  <c r="AI46" i="16"/>
  <c r="AJ46" i="8"/>
  <c r="AJ46" i="9"/>
  <c r="AJ46" i="16"/>
  <c r="AK46" i="8"/>
  <c r="AK46" i="9"/>
  <c r="AK46" i="16"/>
  <c r="AL46" i="8"/>
  <c r="AL46" i="9"/>
  <c r="AL46" i="16"/>
  <c r="AM46" i="8"/>
  <c r="AM46" i="9"/>
  <c r="AM46" i="16"/>
  <c r="AN46" i="8"/>
  <c r="AN46" i="9"/>
  <c r="AN46" i="16"/>
  <c r="AO46" i="8"/>
  <c r="AO46" i="9"/>
  <c r="AO46" i="16"/>
  <c r="AP46" i="8"/>
  <c r="AP46" i="9"/>
  <c r="AP46" i="16"/>
  <c r="AQ46" i="8"/>
  <c r="AQ46" i="9"/>
  <c r="AQ46" i="16"/>
  <c r="AR46" i="8"/>
  <c r="AR46" i="9"/>
  <c r="AR46" i="16"/>
  <c r="AS46" i="8"/>
  <c r="AS46" i="9"/>
  <c r="AS46" i="16"/>
  <c r="AT46" i="8"/>
  <c r="AT46" i="9"/>
  <c r="AT46" i="16"/>
  <c r="C47" i="8"/>
  <c r="C47" i="9"/>
  <c r="C47" i="16"/>
  <c r="D47" i="8"/>
  <c r="D47" i="9"/>
  <c r="D47" i="16"/>
  <c r="E47" i="8"/>
  <c r="E47" i="9"/>
  <c r="E47" i="16"/>
  <c r="F47" i="8"/>
  <c r="F47" i="9"/>
  <c r="F47" i="16"/>
  <c r="G47" i="8"/>
  <c r="G47" i="9"/>
  <c r="G47" i="16"/>
  <c r="H47" i="8"/>
  <c r="H47" i="9"/>
  <c r="H47" i="16"/>
  <c r="I47" i="8"/>
  <c r="I47" i="9"/>
  <c r="I47" i="16"/>
  <c r="J47" i="8"/>
  <c r="J47" i="9"/>
  <c r="J47" i="16"/>
  <c r="K47" i="8"/>
  <c r="K47" i="9"/>
  <c r="K47" i="16"/>
  <c r="L47" i="8"/>
  <c r="L47" i="9"/>
  <c r="L47" i="16"/>
  <c r="M47" i="8"/>
  <c r="M47" i="9"/>
  <c r="M47" i="16"/>
  <c r="N47" i="8"/>
  <c r="N47" i="9"/>
  <c r="N47" i="16"/>
  <c r="O47" i="8"/>
  <c r="O47" i="9"/>
  <c r="O47" i="16"/>
  <c r="P47" i="8"/>
  <c r="P47" i="9"/>
  <c r="P47" i="16"/>
  <c r="Q47" i="8"/>
  <c r="Q47" i="9"/>
  <c r="Q47" i="16"/>
  <c r="R47" i="8"/>
  <c r="R47" i="9"/>
  <c r="R47" i="16"/>
  <c r="S47" i="8"/>
  <c r="S47" i="9"/>
  <c r="S47" i="16"/>
  <c r="T47" i="8"/>
  <c r="T47" i="9"/>
  <c r="T47" i="16"/>
  <c r="U47" i="8"/>
  <c r="U47" i="9"/>
  <c r="U47" i="16"/>
  <c r="V47" i="8"/>
  <c r="V47" i="9"/>
  <c r="V47" i="16"/>
  <c r="W47" i="8"/>
  <c r="W47" i="9"/>
  <c r="W47" i="16"/>
  <c r="X47" i="8"/>
  <c r="X47" i="9"/>
  <c r="X47" i="16"/>
  <c r="Y47" i="8"/>
  <c r="Y47" i="9"/>
  <c r="Y47" i="16"/>
  <c r="Z47" i="8"/>
  <c r="Z47" i="9"/>
  <c r="Z47" i="16"/>
  <c r="AA47" i="8"/>
  <c r="AA47" i="9"/>
  <c r="AA47" i="16"/>
  <c r="AB47" i="8"/>
  <c r="AB47" i="9"/>
  <c r="AB47" i="16"/>
  <c r="AC47" i="8"/>
  <c r="AC47" i="9"/>
  <c r="AC47" i="16"/>
  <c r="AD47" i="8"/>
  <c r="AD47" i="9"/>
  <c r="AD47" i="16"/>
  <c r="AE47" i="8"/>
  <c r="AE47" i="9"/>
  <c r="AE47" i="16"/>
  <c r="AF47" i="8"/>
  <c r="AF47" i="9"/>
  <c r="AF47" i="16"/>
  <c r="AG47" i="8"/>
  <c r="AG47" i="9"/>
  <c r="AG47" i="16"/>
  <c r="AH47" i="8"/>
  <c r="AH47" i="9"/>
  <c r="AH47" i="16"/>
  <c r="AI47" i="8"/>
  <c r="AI47" i="9"/>
  <c r="AI47" i="16"/>
  <c r="AJ47" i="8"/>
  <c r="AJ47" i="16"/>
  <c r="AK47" i="8"/>
  <c r="AK47" i="9"/>
  <c r="AK47" i="16"/>
  <c r="AL47" i="8"/>
  <c r="AL47" i="9"/>
  <c r="AL47" i="16"/>
  <c r="AM47" i="8"/>
  <c r="AM47" i="9"/>
  <c r="AM47" i="16"/>
  <c r="AN47" i="8"/>
  <c r="AN47" i="9"/>
  <c r="AN47" i="16"/>
  <c r="AO47" i="8"/>
  <c r="AO47" i="9"/>
  <c r="AO47" i="16"/>
  <c r="AP47" i="8"/>
  <c r="AP47" i="9"/>
  <c r="AP47" i="16"/>
  <c r="AQ47" i="8"/>
  <c r="AQ47" i="9"/>
  <c r="AQ47" i="16"/>
  <c r="AR47" i="8"/>
  <c r="AR47" i="9"/>
  <c r="AR47" i="16"/>
  <c r="AS47" i="8"/>
  <c r="AS47" i="9"/>
  <c r="AS47" i="16"/>
  <c r="AT47" i="8"/>
  <c r="AT47" i="9"/>
  <c r="C48" i="8"/>
  <c r="C48" i="9"/>
  <c r="C48" i="16"/>
  <c r="D48" i="8"/>
  <c r="D48" i="9"/>
  <c r="D48" i="16"/>
  <c r="E48" i="8"/>
  <c r="E48" i="9"/>
  <c r="E48" i="16"/>
  <c r="F48" i="8"/>
  <c r="F48" i="9"/>
  <c r="F48" i="16"/>
  <c r="G48" i="8"/>
  <c r="G48" i="9"/>
  <c r="G48" i="16"/>
  <c r="H48" i="8"/>
  <c r="H48" i="9"/>
  <c r="H48" i="16"/>
  <c r="I48" i="8"/>
  <c r="I48" i="9"/>
  <c r="I48" i="16"/>
  <c r="J48" i="8"/>
  <c r="J48" i="9"/>
  <c r="J48" i="16"/>
  <c r="K48" i="8"/>
  <c r="K48" i="9"/>
  <c r="K48" i="16"/>
  <c r="L48" i="8"/>
  <c r="L48" i="9"/>
  <c r="L48" i="16"/>
  <c r="M48" i="8"/>
  <c r="M48" i="9"/>
  <c r="M48" i="16"/>
  <c r="N48" i="8"/>
  <c r="N48" i="9"/>
  <c r="N48" i="16"/>
  <c r="O48" i="8"/>
  <c r="O48" i="9"/>
  <c r="O48" i="16"/>
  <c r="P48" i="8"/>
  <c r="P48" i="9"/>
  <c r="P48" i="16"/>
  <c r="Q48" i="8"/>
  <c r="Q48" i="9"/>
  <c r="Q48" i="16"/>
  <c r="R48" i="8"/>
  <c r="R48" i="9"/>
  <c r="R48" i="16"/>
  <c r="S48" i="8"/>
  <c r="S48" i="9"/>
  <c r="S48" i="16"/>
  <c r="T48" i="8"/>
  <c r="T48" i="16"/>
  <c r="U48" i="8"/>
  <c r="U48" i="9"/>
  <c r="U48" i="16"/>
  <c r="V48" i="8"/>
  <c r="V48" i="9"/>
  <c r="V48" i="16"/>
  <c r="W48" i="8"/>
  <c r="W48" i="9"/>
  <c r="W48" i="16"/>
  <c r="X48" i="8"/>
  <c r="X48" i="9"/>
  <c r="X48" i="16"/>
  <c r="Y48" i="8"/>
  <c r="Y48" i="9"/>
  <c r="Y48" i="16"/>
  <c r="Z48" i="8"/>
  <c r="Z48" i="9"/>
  <c r="Z48" i="16"/>
  <c r="AA48" i="8"/>
  <c r="AA48" i="9"/>
  <c r="AA48" i="16"/>
  <c r="AB48" i="8"/>
  <c r="AB48" i="9"/>
  <c r="AB48" i="16"/>
  <c r="AC48" i="8"/>
  <c r="AC48" i="9"/>
  <c r="AC48" i="16"/>
  <c r="AD48" i="8"/>
  <c r="AD48" i="9"/>
  <c r="AD48" i="16"/>
  <c r="AE48" i="8"/>
  <c r="AE48" i="9"/>
  <c r="AE48" i="16"/>
  <c r="AF48" i="8"/>
  <c r="AF48" i="9"/>
  <c r="AF48" i="16"/>
  <c r="AG48" i="8"/>
  <c r="AG48" i="9"/>
  <c r="AG48" i="16"/>
  <c r="AH48" i="8"/>
  <c r="AH48" i="9"/>
  <c r="AH48" i="16"/>
  <c r="AI48" i="8"/>
  <c r="AI48" i="9"/>
  <c r="AI48" i="16"/>
  <c r="AJ48" i="16"/>
  <c r="AK48" i="8"/>
  <c r="AK48" i="9"/>
  <c r="AK48" i="16"/>
  <c r="AL48" i="8"/>
  <c r="AL48" i="9"/>
  <c r="AL48" i="16"/>
  <c r="AM48" i="8"/>
  <c r="AM48" i="9"/>
  <c r="AM48" i="16"/>
  <c r="AN48" i="8"/>
  <c r="AN48" i="9"/>
  <c r="AN48" i="16"/>
  <c r="AO48" i="8"/>
  <c r="AO48" i="9"/>
  <c r="AO48" i="16"/>
  <c r="AP48" i="8"/>
  <c r="AP48" i="9"/>
  <c r="AQ48" i="8"/>
  <c r="AQ48" i="9"/>
  <c r="AQ48" i="16"/>
  <c r="AR48" i="8"/>
  <c r="AR48" i="9"/>
  <c r="AR48" i="16"/>
  <c r="AS48" i="8"/>
  <c r="AS48" i="9"/>
  <c r="AT48" i="8"/>
  <c r="AT48" i="9"/>
  <c r="AT48" i="16"/>
  <c r="B5" i="8"/>
  <c r="B5" i="9"/>
  <c r="B5" i="16"/>
  <c r="B6" i="8"/>
  <c r="B6" i="9"/>
  <c r="B6" i="16"/>
  <c r="B7" i="8"/>
  <c r="B7" i="9"/>
  <c r="B7" i="16"/>
  <c r="B8" i="8"/>
  <c r="B8" i="9"/>
  <c r="B8" i="16"/>
  <c r="B9" i="8"/>
  <c r="B9" i="9"/>
  <c r="B9" i="16"/>
  <c r="B10" i="8"/>
  <c r="B10" i="9"/>
  <c r="B10" i="16"/>
  <c r="B11" i="8"/>
  <c r="B11" i="9"/>
  <c r="B11" i="16"/>
  <c r="B12" i="8"/>
  <c r="B12" i="9"/>
  <c r="B12" i="16"/>
  <c r="B13" i="8"/>
  <c r="B13" i="9"/>
  <c r="B13" i="16"/>
  <c r="B14" i="8"/>
  <c r="B14" i="9"/>
  <c r="B14" i="16"/>
  <c r="B15" i="8"/>
  <c r="B15" i="9"/>
  <c r="B15" i="16"/>
  <c r="B16" i="8"/>
  <c r="B16" i="9"/>
  <c r="B16" i="16"/>
  <c r="B17" i="8"/>
  <c r="B17" i="9"/>
  <c r="B17" i="16"/>
  <c r="B18" i="8"/>
  <c r="B18" i="9"/>
  <c r="B18" i="16"/>
  <c r="B19" i="8"/>
  <c r="B19" i="9"/>
  <c r="B19" i="16"/>
  <c r="B20" i="8"/>
  <c r="B20" i="9"/>
  <c r="B20" i="16"/>
  <c r="B21" i="8"/>
  <c r="B21" i="9"/>
  <c r="B21" i="16"/>
  <c r="B22" i="8"/>
  <c r="B22" i="9"/>
  <c r="B22" i="16"/>
  <c r="B23" i="8"/>
  <c r="B23" i="9"/>
  <c r="B23" i="16"/>
  <c r="B24" i="8"/>
  <c r="B24" i="9"/>
  <c r="B24" i="16"/>
  <c r="B25" i="8"/>
  <c r="B25" i="9"/>
  <c r="B25" i="16"/>
  <c r="B26" i="8"/>
  <c r="B26" i="9"/>
  <c r="B26" i="16"/>
  <c r="B27" i="8"/>
  <c r="B27" i="9"/>
  <c r="B27" i="16"/>
  <c r="B28" i="8"/>
  <c r="B28" i="9"/>
  <c r="B28" i="16"/>
  <c r="B29" i="8"/>
  <c r="B29" i="9"/>
  <c r="B29" i="16"/>
  <c r="B30" i="8"/>
  <c r="B30" i="9"/>
  <c r="B30" i="16"/>
  <c r="B31" i="8"/>
  <c r="B31" i="9"/>
  <c r="B31" i="16"/>
  <c r="B32" i="8"/>
  <c r="B32" i="9"/>
  <c r="B32" i="16"/>
  <c r="B33" i="8"/>
  <c r="B33" i="9"/>
  <c r="B33" i="16"/>
  <c r="B34" i="8"/>
  <c r="B34" i="9"/>
  <c r="B34" i="16"/>
  <c r="B35" i="8"/>
  <c r="B35" i="9"/>
  <c r="B35" i="16"/>
  <c r="B36" i="8"/>
  <c r="B36" i="9"/>
  <c r="B36" i="16"/>
  <c r="B37" i="8"/>
  <c r="B37" i="9"/>
  <c r="B37" i="16"/>
  <c r="B38" i="8"/>
  <c r="B38" i="9"/>
  <c r="B38" i="16"/>
  <c r="B39" i="8"/>
  <c r="B39" i="9"/>
  <c r="B39" i="16"/>
  <c r="B40" i="8"/>
  <c r="B40" i="9"/>
  <c r="B40" i="16"/>
  <c r="B41" i="8"/>
  <c r="B41" i="9"/>
  <c r="B41" i="16"/>
  <c r="B42" i="8"/>
  <c r="B42" i="9"/>
  <c r="B42" i="16"/>
  <c r="B43" i="8"/>
  <c r="B43" i="9"/>
  <c r="B43" i="16"/>
  <c r="B44" i="8"/>
  <c r="B44" i="9"/>
  <c r="B44" i="16"/>
  <c r="B45" i="8"/>
  <c r="B45" i="9"/>
  <c r="B45" i="16"/>
  <c r="B46" i="8"/>
  <c r="B46" i="9"/>
  <c r="B46" i="16"/>
  <c r="B47" i="8"/>
  <c r="B47" i="9"/>
  <c r="B47" i="16"/>
  <c r="B48" i="8"/>
  <c r="B48" i="9"/>
  <c r="B48" i="16"/>
  <c r="B4" i="8"/>
  <c r="B4" i="9"/>
  <c r="B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X11" authorId="0" shapeId="0" xr:uid="{4B8430FB-85F5-6040-8797-3E6E37E44B73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500</t>
        </r>
        <r>
          <rPr>
            <b/>
            <sz val="10"/>
            <color rgb="FF000000"/>
            <rFont val="Tahoma"/>
            <family val="2"/>
          </rPr>
          <t>绥中送华北电网（</t>
        </r>
        <r>
          <rPr>
            <b/>
            <sz val="10"/>
            <color rgb="FF000000"/>
            <rFont val="Tahoma"/>
            <family val="2"/>
          </rPr>
          <t>2000</t>
        </r>
        <r>
          <rPr>
            <b/>
            <sz val="10"/>
            <color rgb="FF000000"/>
            <rFont val="Tahoma"/>
            <family val="2"/>
          </rPr>
          <t>MW</t>
        </r>
        <r>
          <rPr>
            <b/>
            <sz val="10"/>
            <color rgb="FF000000"/>
            <rFont val="Tahoma"/>
            <family val="2"/>
          </rPr>
          <t>）</t>
        </r>
      </text>
    </comment>
    <comment ref="X16" authorId="0" shapeId="0" xr:uid="{8268FA19-48DB-9B4D-AEF6-96A73D1E24A2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500</t>
        </r>
        <r>
          <rPr>
            <b/>
            <sz val="10"/>
            <color rgb="FF000000"/>
            <rFont val="Tahoma"/>
            <family val="2"/>
          </rPr>
          <t>（府谷、锦屏送华北电网</t>
        </r>
        <r>
          <rPr>
            <b/>
            <sz val="10"/>
            <color rgb="FF000000"/>
            <rFont val="Tahoma"/>
            <family val="2"/>
          </rPr>
          <t>3600</t>
        </r>
        <r>
          <rPr>
            <b/>
            <sz val="10"/>
            <color rgb="FF000000"/>
            <rFont val="Tahoma"/>
            <family val="2"/>
          </rPr>
          <t>MW</t>
        </r>
        <r>
          <rPr>
            <b/>
            <sz val="10"/>
            <color rgb="FF000000"/>
            <rFont val="Tahoma"/>
            <family val="2"/>
          </rPr>
          <t>）</t>
        </r>
      </text>
    </comment>
    <comment ref="R17" authorId="0" shapeId="0" xr:uid="{3E5B47DA-3E95-0644-BA5A-3246761AEE66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2*750</t>
        </r>
        <r>
          <rPr>
            <b/>
            <sz val="10"/>
            <color rgb="FF000000"/>
            <rFont val="Tahoma"/>
            <family val="2"/>
          </rPr>
          <t>（平凉～乾县）</t>
        </r>
      </text>
    </comment>
    <comment ref="Q18" authorId="0" shapeId="0" xr:uid="{5BF9C16E-84B6-0D4B-B71B-A36D5C613645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2*750</t>
        </r>
        <r>
          <rPr>
            <sz val="10"/>
            <color rgb="FF000000"/>
            <rFont val="Tahoma"/>
            <family val="2"/>
          </rPr>
          <t>（安西－永登</t>
        </r>
        <r>
          <rPr>
            <sz val="10"/>
            <color rgb="FF000000"/>
            <rFont val="Tahoma"/>
            <family val="2"/>
          </rPr>
          <t>8400MW)+2*330</t>
        </r>
      </text>
    </comment>
    <comment ref="S18" authorId="0" shapeId="0" xr:uid="{FEA724E1-0059-754A-83B3-3B26D2B1C301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2*750（沙州～鱼卡）</t>
        </r>
      </text>
    </comment>
    <comment ref="U18" authorId="0" shapeId="0" xr:uid="{E5AF72F0-0069-7445-AB07-FC749656F3E8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 xml:space="preserve">4*750 </t>
        </r>
        <r>
          <rPr>
            <b/>
            <sz val="10"/>
            <color rgb="FF000000"/>
            <rFont val="Tahoma"/>
            <family val="2"/>
          </rPr>
          <t>（哈密－敦煌</t>
        </r>
        <r>
          <rPr>
            <b/>
            <sz val="10"/>
            <color rgb="FF000000"/>
            <rFont val="Tahoma"/>
            <family val="2"/>
          </rPr>
          <t>1290</t>
        </r>
        <r>
          <rPr>
            <b/>
            <sz val="10"/>
            <color rgb="FF000000"/>
            <rFont val="Tahoma"/>
            <family val="2"/>
          </rPr>
          <t>MW,</t>
        </r>
        <r>
          <rPr>
            <b/>
            <sz val="10"/>
            <color rgb="FF000000"/>
            <rFont val="Tahoma"/>
            <family val="2"/>
          </rPr>
          <t>哈密南～沙州</t>
        </r>
        <r>
          <rPr>
            <b/>
            <sz val="10"/>
            <color rgb="FF000000"/>
            <rFont val="Tahoma"/>
            <family val="2"/>
          </rPr>
          <t>)</t>
        </r>
      </text>
    </comment>
    <comment ref="P19" authorId="0" shapeId="0" xr:uid="{9D1DD975-B7FC-F24C-A6BA-5B5BDDF98216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2*750</t>
        </r>
        <r>
          <rPr>
            <sz val="10"/>
            <color rgb="FF000000"/>
            <rFont val="Tahoma"/>
            <family val="2"/>
          </rPr>
          <t>（安西－永登</t>
        </r>
        <r>
          <rPr>
            <sz val="10"/>
            <color rgb="FF000000"/>
            <rFont val="Tahoma"/>
            <family val="2"/>
          </rPr>
          <t>8400MW)+2*330</t>
        </r>
      </text>
    </comment>
    <comment ref="S19" authorId="0" shapeId="0" xr:uid="{BD8B943F-D3E4-2F4A-BE83-36FF69E1F12C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4*750(</t>
        </r>
        <r>
          <rPr>
            <sz val="10"/>
            <color rgb="FF000000"/>
            <rFont val="Tahoma"/>
            <family val="2"/>
          </rPr>
          <t>官亭－兰州东</t>
        </r>
        <r>
          <rPr>
            <sz val="10"/>
            <color rgb="FF000000"/>
            <rFont val="Tahoma"/>
            <family val="2"/>
          </rPr>
          <t>1500MW</t>
        </r>
        <r>
          <rPr>
            <sz val="10"/>
            <color rgb="FF000000"/>
            <rFont val="Tahoma"/>
            <family val="2"/>
          </rPr>
          <t>，？</t>
        </r>
        <r>
          <rPr>
            <sz val="10"/>
            <color rgb="FF000000"/>
            <rFont val="Tahoma"/>
            <family val="2"/>
          </rPr>
          <t>)</t>
        </r>
      </text>
    </comment>
    <comment ref="T19" authorId="0" shapeId="0" xr:uid="{6DA7F213-91DE-1946-9EB1-BA44E8C3EE28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2*750(</t>
        </r>
        <r>
          <rPr>
            <sz val="10"/>
            <color rgb="FF000000"/>
            <rFont val="Tahoma"/>
            <family val="2"/>
          </rPr>
          <t>兰州东</t>
        </r>
        <r>
          <rPr>
            <sz val="10"/>
            <color rgb="FF000000"/>
            <rFont val="Tahoma"/>
            <family val="2"/>
          </rPr>
          <t>-</t>
        </r>
        <r>
          <rPr>
            <sz val="10"/>
            <color rgb="FF000000"/>
            <rFont val="Tahoma"/>
            <family val="2"/>
          </rPr>
          <t>白银</t>
        </r>
        <r>
          <rPr>
            <sz val="10"/>
            <color rgb="FF000000"/>
            <rFont val="Tahoma"/>
            <family val="2"/>
          </rPr>
          <t>-</t>
        </r>
        <r>
          <rPr>
            <sz val="10"/>
            <color rgb="FF000000"/>
            <rFont val="Tahoma"/>
            <family val="2"/>
          </rPr>
          <t>银川东</t>
        </r>
        <r>
          <rPr>
            <sz val="10"/>
            <color rgb="FF000000"/>
            <rFont val="Tahoma"/>
            <family val="2"/>
          </rPr>
          <t>2100MW)</t>
        </r>
      </text>
    </comment>
    <comment ref="O20" authorId="0" shapeId="0" xr:uid="{D9EF500D-02E0-9B41-A02E-E63BA1D68257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2*750</t>
        </r>
        <r>
          <rPr>
            <b/>
            <sz val="10"/>
            <color rgb="FF000000"/>
            <rFont val="Tahoma"/>
            <family val="2"/>
          </rPr>
          <t>（平凉～乾县）</t>
        </r>
      </text>
    </comment>
    <comment ref="P21" authorId="0" shapeId="0" xr:uid="{0B35F0C0-8EF3-3A4F-8AD7-B37AD148C6AA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2*750</t>
        </r>
        <r>
          <rPr>
            <sz val="10"/>
            <color rgb="FF000000"/>
            <rFont val="Tahoma"/>
            <family val="2"/>
          </rPr>
          <t>（沙州～鱼卡）</t>
        </r>
      </text>
    </comment>
    <comment ref="Q21" authorId="0" shapeId="0" xr:uid="{2528EC3C-E1E5-D34A-B654-0C796F5C4713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4*750(</t>
        </r>
        <r>
          <rPr>
            <sz val="10"/>
            <color rgb="FF000000"/>
            <rFont val="Tahoma"/>
            <family val="2"/>
          </rPr>
          <t>官亭－兰州东</t>
        </r>
        <r>
          <rPr>
            <sz val="10"/>
            <color rgb="FF000000"/>
            <rFont val="Tahoma"/>
            <family val="2"/>
          </rPr>
          <t>1500MW</t>
        </r>
        <r>
          <rPr>
            <sz val="10"/>
            <color rgb="FF000000"/>
            <rFont val="Tahoma"/>
            <family val="2"/>
          </rPr>
          <t>，？</t>
        </r>
        <r>
          <rPr>
            <sz val="10"/>
            <color rgb="FF000000"/>
            <rFont val="Tahoma"/>
            <family val="2"/>
          </rPr>
          <t>)</t>
        </r>
      </text>
    </comment>
    <comment ref="Q22" authorId="0" shapeId="0" xr:uid="{FD5E0E72-16D2-1C4F-8DF1-4BFD0A83051C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2*750(</t>
        </r>
        <r>
          <rPr>
            <sz val="10"/>
            <color rgb="FF000000"/>
            <rFont val="Tahoma"/>
            <family val="2"/>
          </rPr>
          <t>兰州东</t>
        </r>
        <r>
          <rPr>
            <sz val="10"/>
            <color rgb="FF000000"/>
            <rFont val="Tahoma"/>
            <family val="2"/>
          </rPr>
          <t>-</t>
        </r>
        <r>
          <rPr>
            <sz val="10"/>
            <color rgb="FF000000"/>
            <rFont val="Tahoma"/>
            <family val="2"/>
          </rPr>
          <t>白银</t>
        </r>
        <r>
          <rPr>
            <sz val="10"/>
            <color rgb="FF000000"/>
            <rFont val="Tahoma"/>
            <family val="2"/>
          </rPr>
          <t>-</t>
        </r>
        <r>
          <rPr>
            <sz val="10"/>
            <color rgb="FF000000"/>
            <rFont val="Tahoma"/>
            <family val="2"/>
          </rPr>
          <t>银川东</t>
        </r>
        <r>
          <rPr>
            <sz val="10"/>
            <color rgb="FF000000"/>
            <rFont val="Tahoma"/>
            <family val="2"/>
          </rPr>
          <t>2100MW)</t>
        </r>
      </text>
    </comment>
    <comment ref="P23" authorId="0" shapeId="0" xr:uid="{04E3D756-CCF4-7248-AF01-E84E3B9CC19B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 xml:space="preserve">4*750 </t>
        </r>
        <r>
          <rPr>
            <b/>
            <sz val="10"/>
            <color rgb="FF000000"/>
            <rFont val="Tahoma"/>
            <family val="2"/>
          </rPr>
          <t>（哈密－敦煌</t>
        </r>
        <r>
          <rPr>
            <b/>
            <sz val="10"/>
            <color rgb="FF000000"/>
            <rFont val="Tahoma"/>
            <family val="2"/>
          </rPr>
          <t>1290</t>
        </r>
        <r>
          <rPr>
            <b/>
            <sz val="10"/>
            <color rgb="FF000000"/>
            <rFont val="Tahoma"/>
            <family val="2"/>
          </rPr>
          <t>MW,</t>
        </r>
        <r>
          <rPr>
            <b/>
            <sz val="10"/>
            <color rgb="FF000000"/>
            <rFont val="Tahoma"/>
            <family val="2"/>
          </rPr>
          <t>哈密南～沙州</t>
        </r>
        <r>
          <rPr>
            <b/>
            <sz val="10"/>
            <color rgb="FF000000"/>
            <rFont val="Tahoma"/>
            <family val="2"/>
          </rPr>
          <t>)</t>
        </r>
      </text>
    </comment>
    <comment ref="I26" authorId="0" shapeId="0" xr:uid="{9DB64378-98C4-5D4E-976E-1CDABF7239E2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500</t>
        </r>
        <r>
          <rPr>
            <b/>
            <sz val="10"/>
            <color rgb="FF000000"/>
            <rFont val="Tahoma"/>
            <family val="2"/>
          </rPr>
          <t>绥中送华北电网（</t>
        </r>
        <r>
          <rPr>
            <b/>
            <sz val="10"/>
            <color rgb="FF000000"/>
            <rFont val="Tahoma"/>
            <family val="2"/>
          </rPr>
          <t>2000</t>
        </r>
        <r>
          <rPr>
            <b/>
            <sz val="10"/>
            <color rgb="FF000000"/>
            <rFont val="Tahoma"/>
            <family val="2"/>
          </rPr>
          <t>MW</t>
        </r>
        <r>
          <rPr>
            <b/>
            <sz val="10"/>
            <color rgb="FF000000"/>
            <rFont val="Tahoma"/>
            <family val="2"/>
          </rPr>
          <t>）</t>
        </r>
      </text>
    </comment>
    <comment ref="N26" authorId="0" shapeId="0" xr:uid="{9C17ABB3-F18C-6B48-A030-D4BB47BEAFFD}">
      <text>
        <r>
          <rPr>
            <b/>
            <sz val="10"/>
            <color rgb="FF000000"/>
            <rFont val="Tahoma"/>
            <family val="2"/>
          </rPr>
          <t xml:space="preserve">Author:
</t>
        </r>
        <r>
          <rPr>
            <b/>
            <sz val="10"/>
            <color rgb="FF000000"/>
            <rFont val="Tahoma"/>
            <family val="2"/>
          </rPr>
          <t>500</t>
        </r>
        <r>
          <rPr>
            <b/>
            <sz val="10"/>
            <color rgb="FF000000"/>
            <rFont val="Tahoma"/>
            <family val="2"/>
          </rPr>
          <t>（府谷、锦屏送华北电网</t>
        </r>
        <r>
          <rPr>
            <b/>
            <sz val="10"/>
            <color rgb="FF000000"/>
            <rFont val="Tahoma"/>
            <family val="2"/>
          </rPr>
          <t>3600</t>
        </r>
        <r>
          <rPr>
            <b/>
            <sz val="10"/>
            <color rgb="FF000000"/>
            <rFont val="Tahoma"/>
            <family val="2"/>
          </rPr>
          <t>MW</t>
        </r>
        <r>
          <rPr>
            <b/>
            <sz val="10"/>
            <color rgb="FF000000"/>
            <rFont val="Tahoma"/>
            <family val="2"/>
          </rPr>
          <t>）</t>
        </r>
      </text>
    </comment>
    <comment ref="AQ30" authorId="0" shapeId="0" xr:uid="{62993E34-12FA-3C4C-8D74-2FC6684A90A2}">
      <text>
        <r>
          <rPr>
            <sz val="10"/>
            <color rgb="FF000000"/>
            <rFont val="Tahoma"/>
            <family val="2"/>
          </rPr>
          <t xml:space="preserve">Author:
</t>
        </r>
        <r>
          <rPr>
            <sz val="10"/>
            <color rgb="FF000000"/>
            <rFont val="Tahoma"/>
            <family val="2"/>
          </rPr>
          <t>+500</t>
        </r>
        <r>
          <rPr>
            <sz val="10"/>
            <color rgb="FF000000"/>
            <rFont val="Tahoma"/>
            <family val="2"/>
          </rPr>
          <t>（山西阳城</t>
        </r>
        <r>
          <rPr>
            <sz val="10"/>
            <color rgb="FF000000"/>
            <rFont val="Tahoma"/>
            <family val="2"/>
          </rPr>
          <t>-</t>
        </r>
        <r>
          <rPr>
            <sz val="10"/>
            <color rgb="FF000000"/>
            <rFont val="Tahoma"/>
            <family val="2"/>
          </rPr>
          <t>华东电网</t>
        </r>
        <r>
          <rPr>
            <sz val="10"/>
            <color rgb="FF000000"/>
            <rFont val="Tahoma"/>
            <family val="2"/>
          </rPr>
          <t>3300MW</t>
        </r>
        <r>
          <rPr>
            <sz val="10"/>
            <color rgb="FF000000"/>
            <rFont val="Tahoma"/>
            <family val="2"/>
          </rPr>
          <t>）</t>
        </r>
      </text>
    </comment>
    <comment ref="AB45" authorId="0" shapeId="0" xr:uid="{FB8B8729-9D26-3145-AB56-C1F03BBEFD34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+500（山西阳城-华东电网3300MW）</t>
        </r>
      </text>
    </comment>
  </commentList>
</comments>
</file>

<file path=xl/sharedStrings.xml><?xml version="1.0" encoding="utf-8"?>
<sst xmlns="http://schemas.openxmlformats.org/spreadsheetml/2006/main" count="1891" uniqueCount="261">
  <si>
    <r>
      <rPr>
        <sz val="11"/>
        <rFont val="黑体"/>
        <family val="3"/>
        <charset val="134"/>
      </rPr>
      <t>黑龙江中</t>
    </r>
    <phoneticPr fontId="2" type="noConversion"/>
  </si>
  <si>
    <r>
      <rPr>
        <sz val="11"/>
        <rFont val="黑体"/>
        <family val="3"/>
        <charset val="134"/>
      </rPr>
      <t>黑龙江东</t>
    </r>
    <phoneticPr fontId="2" type="noConversion"/>
  </si>
  <si>
    <r>
      <rPr>
        <sz val="11"/>
        <rFont val="黑体"/>
        <family val="3"/>
        <charset val="134"/>
      </rPr>
      <t>黑龙江西</t>
    </r>
    <phoneticPr fontId="2" type="noConversion"/>
  </si>
  <si>
    <r>
      <rPr>
        <sz val="11"/>
        <rFont val="黑体"/>
        <family val="3"/>
        <charset val="134"/>
      </rPr>
      <t>吉林南</t>
    </r>
    <phoneticPr fontId="2" type="noConversion"/>
  </si>
  <si>
    <r>
      <rPr>
        <sz val="11"/>
        <rFont val="黑体"/>
        <family val="3"/>
        <charset val="134"/>
      </rPr>
      <t>吉林东</t>
    </r>
    <phoneticPr fontId="2" type="noConversion"/>
  </si>
  <si>
    <r>
      <rPr>
        <sz val="11"/>
        <rFont val="黑体"/>
        <family val="3"/>
        <charset val="134"/>
      </rPr>
      <t>吉林西</t>
    </r>
    <phoneticPr fontId="2" type="noConversion"/>
  </si>
  <si>
    <r>
      <rPr>
        <sz val="11"/>
        <rFont val="黑体"/>
        <family val="3"/>
        <charset val="134"/>
      </rPr>
      <t>吉林中</t>
    </r>
    <phoneticPr fontId="2" type="noConversion"/>
  </si>
  <si>
    <r>
      <rPr>
        <sz val="11"/>
        <rFont val="黑体"/>
        <family val="3"/>
        <charset val="134"/>
      </rPr>
      <t>辽中</t>
    </r>
    <phoneticPr fontId="2" type="noConversion"/>
  </si>
  <si>
    <r>
      <rPr>
        <sz val="11"/>
        <rFont val="黑体"/>
        <family val="3"/>
        <charset val="134"/>
      </rPr>
      <t>辽西北</t>
    </r>
    <phoneticPr fontId="2" type="noConversion"/>
  </si>
  <si>
    <r>
      <rPr>
        <sz val="11"/>
        <rFont val="黑体"/>
        <family val="3"/>
        <charset val="134"/>
      </rPr>
      <t>辽南</t>
    </r>
    <phoneticPr fontId="2" type="noConversion"/>
  </si>
  <si>
    <r>
      <rPr>
        <sz val="11"/>
        <rFont val="黑体"/>
        <family val="3"/>
        <charset val="134"/>
      </rPr>
      <t>蒙东南</t>
    </r>
    <phoneticPr fontId="2" type="noConversion"/>
  </si>
  <si>
    <r>
      <rPr>
        <sz val="11"/>
        <rFont val="黑体"/>
        <family val="3"/>
        <charset val="134"/>
      </rPr>
      <t>蒙东北</t>
    </r>
    <phoneticPr fontId="2" type="noConversion"/>
  </si>
  <si>
    <t>陕西北</t>
  </si>
  <si>
    <t>陕西中南</t>
  </si>
  <si>
    <r>
      <rPr>
        <sz val="11"/>
        <rFont val="黑体"/>
        <family val="3"/>
        <charset val="134"/>
      </rPr>
      <t>甘肃西</t>
    </r>
    <phoneticPr fontId="2" type="noConversion"/>
  </si>
  <si>
    <r>
      <rPr>
        <sz val="11"/>
        <rFont val="黑体"/>
        <family val="3"/>
        <charset val="134"/>
      </rPr>
      <t>甘肃中</t>
    </r>
    <phoneticPr fontId="2" type="noConversion"/>
  </si>
  <si>
    <r>
      <rPr>
        <sz val="11"/>
        <rFont val="黑体"/>
        <family val="3"/>
        <charset val="134"/>
      </rPr>
      <t>甘肃南</t>
    </r>
    <phoneticPr fontId="2" type="noConversion"/>
  </si>
  <si>
    <r>
      <rPr>
        <sz val="11"/>
        <rFont val="黑体"/>
        <family val="3"/>
        <charset val="134"/>
      </rPr>
      <t>青海</t>
    </r>
    <phoneticPr fontId="2" type="noConversion"/>
  </si>
  <si>
    <r>
      <rPr>
        <sz val="11"/>
        <rFont val="黑体"/>
        <family val="3"/>
        <charset val="134"/>
      </rPr>
      <t>宁夏自治区</t>
    </r>
    <phoneticPr fontId="2" type="noConversion"/>
  </si>
  <si>
    <r>
      <rPr>
        <sz val="11"/>
        <rFont val="黑体"/>
        <family val="3"/>
        <charset val="134"/>
      </rPr>
      <t>新疆北</t>
    </r>
    <phoneticPr fontId="2" type="noConversion"/>
  </si>
  <si>
    <r>
      <rPr>
        <sz val="11"/>
        <rFont val="黑体"/>
        <family val="3"/>
        <charset val="134"/>
      </rPr>
      <t>新疆南</t>
    </r>
    <phoneticPr fontId="2" type="noConversion"/>
  </si>
  <si>
    <t>西藏自治区</t>
    <phoneticPr fontId="2" type="noConversion"/>
  </si>
  <si>
    <r>
      <rPr>
        <sz val="11"/>
        <rFont val="黑体"/>
        <family val="3"/>
        <charset val="134"/>
      </rPr>
      <t>河北北</t>
    </r>
    <phoneticPr fontId="2" type="noConversion"/>
  </si>
  <si>
    <r>
      <rPr>
        <sz val="11"/>
        <rFont val="黑体"/>
        <family val="3"/>
        <charset val="134"/>
      </rPr>
      <t>河北南</t>
    </r>
    <phoneticPr fontId="2" type="noConversion"/>
  </si>
  <si>
    <r>
      <rPr>
        <sz val="11"/>
        <rFont val="黑体"/>
        <family val="3"/>
        <charset val="134"/>
      </rPr>
      <t>北京市</t>
    </r>
    <phoneticPr fontId="2" type="noConversion"/>
  </si>
  <si>
    <r>
      <rPr>
        <sz val="11"/>
        <rFont val="黑体"/>
        <family val="3"/>
        <charset val="134"/>
      </rPr>
      <t>天津市</t>
    </r>
    <phoneticPr fontId="2" type="noConversion"/>
  </si>
  <si>
    <r>
      <rPr>
        <sz val="11"/>
        <rFont val="黑体"/>
        <family val="3"/>
        <charset val="134"/>
      </rPr>
      <t>山西省</t>
    </r>
    <phoneticPr fontId="2" type="noConversion"/>
  </si>
  <si>
    <r>
      <rPr>
        <sz val="11"/>
        <rFont val="黑体"/>
        <family val="3"/>
        <charset val="134"/>
      </rPr>
      <t>山东省</t>
    </r>
    <phoneticPr fontId="2" type="noConversion"/>
  </si>
  <si>
    <r>
      <rPr>
        <sz val="11"/>
        <rFont val="黑体"/>
        <family val="3"/>
        <charset val="134"/>
      </rPr>
      <t>蒙西</t>
    </r>
    <phoneticPr fontId="2" type="noConversion"/>
  </si>
  <si>
    <r>
      <rPr>
        <sz val="11"/>
        <rFont val="黑体"/>
        <family val="3"/>
        <charset val="134"/>
      </rPr>
      <t>湖北省</t>
    </r>
    <phoneticPr fontId="2" type="noConversion"/>
  </si>
  <si>
    <r>
      <rPr>
        <sz val="11"/>
        <rFont val="黑体"/>
        <family val="3"/>
        <charset val="134"/>
      </rPr>
      <t>湖南省</t>
    </r>
    <phoneticPr fontId="2" type="noConversion"/>
  </si>
  <si>
    <r>
      <rPr>
        <sz val="11"/>
        <rFont val="黑体"/>
        <family val="3"/>
        <charset val="134"/>
      </rPr>
      <t>江西省</t>
    </r>
    <phoneticPr fontId="2" type="noConversion"/>
  </si>
  <si>
    <r>
      <rPr>
        <sz val="11"/>
        <rFont val="黑体"/>
        <family val="3"/>
        <charset val="134"/>
      </rPr>
      <t>河南省</t>
    </r>
    <phoneticPr fontId="2" type="noConversion"/>
  </si>
  <si>
    <r>
      <rPr>
        <sz val="11"/>
        <rFont val="黑体"/>
        <family val="3"/>
        <charset val="134"/>
      </rPr>
      <t>重庆市</t>
    </r>
    <phoneticPr fontId="2" type="noConversion"/>
  </si>
  <si>
    <r>
      <rPr>
        <sz val="11"/>
        <rFont val="黑体"/>
        <family val="3"/>
        <charset val="134"/>
      </rPr>
      <t>四川省</t>
    </r>
    <phoneticPr fontId="2" type="noConversion"/>
  </si>
  <si>
    <r>
      <rPr>
        <sz val="11"/>
        <rFont val="黑体"/>
        <family val="3"/>
        <charset val="134"/>
      </rPr>
      <t>广东省</t>
    </r>
    <phoneticPr fontId="2" type="noConversion"/>
  </si>
  <si>
    <r>
      <rPr>
        <sz val="11"/>
        <rFont val="黑体"/>
        <family val="3"/>
        <charset val="134"/>
      </rPr>
      <t>海南省</t>
    </r>
    <phoneticPr fontId="2" type="noConversion"/>
  </si>
  <si>
    <r>
      <rPr>
        <sz val="11"/>
        <rFont val="黑体"/>
        <family val="3"/>
        <charset val="134"/>
      </rPr>
      <t>广西自治区</t>
    </r>
    <phoneticPr fontId="2" type="noConversion"/>
  </si>
  <si>
    <r>
      <rPr>
        <sz val="11"/>
        <rFont val="黑体"/>
        <family val="3"/>
        <charset val="134"/>
      </rPr>
      <t>贵州省</t>
    </r>
    <phoneticPr fontId="2" type="noConversion"/>
  </si>
  <si>
    <r>
      <rPr>
        <sz val="11"/>
        <rFont val="黑体"/>
        <family val="3"/>
        <charset val="134"/>
      </rPr>
      <t>云南省</t>
    </r>
    <phoneticPr fontId="2" type="noConversion"/>
  </si>
  <si>
    <r>
      <rPr>
        <sz val="11"/>
        <rFont val="黑体"/>
        <family val="3"/>
        <charset val="134"/>
      </rPr>
      <t>上海市</t>
    </r>
    <phoneticPr fontId="2" type="noConversion"/>
  </si>
  <si>
    <r>
      <rPr>
        <sz val="11"/>
        <rFont val="黑体"/>
        <family val="3"/>
        <charset val="134"/>
      </rPr>
      <t>江苏省</t>
    </r>
    <phoneticPr fontId="2" type="noConversion"/>
  </si>
  <si>
    <r>
      <rPr>
        <sz val="11"/>
        <rFont val="黑体"/>
        <family val="3"/>
        <charset val="134"/>
      </rPr>
      <t>安徽省</t>
    </r>
    <phoneticPr fontId="2" type="noConversion"/>
  </si>
  <si>
    <r>
      <rPr>
        <sz val="11"/>
        <rFont val="黑体"/>
        <family val="3"/>
        <charset val="134"/>
      </rPr>
      <t>福建省</t>
    </r>
    <phoneticPr fontId="2" type="noConversion"/>
  </si>
  <si>
    <r>
      <rPr>
        <sz val="11"/>
        <rFont val="黑体"/>
        <family val="3"/>
        <charset val="134"/>
      </rPr>
      <t>浙江省</t>
    </r>
    <phoneticPr fontId="2" type="noConversion"/>
  </si>
  <si>
    <t>1*500</t>
    <phoneticPr fontId="2" type="noConversion"/>
  </si>
  <si>
    <t>黑龙江与俄罗斯间通过500千伏相连</t>
    <phoneticPr fontId="2" type="noConversion"/>
  </si>
  <si>
    <r>
      <rPr>
        <sz val="12"/>
        <color indexed="10"/>
        <rFont val="黑体"/>
        <family val="3"/>
        <charset val="134"/>
      </rPr>
      <t>测算参数</t>
    </r>
    <phoneticPr fontId="2" type="noConversion"/>
  </si>
  <si>
    <r>
      <rPr>
        <sz val="12"/>
        <color indexed="10"/>
        <rFont val="黑体"/>
        <family val="3"/>
        <charset val="134"/>
      </rPr>
      <t>电压等级</t>
    </r>
    <phoneticPr fontId="2" type="noConversion"/>
  </si>
  <si>
    <t>750kV</t>
    <phoneticPr fontId="2" type="noConversion"/>
  </si>
  <si>
    <t>500kV</t>
    <phoneticPr fontId="2" type="noConversion"/>
  </si>
  <si>
    <t>330kV</t>
    <phoneticPr fontId="2" type="noConversion"/>
  </si>
  <si>
    <t>220kV</t>
    <phoneticPr fontId="2" type="noConversion"/>
  </si>
  <si>
    <r>
      <t>±500kV</t>
    </r>
    <r>
      <rPr>
        <sz val="12"/>
        <color indexed="10"/>
        <rFont val="宋体"/>
        <family val="3"/>
        <charset val="134"/>
      </rPr>
      <t>直流</t>
    </r>
    <phoneticPr fontId="2" type="noConversion"/>
  </si>
  <si>
    <r>
      <rPr>
        <sz val="11"/>
        <rFont val="黑体"/>
        <family val="3"/>
        <charset val="134"/>
      </rPr>
      <t>辽中</t>
    </r>
  </si>
  <si>
    <r>
      <rPr>
        <sz val="11"/>
        <rFont val="黑体"/>
        <family val="3"/>
        <charset val="134"/>
      </rPr>
      <t>黑龙江中</t>
    </r>
  </si>
  <si>
    <r>
      <rPr>
        <sz val="11"/>
        <rFont val="黑体"/>
        <family val="3"/>
        <charset val="134"/>
      </rPr>
      <t>黑龙江东</t>
    </r>
  </si>
  <si>
    <r>
      <rPr>
        <sz val="11"/>
        <rFont val="黑体"/>
        <family val="3"/>
        <charset val="134"/>
      </rPr>
      <t>黑龙江西</t>
    </r>
  </si>
  <si>
    <r>
      <rPr>
        <sz val="11"/>
        <rFont val="黑体"/>
        <family val="3"/>
        <charset val="134"/>
      </rPr>
      <t>吉林南</t>
    </r>
  </si>
  <si>
    <r>
      <rPr>
        <sz val="11"/>
        <rFont val="黑体"/>
        <family val="3"/>
        <charset val="134"/>
      </rPr>
      <t>吉林东</t>
    </r>
  </si>
  <si>
    <r>
      <rPr>
        <sz val="11"/>
        <rFont val="黑体"/>
        <family val="3"/>
        <charset val="134"/>
      </rPr>
      <t>吉林西</t>
    </r>
  </si>
  <si>
    <r>
      <rPr>
        <sz val="11"/>
        <rFont val="黑体"/>
        <family val="3"/>
        <charset val="134"/>
      </rPr>
      <t>吉林中</t>
    </r>
  </si>
  <si>
    <r>
      <rPr>
        <sz val="11"/>
        <rFont val="黑体"/>
        <family val="3"/>
        <charset val="134"/>
      </rPr>
      <t>辽西北</t>
    </r>
  </si>
  <si>
    <r>
      <rPr>
        <sz val="11"/>
        <rFont val="黑体"/>
        <family val="3"/>
        <charset val="134"/>
      </rPr>
      <t>辽南</t>
    </r>
  </si>
  <si>
    <r>
      <rPr>
        <sz val="11"/>
        <rFont val="黑体"/>
        <family val="3"/>
        <charset val="134"/>
      </rPr>
      <t>蒙东南</t>
    </r>
  </si>
  <si>
    <r>
      <rPr>
        <sz val="11"/>
        <rFont val="黑体"/>
        <family val="3"/>
        <charset val="134"/>
      </rPr>
      <t>蒙东北</t>
    </r>
  </si>
  <si>
    <r>
      <rPr>
        <sz val="11"/>
        <rFont val="黑体"/>
        <family val="3"/>
        <charset val="134"/>
      </rPr>
      <t>甘肃西</t>
    </r>
  </si>
  <si>
    <r>
      <rPr>
        <sz val="11"/>
        <rFont val="黑体"/>
        <family val="3"/>
        <charset val="134"/>
      </rPr>
      <t>甘肃中</t>
    </r>
  </si>
  <si>
    <r>
      <rPr>
        <sz val="11"/>
        <rFont val="黑体"/>
        <family val="3"/>
        <charset val="134"/>
      </rPr>
      <t>甘肃南</t>
    </r>
  </si>
  <si>
    <r>
      <rPr>
        <sz val="11"/>
        <rFont val="黑体"/>
        <family val="3"/>
        <charset val="134"/>
      </rPr>
      <t>青海</t>
    </r>
  </si>
  <si>
    <r>
      <rPr>
        <sz val="11"/>
        <rFont val="黑体"/>
        <family val="3"/>
        <charset val="134"/>
      </rPr>
      <t>宁夏自治区</t>
    </r>
  </si>
  <si>
    <r>
      <rPr>
        <sz val="11"/>
        <rFont val="黑体"/>
        <family val="3"/>
        <charset val="134"/>
      </rPr>
      <t>新疆北</t>
    </r>
  </si>
  <si>
    <r>
      <rPr>
        <sz val="11"/>
        <rFont val="黑体"/>
        <family val="3"/>
        <charset val="134"/>
      </rPr>
      <t>新疆南</t>
    </r>
  </si>
  <si>
    <t>西藏自治区</t>
  </si>
  <si>
    <r>
      <rPr>
        <sz val="11"/>
        <rFont val="黑体"/>
        <family val="3"/>
        <charset val="134"/>
      </rPr>
      <t>河北北</t>
    </r>
  </si>
  <si>
    <r>
      <rPr>
        <sz val="11"/>
        <rFont val="黑体"/>
        <family val="3"/>
        <charset val="134"/>
      </rPr>
      <t>河北南</t>
    </r>
  </si>
  <si>
    <r>
      <rPr>
        <sz val="11"/>
        <rFont val="黑体"/>
        <family val="3"/>
        <charset val="134"/>
      </rPr>
      <t>北京市</t>
    </r>
  </si>
  <si>
    <r>
      <rPr>
        <sz val="11"/>
        <rFont val="黑体"/>
        <family val="3"/>
        <charset val="134"/>
      </rPr>
      <t>天津市</t>
    </r>
  </si>
  <si>
    <r>
      <rPr>
        <sz val="11"/>
        <rFont val="黑体"/>
        <family val="3"/>
        <charset val="134"/>
      </rPr>
      <t>山西省</t>
    </r>
  </si>
  <si>
    <r>
      <rPr>
        <sz val="11"/>
        <rFont val="黑体"/>
        <family val="3"/>
        <charset val="134"/>
      </rPr>
      <t>山东省</t>
    </r>
  </si>
  <si>
    <r>
      <rPr>
        <sz val="11"/>
        <rFont val="黑体"/>
        <family val="3"/>
        <charset val="134"/>
      </rPr>
      <t>蒙西</t>
    </r>
  </si>
  <si>
    <r>
      <rPr>
        <sz val="11"/>
        <rFont val="黑体"/>
        <family val="3"/>
        <charset val="134"/>
      </rPr>
      <t>湖北省</t>
    </r>
  </si>
  <si>
    <r>
      <rPr>
        <sz val="11"/>
        <rFont val="黑体"/>
        <family val="3"/>
        <charset val="134"/>
      </rPr>
      <t>湖南省</t>
    </r>
  </si>
  <si>
    <r>
      <rPr>
        <sz val="11"/>
        <rFont val="黑体"/>
        <family val="3"/>
        <charset val="134"/>
      </rPr>
      <t>江西省</t>
    </r>
  </si>
  <si>
    <r>
      <rPr>
        <sz val="11"/>
        <rFont val="黑体"/>
        <family val="3"/>
        <charset val="134"/>
      </rPr>
      <t>河南省</t>
    </r>
  </si>
  <si>
    <r>
      <rPr>
        <sz val="11"/>
        <rFont val="黑体"/>
        <family val="3"/>
        <charset val="134"/>
      </rPr>
      <t>重庆市</t>
    </r>
  </si>
  <si>
    <r>
      <rPr>
        <sz val="11"/>
        <rFont val="黑体"/>
        <family val="3"/>
        <charset val="134"/>
      </rPr>
      <t>四川省</t>
    </r>
  </si>
  <si>
    <r>
      <rPr>
        <sz val="11"/>
        <rFont val="黑体"/>
        <family val="3"/>
        <charset val="134"/>
      </rPr>
      <t>广东省</t>
    </r>
  </si>
  <si>
    <r>
      <rPr>
        <sz val="11"/>
        <rFont val="黑体"/>
        <family val="3"/>
        <charset val="134"/>
      </rPr>
      <t>海南省</t>
    </r>
  </si>
  <si>
    <r>
      <rPr>
        <sz val="11"/>
        <rFont val="黑体"/>
        <family val="3"/>
        <charset val="134"/>
      </rPr>
      <t>广西自治区</t>
    </r>
  </si>
  <si>
    <r>
      <rPr>
        <sz val="11"/>
        <rFont val="黑体"/>
        <family val="3"/>
        <charset val="134"/>
      </rPr>
      <t>贵州省</t>
    </r>
  </si>
  <si>
    <r>
      <rPr>
        <sz val="11"/>
        <rFont val="黑体"/>
        <family val="3"/>
        <charset val="134"/>
      </rPr>
      <t>云南省</t>
    </r>
  </si>
  <si>
    <r>
      <rPr>
        <sz val="11"/>
        <rFont val="黑体"/>
        <family val="3"/>
        <charset val="134"/>
      </rPr>
      <t>上海市</t>
    </r>
  </si>
  <si>
    <r>
      <rPr>
        <sz val="11"/>
        <rFont val="黑体"/>
        <family val="3"/>
        <charset val="134"/>
      </rPr>
      <t>江苏省</t>
    </r>
  </si>
  <si>
    <r>
      <rPr>
        <sz val="11"/>
        <rFont val="黑体"/>
        <family val="3"/>
        <charset val="134"/>
      </rPr>
      <t>安徽省</t>
    </r>
  </si>
  <si>
    <r>
      <rPr>
        <sz val="11"/>
        <rFont val="黑体"/>
        <family val="3"/>
        <charset val="134"/>
      </rPr>
      <t>福建省</t>
    </r>
  </si>
  <si>
    <r>
      <rPr>
        <sz val="11"/>
        <rFont val="黑体"/>
        <family val="3"/>
        <charset val="134"/>
      </rPr>
      <t>浙江省</t>
    </r>
  </si>
  <si>
    <r>
      <rPr>
        <sz val="12"/>
        <color indexed="10"/>
        <rFont val="黑体"/>
        <family val="3"/>
        <charset val="134"/>
      </rPr>
      <t>测算参数</t>
    </r>
  </si>
  <si>
    <r>
      <rPr>
        <sz val="12"/>
        <color indexed="10"/>
        <rFont val="黑体"/>
        <family val="3"/>
        <charset val="134"/>
      </rPr>
      <t>电压等级</t>
    </r>
  </si>
  <si>
    <r>
      <rPr>
        <sz val="12"/>
        <color indexed="10"/>
        <rFont val="黑体"/>
        <family val="3"/>
        <charset val="134"/>
      </rPr>
      <t>典型额定容量（万</t>
    </r>
    <r>
      <rPr>
        <sz val="12"/>
        <color indexed="10"/>
        <rFont val="Times New Roman"/>
        <family val="1"/>
      </rPr>
      <t>kW</t>
    </r>
    <r>
      <rPr>
        <sz val="12"/>
        <color indexed="10"/>
        <rFont val="黑体"/>
        <family val="3"/>
        <charset val="134"/>
      </rPr>
      <t>）</t>
    </r>
  </si>
  <si>
    <t>750kV</t>
  </si>
  <si>
    <t>500kV</t>
  </si>
  <si>
    <t>330kV</t>
  </si>
  <si>
    <t>220kV</t>
  </si>
  <si>
    <r>
      <t>±500kV</t>
    </r>
    <r>
      <rPr>
        <sz val="12"/>
        <color indexed="10"/>
        <rFont val="宋体"/>
        <family val="3"/>
        <charset val="134"/>
      </rPr>
      <t>直流</t>
    </r>
  </si>
  <si>
    <t>直流</t>
  </si>
  <si>
    <t>500直流</t>
  </si>
  <si>
    <t>800直流</t>
  </si>
  <si>
    <t>Other</t>
  </si>
  <si>
    <t>check</t>
  </si>
  <si>
    <t>Check p. 15 of 国网年鉴 for all 直流</t>
  </si>
  <si>
    <t>currently: 2600, 3200</t>
  </si>
  <si>
    <r>
      <rPr>
        <sz val="12"/>
        <color indexed="10"/>
        <rFont val="黑体"/>
        <family val="3"/>
        <charset val="134"/>
      </rPr>
      <t>典型额定容量（万</t>
    </r>
    <r>
      <rPr>
        <sz val="12"/>
        <color indexed="10"/>
        <rFont val="Times New Roman"/>
        <family val="1"/>
      </rPr>
      <t>kW</t>
    </r>
    <r>
      <rPr>
        <sz val="12"/>
        <color indexed="10"/>
        <rFont val="黑体"/>
        <family val="3"/>
        <charset val="134"/>
      </rPr>
      <t>）</t>
    </r>
    <phoneticPr fontId="2" type="noConversion"/>
  </si>
  <si>
    <t>HL</t>
  </si>
  <si>
    <t>JL</t>
  </si>
  <si>
    <t>LN</t>
  </si>
  <si>
    <t>IME</t>
  </si>
  <si>
    <t>500kV AC lines</t>
  </si>
  <si>
    <t>220kV AC lines</t>
  </si>
  <si>
    <t>Capacities</t>
  </si>
  <si>
    <t>±500kV</t>
  </si>
  <si>
    <t>220kV *</t>
  </si>
  <si>
    <t>* Using 345 kV numbers for lack of 220 kV</t>
  </si>
  <si>
    <t>using R = 1 / sum_k(1/r_k) , r_k = resistance over line k   (could be in terms of % or MW)</t>
  </si>
  <si>
    <t>HL-LN needs to be calculated differently because combination of series and parallel</t>
  </si>
  <si>
    <t>海河－泉城 交流</t>
  </si>
  <si>
    <t>交流</t>
  </si>
  <si>
    <t>1000交流</t>
  </si>
  <si>
    <t>CHECK THAT THESE LINES WHERE PRESENT HAVE NUMBERS IN THE RESPECTIVE SHEETS</t>
  </si>
  <si>
    <t>1*±500</t>
  </si>
  <si>
    <t>±500</t>
  </si>
  <si>
    <t>±800</t>
  </si>
  <si>
    <t>*500</t>
  </si>
  <si>
    <t>±500(德宝直流3000MW)</t>
  </si>
  <si>
    <r>
      <t>±500(</t>
    </r>
    <r>
      <rPr>
        <sz val="11"/>
        <color indexed="8"/>
        <rFont val="宋体"/>
        <family val="2"/>
        <charset val="134"/>
      </rPr>
      <t>江城直流3000MW)</t>
    </r>
  </si>
  <si>
    <r>
      <t>±500(</t>
    </r>
    <r>
      <rPr>
        <sz val="11"/>
        <rFont val="宋体"/>
        <family val="3"/>
        <charset val="134"/>
      </rPr>
      <t>穆家</t>
    </r>
    <r>
      <rPr>
        <sz val="11"/>
        <rFont val="Calibri"/>
        <family val="2"/>
      </rPr>
      <t>--</t>
    </r>
    <r>
      <rPr>
        <sz val="11"/>
        <rFont val="宋体"/>
        <family val="3"/>
        <charset val="134"/>
      </rPr>
      <t>伊敏</t>
    </r>
    <r>
      <rPr>
        <sz val="11"/>
        <rFont val="Calibri"/>
        <family val="2"/>
      </rPr>
      <t xml:space="preserve"> , </t>
    </r>
    <r>
      <rPr>
        <sz val="11"/>
        <rFont val="宋体"/>
        <family val="3"/>
        <charset val="134"/>
      </rPr>
      <t>伊穆直流</t>
    </r>
    <r>
      <rPr>
        <sz val="11"/>
        <rFont val="Calibri"/>
        <family val="2"/>
      </rPr>
      <t xml:space="preserve"> / </t>
    </r>
    <r>
      <rPr>
        <sz val="11"/>
        <rFont val="宋体"/>
        <family val="3"/>
        <charset val="134"/>
      </rPr>
      <t>呼辽直流3000MW</t>
    </r>
    <r>
      <rPr>
        <sz val="11"/>
        <rFont val="Calibri"/>
        <family val="2"/>
      </rPr>
      <t>)</t>
    </r>
  </si>
  <si>
    <t>*330</t>
  </si>
  <si>
    <t>*220</t>
  </si>
  <si>
    <t>*750</t>
  </si>
  <si>
    <t>±800(复奉线6400MW)</t>
  </si>
  <si>
    <r>
      <t>±660(~±500kV)(</t>
    </r>
    <r>
      <rPr>
        <sz val="11"/>
        <color indexed="8"/>
        <rFont val="宋体"/>
        <family val="2"/>
        <charset val="134"/>
      </rPr>
      <t>直流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宋体"/>
        <family val="2"/>
        <charset val="134"/>
      </rPr>
      <t>银东4000MW）</t>
    </r>
  </si>
  <si>
    <r>
      <t xml:space="preserve">(Actually: 1.8 per line, bc </t>
    </r>
    <r>
      <rPr>
        <b/>
        <sz val="11"/>
        <color theme="1"/>
        <rFont val="Calibri"/>
        <family val="2"/>
      </rPr>
      <t>twin all lines)</t>
    </r>
  </si>
  <si>
    <t>*1000</t>
  </si>
  <si>
    <t>750kV AC lines</t>
  </si>
  <si>
    <t>330kV AC lines</t>
  </si>
  <si>
    <t xml:space="preserve">1000kV AC lines </t>
  </si>
  <si>
    <t>800kV DC lines</t>
  </si>
  <si>
    <t>500kV DC lines</t>
  </si>
  <si>
    <t>±800kV</t>
  </si>
  <si>
    <t>1000kV**</t>
  </si>
  <si>
    <t>** Using 800 kV numbers</t>
  </si>
  <si>
    <t xml:space="preserve"> </t>
  </si>
  <si>
    <t>Resistive losses (quad term of pwl, per 100 miles*1000MW)</t>
  </si>
  <si>
    <r>
      <t xml:space="preserve">Resistive losses per 100 miles*1000MW   </t>
    </r>
    <r>
      <rPr>
        <b/>
        <sz val="11"/>
        <color rgb="FF008000"/>
        <rFont val="Calibri"/>
        <family val="2"/>
      </rPr>
      <t xml:space="preserve"> (Source: Trans loss factsheets)</t>
    </r>
  </si>
  <si>
    <t>750kV*</t>
  </si>
  <si>
    <t>* 750kV are typically twinned, hence half per line capacity</t>
  </si>
  <si>
    <t>500kV DC lines (Capacity)</t>
  </si>
  <si>
    <t>800kV DC lines (Capacity)</t>
  </si>
  <si>
    <t>1000kV AC lines (Capacity)</t>
  </si>
  <si>
    <t xml:space="preserve">    luckily, in this case, two series resistances are close</t>
  </si>
  <si>
    <t xml:space="preserve">    ==&gt; set per unit resistance equal</t>
  </si>
  <si>
    <t>SN</t>
  </si>
  <si>
    <t>GS</t>
  </si>
  <si>
    <t>QH</t>
  </si>
  <si>
    <t>NX</t>
  </si>
  <si>
    <t>XJ</t>
  </si>
  <si>
    <t>CCG</t>
  </si>
  <si>
    <t>NCG</t>
  </si>
  <si>
    <t>Capacities (GW)</t>
  </si>
  <si>
    <t>Distances</t>
  </si>
  <si>
    <t>IMW</t>
  </si>
  <si>
    <t>GSW</t>
  </si>
  <si>
    <t>GSS</t>
  </si>
  <si>
    <r>
      <rPr>
        <sz val="11"/>
        <rFont val="宋体"/>
        <family val="3"/>
        <charset val="134"/>
      </rPr>
      <t>±800哈密南</t>
    </r>
    <r>
      <rPr>
        <sz val="11"/>
        <rFont val="Calibri"/>
        <family val="2"/>
      </rPr>
      <t>-</t>
    </r>
    <r>
      <rPr>
        <sz val="11"/>
        <rFont val="宋体"/>
        <family val="3"/>
        <charset val="134"/>
      </rPr>
      <t>郑州(8000MW)</t>
    </r>
    <phoneticPr fontId="2" type="noConversion"/>
  </si>
  <si>
    <r>
      <rPr>
        <sz val="11"/>
        <color rgb="FF0070C0"/>
        <rFont val="Calibri"/>
        <family val="2"/>
      </rPr>
      <t>±1100</t>
    </r>
    <r>
      <rPr>
        <sz val="11"/>
        <color rgb="FF0070C0"/>
        <rFont val="宋体"/>
        <family val="3"/>
        <charset val="134"/>
      </rPr>
      <t>准东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四川成都（</t>
    </r>
    <r>
      <rPr>
        <sz val="11"/>
        <color rgb="FF0070C0"/>
        <rFont val="Calibri"/>
        <family val="2"/>
      </rPr>
      <t>12000MW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</si>
  <si>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±1100</t>
    </r>
    <r>
      <rPr>
        <sz val="11"/>
        <color rgb="FF0070C0"/>
        <rFont val="宋体"/>
        <family val="3"/>
        <charset val="134"/>
      </rPr>
      <t>准东-淮南（12000MW）+±1100昌吉-古泉（12000MW）</t>
    </r>
    <phoneticPr fontId="2" type="noConversion"/>
  </si>
  <si>
    <r>
      <t>±1100</t>
    </r>
    <r>
      <rPr>
        <sz val="11"/>
        <color rgb="FF0070C0"/>
        <rFont val="宋体"/>
        <family val="3"/>
        <charset val="134"/>
      </rPr>
      <t>准东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淮南（</t>
    </r>
    <r>
      <rPr>
        <sz val="11"/>
        <color rgb="FF0070C0"/>
        <rFont val="Calibri"/>
        <family val="2"/>
      </rPr>
      <t>12000MW</t>
    </r>
    <r>
      <rPr>
        <sz val="11"/>
        <color rgb="FF0070C0"/>
        <rFont val="宋体"/>
        <family val="3"/>
        <charset val="134"/>
      </rPr>
      <t>）</t>
    </r>
    <r>
      <rPr>
        <sz val="11"/>
        <color rgb="FF0070C0"/>
        <rFont val="Calibri"/>
        <family val="2"/>
      </rPr>
      <t>+±1100</t>
    </r>
    <r>
      <rPr>
        <sz val="11"/>
        <color rgb="FF0070C0"/>
        <rFont val="宋体"/>
        <family val="3"/>
        <charset val="134"/>
      </rPr>
      <t>昌吉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古泉（</t>
    </r>
    <r>
      <rPr>
        <sz val="11"/>
        <color rgb="FF0070C0"/>
        <rFont val="Calibri"/>
        <family val="2"/>
      </rPr>
      <t>12000MW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</si>
  <si>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t>±800(复奉线6400MW)</t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</si>
  <si>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锦屏-苏南（7200MW）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</si>
  <si>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锦屏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苏南（</t>
    </r>
    <r>
      <rPr>
        <sz val="11"/>
        <color rgb="FF0070C0"/>
        <rFont val="Calibri"/>
        <family val="2"/>
      </rPr>
      <t>7200MW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</si>
  <si>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indexed="8"/>
        <rFont val="宋体"/>
        <family val="2"/>
        <charset val="134"/>
      </rPr>
      <t>±800(溪洛渡左岸</t>
    </r>
    <r>
      <rPr>
        <sz val="11"/>
        <color indexed="8"/>
        <rFont val="Calibri"/>
        <family val="2"/>
      </rPr>
      <t>—</t>
    </r>
    <r>
      <rPr>
        <sz val="11"/>
        <color indexed="8"/>
        <rFont val="宋体"/>
        <family val="2"/>
        <charset val="134"/>
      </rPr>
      <t>浙江金华8000MW)+</t>
    </r>
    <r>
      <rPr>
        <sz val="11"/>
        <color rgb="FF0070C0"/>
        <rFont val="宋体"/>
        <family val="3"/>
        <charset val="134"/>
      </rPr>
      <t>±500江城直流（3000MW）</t>
    </r>
    <phoneticPr fontId="2" type="noConversion"/>
  </si>
  <si>
    <r>
      <rPr>
        <sz val="11"/>
        <color indexed="8"/>
        <rFont val="宋体"/>
        <family val="2"/>
        <charset val="134"/>
      </rPr>
      <t>±800(溪洛渡左岸—浙江金华8000MW)+</t>
    </r>
    <r>
      <rPr>
        <sz val="11"/>
        <color rgb="FF0070C0"/>
        <rFont val="宋体"/>
        <family val="3"/>
        <charset val="134"/>
      </rPr>
      <t>±500江城直流（3000MW）</t>
    </r>
    <phoneticPr fontId="2" type="noConversion"/>
  </si>
  <si>
    <r>
      <t>1000</t>
    </r>
    <r>
      <rPr>
        <sz val="11"/>
        <color rgb="FF0070C0"/>
        <rFont val="宋体"/>
        <family val="3"/>
        <charset val="134"/>
      </rPr>
      <t>雅安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武汉特高压交流（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</si>
  <si>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雅安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武汉特高压交流（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</si>
  <si>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陕北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江西（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</si>
  <si>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陕北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江西（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</si>
  <si>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陕西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湖北（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</si>
  <si>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1000</t>
    </r>
    <r>
      <rPr>
        <sz val="11"/>
        <color rgb="FF0070C0"/>
        <rFont val="宋体"/>
        <family val="3"/>
        <charset val="134"/>
      </rPr>
      <t>榆横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潍坊（</t>
    </r>
    <r>
      <rPr>
        <sz val="11"/>
        <color rgb="FF0070C0"/>
        <rFont val="Calibri"/>
        <family val="2"/>
      </rPr>
      <t>7200MW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</si>
  <si>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榆横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潍坊（</t>
    </r>
    <r>
      <rPr>
        <sz val="11"/>
        <color rgb="FF0070C0"/>
        <rFont val="Calibri"/>
        <family val="2"/>
      </rPr>
      <t>7200MW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</si>
  <si>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（陇彬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豫北</t>
    </r>
    <r>
      <rPr>
        <sz val="11"/>
        <color rgb="FF0070C0"/>
        <rFont val="Calibri"/>
        <family val="2"/>
      </rPr>
      <t>5000MW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</si>
  <si>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（陇彬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豫北</t>
    </r>
    <r>
      <rPr>
        <sz val="11"/>
        <color rgb="FF0070C0"/>
        <rFont val="Calibri"/>
        <family val="2"/>
      </rPr>
      <t>5000MW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</si>
  <si>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±500(</t>
    </r>
    <r>
      <rPr>
        <sz val="11"/>
        <color indexed="8"/>
        <rFont val="宋体"/>
        <family val="2"/>
        <charset val="134"/>
      </rPr>
      <t>江城直流3000MW)</t>
    </r>
    <phoneticPr fontId="2" type="noConversion"/>
  </si>
  <si>
    <r>
      <t>±660(</t>
    </r>
    <r>
      <rPr>
        <sz val="11"/>
        <color indexed="8"/>
        <rFont val="宋体"/>
        <family val="2"/>
        <charset val="134"/>
      </rPr>
      <t>直流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宋体"/>
        <family val="2"/>
        <charset val="134"/>
      </rPr>
      <t>银东4000MW）</t>
    </r>
    <r>
      <rPr>
        <sz val="11"/>
        <color indexed="8"/>
        <rFont val="Calibri"/>
        <family val="2"/>
      </rPr>
      <t>(~±500kV)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</si>
  <si>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青海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河南（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</si>
  <si>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宁东-浙江（8000MW）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</si>
  <si>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宁东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浙江（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</si>
  <si>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t>±500(德宝直流3000MW)</t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</si>
  <si>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陕西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湖北（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</si>
  <si>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蒙西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天津南（</t>
    </r>
    <r>
      <rPr>
        <sz val="11"/>
        <color rgb="FF0070C0"/>
        <rFont val="Calibri"/>
        <family val="2"/>
      </rPr>
      <t>5000MW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</si>
  <si>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1000</t>
    </r>
    <r>
      <rPr>
        <sz val="11"/>
        <color rgb="FF0070C0"/>
        <rFont val="宋体"/>
        <family val="3"/>
        <charset val="134"/>
      </rPr>
      <t>蒙西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天津南（</t>
    </r>
    <r>
      <rPr>
        <sz val="11"/>
        <color rgb="FF0070C0"/>
        <rFont val="Calibri"/>
        <family val="2"/>
      </rPr>
      <t>5000MW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</si>
  <si>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t>±800扎鲁特-山东（10000MW）+2*1000锡盟-山东（4000MW+5000MW）</t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</si>
  <si>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锡盟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江苏（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）+1000锡盟-南京（9400MW）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</si>
  <si>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锡盟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江苏（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r>
      <rPr>
        <sz val="11"/>
        <color rgb="FF0070C0"/>
        <rFont val="Calibri"/>
        <family val="2"/>
      </rPr>
      <t>+1000</t>
    </r>
    <r>
      <rPr>
        <sz val="11"/>
        <color rgb="FF0070C0"/>
        <rFont val="宋体"/>
        <family val="3"/>
        <charset val="134"/>
      </rPr>
      <t>锡盟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南京（</t>
    </r>
    <r>
      <rPr>
        <sz val="11"/>
        <color rgb="FF0070C0"/>
        <rFont val="Calibri"/>
        <family val="2"/>
      </rPr>
      <t>9400MW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</si>
  <si>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吉安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金上（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</si>
  <si>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上海庙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山东（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</si>
  <si>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上海庙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山东（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</si>
  <si>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t>±800扎鲁特-山东（10000MW）+2*1000锡盟-山东（4000MW+5000MW）</t>
    <phoneticPr fontId="2" type="noConversion"/>
  </si>
  <si>
    <r>
      <t>2±500+</t>
    </r>
    <r>
      <rPr>
        <sz val="11"/>
        <color rgb="FF0070C0"/>
        <rFont val="Calibri"/>
        <family val="2"/>
      </rPr>
      <t>2±500</t>
    </r>
    <r>
      <rPr>
        <sz val="11"/>
        <color rgb="FF0070C0"/>
        <rFont val="宋体"/>
        <family val="3"/>
        <charset val="134"/>
      </rPr>
      <t>（</t>
    </r>
    <r>
      <rPr>
        <sz val="11"/>
        <color rgb="FF0070C0"/>
        <rFont val="Calibri"/>
        <family val="2"/>
      </rPr>
      <t>3000MW+3000MW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</si>
  <si>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青海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河南（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</si>
  <si>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酒泉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湖南（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</si>
  <si>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酒泉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湖南（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</si>
  <si>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rPr>
        <sz val="11"/>
        <color rgb="FF0070C0"/>
        <rFont val="Calibri"/>
        <family val="2"/>
      </rPr>
      <t>±800</t>
    </r>
    <r>
      <rPr>
        <sz val="11"/>
        <color rgb="FF0070C0"/>
        <rFont val="宋体"/>
        <family val="3"/>
        <charset val="134"/>
      </rPr>
      <t>陇东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江苏（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</si>
  <si>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±800</t>
    </r>
    <r>
      <rPr>
        <sz val="11"/>
        <color rgb="FF0070C0"/>
        <rFont val="宋体"/>
        <family val="3"/>
        <charset val="134"/>
      </rPr>
      <t>陇东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江苏（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</si>
  <si>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r>
      <t>1000</t>
    </r>
    <r>
      <rPr>
        <sz val="11"/>
        <color rgb="FF0070C0"/>
        <rFont val="宋体"/>
        <family val="3"/>
        <charset val="134"/>
      </rPr>
      <t>皖电东送特高压示范工程（</t>
    </r>
    <r>
      <rPr>
        <sz val="11"/>
        <color rgb="FF0070C0"/>
        <rFont val="Calibri"/>
        <family val="2"/>
      </rPr>
      <t>4000MW</t>
    </r>
    <r>
      <rPr>
        <sz val="11"/>
        <color rgb="FF0070C0"/>
        <rFont val="宋体"/>
        <family val="3"/>
        <charset val="134"/>
      </rPr>
      <t>）+1000淮南-南京-上海（4000MW）</t>
    </r>
    <phoneticPr fontId="2" type="noConversion"/>
  </si>
  <si>
    <r>
      <t>1000</t>
    </r>
    <r>
      <rPr>
        <sz val="11"/>
        <color rgb="FF0070C0"/>
        <rFont val="宋体"/>
        <family val="3"/>
        <charset val="134"/>
      </rPr>
      <t>皖电东送特高压示范工程（</t>
    </r>
    <r>
      <rPr>
        <sz val="11"/>
        <color rgb="FF0070C0"/>
        <rFont val="Calibri"/>
        <family val="2"/>
      </rPr>
      <t>4000MW</t>
    </r>
    <r>
      <rPr>
        <sz val="11"/>
        <color rgb="FF0070C0"/>
        <rFont val="宋体"/>
        <family val="3"/>
        <charset val="134"/>
      </rPr>
      <t>）</t>
    </r>
    <r>
      <rPr>
        <sz val="11"/>
        <color rgb="FF0070C0"/>
        <rFont val="Calibri"/>
        <family val="2"/>
      </rPr>
      <t>+1000</t>
    </r>
    <r>
      <rPr>
        <sz val="11"/>
        <color rgb="FF0070C0"/>
        <rFont val="宋体"/>
        <family val="3"/>
        <charset val="134"/>
      </rPr>
      <t>淮南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南京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上海（</t>
    </r>
    <r>
      <rPr>
        <sz val="11"/>
        <color rgb="FF0070C0"/>
        <rFont val="Calibri"/>
        <family val="2"/>
      </rPr>
      <t>4000MW</t>
    </r>
    <r>
      <rPr>
        <sz val="11"/>
        <color rgb="FF0070C0"/>
        <rFont val="宋体"/>
        <family val="3"/>
        <charset val="134"/>
      </rPr>
      <t>）</t>
    </r>
    <phoneticPr fontId="2" type="noConversion"/>
  </si>
  <si>
    <t>500AC</t>
  </si>
  <si>
    <t>220AC</t>
  </si>
  <si>
    <t>330AC</t>
  </si>
  <si>
    <r>
      <rPr>
        <sz val="11"/>
        <rFont val="Calibri"/>
        <family val="2"/>
      </rPr>
      <t>500AC*3,</t>
    </r>
    <r>
      <rPr>
        <sz val="11"/>
        <color rgb="FF0070C0"/>
        <rFont val="Calibri"/>
        <family val="2"/>
      </rPr>
      <t>220AC*4</t>
    </r>
  </si>
  <si>
    <t>500AC*3</t>
  </si>
  <si>
    <t>500AC*3,220AC*4</t>
  </si>
  <si>
    <t>500AC*1</t>
  </si>
  <si>
    <t>500AC*2</t>
  </si>
  <si>
    <r>
      <rPr>
        <sz val="11"/>
        <rFont val="Calibri"/>
        <family val="2"/>
      </rPr>
      <t>500AC*2,</t>
    </r>
    <r>
      <rPr>
        <sz val="11"/>
        <color rgb="FF0070C0"/>
        <rFont val="Calibri"/>
        <family val="2"/>
      </rPr>
      <t>220AC*5</t>
    </r>
  </si>
  <si>
    <t>500AC*6</t>
  </si>
  <si>
    <t>500AC*4</t>
  </si>
  <si>
    <t>220AC*3</t>
  </si>
  <si>
    <t>220AC*2</t>
  </si>
  <si>
    <r>
      <t>500AC*2,</t>
    </r>
    <r>
      <rPr>
        <sz val="11"/>
        <color rgb="FF0070C0"/>
        <rFont val="Calibri"/>
        <family val="2"/>
      </rPr>
      <t>220AC*1</t>
    </r>
  </si>
  <si>
    <t>750AC</t>
  </si>
  <si>
    <t>750AC*2, 330AC*2</t>
  </si>
  <si>
    <t>750AC*2, 330AC*7</t>
  </si>
  <si>
    <t>750AC*2</t>
  </si>
  <si>
    <t>750AC*4</t>
  </si>
  <si>
    <t>750AC*4, 330AC*5</t>
  </si>
  <si>
    <t>750AC*2, 330AC*4</t>
  </si>
  <si>
    <t>330AC*1</t>
  </si>
  <si>
    <t>750AC*2, 330AC*5</t>
  </si>
  <si>
    <t>220AC*1</t>
  </si>
  <si>
    <r>
      <t>500AC*3,</t>
    </r>
    <r>
      <rPr>
        <sz val="11"/>
        <color rgb="FF0070C0"/>
        <rFont val="Calibri"/>
        <family val="2"/>
      </rPr>
      <t>±500</t>
    </r>
    <r>
      <rPr>
        <sz val="11"/>
        <color rgb="FF0070C0"/>
        <rFont val="宋体"/>
        <family val="3"/>
        <charset val="134"/>
      </rPr>
      <t>高岭背靠背直流（</t>
    </r>
    <r>
      <rPr>
        <sz val="11"/>
        <color rgb="FF0070C0"/>
        <rFont val="Calibri"/>
        <family val="2"/>
      </rPr>
      <t>3000MW</t>
    </r>
    <r>
      <rPr>
        <sz val="11"/>
        <color rgb="FF0070C0"/>
        <rFont val="宋体"/>
        <family val="3"/>
        <charset val="134"/>
      </rPr>
      <t>）</t>
    </r>
  </si>
  <si>
    <t>330AC*4</t>
  </si>
  <si>
    <t>500AC*1, 330AC*2</t>
  </si>
  <si>
    <r>
      <t xml:space="preserve">500AC*9, </t>
    </r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北京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石家庄（</t>
    </r>
    <r>
      <rPr>
        <sz val="11"/>
        <color rgb="FF0070C0"/>
        <rFont val="Calibri"/>
        <family val="2"/>
      </rPr>
      <t>5000MW</t>
    </r>
    <r>
      <rPr>
        <sz val="11"/>
        <color rgb="FF0070C0"/>
        <rFont val="宋体"/>
        <family val="3"/>
        <charset val="134"/>
      </rPr>
      <t>）</t>
    </r>
  </si>
  <si>
    <r>
      <t>500AC*2, 1000</t>
    </r>
    <r>
      <rPr>
        <sz val="11"/>
        <color rgb="FFFF0000"/>
        <rFont val="宋体"/>
        <family val="3"/>
        <charset val="134"/>
      </rPr>
      <t>（廊坊－海河</t>
    </r>
    <r>
      <rPr>
        <sz val="11"/>
        <color rgb="FFFF0000"/>
        <rFont val="Calibri"/>
        <family val="2"/>
      </rPr>
      <t>)</t>
    </r>
  </si>
  <si>
    <t>500AC*5</t>
  </si>
  <si>
    <r>
      <t xml:space="preserve">500AC*4, </t>
    </r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（山东-河北特高压环网工程4000MW）</t>
    </r>
  </si>
  <si>
    <t>500AC*9</t>
  </si>
  <si>
    <r>
      <t xml:space="preserve">500AC*4, </t>
    </r>
    <r>
      <rPr>
        <sz val="11"/>
        <color rgb="FF0070C0"/>
        <rFont val="Calibri"/>
        <family val="2"/>
      </rPr>
      <t>1000</t>
    </r>
    <r>
      <rPr>
        <sz val="11"/>
        <color rgb="FF0070C0"/>
        <rFont val="宋体"/>
        <family val="3"/>
        <charset val="134"/>
      </rPr>
      <t>蒙西-晋中（5000MW）</t>
    </r>
  </si>
  <si>
    <r>
      <t>1000(</t>
    </r>
    <r>
      <rPr>
        <sz val="11"/>
        <color indexed="8"/>
        <rFont val="宋体"/>
        <family val="2"/>
        <charset val="134"/>
      </rPr>
      <t>晋东南</t>
    </r>
    <r>
      <rPr>
        <sz val="11"/>
        <color indexed="8"/>
        <rFont val="Calibri"/>
        <family val="2"/>
      </rPr>
      <t>--</t>
    </r>
    <r>
      <rPr>
        <sz val="11"/>
        <color indexed="8"/>
        <rFont val="宋体"/>
        <family val="2"/>
        <charset val="134"/>
      </rPr>
      <t>南阳</t>
    </r>
    <r>
      <rPr>
        <sz val="11"/>
        <color indexed="8"/>
        <rFont val="Calibri"/>
        <family val="2"/>
      </rPr>
      <t>--</t>
    </r>
    <r>
      <rPr>
        <sz val="11"/>
        <color indexed="8"/>
        <rFont val="宋体"/>
        <family val="2"/>
        <charset val="134"/>
      </rPr>
      <t>荆门5000MW)</t>
    </r>
  </si>
  <si>
    <r>
      <t>500AC*4, 1000(</t>
    </r>
    <r>
      <rPr>
        <sz val="11"/>
        <color rgb="FFFF0000"/>
        <rFont val="宋体"/>
        <family val="3"/>
        <charset val="134"/>
      </rPr>
      <t>海河－保定交流)</t>
    </r>
  </si>
  <si>
    <r>
      <t>500AC*13, 220AC*2, 110AC*1, 1000(</t>
    </r>
    <r>
      <rPr>
        <sz val="11"/>
        <color rgb="FFFF0000"/>
        <rFont val="宋体"/>
        <family val="3"/>
        <charset val="134"/>
      </rPr>
      <t>北岳－保定交流</t>
    </r>
    <r>
      <rPr>
        <sz val="11"/>
        <color rgb="FFFF0000"/>
        <rFont val="Calibri"/>
        <family val="2"/>
      </rPr>
      <t>)</t>
    </r>
  </si>
  <si>
    <r>
      <t>±800</t>
    </r>
    <r>
      <rPr>
        <sz val="11"/>
        <color rgb="FF0070C0"/>
        <rFont val="宋体"/>
        <family val="3"/>
        <charset val="134"/>
      </rPr>
      <t>吉安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金上（</t>
    </r>
    <r>
      <rPr>
        <sz val="11"/>
        <color rgb="FF0070C0"/>
        <rFont val="Calibri"/>
        <family val="2"/>
      </rPr>
      <t>10000MW</t>
    </r>
    <r>
      <rPr>
        <sz val="11"/>
        <color rgb="FF0070C0"/>
        <rFont val="宋体"/>
        <family val="3"/>
        <charset val="134"/>
      </rPr>
      <t>）</t>
    </r>
  </si>
  <si>
    <r>
      <t>500AC*2, ±</t>
    </r>
    <r>
      <rPr>
        <sz val="11"/>
        <color rgb="FF0070C0"/>
        <rFont val="Calibri"/>
        <family val="2"/>
      </rPr>
      <t>500</t>
    </r>
    <r>
      <rPr>
        <sz val="11"/>
        <color rgb="FF0070C0"/>
        <rFont val="宋体"/>
        <family val="3"/>
        <charset val="134"/>
      </rPr>
      <t>鲤鱼江送南方电网（</t>
    </r>
    <r>
      <rPr>
        <sz val="11"/>
        <color rgb="FF0070C0"/>
        <rFont val="Calibri"/>
        <family val="2"/>
      </rPr>
      <t>1900MW</t>
    </r>
    <r>
      <rPr>
        <sz val="11"/>
        <color rgb="FF0070C0"/>
        <rFont val="宋体"/>
        <family val="3"/>
        <charset val="134"/>
      </rPr>
      <t>）</t>
    </r>
  </si>
  <si>
    <t>500AC*1, 220AC*4</t>
  </si>
  <si>
    <t>500AC*8</t>
  </si>
  <si>
    <t>500AC*7, 220AC*8</t>
  </si>
  <si>
    <r>
      <t xml:space="preserve">500AC*4, 220AC*2, </t>
    </r>
    <r>
      <rPr>
        <sz val="11"/>
        <color rgb="FF0070C0"/>
        <rFont val="Calibri"/>
        <family val="2"/>
      </rPr>
      <t>±500</t>
    </r>
    <r>
      <rPr>
        <sz val="11"/>
        <color rgb="FF0070C0"/>
        <rFont val="宋体"/>
        <family val="3"/>
        <charset val="134"/>
      </rPr>
      <t>（金中直流</t>
    </r>
    <r>
      <rPr>
        <sz val="11"/>
        <color rgb="FF0070C0"/>
        <rFont val="Calibri"/>
        <family val="2"/>
      </rPr>
      <t>3200MW</t>
    </r>
    <r>
      <rPr>
        <sz val="11"/>
        <color rgb="FF0070C0"/>
        <rFont val="宋体"/>
        <family val="3"/>
        <charset val="134"/>
      </rPr>
      <t>）</t>
    </r>
  </si>
  <si>
    <r>
      <t>500AC*4, ±800</t>
    </r>
    <r>
      <rPr>
        <sz val="11"/>
        <color rgb="FF0070C0"/>
        <rFont val="宋体"/>
        <family val="3"/>
        <charset val="134"/>
      </rPr>
      <t>（山西晋北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南京</t>
    </r>
    <r>
      <rPr>
        <sz val="11"/>
        <color rgb="FF0070C0"/>
        <rFont val="Calibri"/>
        <family val="2"/>
      </rPr>
      <t>8000MW</t>
    </r>
    <r>
      <rPr>
        <sz val="11"/>
        <color rgb="FF0070C0"/>
        <rFont val="宋体"/>
        <family val="3"/>
        <charset val="134"/>
      </rPr>
      <t>）</t>
    </r>
  </si>
  <si>
    <r>
      <t>500AC*4, ±500(2*</t>
    </r>
    <r>
      <rPr>
        <sz val="11"/>
        <color indexed="8"/>
        <rFont val="宋体"/>
        <family val="2"/>
        <charset val="134"/>
      </rPr>
      <t>溪洛渡右岸6400MW)+ ±800(楚穗线5000MW,糯扎渡5000MW)+ ±800</t>
    </r>
    <r>
      <rPr>
        <sz val="11"/>
        <color rgb="FF0070C0"/>
        <rFont val="宋体"/>
        <family val="3"/>
        <charset val="134"/>
      </rPr>
      <t>（滇西北-广东5000MW）</t>
    </r>
  </si>
  <si>
    <r>
      <t>500AC*4, ±500(</t>
    </r>
    <r>
      <rPr>
        <sz val="11"/>
        <rFont val="宋体"/>
        <family val="3"/>
        <charset val="134"/>
      </rPr>
      <t>高肇直流3000MW,天广线1800MW,兴安直流3000MW)</t>
    </r>
  </si>
  <si>
    <r>
      <t xml:space="preserve">500AC*2, </t>
    </r>
    <r>
      <rPr>
        <sz val="11"/>
        <color rgb="FF0070C0"/>
        <rFont val="Calibri"/>
        <family val="2"/>
      </rPr>
      <t>1000KV</t>
    </r>
    <r>
      <rPr>
        <sz val="11"/>
        <color rgb="FF0070C0"/>
        <rFont val="宋体"/>
        <family val="3"/>
        <charset val="134"/>
      </rPr>
      <t>（浙北</t>
    </r>
    <r>
      <rPr>
        <sz val="11"/>
        <color rgb="FF0070C0"/>
        <rFont val="Calibri"/>
        <family val="2"/>
      </rPr>
      <t>-</t>
    </r>
    <r>
      <rPr>
        <sz val="11"/>
        <color rgb="FF0070C0"/>
        <rFont val="宋体"/>
        <family val="3"/>
        <charset val="134"/>
      </rPr>
      <t>福州特高压交流工程</t>
    </r>
    <r>
      <rPr>
        <sz val="11"/>
        <color rgb="FF0070C0"/>
        <rFont val="Calibri"/>
        <family val="2"/>
      </rPr>
      <t>6800MW</t>
    </r>
    <r>
      <rPr>
        <sz val="11"/>
        <color rgb="FF0070C0"/>
        <rFont val="宋体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</si>
</sst>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3">
    <font>
      <sz val="11"/>
      <color theme="1"/>
      <name val="Calibri"/>
      <family val="2"/>
    </font>
    <font>
      <sz val="11"/>
      <color indexed="8"/>
      <name val="Calibri"/>
      <family val="2"/>
    </font>
    <font>
      <sz val="9"/>
      <name val="Calibri"/>
      <family val="2"/>
    </font>
    <font>
      <sz val="11"/>
      <color indexed="8"/>
      <name val="黑体"/>
      <family val="3"/>
      <charset val="134"/>
    </font>
    <font>
      <sz val="11"/>
      <name val="黑体"/>
      <family val="3"/>
      <charset val="134"/>
    </font>
    <font>
      <sz val="11"/>
      <color indexed="10"/>
      <name val="Times New Roman"/>
      <family val="1"/>
    </font>
    <font>
      <sz val="12"/>
      <color indexed="10"/>
      <name val="Times New Roman"/>
      <family val="1"/>
    </font>
    <font>
      <sz val="12"/>
      <color indexed="10"/>
      <name val="黑体"/>
      <family val="3"/>
      <charset val="134"/>
    </font>
    <font>
      <sz val="12"/>
      <color indexed="8"/>
      <name val="Calibri"/>
      <family val="2"/>
    </font>
    <font>
      <sz val="12"/>
      <color indexed="10"/>
      <name val="宋体"/>
      <family val="3"/>
      <charset val="134"/>
    </font>
    <font>
      <b/>
      <sz val="11"/>
      <color indexed="8"/>
      <name val="Calibri"/>
      <family val="2"/>
    </font>
    <font>
      <sz val="11"/>
      <color rgb="FFFF0000"/>
      <name val="黑体"/>
      <family val="3"/>
      <charset val="134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Lantinghei SC Heavy"/>
      <family val="2"/>
    </font>
    <font>
      <sz val="11"/>
      <color theme="1"/>
      <name val="宋体"/>
      <family val="2"/>
      <charset val="134"/>
    </font>
    <font>
      <sz val="11"/>
      <color rgb="FFFF0000"/>
      <name val="宋体"/>
      <family val="3"/>
      <charset val="134"/>
    </font>
    <font>
      <sz val="11"/>
      <color indexed="8"/>
      <name val="Times New Roman"/>
      <family val="1"/>
    </font>
    <font>
      <sz val="11"/>
      <color indexed="10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indexed="8"/>
      <name val="宋体"/>
      <family val="2"/>
      <charset val="134"/>
    </font>
    <font>
      <sz val="11"/>
      <name val="宋体"/>
      <family val="3"/>
      <charset val="134"/>
    </font>
    <font>
      <sz val="11"/>
      <color rgb="FF000000"/>
      <name val="Calibri"/>
      <family val="2"/>
    </font>
    <font>
      <b/>
      <sz val="11"/>
      <color rgb="FF008000"/>
      <name val="Calibri"/>
      <family val="2"/>
    </font>
    <font>
      <sz val="9"/>
      <name val="宋体"/>
      <family val="3"/>
      <charset val="134"/>
    </font>
    <font>
      <sz val="11"/>
      <color rgb="FF0070C0"/>
      <name val="Calibri"/>
      <family val="2"/>
    </font>
    <font>
      <sz val="11"/>
      <color rgb="FF0070C0"/>
      <name val="宋体"/>
      <family val="3"/>
      <charset val="134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437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10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0" fillId="5" borderId="0" xfId="0" applyFill="1">
      <alignment vertical="center"/>
    </xf>
    <xf numFmtId="0" fontId="3" fillId="0" borderId="0" xfId="0" applyFont="1" applyAlignment="1">
      <alignment horizontal="left" vertical="center"/>
    </xf>
    <xf numFmtId="0" fontId="0" fillId="6" borderId="0" xfId="0" applyFill="1">
      <alignment vertical="center"/>
    </xf>
    <xf numFmtId="2" fontId="0" fillId="6" borderId="0" xfId="0" applyNumberFormat="1" applyFill="1">
      <alignment vertical="center"/>
    </xf>
    <xf numFmtId="10" fontId="0" fillId="6" borderId="0" xfId="0" applyNumberFormat="1" applyFill="1">
      <alignment vertical="center"/>
    </xf>
    <xf numFmtId="0" fontId="15" fillId="0" borderId="0" xfId="0" applyFont="1">
      <alignment vertical="center"/>
    </xf>
    <xf numFmtId="164" fontId="0" fillId="0" borderId="0" xfId="0" applyNumberFormat="1">
      <alignment vertical="center"/>
    </xf>
    <xf numFmtId="164" fontId="0" fillId="5" borderId="0" xfId="0" applyNumberFormat="1" applyFill="1">
      <alignment vertical="center"/>
    </xf>
    <xf numFmtId="164" fontId="0" fillId="6" borderId="0" xfId="0" applyNumberFormat="1" applyFill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2" fillId="3" borderId="6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left" vertical="center"/>
    </xf>
    <xf numFmtId="0" fontId="22" fillId="11" borderId="5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2" fillId="7" borderId="9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6" fillId="0" borderId="0" xfId="0" applyFont="1">
      <alignment vertical="center"/>
    </xf>
    <xf numFmtId="0" fontId="26" fillId="12" borderId="0" xfId="0" applyFont="1" applyFill="1">
      <alignment vertical="center"/>
    </xf>
    <xf numFmtId="0" fontId="12" fillId="6" borderId="0" xfId="0" applyFont="1" applyFill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11" borderId="18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29" fillId="6" borderId="6" xfId="0" applyFont="1" applyFill="1" applyBorder="1" applyAlignment="1">
      <alignment horizontal="center" vertical="center" wrapText="1"/>
    </xf>
    <xf numFmtId="0" fontId="29" fillId="10" borderId="8" xfId="0" applyFont="1" applyFill="1" applyBorder="1" applyAlignment="1">
      <alignment horizontal="center" vertical="center" wrapText="1"/>
    </xf>
    <xf numFmtId="0" fontId="29" fillId="10" borderId="9" xfId="0" applyFont="1" applyFill="1" applyBorder="1" applyAlignment="1">
      <alignment horizontal="center" vertical="center" wrapText="1"/>
    </xf>
    <xf numFmtId="0" fontId="29" fillId="7" borderId="22" xfId="0" applyFont="1" applyFill="1" applyBorder="1" applyAlignment="1">
      <alignment horizontal="center" vertical="center" wrapText="1"/>
    </xf>
    <xf numFmtId="0" fontId="26" fillId="13" borderId="16" xfId="0" applyFont="1" applyFill="1" applyBorder="1" applyAlignment="1">
      <alignment horizontal="left" vertical="center"/>
    </xf>
    <xf numFmtId="0" fontId="22" fillId="14" borderId="22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4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7"/>
  <sheetViews>
    <sheetView zoomScale="82" zoomScaleNormal="72" zoomScalePageLayoutView="14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T46" sqref="AT46"/>
    </sheetView>
  </sheetViews>
  <sheetFormatPr baseColWidth="10" defaultColWidth="11.5" defaultRowHeight="15"/>
  <cols>
    <col min="1" max="1" width="11.5" style="4" customWidth="1"/>
    <col min="2" max="2" width="7.83203125" style="4" customWidth="1"/>
    <col min="3" max="3" width="8.1640625" style="4" customWidth="1"/>
    <col min="4" max="5" width="7.83203125" style="4" customWidth="1"/>
    <col min="6" max="6" width="10.1640625" style="4" customWidth="1"/>
    <col min="7" max="13" width="7.83203125" style="4" customWidth="1"/>
    <col min="14" max="22" width="9" style="4" customWidth="1"/>
    <col min="23" max="23" width="7" style="4" customWidth="1"/>
    <col min="24" max="46" width="9" style="4" customWidth="1"/>
    <col min="47" max="16384" width="11.5" style="4"/>
  </cols>
  <sheetData>
    <row r="1" spans="1:48" ht="19" customHeight="1">
      <c r="B1" s="232"/>
      <c r="C1" s="232"/>
      <c r="D1" s="232"/>
      <c r="E1" s="232"/>
      <c r="F1" s="232"/>
    </row>
    <row r="2" spans="1:48" ht="7" customHeight="1">
      <c r="B2" s="11"/>
    </row>
    <row r="3" spans="1:48" ht="31" thickBot="1">
      <c r="B3" s="28" t="s">
        <v>0</v>
      </c>
      <c r="C3" s="28" t="s">
        <v>1</v>
      </c>
      <c r="D3" s="28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28" t="s">
        <v>12</v>
      </c>
      <c r="O3" s="28" t="s">
        <v>13</v>
      </c>
      <c r="P3" s="28" t="s">
        <v>14</v>
      </c>
      <c r="Q3" s="28" t="s">
        <v>15</v>
      </c>
      <c r="R3" s="28" t="s">
        <v>16</v>
      </c>
      <c r="S3" s="28" t="s">
        <v>17</v>
      </c>
      <c r="T3" s="28" t="s">
        <v>18</v>
      </c>
      <c r="U3" s="28" t="s">
        <v>19</v>
      </c>
      <c r="V3" s="28" t="s">
        <v>20</v>
      </c>
      <c r="W3" s="28" t="s">
        <v>21</v>
      </c>
      <c r="X3" s="28" t="s">
        <v>22</v>
      </c>
      <c r="Y3" s="28" t="s">
        <v>23</v>
      </c>
      <c r="Z3" s="28" t="s">
        <v>24</v>
      </c>
      <c r="AA3" s="28" t="s">
        <v>25</v>
      </c>
      <c r="AB3" s="28" t="s">
        <v>26</v>
      </c>
      <c r="AC3" s="28" t="s">
        <v>27</v>
      </c>
      <c r="AD3" s="28" t="s">
        <v>28</v>
      </c>
      <c r="AE3" s="28" t="s">
        <v>29</v>
      </c>
      <c r="AF3" s="28" t="s">
        <v>30</v>
      </c>
      <c r="AG3" s="28" t="s">
        <v>31</v>
      </c>
      <c r="AH3" s="28" t="s">
        <v>32</v>
      </c>
      <c r="AI3" s="28" t="s">
        <v>33</v>
      </c>
      <c r="AJ3" s="28" t="s">
        <v>34</v>
      </c>
      <c r="AK3" s="28" t="s">
        <v>35</v>
      </c>
      <c r="AL3" s="28" t="s">
        <v>36</v>
      </c>
      <c r="AM3" s="28" t="s">
        <v>37</v>
      </c>
      <c r="AN3" s="28" t="s">
        <v>38</v>
      </c>
      <c r="AO3" s="28" t="s">
        <v>39</v>
      </c>
      <c r="AP3" s="28" t="s">
        <v>40</v>
      </c>
      <c r="AQ3" s="28" t="s">
        <v>41</v>
      </c>
      <c r="AR3" s="28" t="s">
        <v>42</v>
      </c>
      <c r="AS3" s="28" t="s">
        <v>43</v>
      </c>
      <c r="AT3" s="28" t="s">
        <v>44</v>
      </c>
    </row>
    <row r="4" spans="1:48" ht="16" thickBot="1">
      <c r="A4" s="31" t="s">
        <v>0</v>
      </c>
      <c r="B4" s="192"/>
      <c r="C4" s="193" t="s">
        <v>219</v>
      </c>
      <c r="D4" s="194" t="s">
        <v>219</v>
      </c>
      <c r="E4" s="190"/>
      <c r="F4" s="26"/>
      <c r="G4" s="26"/>
      <c r="H4" s="26" t="s">
        <v>220</v>
      </c>
      <c r="I4" s="26"/>
      <c r="J4" s="26"/>
      <c r="K4" s="26"/>
      <c r="L4" s="26"/>
      <c r="M4" s="27"/>
      <c r="N4" s="75"/>
      <c r="O4" s="75"/>
      <c r="P4" s="75"/>
      <c r="Q4" s="75"/>
      <c r="R4" s="75"/>
      <c r="S4" s="75"/>
      <c r="T4" s="75"/>
      <c r="U4" s="75"/>
      <c r="V4" s="75"/>
      <c r="W4" s="76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</row>
    <row r="5" spans="1:48" ht="32">
      <c r="A5" s="31" t="s">
        <v>1</v>
      </c>
      <c r="B5" s="195" t="s">
        <v>219</v>
      </c>
      <c r="C5" s="63"/>
      <c r="D5" s="196"/>
      <c r="E5" s="190"/>
      <c r="F5" s="215" t="s">
        <v>218</v>
      </c>
      <c r="G5" s="26"/>
      <c r="H5" s="26"/>
      <c r="I5" s="26"/>
      <c r="J5" s="26"/>
      <c r="K5" s="26"/>
      <c r="L5" s="26"/>
      <c r="M5" s="27"/>
      <c r="N5" s="75"/>
      <c r="O5" s="75"/>
      <c r="P5" s="75"/>
      <c r="Q5" s="75"/>
      <c r="R5" s="75"/>
      <c r="S5" s="75"/>
      <c r="T5" s="75"/>
      <c r="U5" s="75"/>
      <c r="V5" s="75"/>
      <c r="W5" s="76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V5" s="1" t="s">
        <v>46</v>
      </c>
    </row>
    <row r="6" spans="1:48" ht="16" thickBot="1">
      <c r="A6" s="31" t="s">
        <v>2</v>
      </c>
      <c r="B6" s="197" t="s">
        <v>219</v>
      </c>
      <c r="C6" s="198"/>
      <c r="D6" s="199"/>
      <c r="E6" s="201"/>
      <c r="F6" s="33"/>
      <c r="G6" s="33"/>
      <c r="H6" s="33"/>
      <c r="I6" s="26"/>
      <c r="J6" s="26"/>
      <c r="K6" s="26"/>
      <c r="L6" s="26"/>
      <c r="M6" s="228" t="s">
        <v>222</v>
      </c>
      <c r="N6" s="75"/>
      <c r="O6" s="75"/>
      <c r="P6" s="75"/>
      <c r="Q6" s="75"/>
      <c r="R6" s="75"/>
      <c r="S6" s="75"/>
      <c r="T6" s="75"/>
      <c r="U6" s="75"/>
      <c r="V6" s="75"/>
      <c r="W6" s="76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</row>
    <row r="7" spans="1:48" ht="16" thickBot="1">
      <c r="A7" s="3" t="s">
        <v>3</v>
      </c>
      <c r="B7" s="191"/>
      <c r="C7" s="191"/>
      <c r="D7" s="200"/>
      <c r="E7" s="192"/>
      <c r="F7" s="228" t="s">
        <v>222</v>
      </c>
      <c r="G7" s="193"/>
      <c r="H7" s="197" t="s">
        <v>221</v>
      </c>
      <c r="I7" s="228" t="s">
        <v>222</v>
      </c>
      <c r="J7" s="26"/>
      <c r="K7" s="26"/>
      <c r="L7" s="26"/>
      <c r="M7" s="27"/>
      <c r="N7" s="75"/>
      <c r="O7" s="75"/>
      <c r="P7" s="75"/>
      <c r="Q7" s="75"/>
      <c r="R7" s="75"/>
      <c r="S7" s="75"/>
      <c r="T7" s="75"/>
      <c r="U7" s="75"/>
      <c r="V7" s="75"/>
      <c r="W7" s="76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</row>
    <row r="8" spans="1:48" ht="49" thickBot="1">
      <c r="A8" s="3" t="s">
        <v>4</v>
      </c>
      <c r="B8" s="26"/>
      <c r="C8" s="215" t="s">
        <v>218</v>
      </c>
      <c r="D8" s="27"/>
      <c r="E8" s="228" t="s">
        <v>222</v>
      </c>
      <c r="F8" s="63"/>
      <c r="G8" s="26"/>
      <c r="H8" s="197" t="s">
        <v>221</v>
      </c>
      <c r="I8" s="190"/>
      <c r="J8" s="26"/>
      <c r="K8" s="26"/>
      <c r="L8" s="26"/>
      <c r="M8" s="227" t="s">
        <v>227</v>
      </c>
      <c r="N8" s="75"/>
      <c r="O8" s="75"/>
      <c r="P8" s="75"/>
      <c r="Q8" s="75"/>
      <c r="R8" s="75"/>
      <c r="S8" s="75"/>
      <c r="T8" s="75"/>
      <c r="U8" s="75"/>
      <c r="V8" s="75"/>
      <c r="W8" s="76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</row>
    <row r="9" spans="1:48" ht="16" thickBot="1">
      <c r="A9" s="3" t="s">
        <v>5</v>
      </c>
      <c r="B9" s="26"/>
      <c r="C9" s="26"/>
      <c r="D9" s="27"/>
      <c r="E9" s="195"/>
      <c r="F9" s="26"/>
      <c r="G9" s="63"/>
      <c r="H9" s="197" t="s">
        <v>219</v>
      </c>
      <c r="I9" s="190"/>
      <c r="J9" s="26"/>
      <c r="K9" s="26"/>
      <c r="L9" s="26" t="s">
        <v>226</v>
      </c>
      <c r="M9" s="27"/>
      <c r="N9" s="75"/>
      <c r="O9" s="75"/>
      <c r="P9" s="75"/>
      <c r="Q9" s="75"/>
      <c r="R9" s="75"/>
      <c r="S9" s="75"/>
      <c r="T9" s="75"/>
      <c r="U9" s="75"/>
      <c r="V9" s="75"/>
      <c r="W9" s="76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</row>
    <row r="10" spans="1:48" ht="49" thickBot="1">
      <c r="A10" s="3" t="s">
        <v>6</v>
      </c>
      <c r="B10" s="26" t="s">
        <v>220</v>
      </c>
      <c r="C10" s="26"/>
      <c r="D10" s="27"/>
      <c r="E10" s="197" t="s">
        <v>221</v>
      </c>
      <c r="F10" s="197" t="s">
        <v>221</v>
      </c>
      <c r="G10" s="197" t="s">
        <v>219</v>
      </c>
      <c r="H10" s="199"/>
      <c r="I10" s="215" t="s">
        <v>223</v>
      </c>
      <c r="J10" s="33"/>
      <c r="K10" s="33"/>
      <c r="L10" s="26"/>
      <c r="M10" s="27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</row>
    <row r="11" spans="1:48" ht="49" thickBot="1">
      <c r="A11" s="3" t="s">
        <v>54</v>
      </c>
      <c r="B11" s="26"/>
      <c r="C11" s="26"/>
      <c r="D11" s="26"/>
      <c r="E11" s="228" t="s">
        <v>222</v>
      </c>
      <c r="F11" s="191"/>
      <c r="G11" s="191"/>
      <c r="H11" s="215" t="s">
        <v>223</v>
      </c>
      <c r="I11" s="192"/>
      <c r="J11" s="197" t="s">
        <v>224</v>
      </c>
      <c r="K11" s="197" t="s">
        <v>224</v>
      </c>
      <c r="L11" s="229" t="s">
        <v>228</v>
      </c>
      <c r="M11" s="27"/>
      <c r="N11" s="75"/>
      <c r="O11" s="75"/>
      <c r="P11" s="75"/>
      <c r="Q11" s="75"/>
      <c r="R11" s="75"/>
      <c r="S11" s="75"/>
      <c r="T11" s="75"/>
      <c r="U11" s="75"/>
      <c r="V11" s="75"/>
      <c r="W11" s="76"/>
      <c r="X11" s="217" t="s">
        <v>222</v>
      </c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</row>
    <row r="12" spans="1:48" ht="80" thickBot="1">
      <c r="A12" s="3" t="s">
        <v>8</v>
      </c>
      <c r="B12" s="26"/>
      <c r="C12" s="26"/>
      <c r="D12" s="26"/>
      <c r="E12" s="26"/>
      <c r="F12" s="26"/>
      <c r="G12" s="26"/>
      <c r="H12" s="27"/>
      <c r="I12" s="197" t="s">
        <v>224</v>
      </c>
      <c r="J12" s="63"/>
      <c r="K12" s="196"/>
      <c r="L12" s="197" t="s">
        <v>225</v>
      </c>
      <c r="M12" s="110" t="s">
        <v>135</v>
      </c>
      <c r="N12" s="75"/>
      <c r="O12" s="75"/>
      <c r="P12" s="75"/>
      <c r="Q12" s="75"/>
      <c r="R12" s="75"/>
      <c r="S12" s="75"/>
      <c r="T12" s="75"/>
      <c r="U12" s="75"/>
      <c r="V12" s="75"/>
      <c r="W12" s="76"/>
      <c r="X12" s="108" t="s">
        <v>239</v>
      </c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</row>
    <row r="13" spans="1:48" ht="16" thickBot="1">
      <c r="A13" s="3" t="s">
        <v>9</v>
      </c>
      <c r="B13" s="26"/>
      <c r="C13" s="26"/>
      <c r="D13" s="26"/>
      <c r="E13" s="26"/>
      <c r="F13" s="26"/>
      <c r="G13" s="26"/>
      <c r="H13" s="27"/>
      <c r="I13" s="197" t="s">
        <v>224</v>
      </c>
      <c r="J13" s="198"/>
      <c r="K13" s="199"/>
      <c r="L13" s="201"/>
      <c r="M13" s="202"/>
      <c r="N13" s="75"/>
      <c r="O13" s="75"/>
      <c r="P13" s="75"/>
      <c r="Q13" s="75"/>
      <c r="R13" s="75"/>
      <c r="S13" s="75"/>
      <c r="T13" s="75"/>
      <c r="U13" s="75"/>
      <c r="V13" s="75"/>
      <c r="W13" s="76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</row>
    <row r="14" spans="1:48" ht="49" thickBot="1">
      <c r="A14" s="3" t="s">
        <v>10</v>
      </c>
      <c r="B14" s="26"/>
      <c r="C14" s="26"/>
      <c r="D14" s="26"/>
      <c r="E14" s="26"/>
      <c r="F14" s="26"/>
      <c r="G14" s="26" t="s">
        <v>226</v>
      </c>
      <c r="H14" s="26"/>
      <c r="I14" s="229" t="s">
        <v>228</v>
      </c>
      <c r="J14" s="197" t="s">
        <v>225</v>
      </c>
      <c r="K14" s="200"/>
      <c r="L14" s="192"/>
      <c r="M14" s="194"/>
      <c r="N14" s="75"/>
      <c r="O14" s="75"/>
      <c r="P14" s="75"/>
      <c r="Q14" s="75"/>
      <c r="R14" s="75"/>
      <c r="S14" s="75"/>
      <c r="T14" s="75"/>
      <c r="U14" s="75"/>
      <c r="V14" s="75"/>
      <c r="W14" s="76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</row>
    <row r="15" spans="1:48" ht="136" thickBot="1">
      <c r="A15" s="3" t="s">
        <v>11</v>
      </c>
      <c r="B15" s="33"/>
      <c r="C15" s="33"/>
      <c r="D15" s="228" t="s">
        <v>222</v>
      </c>
      <c r="E15" s="33"/>
      <c r="F15" s="227" t="s">
        <v>227</v>
      </c>
      <c r="G15" s="33"/>
      <c r="H15" s="33"/>
      <c r="I15" s="33"/>
      <c r="J15" s="110" t="s">
        <v>135</v>
      </c>
      <c r="K15" s="202"/>
      <c r="L15" s="197"/>
      <c r="M15" s="199"/>
      <c r="N15" s="75"/>
      <c r="O15" s="75"/>
      <c r="P15" s="75"/>
      <c r="Q15" s="75"/>
      <c r="R15" s="75"/>
      <c r="S15" s="75"/>
      <c r="T15" s="75"/>
      <c r="U15" s="75"/>
      <c r="V15" s="75"/>
      <c r="W15" s="76"/>
      <c r="X15" s="75"/>
      <c r="Y15" s="75"/>
      <c r="Z15" s="75"/>
      <c r="AA15" s="75"/>
      <c r="AB15" s="75"/>
      <c r="AC15" s="222" t="s">
        <v>206</v>
      </c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217" t="s">
        <v>201</v>
      </c>
      <c r="AR15" s="75"/>
      <c r="AS15" s="75"/>
      <c r="AT15" s="75"/>
    </row>
    <row r="16" spans="1:48" ht="65" thickBot="1">
      <c r="A16" s="31" t="s">
        <v>12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204"/>
      <c r="O16" s="205" t="s">
        <v>230</v>
      </c>
      <c r="P16" s="203"/>
      <c r="Q16" s="79"/>
      <c r="R16" s="79"/>
      <c r="S16" s="79"/>
      <c r="T16" s="79"/>
      <c r="U16" s="79"/>
      <c r="V16" s="80"/>
      <c r="W16" s="76"/>
      <c r="X16" s="217" t="s">
        <v>225</v>
      </c>
      <c r="Y16" s="217"/>
      <c r="Z16" s="75"/>
      <c r="AA16" s="75"/>
      <c r="AB16" s="75" t="s">
        <v>219</v>
      </c>
      <c r="AC16" s="217" t="s">
        <v>187</v>
      </c>
      <c r="AD16" s="75"/>
      <c r="AE16" s="217" t="s">
        <v>197</v>
      </c>
      <c r="AF16" s="75"/>
      <c r="AG16" s="217" t="s">
        <v>185</v>
      </c>
      <c r="AH16" s="217" t="s">
        <v>189</v>
      </c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</row>
    <row r="17" spans="1:46" ht="46" thickBot="1">
      <c r="A17" s="31" t="s">
        <v>13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205" t="s">
        <v>230</v>
      </c>
      <c r="O17" s="207"/>
      <c r="P17" s="85"/>
      <c r="Q17" s="86"/>
      <c r="R17" s="86" t="s">
        <v>231</v>
      </c>
      <c r="S17" s="82"/>
      <c r="T17" s="82"/>
      <c r="U17" s="82"/>
      <c r="V17" s="83"/>
      <c r="W17" s="76"/>
      <c r="X17" s="75"/>
      <c r="Y17" s="75"/>
      <c r="Z17" s="75"/>
      <c r="AB17" s="75" t="s">
        <v>240</v>
      </c>
      <c r="AC17" s="75"/>
      <c r="AD17" s="75"/>
      <c r="AE17" s="75"/>
      <c r="AF17" s="75"/>
      <c r="AG17" s="75"/>
      <c r="AH17" s="75" t="s">
        <v>241</v>
      </c>
      <c r="AI17" s="75"/>
      <c r="AJ17" s="180" t="s">
        <v>196</v>
      </c>
      <c r="AK17" s="75"/>
      <c r="AL17" s="75"/>
      <c r="AM17" s="75"/>
      <c r="AN17" s="75"/>
      <c r="AO17" s="75"/>
      <c r="AP17" s="75"/>
      <c r="AQ17" s="75"/>
      <c r="AR17" s="75"/>
      <c r="AS17" s="75"/>
      <c r="AT17" s="75"/>
    </row>
    <row r="18" spans="1:46" ht="33" thickBot="1">
      <c r="A18" s="31" t="s">
        <v>14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203"/>
      <c r="O18" s="80"/>
      <c r="P18" s="210"/>
      <c r="Q18" s="216" t="s">
        <v>230</v>
      </c>
      <c r="R18" s="214"/>
      <c r="S18" s="79" t="s">
        <v>232</v>
      </c>
      <c r="T18" s="82"/>
      <c r="U18" s="117" t="s">
        <v>233</v>
      </c>
      <c r="V18" s="83"/>
      <c r="W18" s="76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</row>
    <row r="19" spans="1:46" ht="64" thickBot="1">
      <c r="A19" s="31" t="s">
        <v>15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8"/>
      <c r="O19" s="83"/>
      <c r="P19" s="216" t="s">
        <v>230</v>
      </c>
      <c r="Q19" s="204"/>
      <c r="R19" s="206" t="s">
        <v>235</v>
      </c>
      <c r="S19" s="209" t="s">
        <v>234</v>
      </c>
      <c r="T19" s="82" t="s">
        <v>237</v>
      </c>
      <c r="U19" s="82"/>
      <c r="V19" s="83"/>
      <c r="W19" s="76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217" t="s">
        <v>209</v>
      </c>
      <c r="AM19" s="75"/>
      <c r="AN19" s="75"/>
      <c r="AO19" s="75"/>
      <c r="AP19" s="75"/>
      <c r="AQ19" s="217" t="s">
        <v>212</v>
      </c>
      <c r="AR19" s="75"/>
      <c r="AS19" s="75"/>
      <c r="AT19" s="75"/>
    </row>
    <row r="20" spans="1:46" ht="33" thickBot="1">
      <c r="A20" s="31" t="s">
        <v>16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8"/>
      <c r="O20" s="86" t="s">
        <v>231</v>
      </c>
      <c r="P20" s="213"/>
      <c r="Q20" s="206" t="s">
        <v>235</v>
      </c>
      <c r="R20" s="207"/>
      <c r="S20" s="85"/>
      <c r="T20" s="82" t="s">
        <v>236</v>
      </c>
      <c r="U20" s="82"/>
      <c r="V20" s="83"/>
      <c r="W20" s="76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</row>
    <row r="21" spans="1:46" ht="49" thickBot="1">
      <c r="A21" s="31" t="s">
        <v>17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8"/>
      <c r="O21" s="83"/>
      <c r="P21" s="79" t="s">
        <v>232</v>
      </c>
      <c r="Q21" s="209" t="s">
        <v>234</v>
      </c>
      <c r="R21" s="80"/>
      <c r="S21" s="210"/>
      <c r="T21" s="85"/>
      <c r="U21" s="82"/>
      <c r="V21" s="83"/>
      <c r="W21" s="76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217" t="s">
        <v>208</v>
      </c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</row>
    <row r="22" spans="1:46" ht="80" thickBot="1">
      <c r="A22" s="31" t="s">
        <v>18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8"/>
      <c r="O22" s="82"/>
      <c r="P22" s="82"/>
      <c r="Q22" s="82" t="s">
        <v>237</v>
      </c>
      <c r="R22" s="82" t="s">
        <v>236</v>
      </c>
      <c r="S22" s="80"/>
      <c r="T22" s="210"/>
      <c r="U22" s="85"/>
      <c r="V22" s="211"/>
      <c r="W22" s="76"/>
      <c r="X22" s="75"/>
      <c r="Y22" s="75"/>
      <c r="Z22" s="75"/>
      <c r="AA22" s="75"/>
      <c r="AB22" s="75"/>
      <c r="AC22" s="75" t="s">
        <v>192</v>
      </c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217" t="s">
        <v>194</v>
      </c>
    </row>
    <row r="23" spans="1:46" ht="122" thickBot="1">
      <c r="A23" s="31" t="s">
        <v>19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8"/>
      <c r="O23" s="82"/>
      <c r="P23" s="117" t="s">
        <v>233</v>
      </c>
      <c r="Q23" s="82"/>
      <c r="R23" s="82"/>
      <c r="S23" s="82"/>
      <c r="T23" s="80"/>
      <c r="U23" s="204"/>
      <c r="V23" s="208" t="s">
        <v>238</v>
      </c>
      <c r="W23" s="76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108" t="s">
        <v>173</v>
      </c>
      <c r="AI23" s="75"/>
      <c r="AJ23" s="217" t="s">
        <v>174</v>
      </c>
      <c r="AK23" s="75"/>
      <c r="AL23" s="75"/>
      <c r="AM23" s="75"/>
      <c r="AN23" s="75"/>
      <c r="AO23" s="75"/>
      <c r="AP23" s="75"/>
      <c r="AQ23" s="75"/>
      <c r="AR23" s="217" t="s">
        <v>175</v>
      </c>
      <c r="AS23" s="75"/>
      <c r="AT23" s="75"/>
    </row>
    <row r="24" spans="1:46" ht="17" thickBot="1">
      <c r="A24" s="31" t="s">
        <v>20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85"/>
      <c r="O24" s="86"/>
      <c r="P24" s="86"/>
      <c r="Q24" s="86"/>
      <c r="R24" s="86"/>
      <c r="S24" s="86"/>
      <c r="T24" s="211"/>
      <c r="U24" s="208" t="s">
        <v>238</v>
      </c>
      <c r="V24" s="207"/>
      <c r="W24" s="76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</row>
    <row r="25" spans="1:46">
      <c r="A25" s="31" t="s">
        <v>21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</row>
    <row r="26" spans="1:46" ht="94">
      <c r="A26" s="31" t="s">
        <v>22</v>
      </c>
      <c r="B26" s="75"/>
      <c r="C26" s="75"/>
      <c r="D26" s="75"/>
      <c r="E26" s="75"/>
      <c r="F26" s="75"/>
      <c r="G26" s="75"/>
      <c r="H26" s="75"/>
      <c r="I26" s="217" t="s">
        <v>222</v>
      </c>
      <c r="J26" s="108" t="s">
        <v>239</v>
      </c>
      <c r="K26" s="75"/>
      <c r="L26" s="75"/>
      <c r="M26" s="75"/>
      <c r="N26" s="217" t="s">
        <v>225</v>
      </c>
      <c r="O26" s="75"/>
      <c r="P26" s="75"/>
      <c r="Q26" s="75"/>
      <c r="R26" s="75"/>
      <c r="S26" s="75"/>
      <c r="T26" s="75"/>
      <c r="U26" s="75"/>
      <c r="V26" s="75"/>
      <c r="W26" s="76"/>
      <c r="X26" s="77"/>
      <c r="Y26" s="88"/>
      <c r="Z26" s="88" t="s">
        <v>242</v>
      </c>
      <c r="AA26" s="184" t="s">
        <v>243</v>
      </c>
      <c r="AB26" s="88"/>
      <c r="AC26" s="88"/>
      <c r="AD26" s="182" t="s">
        <v>246</v>
      </c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</row>
    <row r="27" spans="1:46" ht="111">
      <c r="A27" s="31" t="s">
        <v>23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6"/>
      <c r="X27" s="89"/>
      <c r="Y27" s="81"/>
      <c r="Z27" s="125" t="s">
        <v>225</v>
      </c>
      <c r="AA27" s="183" t="s">
        <v>249</v>
      </c>
      <c r="AB27" s="183" t="s">
        <v>250</v>
      </c>
      <c r="AC27" s="90" t="s">
        <v>245</v>
      </c>
      <c r="AD27" s="91"/>
      <c r="AE27" s="75"/>
      <c r="AF27" s="75"/>
      <c r="AG27" s="75"/>
      <c r="AH27" s="75" t="s">
        <v>221</v>
      </c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</row>
    <row r="28" spans="1:46" ht="78">
      <c r="A28" s="31" t="s">
        <v>24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6"/>
      <c r="X28" s="88" t="s">
        <v>242</v>
      </c>
      <c r="Y28" s="125" t="s">
        <v>225</v>
      </c>
      <c r="Z28" s="81"/>
      <c r="AA28" s="125" t="s">
        <v>222</v>
      </c>
      <c r="AB28" s="125" t="s">
        <v>244</v>
      </c>
      <c r="AC28" s="90"/>
      <c r="AD28" s="91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</row>
    <row r="29" spans="1:46" ht="62">
      <c r="A29" s="31" t="s">
        <v>25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6"/>
      <c r="X29" s="184" t="s">
        <v>243</v>
      </c>
      <c r="Y29" s="183" t="s">
        <v>249</v>
      </c>
      <c r="Z29" s="125" t="s">
        <v>222</v>
      </c>
      <c r="AA29" s="81"/>
      <c r="AB29" s="90"/>
      <c r="AC29" s="183" t="s">
        <v>125</v>
      </c>
      <c r="AD29" s="224" t="s">
        <v>198</v>
      </c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</row>
    <row r="30" spans="1:46" ht="111">
      <c r="A30" s="31" t="s">
        <v>26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 t="s">
        <v>219</v>
      </c>
      <c r="O30" s="75" t="s">
        <v>240</v>
      </c>
      <c r="P30" s="75"/>
      <c r="Q30" s="75"/>
      <c r="R30" s="75"/>
      <c r="S30" s="75"/>
      <c r="T30" s="75"/>
      <c r="U30" s="75"/>
      <c r="V30" s="75"/>
      <c r="W30" s="76"/>
      <c r="X30" s="89"/>
      <c r="Y30" s="183" t="s">
        <v>250</v>
      </c>
      <c r="Z30" s="125" t="s">
        <v>244</v>
      </c>
      <c r="AA30" s="90"/>
      <c r="AB30" s="81"/>
      <c r="AC30" s="125" t="s">
        <v>219</v>
      </c>
      <c r="AD30" s="181" t="s">
        <v>247</v>
      </c>
      <c r="AE30" s="75" t="s">
        <v>248</v>
      </c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217" t="s">
        <v>257</v>
      </c>
      <c r="AR30" s="75"/>
      <c r="AS30" s="75"/>
      <c r="AT30" s="75"/>
    </row>
    <row r="31" spans="1:46" ht="150">
      <c r="A31" s="31" t="s">
        <v>27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222" t="s">
        <v>200</v>
      </c>
      <c r="N31" s="217" t="s">
        <v>188</v>
      </c>
      <c r="O31" s="75"/>
      <c r="P31" s="75"/>
      <c r="Q31" s="75"/>
      <c r="R31" s="75"/>
      <c r="S31" s="75"/>
      <c r="T31" s="75" t="s">
        <v>140</v>
      </c>
      <c r="U31" s="75"/>
      <c r="V31" s="75"/>
      <c r="W31" s="76"/>
      <c r="X31" s="88"/>
      <c r="Y31" s="90" t="s">
        <v>245</v>
      </c>
      <c r="Z31" s="90"/>
      <c r="AA31" s="90" t="s">
        <v>125</v>
      </c>
      <c r="AB31" s="125" t="s">
        <v>219</v>
      </c>
      <c r="AC31" s="81"/>
      <c r="AD31" s="224" t="s">
        <v>204</v>
      </c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 t="s">
        <v>219</v>
      </c>
      <c r="AR31" s="75"/>
      <c r="AS31" s="75"/>
      <c r="AT31" s="75"/>
    </row>
    <row r="32" spans="1:46" ht="79">
      <c r="A32" s="31" t="s">
        <v>28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6"/>
      <c r="X32" s="182" t="s">
        <v>246</v>
      </c>
      <c r="Y32" s="92"/>
      <c r="Z32" s="92"/>
      <c r="AA32" s="223" t="s">
        <v>199</v>
      </c>
      <c r="AB32" s="181" t="s">
        <v>247</v>
      </c>
      <c r="AC32" s="223" t="s">
        <v>205</v>
      </c>
      <c r="AD32" s="87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</row>
    <row r="33" spans="1:46" ht="78">
      <c r="A33" s="31" t="s">
        <v>29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217" t="s">
        <v>186</v>
      </c>
      <c r="O33" s="75"/>
      <c r="P33" s="75"/>
      <c r="Q33" s="75"/>
      <c r="R33" s="75"/>
      <c r="S33" s="75"/>
      <c r="T33" s="75"/>
      <c r="U33" s="75"/>
      <c r="V33" s="75"/>
      <c r="W33" s="76"/>
      <c r="X33" s="75"/>
      <c r="Y33" s="75"/>
      <c r="Z33" s="75"/>
      <c r="AA33" s="75"/>
      <c r="AB33" s="75" t="s">
        <v>248</v>
      </c>
      <c r="AC33" s="75"/>
      <c r="AD33" s="75"/>
      <c r="AE33" s="77"/>
      <c r="AF33" s="93" t="s">
        <v>222</v>
      </c>
      <c r="AG33" s="93" t="s">
        <v>219</v>
      </c>
      <c r="AH33" s="93" t="s">
        <v>225</v>
      </c>
      <c r="AI33" s="93" t="s">
        <v>225</v>
      </c>
      <c r="AJ33" s="221" t="s">
        <v>183</v>
      </c>
      <c r="AK33" s="75" t="s">
        <v>191</v>
      </c>
      <c r="AL33" s="75"/>
      <c r="AM33" s="75"/>
      <c r="AN33" s="75"/>
      <c r="AO33" s="75"/>
      <c r="AP33" s="75" t="s">
        <v>207</v>
      </c>
      <c r="AQ33" s="75" t="s">
        <v>129</v>
      </c>
      <c r="AR33" s="75"/>
      <c r="AS33" s="75"/>
      <c r="AT33" s="75"/>
    </row>
    <row r="34" spans="1:46" ht="79">
      <c r="A34" s="31" t="s">
        <v>30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6"/>
      <c r="X34" s="75"/>
      <c r="Y34" s="75"/>
      <c r="Z34" s="75"/>
      <c r="AA34" s="75"/>
      <c r="AB34" s="75"/>
      <c r="AC34" s="75"/>
      <c r="AD34" s="75"/>
      <c r="AE34" s="93" t="s">
        <v>222</v>
      </c>
      <c r="AF34" s="81"/>
      <c r="AG34" s="94"/>
      <c r="AH34" s="94"/>
      <c r="AI34" s="94"/>
      <c r="AJ34" s="95"/>
      <c r="AK34" s="75" t="s">
        <v>252</v>
      </c>
      <c r="AL34" s="75"/>
      <c r="AM34" s="75"/>
      <c r="AN34" s="230" t="s">
        <v>45</v>
      </c>
      <c r="AO34" s="75"/>
      <c r="AP34" s="75"/>
      <c r="AQ34" s="75"/>
      <c r="AR34" s="75"/>
      <c r="AS34" s="75"/>
      <c r="AT34" s="75"/>
    </row>
    <row r="35" spans="1:46" ht="63">
      <c r="A35" s="31" t="s">
        <v>31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217" t="s">
        <v>184</v>
      </c>
      <c r="O35" s="75"/>
      <c r="P35" s="75"/>
      <c r="Q35" s="75"/>
      <c r="R35" s="75"/>
      <c r="S35" s="75"/>
      <c r="T35" s="75"/>
      <c r="U35" s="75"/>
      <c r="V35" s="75"/>
      <c r="W35" s="76"/>
      <c r="X35" s="75"/>
      <c r="Y35" s="75"/>
      <c r="Z35" s="75"/>
      <c r="AA35" s="75"/>
      <c r="AB35" s="75"/>
      <c r="AC35" s="75"/>
      <c r="AD35" s="75"/>
      <c r="AE35" s="93" t="s">
        <v>219</v>
      </c>
      <c r="AF35" s="94"/>
      <c r="AG35" s="81"/>
      <c r="AH35" s="94"/>
      <c r="AI35" s="94"/>
      <c r="AJ35" s="219" t="s">
        <v>203</v>
      </c>
      <c r="AK35" s="75"/>
      <c r="AL35" s="75"/>
      <c r="AM35" s="75"/>
      <c r="AN35" s="75"/>
      <c r="AO35" s="75"/>
      <c r="AP35" s="75"/>
      <c r="AQ35" s="75"/>
      <c r="AR35" s="75"/>
      <c r="AS35" s="75"/>
      <c r="AT35" s="75"/>
    </row>
    <row r="36" spans="1:46" ht="64">
      <c r="A36" s="31" t="s">
        <v>32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217" t="s">
        <v>190</v>
      </c>
      <c r="O36" s="75" t="s">
        <v>241</v>
      </c>
      <c r="P36" s="75"/>
      <c r="Q36" s="75"/>
      <c r="R36" s="75"/>
      <c r="S36" s="217" t="s">
        <v>193</v>
      </c>
      <c r="T36" s="75"/>
      <c r="U36" s="108" t="s">
        <v>173</v>
      </c>
      <c r="V36" s="75"/>
      <c r="W36" s="76"/>
      <c r="X36" s="75"/>
      <c r="Y36" s="75" t="s">
        <v>221</v>
      </c>
      <c r="Z36" s="75"/>
      <c r="AA36" s="75"/>
      <c r="AB36" s="75"/>
      <c r="AC36" s="75"/>
      <c r="AD36" s="75"/>
      <c r="AE36" s="93" t="s">
        <v>225</v>
      </c>
      <c r="AF36" s="94"/>
      <c r="AG36" s="94"/>
      <c r="AH36" s="81"/>
      <c r="AI36" s="94"/>
      <c r="AJ36" s="95"/>
      <c r="AK36" s="75"/>
      <c r="AL36" s="75"/>
      <c r="AM36" s="75"/>
      <c r="AN36" s="75"/>
      <c r="AO36" s="75"/>
      <c r="AP36" s="75"/>
      <c r="AQ36" s="75"/>
      <c r="AR36" s="75"/>
      <c r="AS36" s="75"/>
      <c r="AT36" s="75"/>
    </row>
    <row r="37" spans="1:46" ht="16">
      <c r="A37" s="31" t="s">
        <v>33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6"/>
      <c r="X37" s="75"/>
      <c r="Y37" s="75"/>
      <c r="Z37" s="75"/>
      <c r="AA37" s="75"/>
      <c r="AB37" s="75"/>
      <c r="AC37" s="75"/>
      <c r="AD37" s="75"/>
      <c r="AE37" s="93" t="s">
        <v>225</v>
      </c>
      <c r="AF37" s="94"/>
      <c r="AG37" s="94"/>
      <c r="AH37" s="94"/>
      <c r="AI37" s="81"/>
      <c r="AJ37" s="93" t="s">
        <v>219</v>
      </c>
      <c r="AK37" s="75"/>
      <c r="AL37" s="75"/>
      <c r="AM37" s="75"/>
      <c r="AN37" s="75"/>
      <c r="AO37" s="75"/>
      <c r="AP37" s="75"/>
      <c r="AQ37" s="75"/>
      <c r="AR37" s="75"/>
      <c r="AS37" s="75"/>
      <c r="AT37" s="75"/>
    </row>
    <row r="38" spans="1:46" ht="121">
      <c r="A38" s="31" t="s">
        <v>34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180" t="s">
        <v>133</v>
      </c>
      <c r="P38" s="75"/>
      <c r="Q38" s="75"/>
      <c r="R38" s="75"/>
      <c r="S38" s="75"/>
      <c r="T38" s="75"/>
      <c r="U38" s="217" t="s">
        <v>174</v>
      </c>
      <c r="V38" s="75"/>
      <c r="W38" s="76"/>
      <c r="X38" s="75"/>
      <c r="Y38" s="75"/>
      <c r="Z38" s="75"/>
      <c r="AA38" s="75"/>
      <c r="AB38" s="75"/>
      <c r="AC38" s="75"/>
      <c r="AD38" s="75"/>
      <c r="AE38" s="220" t="s">
        <v>182</v>
      </c>
      <c r="AF38" s="96"/>
      <c r="AG38" s="218" t="s">
        <v>251</v>
      </c>
      <c r="AH38" s="96"/>
      <c r="AI38" s="93" t="s">
        <v>219</v>
      </c>
      <c r="AJ38" s="87"/>
      <c r="AK38" s="75"/>
      <c r="AL38" s="75"/>
      <c r="AM38" s="75"/>
      <c r="AN38" s="75"/>
      <c r="AO38" s="75"/>
      <c r="AP38" s="185" t="s">
        <v>177</v>
      </c>
      <c r="AQ38" s="217" t="s">
        <v>178</v>
      </c>
      <c r="AR38" s="75"/>
      <c r="AS38" s="75"/>
      <c r="AT38" s="75" t="s">
        <v>180</v>
      </c>
    </row>
    <row r="39" spans="1:46" ht="212">
      <c r="A39" s="31" t="s">
        <v>35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6"/>
      <c r="X39" s="75"/>
      <c r="Y39" s="75"/>
      <c r="Z39" s="75"/>
      <c r="AA39" s="75"/>
      <c r="AB39" s="75"/>
      <c r="AC39" s="75"/>
      <c r="AD39" s="75"/>
      <c r="AE39" s="75" t="s">
        <v>134</v>
      </c>
      <c r="AF39" s="75" t="s">
        <v>252</v>
      </c>
      <c r="AG39" s="75"/>
      <c r="AH39" s="75"/>
      <c r="AI39" s="75"/>
      <c r="AJ39" s="75"/>
      <c r="AK39" s="77"/>
      <c r="AL39" s="98" t="s">
        <v>253</v>
      </c>
      <c r="AM39" s="137" t="s">
        <v>254</v>
      </c>
      <c r="AN39" s="137" t="s">
        <v>259</v>
      </c>
      <c r="AO39" s="97" t="s">
        <v>258</v>
      </c>
      <c r="AP39" s="75"/>
      <c r="AQ39" s="75"/>
      <c r="AR39" s="75"/>
      <c r="AS39" s="75"/>
      <c r="AT39" s="75"/>
    </row>
    <row r="40" spans="1:46" ht="48">
      <c r="A40" s="31" t="s">
        <v>36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217" t="s">
        <v>210</v>
      </c>
      <c r="R40" s="75"/>
      <c r="S40" s="75"/>
      <c r="T40" s="75"/>
      <c r="U40" s="75"/>
      <c r="V40" s="75"/>
      <c r="W40" s="76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98" t="s">
        <v>253</v>
      </c>
      <c r="AL40" s="81"/>
      <c r="AM40" s="99"/>
      <c r="AN40" s="99"/>
      <c r="AO40" s="100"/>
      <c r="AP40" s="75"/>
      <c r="AQ40" s="75"/>
      <c r="AR40" s="75"/>
      <c r="AS40" s="75"/>
      <c r="AT40" s="75"/>
    </row>
    <row r="41" spans="1:46" ht="80">
      <c r="A41" s="31" t="s">
        <v>37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6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137" t="s">
        <v>254</v>
      </c>
      <c r="AL41" s="99"/>
      <c r="AM41" s="81"/>
      <c r="AN41" s="99" t="s">
        <v>255</v>
      </c>
      <c r="AO41" s="141" t="s">
        <v>256</v>
      </c>
      <c r="AP41" s="75"/>
      <c r="AQ41" s="75"/>
      <c r="AR41" s="75"/>
      <c r="AS41" s="75"/>
      <c r="AT41" s="75"/>
    </row>
    <row r="42" spans="1:46" ht="122">
      <c r="A42" s="31" t="s">
        <v>38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6"/>
      <c r="X42" s="75"/>
      <c r="Y42" s="75"/>
      <c r="Z42" s="75"/>
      <c r="AA42" s="75"/>
      <c r="AB42" s="75"/>
      <c r="AC42" s="75"/>
      <c r="AD42" s="75"/>
      <c r="AE42" s="75"/>
      <c r="AF42" s="230" t="s">
        <v>45</v>
      </c>
      <c r="AG42" s="75"/>
      <c r="AH42" s="75"/>
      <c r="AI42" s="75"/>
      <c r="AJ42" s="75"/>
      <c r="AK42" s="137" t="s">
        <v>259</v>
      </c>
      <c r="AL42" s="99"/>
      <c r="AM42" s="99" t="s">
        <v>255</v>
      </c>
      <c r="AN42" s="81"/>
      <c r="AO42" s="100"/>
      <c r="AP42" s="75"/>
      <c r="AQ42" s="75"/>
      <c r="AR42" s="75"/>
      <c r="AS42" s="75"/>
      <c r="AT42" s="75"/>
    </row>
    <row r="43" spans="1:46" ht="223.25" customHeight="1">
      <c r="A43" s="31" t="s">
        <v>39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6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97" t="s">
        <v>258</v>
      </c>
      <c r="AL43" s="101"/>
      <c r="AM43" s="141" t="s">
        <v>256</v>
      </c>
      <c r="AN43" s="101"/>
      <c r="AO43" s="87"/>
      <c r="AP43" s="84"/>
      <c r="AQ43" s="75"/>
      <c r="AR43" s="75"/>
      <c r="AS43" s="75"/>
      <c r="AT43" s="75"/>
    </row>
    <row r="44" spans="1:46" ht="142">
      <c r="A44" s="31" t="s">
        <v>40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6"/>
      <c r="X44" s="75"/>
      <c r="Y44" s="75"/>
      <c r="Z44" s="75"/>
      <c r="AA44" s="75"/>
      <c r="AB44" s="75"/>
      <c r="AC44" s="75"/>
      <c r="AD44" s="75"/>
      <c r="AE44" s="75" t="s">
        <v>207</v>
      </c>
      <c r="AF44" s="75"/>
      <c r="AG44" s="75"/>
      <c r="AH44" s="75"/>
      <c r="AI44" s="75"/>
      <c r="AJ44" s="185" t="s">
        <v>139</v>
      </c>
      <c r="AK44" s="75"/>
      <c r="AL44" s="75"/>
      <c r="AM44" s="75"/>
      <c r="AN44" s="75"/>
      <c r="AO44" s="84"/>
      <c r="AP44" s="77"/>
      <c r="AQ44" s="102" t="s">
        <v>225</v>
      </c>
      <c r="AR44" s="226" t="s">
        <v>214</v>
      </c>
      <c r="AS44" s="102"/>
      <c r="AT44" s="102" t="s">
        <v>260</v>
      </c>
    </row>
    <row r="45" spans="1:46" ht="143">
      <c r="A45" s="31" t="s">
        <v>41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217" t="s">
        <v>202</v>
      </c>
      <c r="N45" s="75"/>
      <c r="O45" s="75"/>
      <c r="P45" s="75"/>
      <c r="Q45" s="217" t="s">
        <v>211</v>
      </c>
      <c r="R45" s="75"/>
      <c r="S45" s="75"/>
      <c r="T45" s="75"/>
      <c r="U45" s="75"/>
      <c r="V45" s="75"/>
      <c r="W45" s="76"/>
      <c r="X45" s="75"/>
      <c r="Y45" s="75"/>
      <c r="Z45" s="75"/>
      <c r="AA45" s="75"/>
      <c r="AB45" s="217" t="s">
        <v>257</v>
      </c>
      <c r="AC45" s="75" t="s">
        <v>219</v>
      </c>
      <c r="AD45" s="75"/>
      <c r="AE45" s="75" t="s">
        <v>129</v>
      </c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102" t="s">
        <v>225</v>
      </c>
      <c r="AQ45" s="81"/>
      <c r="AR45" s="102" t="s">
        <v>225</v>
      </c>
      <c r="AS45" s="104"/>
      <c r="AT45" s="102" t="s">
        <v>222</v>
      </c>
    </row>
    <row r="46" spans="1:46" ht="143">
      <c r="A46" s="31" t="s">
        <v>42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217" t="s">
        <v>176</v>
      </c>
      <c r="V46" s="75"/>
      <c r="W46" s="76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225" t="s">
        <v>213</v>
      </c>
      <c r="AQ46" s="102" t="s">
        <v>225</v>
      </c>
      <c r="AR46" s="81"/>
      <c r="AS46" s="104"/>
      <c r="AT46" s="102" t="s">
        <v>219</v>
      </c>
    </row>
    <row r="47" spans="1:46" ht="110">
      <c r="A47" s="31" t="s">
        <v>43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6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217" t="s">
        <v>179</v>
      </c>
      <c r="AK47" s="75"/>
      <c r="AL47" s="75"/>
      <c r="AM47" s="75"/>
      <c r="AN47" s="75"/>
      <c r="AO47" s="75"/>
      <c r="AP47" s="103"/>
      <c r="AQ47" s="104"/>
      <c r="AR47" s="104"/>
      <c r="AS47" s="81"/>
      <c r="AT47" s="102" t="s">
        <v>260</v>
      </c>
    </row>
    <row r="48" spans="1:46" ht="120">
      <c r="A48" s="31" t="s">
        <v>44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217" t="s">
        <v>195</v>
      </c>
      <c r="U48" s="75"/>
      <c r="V48" s="75"/>
      <c r="W48" s="76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185" t="s">
        <v>181</v>
      </c>
      <c r="AK48" s="75"/>
      <c r="AL48" s="75"/>
      <c r="AM48" s="75"/>
      <c r="AN48" s="75"/>
      <c r="AO48" s="75"/>
      <c r="AP48" s="231" t="s">
        <v>260</v>
      </c>
      <c r="AQ48" s="102" t="s">
        <v>222</v>
      </c>
      <c r="AR48" s="102" t="s">
        <v>219</v>
      </c>
      <c r="AS48" s="231" t="s">
        <v>260</v>
      </c>
      <c r="AT48" s="81"/>
    </row>
    <row r="51" spans="2:4" ht="16">
      <c r="B51" s="233" t="s">
        <v>47</v>
      </c>
      <c r="C51" s="233"/>
      <c r="D51" s="13"/>
    </row>
    <row r="52" spans="2:4" ht="65">
      <c r="B52" s="14" t="s">
        <v>48</v>
      </c>
      <c r="C52" s="14" t="s">
        <v>112</v>
      </c>
      <c r="D52" s="13"/>
    </row>
    <row r="53" spans="2:4" ht="17">
      <c r="B53" s="12" t="s">
        <v>49</v>
      </c>
      <c r="C53" s="12">
        <v>180</v>
      </c>
      <c r="D53" s="13"/>
    </row>
    <row r="54" spans="2:4" ht="17">
      <c r="B54" s="12" t="s">
        <v>50</v>
      </c>
      <c r="C54" s="12">
        <v>120</v>
      </c>
      <c r="D54" s="13"/>
    </row>
    <row r="55" spans="2:4" ht="17">
      <c r="B55" s="12" t="s">
        <v>51</v>
      </c>
      <c r="C55" s="12">
        <v>40</v>
      </c>
      <c r="D55" s="13"/>
    </row>
    <row r="56" spans="2:4" ht="17">
      <c r="B56" s="12" t="s">
        <v>52</v>
      </c>
      <c r="C56" s="12">
        <v>20</v>
      </c>
      <c r="D56" s="13"/>
    </row>
    <row r="57" spans="2:4" ht="33">
      <c r="B57" s="12" t="s">
        <v>53</v>
      </c>
      <c r="C57" s="12">
        <v>300</v>
      </c>
      <c r="D57" s="13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57"/>
  <sheetViews>
    <sheetView topLeftCell="M1" zoomScaleNormal="120" zoomScalePageLayoutView="220" workbookViewId="0">
      <selection activeCell="G10" sqref="G10"/>
    </sheetView>
  </sheetViews>
  <sheetFormatPr baseColWidth="10" defaultColWidth="4.83203125" defaultRowHeight="20.25" customHeight="1"/>
  <cols>
    <col min="1" max="1" width="10.33203125" bestFit="1" customWidth="1"/>
    <col min="2" max="2" width="11.6640625" bestFit="1" customWidth="1"/>
    <col min="3" max="3" width="22.33203125" bestFit="1" customWidth="1"/>
    <col min="4" max="4" width="8.5" bestFit="1" customWidth="1"/>
    <col min="5" max="8" width="6.6640625" bestFit="1" customWidth="1"/>
    <col min="10" max="10" width="6.6640625" bestFit="1" customWidth="1"/>
    <col min="12" max="12" width="6.6640625" bestFit="1" customWidth="1"/>
    <col min="13" max="13" width="57.6640625" bestFit="1" customWidth="1"/>
    <col min="14" max="14" width="24.5" bestFit="1" customWidth="1"/>
    <col min="15" max="15" width="8.5" bestFit="1" customWidth="1"/>
    <col min="16" max="16" width="6.6640625" bestFit="1" customWidth="1"/>
    <col min="17" max="17" width="24.5" bestFit="1" customWidth="1"/>
    <col min="18" max="18" width="6.6640625" bestFit="1" customWidth="1"/>
    <col min="20" max="20" width="10.33203125" bestFit="1" customWidth="1"/>
    <col min="21" max="22" width="6.6640625" bestFit="1" customWidth="1"/>
    <col min="23" max="23" width="10.33203125" bestFit="1" customWidth="1"/>
    <col min="24" max="24" width="33" bestFit="1" customWidth="1"/>
    <col min="25" max="25" width="46.1640625" bestFit="1" customWidth="1"/>
    <col min="26" max="26" width="15.83203125" bestFit="1" customWidth="1"/>
    <col min="27" max="27" width="24.5" bestFit="1" customWidth="1"/>
    <col min="28" max="28" width="31" bestFit="1" customWidth="1"/>
    <col min="29" max="29" width="57.6640625" bestFit="1" customWidth="1"/>
    <col min="30" max="30" width="31" bestFit="1" customWidth="1"/>
    <col min="31" max="31" width="32.1640625" bestFit="1" customWidth="1"/>
    <col min="32" max="32" width="6.6640625" bestFit="1" customWidth="1"/>
    <col min="33" max="33" width="24.5" bestFit="1" customWidth="1"/>
    <col min="34" max="34" width="22.6640625" bestFit="1" customWidth="1"/>
    <col min="35" max="35" width="6.6640625" bestFit="1" customWidth="1"/>
    <col min="36" max="36" width="32.1640625" bestFit="1" customWidth="1"/>
    <col min="37" max="38" width="6.6640625" bestFit="1" customWidth="1"/>
    <col min="39" max="39" width="10.33203125" bestFit="1" customWidth="1"/>
    <col min="40" max="41" width="6.6640625" bestFit="1" customWidth="1"/>
    <col min="42" max="42" width="62.33203125" bestFit="1" customWidth="1"/>
    <col min="43" max="43" width="47.33203125" bestFit="1" customWidth="1"/>
    <col min="44" max="44" width="62.33203125" bestFit="1" customWidth="1"/>
    <col min="45" max="46" width="46.1640625" bestFit="1" customWidth="1"/>
  </cols>
  <sheetData>
    <row r="1" spans="1:46" ht="20.25" customHeight="1">
      <c r="B1" s="234" t="s">
        <v>127</v>
      </c>
      <c r="C1" s="234"/>
      <c r="D1" s="234"/>
      <c r="E1" s="234"/>
      <c r="F1" s="234"/>
      <c r="G1" s="1"/>
    </row>
    <row r="2" spans="1:46" ht="20.25" customHeight="1">
      <c r="A2" s="1">
        <v>1000</v>
      </c>
      <c r="B2" s="1"/>
      <c r="C2" s="1"/>
      <c r="D2" s="1"/>
      <c r="E2" s="1"/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IF(ISERROR(FIND($A$2,Lines!B4))=TRUE,"",Lines!B4)</f>
        <v/>
      </c>
      <c r="C4" s="26" t="str">
        <f>IF(ISERROR(FIND($A$2,Lines!C4))=TRUE,"",Lines!C4)</f>
        <v/>
      </c>
      <c r="D4" s="26" t="str">
        <f>IF(ISERROR(FIND($A$2,Lines!D4))=TRUE,"",Lines!D4)</f>
        <v/>
      </c>
      <c r="E4" s="26" t="str">
        <f>IF(ISERROR(FIND($A$2,Lines!E4))=TRUE,"",Lines!E4)</f>
        <v/>
      </c>
      <c r="F4" s="26" t="str">
        <f>IF(ISERROR(FIND($A$2,Lines!F4))=TRUE,"",Lines!F4)</f>
        <v/>
      </c>
      <c r="G4" s="26" t="str">
        <f>IF(ISERROR(FIND($A$2,Lines!G4))=TRUE,"",Lines!G4)</f>
        <v/>
      </c>
      <c r="H4" s="26" t="str">
        <f>IF(ISERROR(FIND($A$2,Lines!H4))=TRUE,"",Lines!H4)</f>
        <v/>
      </c>
      <c r="I4" s="26" t="str">
        <f>IF(ISERROR(FIND($A$2,Lines!I4))=TRUE,"",Lines!I4)</f>
        <v/>
      </c>
      <c r="J4" s="26" t="str">
        <f>IF(ISERROR(FIND($A$2,Lines!J4))=TRUE,"",Lines!J4)</f>
        <v/>
      </c>
      <c r="K4" s="26" t="str">
        <f>IF(ISERROR(FIND($A$2,Lines!K4))=TRUE,"",Lines!K4)</f>
        <v/>
      </c>
      <c r="L4" s="26" t="str">
        <f>IF(ISERROR(FIND($A$2,Lines!L4))=TRUE,"",Lines!L4)</f>
        <v/>
      </c>
      <c r="M4" s="27" t="str">
        <f>IF(ISERROR(FIND($A$2,Lines!M4))=TRUE,"",Lines!M4)</f>
        <v/>
      </c>
      <c r="N4" s="30" t="str">
        <f>IF(ISERROR(FIND($A$2,Lines!N4))=TRUE,"",Lines!N4)</f>
        <v/>
      </c>
      <c r="O4" s="30" t="str">
        <f>IF(ISERROR(FIND($A$2,Lines!O4))=TRUE,"",Lines!O4)</f>
        <v/>
      </c>
      <c r="P4" s="30" t="str">
        <f>IF(ISERROR(FIND($A$2,Lines!P4))=TRUE,"",Lines!P4)</f>
        <v/>
      </c>
      <c r="Q4" s="30" t="str">
        <f>IF(ISERROR(FIND($A$2,Lines!Q4))=TRUE,"",Lines!Q4)</f>
        <v/>
      </c>
      <c r="R4" s="30" t="str">
        <f>IF(ISERROR(FIND($A$2,Lines!R4))=TRUE,"",Lines!R4)</f>
        <v/>
      </c>
      <c r="S4" s="30" t="str">
        <f>IF(ISERROR(FIND($A$2,Lines!S4))=TRUE,"",Lines!S4)</f>
        <v/>
      </c>
      <c r="T4" s="30" t="str">
        <f>IF(ISERROR(FIND($A$2,Lines!T4))=TRUE,"",Lines!T4)</f>
        <v/>
      </c>
      <c r="U4" s="30" t="str">
        <f>IF(ISERROR(FIND($A$2,Lines!U4))=TRUE,"",Lines!U4)</f>
        <v/>
      </c>
      <c r="V4" s="30" t="str">
        <f>IF(ISERROR(FIND($A$2,Lines!V4))=TRUE,"",Lines!V4)</f>
        <v/>
      </c>
      <c r="W4" s="36" t="str">
        <f>IF(ISERROR(FIND($A$2,Lines!W4))=TRUE,"",Lines!W4)</f>
        <v/>
      </c>
      <c r="X4" s="30" t="str">
        <f>IF(ISERROR(FIND($A$2,Lines!X4))=TRUE,"",Lines!X4)</f>
        <v/>
      </c>
      <c r="Y4" s="30" t="str">
        <f>IF(ISERROR(FIND($A$2,Lines!Y4))=TRUE,"",Lines!Y4)</f>
        <v/>
      </c>
      <c r="Z4" s="30" t="str">
        <f>IF(ISERROR(FIND($A$2,Lines!Z4))=TRUE,"",Lines!Z4)</f>
        <v/>
      </c>
      <c r="AA4" s="30" t="str">
        <f>IF(ISERROR(FIND($A$2,Lines!AA4))=TRUE,"",Lines!AA4)</f>
        <v/>
      </c>
      <c r="AB4" s="30" t="str">
        <f>IF(ISERROR(FIND($A$2,Lines!AB4))=TRUE,"",Lines!AB4)</f>
        <v/>
      </c>
      <c r="AC4" s="30" t="str">
        <f>IF(ISERROR(FIND($A$2,Lines!AC4))=TRUE,"",Lines!AC4)</f>
        <v/>
      </c>
      <c r="AD4" s="30" t="str">
        <f>IF(ISERROR(FIND($A$2,Lines!AD4))=TRUE,"",Lines!AD4)</f>
        <v/>
      </c>
      <c r="AE4" s="30" t="str">
        <f>IF(ISERROR(FIND($A$2,Lines!AE4))=TRUE,"",Lines!AE4)</f>
        <v/>
      </c>
      <c r="AF4" s="30" t="str">
        <f>IF(ISERROR(FIND($A$2,Lines!AF4))=TRUE,"",Lines!AF4)</f>
        <v/>
      </c>
      <c r="AG4" s="30" t="str">
        <f>IF(ISERROR(FIND($A$2,Lines!AG4))=TRUE,"",Lines!AG4)</f>
        <v/>
      </c>
      <c r="AH4" s="30" t="str">
        <f>IF(ISERROR(FIND($A$2,Lines!AH4))=TRUE,"",Lines!AH4)</f>
        <v/>
      </c>
      <c r="AI4" s="30" t="str">
        <f>IF(ISERROR(FIND($A$2,Lines!AI4))=TRUE,"",Lines!AI4)</f>
        <v/>
      </c>
      <c r="AJ4" s="30" t="str">
        <f>IF(ISERROR(FIND($A$2,Lines!AJ4))=TRUE,"",Lines!AJ4)</f>
        <v/>
      </c>
      <c r="AK4" s="30" t="str">
        <f>IF(ISERROR(FIND($A$2,Lines!AK4))=TRUE,"",Lines!AK4)</f>
        <v/>
      </c>
      <c r="AL4" s="30" t="str">
        <f>IF(ISERROR(FIND($A$2,Lines!AL4))=TRUE,"",Lines!AL4)</f>
        <v/>
      </c>
      <c r="AM4" s="30" t="str">
        <f>IF(ISERROR(FIND($A$2,Lines!AM4))=TRUE,"",Lines!AM4)</f>
        <v/>
      </c>
      <c r="AN4" s="30" t="str">
        <f>IF(ISERROR(FIND($A$2,Lines!AN4))=TRUE,"",Lines!AN4)</f>
        <v/>
      </c>
      <c r="AO4" s="30" t="str">
        <f>IF(ISERROR(FIND($A$2,Lines!AO4))=TRUE,"",Lines!AO4)</f>
        <v/>
      </c>
      <c r="AP4" s="30" t="str">
        <f>IF(ISERROR(FIND($A$2,Lines!AP4))=TRUE,"",Lines!AP4)</f>
        <v/>
      </c>
      <c r="AQ4" s="30" t="str">
        <f>IF(ISERROR(FIND($A$2,Lines!AQ4))=TRUE,"",Lines!AQ4)</f>
        <v/>
      </c>
      <c r="AR4" s="30" t="str">
        <f>IF(ISERROR(FIND($A$2,Lines!AR4))=TRUE,"",Lines!AR4)</f>
        <v/>
      </c>
      <c r="AS4" s="30" t="str">
        <f>IF(ISERROR(FIND($A$2,Lines!AS4))=TRUE,"",Lines!AS4)</f>
        <v/>
      </c>
      <c r="AT4" s="30" t="str">
        <f>IF(ISERROR(FIND($A$2,Lines!AT4))=TRUE,"",Lines!AT4)</f>
        <v/>
      </c>
    </row>
    <row r="5" spans="1:46" ht="20.25" customHeight="1">
      <c r="A5" s="2" t="s">
        <v>56</v>
      </c>
      <c r="B5" s="26" t="str">
        <f>IF(ISERROR(FIND($A$2,Lines!B5))=TRUE,"",Lines!B5)</f>
        <v/>
      </c>
      <c r="C5" s="63" t="str">
        <f>IF(ISERROR(FIND($A$2,Lines!C5))=TRUE,"",Lines!C5)</f>
        <v/>
      </c>
      <c r="D5" s="26" t="str">
        <f>IF(ISERROR(FIND($A$2,Lines!D5))=TRUE,"",Lines!D5)</f>
        <v/>
      </c>
      <c r="E5" s="26" t="str">
        <f>IF(ISERROR(FIND($A$2,Lines!E5))=TRUE,"",Lines!E5)</f>
        <v/>
      </c>
      <c r="F5" s="26" t="str">
        <f>IF(ISERROR(FIND($A$2,Lines!F5))=TRUE,"",Lines!F5)</f>
        <v/>
      </c>
      <c r="G5" s="26" t="str">
        <f>IF(ISERROR(FIND($A$2,Lines!G5))=TRUE,"",Lines!G5)</f>
        <v/>
      </c>
      <c r="H5" s="26" t="str">
        <f>IF(ISERROR(FIND($A$2,Lines!H5))=TRUE,"",Lines!H5)</f>
        <v/>
      </c>
      <c r="I5" s="26" t="str">
        <f>IF(ISERROR(FIND($A$2,Lines!I5))=TRUE,"",Lines!I5)</f>
        <v/>
      </c>
      <c r="J5" s="26" t="str">
        <f>IF(ISERROR(FIND($A$2,Lines!J5))=TRUE,"",Lines!J5)</f>
        <v/>
      </c>
      <c r="K5" s="26" t="str">
        <f>IF(ISERROR(FIND($A$2,Lines!K5))=TRUE,"",Lines!K5)</f>
        <v/>
      </c>
      <c r="L5" s="26" t="str">
        <f>IF(ISERROR(FIND($A$2,Lines!L5))=TRUE,"",Lines!L5)</f>
        <v/>
      </c>
      <c r="M5" s="27" t="str">
        <f>IF(ISERROR(FIND($A$2,Lines!M5))=TRUE,"",Lines!M5)</f>
        <v/>
      </c>
      <c r="N5" s="30" t="str">
        <f>IF(ISERROR(FIND($A$2,Lines!N5))=TRUE,"",Lines!N5)</f>
        <v/>
      </c>
      <c r="O5" s="30" t="str">
        <f>IF(ISERROR(FIND($A$2,Lines!O5))=TRUE,"",Lines!O5)</f>
        <v/>
      </c>
      <c r="P5" s="30" t="str">
        <f>IF(ISERROR(FIND($A$2,Lines!P5))=TRUE,"",Lines!P5)</f>
        <v/>
      </c>
      <c r="Q5" s="30" t="str">
        <f>IF(ISERROR(FIND($A$2,Lines!Q5))=TRUE,"",Lines!Q5)</f>
        <v/>
      </c>
      <c r="R5" s="30" t="str">
        <f>IF(ISERROR(FIND($A$2,Lines!R5))=TRUE,"",Lines!R5)</f>
        <v/>
      </c>
      <c r="S5" s="30" t="str">
        <f>IF(ISERROR(FIND($A$2,Lines!S5))=TRUE,"",Lines!S5)</f>
        <v/>
      </c>
      <c r="T5" s="30" t="str">
        <f>IF(ISERROR(FIND($A$2,Lines!T5))=TRUE,"",Lines!T5)</f>
        <v/>
      </c>
      <c r="U5" s="30" t="str">
        <f>IF(ISERROR(FIND($A$2,Lines!U5))=TRUE,"",Lines!U5)</f>
        <v/>
      </c>
      <c r="V5" s="30" t="str">
        <f>IF(ISERROR(FIND($A$2,Lines!V5))=TRUE,"",Lines!V5)</f>
        <v/>
      </c>
      <c r="W5" s="36" t="str">
        <f>IF(ISERROR(FIND($A$2,Lines!W5))=TRUE,"",Lines!W5)</f>
        <v/>
      </c>
      <c r="X5" s="30" t="str">
        <f>IF(ISERROR(FIND($A$2,Lines!X5))=TRUE,"",Lines!X5)</f>
        <v/>
      </c>
      <c r="Y5" s="30" t="str">
        <f>IF(ISERROR(FIND($A$2,Lines!Y5))=TRUE,"",Lines!Y5)</f>
        <v/>
      </c>
      <c r="Z5" s="30" t="str">
        <f>IF(ISERROR(FIND($A$2,Lines!Z5))=TRUE,"",Lines!Z5)</f>
        <v/>
      </c>
      <c r="AA5" s="30" t="str">
        <f>IF(ISERROR(FIND($A$2,Lines!AA5))=TRUE,"",Lines!AA5)</f>
        <v/>
      </c>
      <c r="AB5" s="30" t="str">
        <f>IF(ISERROR(FIND($A$2,Lines!AB5))=TRUE,"",Lines!AB5)</f>
        <v/>
      </c>
      <c r="AC5" s="30" t="str">
        <f>IF(ISERROR(FIND($A$2,Lines!AC5))=TRUE,"",Lines!AC5)</f>
        <v/>
      </c>
      <c r="AD5" s="30" t="str">
        <f>IF(ISERROR(FIND($A$2,Lines!AD5))=TRUE,"",Lines!AD5)</f>
        <v/>
      </c>
      <c r="AE5" s="30" t="str">
        <f>IF(ISERROR(FIND($A$2,Lines!AE5))=TRUE,"",Lines!AE5)</f>
        <v/>
      </c>
      <c r="AF5" s="30" t="str">
        <f>IF(ISERROR(FIND($A$2,Lines!AF5))=TRUE,"",Lines!AF5)</f>
        <v/>
      </c>
      <c r="AG5" s="30" t="str">
        <f>IF(ISERROR(FIND($A$2,Lines!AG5))=TRUE,"",Lines!AG5)</f>
        <v/>
      </c>
      <c r="AH5" s="30" t="str">
        <f>IF(ISERROR(FIND($A$2,Lines!AH5))=TRUE,"",Lines!AH5)</f>
        <v/>
      </c>
      <c r="AI5" s="30" t="str">
        <f>IF(ISERROR(FIND($A$2,Lines!AI5))=TRUE,"",Lines!AI5)</f>
        <v/>
      </c>
      <c r="AJ5" s="30" t="str">
        <f>IF(ISERROR(FIND($A$2,Lines!AJ5))=TRUE,"",Lines!AJ5)</f>
        <v/>
      </c>
      <c r="AK5" s="30" t="str">
        <f>IF(ISERROR(FIND($A$2,Lines!AK5))=TRUE,"",Lines!AK5)</f>
        <v/>
      </c>
      <c r="AL5" s="30" t="str">
        <f>IF(ISERROR(FIND($A$2,Lines!AL5))=TRUE,"",Lines!AL5)</f>
        <v/>
      </c>
      <c r="AM5" s="30" t="str">
        <f>IF(ISERROR(FIND($A$2,Lines!AM5))=TRUE,"",Lines!AM5)</f>
        <v/>
      </c>
      <c r="AN5" s="30" t="str">
        <f>IF(ISERROR(FIND($A$2,Lines!AN5))=TRUE,"",Lines!AN5)</f>
        <v/>
      </c>
      <c r="AO5" s="30" t="str">
        <f>IF(ISERROR(FIND($A$2,Lines!AO5))=TRUE,"",Lines!AO5)</f>
        <v/>
      </c>
      <c r="AP5" s="30" t="str">
        <f>IF(ISERROR(FIND($A$2,Lines!AP5))=TRUE,"",Lines!AP5)</f>
        <v/>
      </c>
      <c r="AQ5" s="30" t="str">
        <f>IF(ISERROR(FIND($A$2,Lines!AQ5))=TRUE,"",Lines!AQ5)</f>
        <v/>
      </c>
      <c r="AR5" s="30" t="str">
        <f>IF(ISERROR(FIND($A$2,Lines!AR5))=TRUE,"",Lines!AR5)</f>
        <v/>
      </c>
      <c r="AS5" s="30" t="str">
        <f>IF(ISERROR(FIND($A$2,Lines!AS5))=TRUE,"",Lines!AS5)</f>
        <v/>
      </c>
      <c r="AT5" s="30" t="str">
        <f>IF(ISERROR(FIND($A$2,Lines!AT5))=TRUE,"",Lines!AT5)</f>
        <v/>
      </c>
    </row>
    <row r="6" spans="1:46" ht="20.25" customHeight="1">
      <c r="A6" s="2" t="s">
        <v>57</v>
      </c>
      <c r="B6" s="26" t="str">
        <f>IF(ISERROR(FIND($A$2,Lines!B6))=TRUE,"",Lines!B6)</f>
        <v/>
      </c>
      <c r="C6" s="26" t="str">
        <f>IF(ISERROR(FIND($A$2,Lines!C6))=TRUE,"",Lines!C6)</f>
        <v/>
      </c>
      <c r="D6" s="63" t="str">
        <f>IF(ISERROR(FIND($A$2,Lines!D6))=TRUE,"",Lines!D6)</f>
        <v/>
      </c>
      <c r="E6" s="26" t="str">
        <f>IF(ISERROR(FIND($A$2,Lines!E6))=TRUE,"",Lines!E6)</f>
        <v/>
      </c>
      <c r="F6" s="26" t="str">
        <f>IF(ISERROR(FIND($A$2,Lines!F6))=TRUE,"",Lines!F6)</f>
        <v/>
      </c>
      <c r="G6" s="26" t="str">
        <f>IF(ISERROR(FIND($A$2,Lines!G6))=TRUE,"",Lines!G6)</f>
        <v/>
      </c>
      <c r="H6" s="26" t="str">
        <f>IF(ISERROR(FIND($A$2,Lines!H6))=TRUE,"",Lines!H6)</f>
        <v/>
      </c>
      <c r="I6" s="26" t="str">
        <f>IF(ISERROR(FIND($A$2,Lines!I6))=TRUE,"",Lines!I6)</f>
        <v/>
      </c>
      <c r="J6" s="26" t="str">
        <f>IF(ISERROR(FIND($A$2,Lines!J6))=TRUE,"",Lines!J6)</f>
        <v/>
      </c>
      <c r="K6" s="26" t="str">
        <f>IF(ISERROR(FIND($A$2,Lines!K6))=TRUE,"",Lines!K6)</f>
        <v/>
      </c>
      <c r="L6" s="26" t="str">
        <f>IF(ISERROR(FIND($A$2,Lines!L6))=TRUE,"",Lines!L6)</f>
        <v/>
      </c>
      <c r="M6" s="27" t="str">
        <f>IF(ISERROR(FIND($A$2,Lines!M6))=TRUE,"",Lines!M6)</f>
        <v/>
      </c>
      <c r="N6" s="30" t="str">
        <f>IF(ISERROR(FIND($A$2,Lines!N6))=TRUE,"",Lines!N6)</f>
        <v/>
      </c>
      <c r="O6" s="30" t="str">
        <f>IF(ISERROR(FIND($A$2,Lines!O6))=TRUE,"",Lines!O6)</f>
        <v/>
      </c>
      <c r="P6" s="30" t="str">
        <f>IF(ISERROR(FIND($A$2,Lines!P6))=TRUE,"",Lines!P6)</f>
        <v/>
      </c>
      <c r="Q6" s="30" t="str">
        <f>IF(ISERROR(FIND($A$2,Lines!Q6))=TRUE,"",Lines!Q6)</f>
        <v/>
      </c>
      <c r="R6" s="30" t="str">
        <f>IF(ISERROR(FIND($A$2,Lines!R6))=TRUE,"",Lines!R6)</f>
        <v/>
      </c>
      <c r="S6" s="30" t="str">
        <f>IF(ISERROR(FIND($A$2,Lines!S6))=TRUE,"",Lines!S6)</f>
        <v/>
      </c>
      <c r="T6" s="30" t="str">
        <f>IF(ISERROR(FIND($A$2,Lines!T6))=TRUE,"",Lines!T6)</f>
        <v/>
      </c>
      <c r="U6" s="30" t="str">
        <f>IF(ISERROR(FIND($A$2,Lines!U6))=TRUE,"",Lines!U6)</f>
        <v/>
      </c>
      <c r="V6" s="30" t="str">
        <f>IF(ISERROR(FIND($A$2,Lines!V6))=TRUE,"",Lines!V6)</f>
        <v/>
      </c>
      <c r="W6" s="36" t="str">
        <f>IF(ISERROR(FIND($A$2,Lines!W6))=TRUE,"",Lines!W6)</f>
        <v/>
      </c>
      <c r="X6" s="30" t="str">
        <f>IF(ISERROR(FIND($A$2,Lines!X6))=TRUE,"",Lines!X6)</f>
        <v/>
      </c>
      <c r="Y6" s="30" t="str">
        <f>IF(ISERROR(FIND($A$2,Lines!Y6))=TRUE,"",Lines!Y6)</f>
        <v/>
      </c>
      <c r="Z6" s="30" t="str">
        <f>IF(ISERROR(FIND($A$2,Lines!Z6))=TRUE,"",Lines!Z6)</f>
        <v/>
      </c>
      <c r="AA6" s="30" t="str">
        <f>IF(ISERROR(FIND($A$2,Lines!AA6))=TRUE,"",Lines!AA6)</f>
        <v/>
      </c>
      <c r="AB6" s="30" t="str">
        <f>IF(ISERROR(FIND($A$2,Lines!AB6))=TRUE,"",Lines!AB6)</f>
        <v/>
      </c>
      <c r="AC6" s="30" t="str">
        <f>IF(ISERROR(FIND($A$2,Lines!AC6))=TRUE,"",Lines!AC6)</f>
        <v/>
      </c>
      <c r="AD6" s="30" t="str">
        <f>IF(ISERROR(FIND($A$2,Lines!AD6))=TRUE,"",Lines!AD6)</f>
        <v/>
      </c>
      <c r="AE6" s="30" t="str">
        <f>IF(ISERROR(FIND($A$2,Lines!AE6))=TRUE,"",Lines!AE6)</f>
        <v/>
      </c>
      <c r="AF6" s="30" t="str">
        <f>IF(ISERROR(FIND($A$2,Lines!AF6))=TRUE,"",Lines!AF6)</f>
        <v/>
      </c>
      <c r="AG6" s="30" t="str">
        <f>IF(ISERROR(FIND($A$2,Lines!AG6))=TRUE,"",Lines!AG6)</f>
        <v/>
      </c>
      <c r="AH6" s="30" t="str">
        <f>IF(ISERROR(FIND($A$2,Lines!AH6))=TRUE,"",Lines!AH6)</f>
        <v/>
      </c>
      <c r="AI6" s="30" t="str">
        <f>IF(ISERROR(FIND($A$2,Lines!AI6))=TRUE,"",Lines!AI6)</f>
        <v/>
      </c>
      <c r="AJ6" s="30" t="str">
        <f>IF(ISERROR(FIND($A$2,Lines!AJ6))=TRUE,"",Lines!AJ6)</f>
        <v/>
      </c>
      <c r="AK6" s="30" t="str">
        <f>IF(ISERROR(FIND($A$2,Lines!AK6))=TRUE,"",Lines!AK6)</f>
        <v/>
      </c>
      <c r="AL6" s="30" t="str">
        <f>IF(ISERROR(FIND($A$2,Lines!AL6))=TRUE,"",Lines!AL6)</f>
        <v/>
      </c>
      <c r="AM6" s="30" t="str">
        <f>IF(ISERROR(FIND($A$2,Lines!AM6))=TRUE,"",Lines!AM6)</f>
        <v/>
      </c>
      <c r="AN6" s="30" t="str">
        <f>IF(ISERROR(FIND($A$2,Lines!AN6))=TRUE,"",Lines!AN6)</f>
        <v/>
      </c>
      <c r="AO6" s="30" t="str">
        <f>IF(ISERROR(FIND($A$2,Lines!AO6))=TRUE,"",Lines!AO6)</f>
        <v/>
      </c>
      <c r="AP6" s="30" t="str">
        <f>IF(ISERROR(FIND($A$2,Lines!AP6))=TRUE,"",Lines!AP6)</f>
        <v/>
      </c>
      <c r="AQ6" s="30" t="str">
        <f>IF(ISERROR(FIND($A$2,Lines!AQ6))=TRUE,"",Lines!AQ6)</f>
        <v/>
      </c>
      <c r="AR6" s="30" t="str">
        <f>IF(ISERROR(FIND($A$2,Lines!AR6))=TRUE,"",Lines!AR6)</f>
        <v/>
      </c>
      <c r="AS6" s="30" t="str">
        <f>IF(ISERROR(FIND($A$2,Lines!AS6))=TRUE,"",Lines!AS6)</f>
        <v/>
      </c>
      <c r="AT6" s="30" t="str">
        <f>IF(ISERROR(FIND($A$2,Lines!AT6))=TRUE,"",Lines!AT6)</f>
        <v/>
      </c>
    </row>
    <row r="7" spans="1:46" ht="20.25" customHeight="1">
      <c r="A7" s="2" t="s">
        <v>58</v>
      </c>
      <c r="B7" s="26" t="str">
        <f>IF(ISERROR(FIND($A$2,Lines!B7))=TRUE,"",Lines!B7)</f>
        <v/>
      </c>
      <c r="C7" s="26" t="str">
        <f>IF(ISERROR(FIND($A$2,Lines!C7))=TRUE,"",Lines!C7)</f>
        <v/>
      </c>
      <c r="D7" s="26" t="str">
        <f>IF(ISERROR(FIND($A$2,Lines!D7))=TRUE,"",Lines!D7)</f>
        <v/>
      </c>
      <c r="E7" s="63" t="str">
        <f>IF(ISERROR(FIND($A$2,Lines!E7))=TRUE,"",Lines!E7)</f>
        <v/>
      </c>
      <c r="F7" s="26" t="str">
        <f>IF(ISERROR(FIND($A$2,Lines!F7))=TRUE,"",Lines!F7)</f>
        <v/>
      </c>
      <c r="G7" s="26" t="str">
        <f>IF(ISERROR(FIND($A$2,Lines!G7))=TRUE,"",Lines!G7)</f>
        <v/>
      </c>
      <c r="H7" s="26" t="str">
        <f>IF(ISERROR(FIND($A$2,Lines!H7))=TRUE,"",Lines!H7)</f>
        <v/>
      </c>
      <c r="I7" s="26" t="str">
        <f>IF(ISERROR(FIND($A$2,Lines!I7))=TRUE,"",Lines!I7)</f>
        <v/>
      </c>
      <c r="J7" s="26" t="str">
        <f>IF(ISERROR(FIND($A$2,Lines!J7))=TRUE,"",Lines!J7)</f>
        <v/>
      </c>
      <c r="K7" s="26" t="str">
        <f>IF(ISERROR(FIND($A$2,Lines!K7))=TRUE,"",Lines!K7)</f>
        <v/>
      </c>
      <c r="L7" s="26" t="str">
        <f>IF(ISERROR(FIND($A$2,Lines!L7))=TRUE,"",Lines!L7)</f>
        <v/>
      </c>
      <c r="M7" s="27" t="str">
        <f>IF(ISERROR(FIND($A$2,Lines!M7))=TRUE,"",Lines!M7)</f>
        <v/>
      </c>
      <c r="N7" s="30" t="str">
        <f>IF(ISERROR(FIND($A$2,Lines!N7))=TRUE,"",Lines!N7)</f>
        <v/>
      </c>
      <c r="O7" s="30" t="str">
        <f>IF(ISERROR(FIND($A$2,Lines!O7))=TRUE,"",Lines!O7)</f>
        <v/>
      </c>
      <c r="P7" s="30" t="str">
        <f>IF(ISERROR(FIND($A$2,Lines!P7))=TRUE,"",Lines!P7)</f>
        <v/>
      </c>
      <c r="Q7" s="30" t="str">
        <f>IF(ISERROR(FIND($A$2,Lines!Q7))=TRUE,"",Lines!Q7)</f>
        <v/>
      </c>
      <c r="R7" s="30" t="str">
        <f>IF(ISERROR(FIND($A$2,Lines!R7))=TRUE,"",Lines!R7)</f>
        <v/>
      </c>
      <c r="S7" s="30" t="str">
        <f>IF(ISERROR(FIND($A$2,Lines!S7))=TRUE,"",Lines!S7)</f>
        <v/>
      </c>
      <c r="T7" s="30" t="str">
        <f>IF(ISERROR(FIND($A$2,Lines!T7))=TRUE,"",Lines!T7)</f>
        <v/>
      </c>
      <c r="U7" s="30" t="str">
        <f>IF(ISERROR(FIND($A$2,Lines!U7))=TRUE,"",Lines!U7)</f>
        <v/>
      </c>
      <c r="V7" s="30" t="str">
        <f>IF(ISERROR(FIND($A$2,Lines!V7))=TRUE,"",Lines!V7)</f>
        <v/>
      </c>
      <c r="W7" s="36" t="str">
        <f>IF(ISERROR(FIND($A$2,Lines!W7))=TRUE,"",Lines!W7)</f>
        <v/>
      </c>
      <c r="X7" s="30" t="str">
        <f>IF(ISERROR(FIND($A$2,Lines!X7))=TRUE,"",Lines!X7)</f>
        <v/>
      </c>
      <c r="Y7" s="30" t="str">
        <f>IF(ISERROR(FIND($A$2,Lines!Y7))=TRUE,"",Lines!Y7)</f>
        <v/>
      </c>
      <c r="Z7" s="30" t="str">
        <f>IF(ISERROR(FIND($A$2,Lines!Z7))=TRUE,"",Lines!Z7)</f>
        <v/>
      </c>
      <c r="AA7" s="30" t="str">
        <f>IF(ISERROR(FIND($A$2,Lines!AA7))=TRUE,"",Lines!AA7)</f>
        <v/>
      </c>
      <c r="AB7" s="30" t="str">
        <f>IF(ISERROR(FIND($A$2,Lines!AB7))=TRUE,"",Lines!AB7)</f>
        <v/>
      </c>
      <c r="AC7" s="30" t="str">
        <f>IF(ISERROR(FIND($A$2,Lines!AC7))=TRUE,"",Lines!AC7)</f>
        <v/>
      </c>
      <c r="AD7" s="30" t="str">
        <f>IF(ISERROR(FIND($A$2,Lines!AD7))=TRUE,"",Lines!AD7)</f>
        <v/>
      </c>
      <c r="AE7" s="30" t="str">
        <f>IF(ISERROR(FIND($A$2,Lines!AE7))=TRUE,"",Lines!AE7)</f>
        <v/>
      </c>
      <c r="AF7" s="30" t="str">
        <f>IF(ISERROR(FIND($A$2,Lines!AF7))=TRUE,"",Lines!AF7)</f>
        <v/>
      </c>
      <c r="AG7" s="30" t="str">
        <f>IF(ISERROR(FIND($A$2,Lines!AG7))=TRUE,"",Lines!AG7)</f>
        <v/>
      </c>
      <c r="AH7" s="30" t="str">
        <f>IF(ISERROR(FIND($A$2,Lines!AH7))=TRUE,"",Lines!AH7)</f>
        <v/>
      </c>
      <c r="AI7" s="30" t="str">
        <f>IF(ISERROR(FIND($A$2,Lines!AI7))=TRUE,"",Lines!AI7)</f>
        <v/>
      </c>
      <c r="AJ7" s="30" t="str">
        <f>IF(ISERROR(FIND($A$2,Lines!AJ7))=TRUE,"",Lines!AJ7)</f>
        <v/>
      </c>
      <c r="AK7" s="30" t="str">
        <f>IF(ISERROR(FIND($A$2,Lines!AK7))=TRUE,"",Lines!AK7)</f>
        <v/>
      </c>
      <c r="AL7" s="30" t="str">
        <f>IF(ISERROR(FIND($A$2,Lines!AL7))=TRUE,"",Lines!AL7)</f>
        <v/>
      </c>
      <c r="AM7" s="30" t="str">
        <f>IF(ISERROR(FIND($A$2,Lines!AM7))=TRUE,"",Lines!AM7)</f>
        <v/>
      </c>
      <c r="AN7" s="30" t="str">
        <f>IF(ISERROR(FIND($A$2,Lines!AN7))=TRUE,"",Lines!AN7)</f>
        <v/>
      </c>
      <c r="AO7" s="30" t="str">
        <f>IF(ISERROR(FIND($A$2,Lines!AO7))=TRUE,"",Lines!AO7)</f>
        <v/>
      </c>
      <c r="AP7" s="30" t="str">
        <f>IF(ISERROR(FIND($A$2,Lines!AP7))=TRUE,"",Lines!AP7)</f>
        <v/>
      </c>
      <c r="AQ7" s="30" t="str">
        <f>IF(ISERROR(FIND($A$2,Lines!AQ7))=TRUE,"",Lines!AQ7)</f>
        <v/>
      </c>
      <c r="AR7" s="30" t="str">
        <f>IF(ISERROR(FIND($A$2,Lines!AR7))=TRUE,"",Lines!AR7)</f>
        <v/>
      </c>
      <c r="AS7" s="30" t="str">
        <f>IF(ISERROR(FIND($A$2,Lines!AS7))=TRUE,"",Lines!AS7)</f>
        <v/>
      </c>
      <c r="AT7" s="30" t="str">
        <f>IF(ISERROR(FIND($A$2,Lines!AT7))=TRUE,"",Lines!AT7)</f>
        <v/>
      </c>
    </row>
    <row r="8" spans="1:46" ht="20.25" customHeight="1">
      <c r="A8" s="2" t="s">
        <v>59</v>
      </c>
      <c r="B8" s="26" t="str">
        <f>IF(ISERROR(FIND($A$2,Lines!B8))=TRUE,"",Lines!B8)</f>
        <v/>
      </c>
      <c r="C8" s="26" t="str">
        <f>IF(ISERROR(FIND($A$2,Lines!C8))=TRUE,"",Lines!C8)</f>
        <v/>
      </c>
      <c r="D8" s="26" t="str">
        <f>IF(ISERROR(FIND($A$2,Lines!D8))=TRUE,"",Lines!D8)</f>
        <v/>
      </c>
      <c r="E8" s="26" t="str">
        <f>IF(ISERROR(FIND($A$2,Lines!E8))=TRUE,"",Lines!E8)</f>
        <v/>
      </c>
      <c r="F8" s="63" t="str">
        <f>IF(ISERROR(FIND($A$2,Lines!F8))=TRUE,"",Lines!F8)</f>
        <v/>
      </c>
      <c r="G8" s="26" t="str">
        <f>IF(ISERROR(FIND($A$2,Lines!G8))=TRUE,"",Lines!G8)</f>
        <v/>
      </c>
      <c r="H8" s="26" t="str">
        <f>IF(ISERROR(FIND($A$2,Lines!H8))=TRUE,"",Lines!H8)</f>
        <v/>
      </c>
      <c r="I8" s="26" t="str">
        <f>IF(ISERROR(FIND($A$2,Lines!I8))=TRUE,"",Lines!I8)</f>
        <v/>
      </c>
      <c r="J8" s="26" t="str">
        <f>IF(ISERROR(FIND($A$2,Lines!J8))=TRUE,"",Lines!J8)</f>
        <v/>
      </c>
      <c r="K8" s="26" t="str">
        <f>IF(ISERROR(FIND($A$2,Lines!K8))=TRUE,"",Lines!K8)</f>
        <v/>
      </c>
      <c r="L8" s="26" t="str">
        <f>IF(ISERROR(FIND($A$2,Lines!L8))=TRUE,"",Lines!L8)</f>
        <v/>
      </c>
      <c r="M8" s="27" t="str">
        <f>IF(ISERROR(FIND($A$2,Lines!M8))=TRUE,"",Lines!M8)</f>
        <v/>
      </c>
      <c r="N8" s="30" t="str">
        <f>IF(ISERROR(FIND($A$2,Lines!N8))=TRUE,"",Lines!N8)</f>
        <v/>
      </c>
      <c r="O8" s="30" t="str">
        <f>IF(ISERROR(FIND($A$2,Lines!O8))=TRUE,"",Lines!O8)</f>
        <v/>
      </c>
      <c r="P8" s="30" t="str">
        <f>IF(ISERROR(FIND($A$2,Lines!P8))=TRUE,"",Lines!P8)</f>
        <v/>
      </c>
      <c r="Q8" s="30" t="str">
        <f>IF(ISERROR(FIND($A$2,Lines!Q8))=TRUE,"",Lines!Q8)</f>
        <v/>
      </c>
      <c r="R8" s="30" t="str">
        <f>IF(ISERROR(FIND($A$2,Lines!R8))=TRUE,"",Lines!R8)</f>
        <v/>
      </c>
      <c r="S8" s="30" t="str">
        <f>IF(ISERROR(FIND($A$2,Lines!S8))=TRUE,"",Lines!S8)</f>
        <v/>
      </c>
      <c r="T8" s="30" t="str">
        <f>IF(ISERROR(FIND($A$2,Lines!T8))=TRUE,"",Lines!T8)</f>
        <v/>
      </c>
      <c r="U8" s="30" t="str">
        <f>IF(ISERROR(FIND($A$2,Lines!U8))=TRUE,"",Lines!U8)</f>
        <v/>
      </c>
      <c r="V8" s="30" t="str">
        <f>IF(ISERROR(FIND($A$2,Lines!V8))=TRUE,"",Lines!V8)</f>
        <v/>
      </c>
      <c r="W8" s="36" t="str">
        <f>IF(ISERROR(FIND($A$2,Lines!W8))=TRUE,"",Lines!W8)</f>
        <v/>
      </c>
      <c r="X8" s="30" t="str">
        <f>IF(ISERROR(FIND($A$2,Lines!X8))=TRUE,"",Lines!X8)</f>
        <v/>
      </c>
      <c r="Y8" s="30" t="str">
        <f>IF(ISERROR(FIND($A$2,Lines!Y8))=TRUE,"",Lines!Y8)</f>
        <v/>
      </c>
      <c r="Z8" s="30" t="str">
        <f>IF(ISERROR(FIND($A$2,Lines!Z8))=TRUE,"",Lines!Z8)</f>
        <v/>
      </c>
      <c r="AA8" s="30" t="str">
        <f>IF(ISERROR(FIND($A$2,Lines!AA8))=TRUE,"",Lines!AA8)</f>
        <v/>
      </c>
      <c r="AB8" s="30" t="str">
        <f>IF(ISERROR(FIND($A$2,Lines!AB8))=TRUE,"",Lines!AB8)</f>
        <v/>
      </c>
      <c r="AC8" s="30" t="str">
        <f>IF(ISERROR(FIND($A$2,Lines!AC8))=TRUE,"",Lines!AC8)</f>
        <v/>
      </c>
      <c r="AD8" s="30" t="str">
        <f>IF(ISERROR(FIND($A$2,Lines!AD8))=TRUE,"",Lines!AD8)</f>
        <v/>
      </c>
      <c r="AE8" s="30" t="str">
        <f>IF(ISERROR(FIND($A$2,Lines!AE8))=TRUE,"",Lines!AE8)</f>
        <v/>
      </c>
      <c r="AF8" s="30" t="str">
        <f>IF(ISERROR(FIND($A$2,Lines!AF8))=TRUE,"",Lines!AF8)</f>
        <v/>
      </c>
      <c r="AG8" s="30" t="str">
        <f>IF(ISERROR(FIND($A$2,Lines!AG8))=TRUE,"",Lines!AG8)</f>
        <v/>
      </c>
      <c r="AH8" s="30" t="str">
        <f>IF(ISERROR(FIND($A$2,Lines!AH8))=TRUE,"",Lines!AH8)</f>
        <v/>
      </c>
      <c r="AI8" s="30" t="str">
        <f>IF(ISERROR(FIND($A$2,Lines!AI8))=TRUE,"",Lines!AI8)</f>
        <v/>
      </c>
      <c r="AJ8" s="30" t="str">
        <f>IF(ISERROR(FIND($A$2,Lines!AJ8))=TRUE,"",Lines!AJ8)</f>
        <v/>
      </c>
      <c r="AK8" s="30" t="str">
        <f>IF(ISERROR(FIND($A$2,Lines!AK8))=TRUE,"",Lines!AK8)</f>
        <v/>
      </c>
      <c r="AL8" s="30" t="str">
        <f>IF(ISERROR(FIND($A$2,Lines!AL8))=TRUE,"",Lines!AL8)</f>
        <v/>
      </c>
      <c r="AM8" s="30" t="str">
        <f>IF(ISERROR(FIND($A$2,Lines!AM8))=TRUE,"",Lines!AM8)</f>
        <v/>
      </c>
      <c r="AN8" s="30" t="str">
        <f>IF(ISERROR(FIND($A$2,Lines!AN8))=TRUE,"",Lines!AN8)</f>
        <v/>
      </c>
      <c r="AO8" s="30" t="str">
        <f>IF(ISERROR(FIND($A$2,Lines!AO8))=TRUE,"",Lines!AO8)</f>
        <v/>
      </c>
      <c r="AP8" s="30" t="str">
        <f>IF(ISERROR(FIND($A$2,Lines!AP8))=TRUE,"",Lines!AP8)</f>
        <v/>
      </c>
      <c r="AQ8" s="30" t="str">
        <f>IF(ISERROR(FIND($A$2,Lines!AQ8))=TRUE,"",Lines!AQ8)</f>
        <v/>
      </c>
      <c r="AR8" s="30" t="str">
        <f>IF(ISERROR(FIND($A$2,Lines!AR8))=TRUE,"",Lines!AR8)</f>
        <v/>
      </c>
      <c r="AS8" s="30" t="str">
        <f>IF(ISERROR(FIND($A$2,Lines!AS8))=TRUE,"",Lines!AS8)</f>
        <v/>
      </c>
      <c r="AT8" s="30" t="str">
        <f>IF(ISERROR(FIND($A$2,Lines!AT8))=TRUE,"",Lines!AT8)</f>
        <v/>
      </c>
    </row>
    <row r="9" spans="1:46" ht="20.25" customHeight="1">
      <c r="A9" s="2" t="s">
        <v>60</v>
      </c>
      <c r="B9" s="26" t="str">
        <f>IF(ISERROR(FIND($A$2,Lines!B9))=TRUE,"",Lines!B9)</f>
        <v/>
      </c>
      <c r="C9" s="26" t="str">
        <f>IF(ISERROR(FIND($A$2,Lines!C9))=TRUE,"",Lines!C9)</f>
        <v/>
      </c>
      <c r="D9" s="26" t="str">
        <f>IF(ISERROR(FIND($A$2,Lines!D9))=TRUE,"",Lines!D9)</f>
        <v/>
      </c>
      <c r="E9" s="26" t="str">
        <f>IF(ISERROR(FIND($A$2,Lines!E9))=TRUE,"",Lines!E9)</f>
        <v/>
      </c>
      <c r="F9" s="26" t="str">
        <f>IF(ISERROR(FIND($A$2,Lines!F9))=TRUE,"",Lines!F9)</f>
        <v/>
      </c>
      <c r="G9" s="63" t="str">
        <f>IF(ISERROR(FIND($A$2,Lines!G9))=TRUE,"",Lines!G9)</f>
        <v/>
      </c>
      <c r="H9" s="26" t="str">
        <f>IF(ISERROR(FIND($A$2,Lines!H9))=TRUE,"",Lines!H9)</f>
        <v/>
      </c>
      <c r="I9" s="26" t="str">
        <f>IF(ISERROR(FIND($A$2,Lines!I9))=TRUE,"",Lines!I9)</f>
        <v/>
      </c>
      <c r="J9" s="26" t="str">
        <f>IF(ISERROR(FIND($A$2,Lines!J9))=TRUE,"",Lines!J9)</f>
        <v/>
      </c>
      <c r="K9" s="26" t="str">
        <f>IF(ISERROR(FIND($A$2,Lines!K9))=TRUE,"",Lines!K9)</f>
        <v/>
      </c>
      <c r="L9" s="26" t="str">
        <f>IF(ISERROR(FIND($A$2,Lines!L9))=TRUE,"",Lines!L9)</f>
        <v/>
      </c>
      <c r="M9" s="27" t="str">
        <f>IF(ISERROR(FIND($A$2,Lines!M9))=TRUE,"",Lines!M9)</f>
        <v/>
      </c>
      <c r="N9" s="30" t="str">
        <f>IF(ISERROR(FIND($A$2,Lines!N9))=TRUE,"",Lines!N9)</f>
        <v/>
      </c>
      <c r="O9" s="30" t="str">
        <f>IF(ISERROR(FIND($A$2,Lines!O9))=TRUE,"",Lines!O9)</f>
        <v/>
      </c>
      <c r="P9" s="30" t="str">
        <f>IF(ISERROR(FIND($A$2,Lines!P9))=TRUE,"",Lines!P9)</f>
        <v/>
      </c>
      <c r="Q9" s="30" t="str">
        <f>IF(ISERROR(FIND($A$2,Lines!Q9))=TRUE,"",Lines!Q9)</f>
        <v/>
      </c>
      <c r="R9" s="30" t="str">
        <f>IF(ISERROR(FIND($A$2,Lines!R9))=TRUE,"",Lines!R9)</f>
        <v/>
      </c>
      <c r="S9" s="30" t="str">
        <f>IF(ISERROR(FIND($A$2,Lines!S9))=TRUE,"",Lines!S9)</f>
        <v/>
      </c>
      <c r="T9" s="30" t="str">
        <f>IF(ISERROR(FIND($A$2,Lines!T9))=TRUE,"",Lines!T9)</f>
        <v/>
      </c>
      <c r="U9" s="30" t="str">
        <f>IF(ISERROR(FIND($A$2,Lines!U9))=TRUE,"",Lines!U9)</f>
        <v/>
      </c>
      <c r="V9" s="30" t="str">
        <f>IF(ISERROR(FIND($A$2,Lines!V9))=TRUE,"",Lines!V9)</f>
        <v/>
      </c>
      <c r="W9" s="36" t="str">
        <f>IF(ISERROR(FIND($A$2,Lines!W9))=TRUE,"",Lines!W9)</f>
        <v/>
      </c>
      <c r="X9" s="30" t="str">
        <f>IF(ISERROR(FIND($A$2,Lines!X9))=TRUE,"",Lines!X9)</f>
        <v/>
      </c>
      <c r="Y9" s="30" t="str">
        <f>IF(ISERROR(FIND($A$2,Lines!Y9))=TRUE,"",Lines!Y9)</f>
        <v/>
      </c>
      <c r="Z9" s="30" t="str">
        <f>IF(ISERROR(FIND($A$2,Lines!Z9))=TRUE,"",Lines!Z9)</f>
        <v/>
      </c>
      <c r="AA9" s="30" t="str">
        <f>IF(ISERROR(FIND($A$2,Lines!AA9))=TRUE,"",Lines!AA9)</f>
        <v/>
      </c>
      <c r="AB9" s="30" t="str">
        <f>IF(ISERROR(FIND($A$2,Lines!AB9))=TRUE,"",Lines!AB9)</f>
        <v/>
      </c>
      <c r="AC9" s="30" t="str">
        <f>IF(ISERROR(FIND($A$2,Lines!AC9))=TRUE,"",Lines!AC9)</f>
        <v/>
      </c>
      <c r="AD9" s="30" t="str">
        <f>IF(ISERROR(FIND($A$2,Lines!AD9))=TRUE,"",Lines!AD9)</f>
        <v/>
      </c>
      <c r="AE9" s="30" t="str">
        <f>IF(ISERROR(FIND($A$2,Lines!AE9))=TRUE,"",Lines!AE9)</f>
        <v/>
      </c>
      <c r="AF9" s="30" t="str">
        <f>IF(ISERROR(FIND($A$2,Lines!AF9))=TRUE,"",Lines!AF9)</f>
        <v/>
      </c>
      <c r="AG9" s="30" t="str">
        <f>IF(ISERROR(FIND($A$2,Lines!AG9))=TRUE,"",Lines!AG9)</f>
        <v/>
      </c>
      <c r="AH9" s="30" t="str">
        <f>IF(ISERROR(FIND($A$2,Lines!AH9))=TRUE,"",Lines!AH9)</f>
        <v/>
      </c>
      <c r="AI9" s="30" t="str">
        <f>IF(ISERROR(FIND($A$2,Lines!AI9))=TRUE,"",Lines!AI9)</f>
        <v/>
      </c>
      <c r="AJ9" s="30" t="str">
        <f>IF(ISERROR(FIND($A$2,Lines!AJ9))=TRUE,"",Lines!AJ9)</f>
        <v/>
      </c>
      <c r="AK9" s="30" t="str">
        <f>IF(ISERROR(FIND($A$2,Lines!AK9))=TRUE,"",Lines!AK9)</f>
        <v/>
      </c>
      <c r="AL9" s="30" t="str">
        <f>IF(ISERROR(FIND($A$2,Lines!AL9))=TRUE,"",Lines!AL9)</f>
        <v/>
      </c>
      <c r="AM9" s="30" t="str">
        <f>IF(ISERROR(FIND($A$2,Lines!AM9))=TRUE,"",Lines!AM9)</f>
        <v/>
      </c>
      <c r="AN9" s="30" t="str">
        <f>IF(ISERROR(FIND($A$2,Lines!AN9))=TRUE,"",Lines!AN9)</f>
        <v/>
      </c>
      <c r="AO9" s="30" t="str">
        <f>IF(ISERROR(FIND($A$2,Lines!AO9))=TRUE,"",Lines!AO9)</f>
        <v/>
      </c>
      <c r="AP9" s="30" t="str">
        <f>IF(ISERROR(FIND($A$2,Lines!AP9))=TRUE,"",Lines!AP9)</f>
        <v/>
      </c>
      <c r="AQ9" s="30" t="str">
        <f>IF(ISERROR(FIND($A$2,Lines!AQ9))=TRUE,"",Lines!AQ9)</f>
        <v/>
      </c>
      <c r="AR9" s="30" t="str">
        <f>IF(ISERROR(FIND($A$2,Lines!AR9))=TRUE,"",Lines!AR9)</f>
        <v/>
      </c>
      <c r="AS9" s="30" t="str">
        <f>IF(ISERROR(FIND($A$2,Lines!AS9))=TRUE,"",Lines!AS9)</f>
        <v/>
      </c>
      <c r="AT9" s="30" t="str">
        <f>IF(ISERROR(FIND($A$2,Lines!AT9))=TRUE,"",Lines!AT9)</f>
        <v/>
      </c>
    </row>
    <row r="10" spans="1:46" ht="20.25" customHeight="1">
      <c r="A10" s="2" t="s">
        <v>61</v>
      </c>
      <c r="B10" s="26" t="str">
        <f>IF(ISERROR(FIND($A$2,Lines!B10))=TRUE,"",Lines!B10)</f>
        <v/>
      </c>
      <c r="C10" s="26" t="str">
        <f>IF(ISERROR(FIND($A$2,Lines!C10))=TRUE,"",Lines!C10)</f>
        <v/>
      </c>
      <c r="D10" s="26" t="str">
        <f>IF(ISERROR(FIND($A$2,Lines!D10))=TRUE,"",Lines!D10)</f>
        <v/>
      </c>
      <c r="E10" s="26" t="str">
        <f>IF(ISERROR(FIND($A$2,Lines!E10))=TRUE,"",Lines!E10)</f>
        <v/>
      </c>
      <c r="F10" s="26" t="str">
        <f>IF(ISERROR(FIND($A$2,Lines!F10))=TRUE,"",Lines!F10)</f>
        <v/>
      </c>
      <c r="G10" s="26" t="str">
        <f>IF(ISERROR(FIND($A$2,Lines!G10))=TRUE,"",Lines!G10)</f>
        <v/>
      </c>
      <c r="H10" s="63" t="str">
        <f>IF(ISERROR(FIND($A$2,Lines!H10))=TRUE,"",Lines!H10)</f>
        <v/>
      </c>
      <c r="I10" s="26" t="str">
        <f>IF(ISERROR(FIND($A$2,Lines!I10))=TRUE,"",Lines!I10)</f>
        <v/>
      </c>
      <c r="J10" s="26" t="str">
        <f>IF(ISERROR(FIND($A$2,Lines!J10))=TRUE,"",Lines!J10)</f>
        <v/>
      </c>
      <c r="K10" s="26" t="str">
        <f>IF(ISERROR(FIND($A$2,Lines!K10))=TRUE,"",Lines!K10)</f>
        <v/>
      </c>
      <c r="L10" s="26" t="str">
        <f>IF(ISERROR(FIND($A$2,Lines!L10))=TRUE,"",Lines!L10)</f>
        <v/>
      </c>
      <c r="M10" s="27" t="str">
        <f>IF(ISERROR(FIND($A$2,Lines!M10))=TRUE,"",Lines!M10)</f>
        <v/>
      </c>
      <c r="N10" s="30" t="str">
        <f>IF(ISERROR(FIND($A$2,Lines!N10))=TRUE,"",Lines!N10)</f>
        <v/>
      </c>
      <c r="O10" s="30" t="str">
        <f>IF(ISERROR(FIND($A$2,Lines!O10))=TRUE,"",Lines!O10)</f>
        <v/>
      </c>
      <c r="P10" s="30" t="str">
        <f>IF(ISERROR(FIND($A$2,Lines!P10))=TRUE,"",Lines!P10)</f>
        <v/>
      </c>
      <c r="Q10" s="30" t="str">
        <f>IF(ISERROR(FIND($A$2,Lines!Q10))=TRUE,"",Lines!Q10)</f>
        <v/>
      </c>
      <c r="R10" s="30" t="str">
        <f>IF(ISERROR(FIND($A$2,Lines!R10))=TRUE,"",Lines!R10)</f>
        <v/>
      </c>
      <c r="S10" s="30" t="str">
        <f>IF(ISERROR(FIND($A$2,Lines!S10))=TRUE,"",Lines!S10)</f>
        <v/>
      </c>
      <c r="T10" s="30" t="str">
        <f>IF(ISERROR(FIND($A$2,Lines!T10))=TRUE,"",Lines!T10)</f>
        <v/>
      </c>
      <c r="U10" s="30" t="str">
        <f>IF(ISERROR(FIND($A$2,Lines!U10))=TRUE,"",Lines!U10)</f>
        <v/>
      </c>
      <c r="V10" s="30" t="str">
        <f>IF(ISERROR(FIND($A$2,Lines!V10))=TRUE,"",Lines!V10)</f>
        <v/>
      </c>
      <c r="W10" s="36" t="str">
        <f>IF(ISERROR(FIND($A$2,Lines!W10))=TRUE,"",Lines!W10)</f>
        <v/>
      </c>
      <c r="X10" s="30" t="str">
        <f>IF(ISERROR(FIND($A$2,Lines!X10))=TRUE,"",Lines!X10)</f>
        <v/>
      </c>
      <c r="Y10" s="30" t="str">
        <f>IF(ISERROR(FIND($A$2,Lines!Y10))=TRUE,"",Lines!Y10)</f>
        <v/>
      </c>
      <c r="Z10" s="30" t="str">
        <f>IF(ISERROR(FIND($A$2,Lines!Z10))=TRUE,"",Lines!Z10)</f>
        <v/>
      </c>
      <c r="AA10" s="30" t="str">
        <f>IF(ISERROR(FIND($A$2,Lines!AA10))=TRUE,"",Lines!AA10)</f>
        <v/>
      </c>
      <c r="AB10" s="30" t="str">
        <f>IF(ISERROR(FIND($A$2,Lines!AB10))=TRUE,"",Lines!AB10)</f>
        <v/>
      </c>
      <c r="AC10" s="30" t="str">
        <f>IF(ISERROR(FIND($A$2,Lines!AC10))=TRUE,"",Lines!AC10)</f>
        <v/>
      </c>
      <c r="AD10" s="30" t="str">
        <f>IF(ISERROR(FIND($A$2,Lines!AD10))=TRUE,"",Lines!AD10)</f>
        <v/>
      </c>
      <c r="AE10" s="30" t="str">
        <f>IF(ISERROR(FIND($A$2,Lines!AE10))=TRUE,"",Lines!AE10)</f>
        <v/>
      </c>
      <c r="AF10" s="30" t="str">
        <f>IF(ISERROR(FIND($A$2,Lines!AF10))=TRUE,"",Lines!AF10)</f>
        <v/>
      </c>
      <c r="AG10" s="30" t="str">
        <f>IF(ISERROR(FIND($A$2,Lines!AG10))=TRUE,"",Lines!AG10)</f>
        <v/>
      </c>
      <c r="AH10" s="30" t="str">
        <f>IF(ISERROR(FIND($A$2,Lines!AH10))=TRUE,"",Lines!AH10)</f>
        <v/>
      </c>
      <c r="AI10" s="30" t="str">
        <f>IF(ISERROR(FIND($A$2,Lines!AI10))=TRUE,"",Lines!AI10)</f>
        <v/>
      </c>
      <c r="AJ10" s="30" t="str">
        <f>IF(ISERROR(FIND($A$2,Lines!AJ10))=TRUE,"",Lines!AJ10)</f>
        <v/>
      </c>
      <c r="AK10" s="30" t="str">
        <f>IF(ISERROR(FIND($A$2,Lines!AK10))=TRUE,"",Lines!AK10)</f>
        <v/>
      </c>
      <c r="AL10" s="30" t="str">
        <f>IF(ISERROR(FIND($A$2,Lines!AL10))=TRUE,"",Lines!AL10)</f>
        <v/>
      </c>
      <c r="AM10" s="30" t="str">
        <f>IF(ISERROR(FIND($A$2,Lines!AM10))=TRUE,"",Lines!AM10)</f>
        <v/>
      </c>
      <c r="AN10" s="30" t="str">
        <f>IF(ISERROR(FIND($A$2,Lines!AN10))=TRUE,"",Lines!AN10)</f>
        <v/>
      </c>
      <c r="AO10" s="30" t="str">
        <f>IF(ISERROR(FIND($A$2,Lines!AO10))=TRUE,"",Lines!AO10)</f>
        <v/>
      </c>
      <c r="AP10" s="30" t="str">
        <f>IF(ISERROR(FIND($A$2,Lines!AP10))=TRUE,"",Lines!AP10)</f>
        <v/>
      </c>
      <c r="AQ10" s="30" t="str">
        <f>IF(ISERROR(FIND($A$2,Lines!AQ10))=TRUE,"",Lines!AQ10)</f>
        <v/>
      </c>
      <c r="AR10" s="30" t="str">
        <f>IF(ISERROR(FIND($A$2,Lines!AR10))=TRUE,"",Lines!AR10)</f>
        <v/>
      </c>
      <c r="AS10" s="30" t="str">
        <f>IF(ISERROR(FIND($A$2,Lines!AS10))=TRUE,"",Lines!AS10)</f>
        <v/>
      </c>
      <c r="AT10" s="30" t="str">
        <f>IF(ISERROR(FIND($A$2,Lines!AT10))=TRUE,"",Lines!AT10)</f>
        <v/>
      </c>
    </row>
    <row r="11" spans="1:46" ht="20.25" customHeight="1">
      <c r="A11" s="2" t="s">
        <v>54</v>
      </c>
      <c r="B11" s="26" t="str">
        <f>IF(ISERROR(FIND($A$2,Lines!B11))=TRUE,"",Lines!B11)</f>
        <v/>
      </c>
      <c r="C11" s="26" t="str">
        <f>IF(ISERROR(FIND($A$2,Lines!C11))=TRUE,"",Lines!C11)</f>
        <v/>
      </c>
      <c r="D11" s="26" t="str">
        <f>IF(ISERROR(FIND($A$2,Lines!D11))=TRUE,"",Lines!D11)</f>
        <v/>
      </c>
      <c r="E11" s="26" t="str">
        <f>IF(ISERROR(FIND($A$2,Lines!E11))=TRUE,"",Lines!E11)</f>
        <v/>
      </c>
      <c r="F11" s="26" t="str">
        <f>IF(ISERROR(FIND($A$2,Lines!F11))=TRUE,"",Lines!F11)</f>
        <v/>
      </c>
      <c r="G11" s="26" t="str">
        <f>IF(ISERROR(FIND($A$2,Lines!G11))=TRUE,"",Lines!G11)</f>
        <v/>
      </c>
      <c r="H11" s="26" t="str">
        <f>IF(ISERROR(FIND($A$2,Lines!H11))=TRUE,"",Lines!H11)</f>
        <v/>
      </c>
      <c r="I11" s="63" t="str">
        <f>IF(ISERROR(FIND($A$2,Lines!I11))=TRUE,"",Lines!I11)</f>
        <v/>
      </c>
      <c r="J11" s="26" t="str">
        <f>IF(ISERROR(FIND($A$2,Lines!J11))=TRUE,"",Lines!J11)</f>
        <v/>
      </c>
      <c r="K11" s="26" t="str">
        <f>IF(ISERROR(FIND($A$2,Lines!K11))=TRUE,"",Lines!K11)</f>
        <v/>
      </c>
      <c r="L11" s="26" t="str">
        <f>IF(ISERROR(FIND($A$2,Lines!L11))=TRUE,"",Lines!L11)</f>
        <v/>
      </c>
      <c r="M11" s="27" t="str">
        <f>IF(ISERROR(FIND($A$2,Lines!M11))=TRUE,"",Lines!M11)</f>
        <v/>
      </c>
      <c r="N11" s="30" t="str">
        <f>IF(ISERROR(FIND($A$2,Lines!N11))=TRUE,"",Lines!N11)</f>
        <v/>
      </c>
      <c r="O11" s="30" t="str">
        <f>IF(ISERROR(FIND($A$2,Lines!O11))=TRUE,"",Lines!O11)</f>
        <v/>
      </c>
      <c r="P11" s="30" t="str">
        <f>IF(ISERROR(FIND($A$2,Lines!P11))=TRUE,"",Lines!P11)</f>
        <v/>
      </c>
      <c r="Q11" s="30" t="str">
        <f>IF(ISERROR(FIND($A$2,Lines!Q11))=TRUE,"",Lines!Q11)</f>
        <v/>
      </c>
      <c r="R11" s="30" t="str">
        <f>IF(ISERROR(FIND($A$2,Lines!R11))=TRUE,"",Lines!R11)</f>
        <v/>
      </c>
      <c r="S11" s="30" t="str">
        <f>IF(ISERROR(FIND($A$2,Lines!S11))=TRUE,"",Lines!S11)</f>
        <v/>
      </c>
      <c r="T11" s="30" t="str">
        <f>IF(ISERROR(FIND($A$2,Lines!T11))=TRUE,"",Lines!T11)</f>
        <v/>
      </c>
      <c r="U11" s="30" t="str">
        <f>IF(ISERROR(FIND($A$2,Lines!U11))=TRUE,"",Lines!U11)</f>
        <v/>
      </c>
      <c r="V11" s="30" t="str">
        <f>IF(ISERROR(FIND($A$2,Lines!V11))=TRUE,"",Lines!V11)</f>
        <v/>
      </c>
      <c r="W11" s="36" t="str">
        <f>IF(ISERROR(FIND($A$2,Lines!W11))=TRUE,"",Lines!W11)</f>
        <v/>
      </c>
      <c r="X11" s="30" t="str">
        <f>IF(ISERROR(FIND($A$2,Lines!X11))=TRUE,"",Lines!X11)</f>
        <v/>
      </c>
      <c r="Y11" s="30" t="str">
        <f>IF(ISERROR(FIND($A$2,Lines!Y11))=TRUE,"",Lines!Y11)</f>
        <v/>
      </c>
      <c r="Z11" s="30" t="str">
        <f>IF(ISERROR(FIND($A$2,Lines!Z11))=TRUE,"",Lines!Z11)</f>
        <v/>
      </c>
      <c r="AA11" s="30" t="str">
        <f>IF(ISERROR(FIND($A$2,Lines!AA11))=TRUE,"",Lines!AA11)</f>
        <v/>
      </c>
      <c r="AB11" s="30" t="str">
        <f>IF(ISERROR(FIND($A$2,Lines!AB11))=TRUE,"",Lines!AB11)</f>
        <v/>
      </c>
      <c r="AC11" s="30" t="str">
        <f>IF(ISERROR(FIND($A$2,Lines!AC11))=TRUE,"",Lines!AC11)</f>
        <v/>
      </c>
      <c r="AD11" s="30" t="str">
        <f>IF(ISERROR(FIND($A$2,Lines!AD11))=TRUE,"",Lines!AD11)</f>
        <v/>
      </c>
      <c r="AE11" s="30" t="str">
        <f>IF(ISERROR(FIND($A$2,Lines!AE11))=TRUE,"",Lines!AE11)</f>
        <v/>
      </c>
      <c r="AF11" s="30" t="str">
        <f>IF(ISERROR(FIND($A$2,Lines!AF11))=TRUE,"",Lines!AF11)</f>
        <v/>
      </c>
      <c r="AG11" s="30" t="str">
        <f>IF(ISERROR(FIND($A$2,Lines!AG11))=TRUE,"",Lines!AG11)</f>
        <v/>
      </c>
      <c r="AH11" s="30" t="str">
        <f>IF(ISERROR(FIND($A$2,Lines!AH11))=TRUE,"",Lines!AH11)</f>
        <v/>
      </c>
      <c r="AI11" s="30" t="str">
        <f>IF(ISERROR(FIND($A$2,Lines!AI11))=TRUE,"",Lines!AI11)</f>
        <v/>
      </c>
      <c r="AJ11" s="30" t="str">
        <f>IF(ISERROR(FIND($A$2,Lines!AJ11))=TRUE,"",Lines!AJ11)</f>
        <v/>
      </c>
      <c r="AK11" s="30" t="str">
        <f>IF(ISERROR(FIND($A$2,Lines!AK11))=TRUE,"",Lines!AK11)</f>
        <v/>
      </c>
      <c r="AL11" s="30" t="str">
        <f>IF(ISERROR(FIND($A$2,Lines!AL11))=TRUE,"",Lines!AL11)</f>
        <v/>
      </c>
      <c r="AM11" s="30" t="str">
        <f>IF(ISERROR(FIND($A$2,Lines!AM11))=TRUE,"",Lines!AM11)</f>
        <v/>
      </c>
      <c r="AN11" s="30" t="str">
        <f>IF(ISERROR(FIND($A$2,Lines!AN11))=TRUE,"",Lines!AN11)</f>
        <v/>
      </c>
      <c r="AO11" s="30" t="str">
        <f>IF(ISERROR(FIND($A$2,Lines!AO11))=TRUE,"",Lines!AO11)</f>
        <v/>
      </c>
      <c r="AP11" s="30" t="str">
        <f>IF(ISERROR(FIND($A$2,Lines!AP11))=TRUE,"",Lines!AP11)</f>
        <v/>
      </c>
      <c r="AQ11" s="30" t="str">
        <f>IF(ISERROR(FIND($A$2,Lines!AQ11))=TRUE,"",Lines!AQ11)</f>
        <v/>
      </c>
      <c r="AR11" s="30" t="str">
        <f>IF(ISERROR(FIND($A$2,Lines!AR11))=TRUE,"",Lines!AR11)</f>
        <v/>
      </c>
      <c r="AS11" s="30" t="str">
        <f>IF(ISERROR(FIND($A$2,Lines!AS11))=TRUE,"",Lines!AS11)</f>
        <v/>
      </c>
      <c r="AT11" s="30" t="str">
        <f>IF(ISERROR(FIND($A$2,Lines!AT11))=TRUE,"",Lines!AT11)</f>
        <v/>
      </c>
    </row>
    <row r="12" spans="1:46" ht="20.25" customHeight="1">
      <c r="A12" s="2" t="s">
        <v>62</v>
      </c>
      <c r="B12" s="26" t="str">
        <f>IF(ISERROR(FIND($A$2,Lines!B12))=TRUE,"",Lines!B12)</f>
        <v/>
      </c>
      <c r="C12" s="26" t="str">
        <f>IF(ISERROR(FIND($A$2,Lines!C12))=TRUE,"",Lines!C12)</f>
        <v/>
      </c>
      <c r="D12" s="26" t="str">
        <f>IF(ISERROR(FIND($A$2,Lines!D12))=TRUE,"",Lines!D12)</f>
        <v/>
      </c>
      <c r="E12" s="26" t="str">
        <f>IF(ISERROR(FIND($A$2,Lines!E12))=TRUE,"",Lines!E12)</f>
        <v/>
      </c>
      <c r="F12" s="26" t="str">
        <f>IF(ISERROR(FIND($A$2,Lines!F12))=TRUE,"",Lines!F12)</f>
        <v/>
      </c>
      <c r="G12" s="26" t="str">
        <f>IF(ISERROR(FIND($A$2,Lines!G12))=TRUE,"",Lines!G12)</f>
        <v/>
      </c>
      <c r="H12" s="26" t="str">
        <f>IF(ISERROR(FIND($A$2,Lines!H12))=TRUE,"",Lines!H12)</f>
        <v/>
      </c>
      <c r="I12" s="26" t="str">
        <f>IF(ISERROR(FIND($A$2,Lines!I12))=TRUE,"",Lines!I12)</f>
        <v/>
      </c>
      <c r="J12" s="63" t="str">
        <f>IF(ISERROR(FIND($A$2,Lines!J12))=TRUE,"",Lines!J12)</f>
        <v/>
      </c>
      <c r="K12" s="26" t="str">
        <f>IF(ISERROR(FIND($A$2,Lines!K12))=TRUE,"",Lines!K12)</f>
        <v/>
      </c>
      <c r="L12" s="26" t="str">
        <f>IF(ISERROR(FIND($A$2,Lines!L12))=TRUE,"",Lines!L12)</f>
        <v/>
      </c>
      <c r="M12" s="69" t="str">
        <f>IF(ISERROR(FIND($A$2,Lines!M12))=TRUE,"",Lines!M12)</f>
        <v/>
      </c>
      <c r="N12" s="30" t="str">
        <f>IF(ISERROR(FIND($A$2,Lines!N12))=TRUE,"",Lines!N12)</f>
        <v/>
      </c>
      <c r="O12" s="30" t="str">
        <f>IF(ISERROR(FIND($A$2,Lines!O12))=TRUE,"",Lines!O12)</f>
        <v/>
      </c>
      <c r="P12" s="30" t="str">
        <f>IF(ISERROR(FIND($A$2,Lines!P12))=TRUE,"",Lines!P12)</f>
        <v/>
      </c>
      <c r="Q12" s="30" t="str">
        <f>IF(ISERROR(FIND($A$2,Lines!Q12))=TRUE,"",Lines!Q12)</f>
        <v/>
      </c>
      <c r="R12" s="30" t="str">
        <f>IF(ISERROR(FIND($A$2,Lines!R12))=TRUE,"",Lines!R12)</f>
        <v/>
      </c>
      <c r="S12" s="30" t="str">
        <f>IF(ISERROR(FIND($A$2,Lines!S12))=TRUE,"",Lines!S12)</f>
        <v/>
      </c>
      <c r="T12" s="30" t="str">
        <f>IF(ISERROR(FIND($A$2,Lines!T12))=TRUE,"",Lines!T12)</f>
        <v/>
      </c>
      <c r="U12" s="30" t="str">
        <f>IF(ISERROR(FIND($A$2,Lines!U12))=TRUE,"",Lines!U12)</f>
        <v/>
      </c>
      <c r="V12" s="30" t="str">
        <f>IF(ISERROR(FIND($A$2,Lines!V12))=TRUE,"",Lines!V12)</f>
        <v/>
      </c>
      <c r="W12" s="36" t="str">
        <f>IF(ISERROR(FIND($A$2,Lines!W12))=TRUE,"",Lines!W12)</f>
        <v/>
      </c>
      <c r="X12" s="30" t="str">
        <f>IF(ISERROR(FIND($A$2,Lines!X12))=TRUE,"",Lines!X12)</f>
        <v/>
      </c>
      <c r="Y12" s="30" t="str">
        <f>IF(ISERROR(FIND($A$2,Lines!Y12))=TRUE,"",Lines!Y12)</f>
        <v/>
      </c>
      <c r="Z12" s="30" t="str">
        <f>IF(ISERROR(FIND($A$2,Lines!Z12))=TRUE,"",Lines!Z12)</f>
        <v/>
      </c>
      <c r="AA12" s="30" t="str">
        <f>IF(ISERROR(FIND($A$2,Lines!AA12))=TRUE,"",Lines!AA12)</f>
        <v/>
      </c>
      <c r="AB12" s="30" t="str">
        <f>IF(ISERROR(FIND($A$2,Lines!AB12))=TRUE,"",Lines!AB12)</f>
        <v/>
      </c>
      <c r="AC12" s="30" t="str">
        <f>IF(ISERROR(FIND($A$2,Lines!AC12))=TRUE,"",Lines!AC12)</f>
        <v/>
      </c>
      <c r="AD12" s="30" t="str">
        <f>IF(ISERROR(FIND($A$2,Lines!AD12))=TRUE,"",Lines!AD12)</f>
        <v/>
      </c>
      <c r="AE12" s="30" t="str">
        <f>IF(ISERROR(FIND($A$2,Lines!AE12))=TRUE,"",Lines!AE12)</f>
        <v/>
      </c>
      <c r="AF12" s="30" t="str">
        <f>IF(ISERROR(FIND($A$2,Lines!AF12))=TRUE,"",Lines!AF12)</f>
        <v/>
      </c>
      <c r="AG12" s="30" t="str">
        <f>IF(ISERROR(FIND($A$2,Lines!AG12))=TRUE,"",Lines!AG12)</f>
        <v/>
      </c>
      <c r="AH12" s="30" t="str">
        <f>IF(ISERROR(FIND($A$2,Lines!AH12))=TRUE,"",Lines!AH12)</f>
        <v/>
      </c>
      <c r="AI12" s="30" t="str">
        <f>IF(ISERROR(FIND($A$2,Lines!AI12))=TRUE,"",Lines!AI12)</f>
        <v/>
      </c>
      <c r="AJ12" s="30" t="str">
        <f>IF(ISERROR(FIND($A$2,Lines!AJ12))=TRUE,"",Lines!AJ12)</f>
        <v/>
      </c>
      <c r="AK12" s="30" t="str">
        <f>IF(ISERROR(FIND($A$2,Lines!AK12))=TRUE,"",Lines!AK12)</f>
        <v/>
      </c>
      <c r="AL12" s="30" t="str">
        <f>IF(ISERROR(FIND($A$2,Lines!AL12))=TRUE,"",Lines!AL12)</f>
        <v/>
      </c>
      <c r="AM12" s="30" t="str">
        <f>IF(ISERROR(FIND($A$2,Lines!AM12))=TRUE,"",Lines!AM12)</f>
        <v/>
      </c>
      <c r="AN12" s="30" t="str">
        <f>IF(ISERROR(FIND($A$2,Lines!AN12))=TRUE,"",Lines!AN12)</f>
        <v/>
      </c>
      <c r="AO12" s="30" t="str">
        <f>IF(ISERROR(FIND($A$2,Lines!AO12))=TRUE,"",Lines!AO12)</f>
        <v/>
      </c>
      <c r="AP12" s="30" t="str">
        <f>IF(ISERROR(FIND($A$2,Lines!AP12))=TRUE,"",Lines!AP12)</f>
        <v/>
      </c>
      <c r="AQ12" s="30" t="str">
        <f>IF(ISERROR(FIND($A$2,Lines!AQ12))=TRUE,"",Lines!AQ12)</f>
        <v/>
      </c>
      <c r="AR12" s="30" t="str">
        <f>IF(ISERROR(FIND($A$2,Lines!AR12))=TRUE,"",Lines!AR12)</f>
        <v/>
      </c>
      <c r="AS12" s="30" t="str">
        <f>IF(ISERROR(FIND($A$2,Lines!AS12))=TRUE,"",Lines!AS12)</f>
        <v/>
      </c>
      <c r="AT12" s="30" t="str">
        <f>IF(ISERROR(FIND($A$2,Lines!AT12))=TRUE,"",Lines!AT12)</f>
        <v/>
      </c>
    </row>
    <row r="13" spans="1:46" ht="20.25" customHeight="1">
      <c r="A13" s="2" t="s">
        <v>63</v>
      </c>
      <c r="B13" s="26" t="str">
        <f>IF(ISERROR(FIND($A$2,Lines!B13))=TRUE,"",Lines!B13)</f>
        <v/>
      </c>
      <c r="C13" s="26" t="str">
        <f>IF(ISERROR(FIND($A$2,Lines!C13))=TRUE,"",Lines!C13)</f>
        <v/>
      </c>
      <c r="D13" s="26" t="str">
        <f>IF(ISERROR(FIND($A$2,Lines!D13))=TRUE,"",Lines!D13)</f>
        <v/>
      </c>
      <c r="E13" s="26" t="str">
        <f>IF(ISERROR(FIND($A$2,Lines!E13))=TRUE,"",Lines!E13)</f>
        <v/>
      </c>
      <c r="F13" s="26" t="str">
        <f>IF(ISERROR(FIND($A$2,Lines!F13))=TRUE,"",Lines!F13)</f>
        <v/>
      </c>
      <c r="G13" s="26" t="str">
        <f>IF(ISERROR(FIND($A$2,Lines!G13))=TRUE,"",Lines!G13)</f>
        <v/>
      </c>
      <c r="H13" s="26" t="str">
        <f>IF(ISERROR(FIND($A$2,Lines!H13))=TRUE,"",Lines!H13)</f>
        <v/>
      </c>
      <c r="I13" s="26" t="str">
        <f>IF(ISERROR(FIND($A$2,Lines!I13))=TRUE,"",Lines!I13)</f>
        <v/>
      </c>
      <c r="J13" s="26" t="str">
        <f>IF(ISERROR(FIND($A$2,Lines!J13))=TRUE,"",Lines!J13)</f>
        <v/>
      </c>
      <c r="K13" s="63" t="str">
        <f>IF(ISERROR(FIND($A$2,Lines!K13))=TRUE,"",Lines!K13)</f>
        <v/>
      </c>
      <c r="L13" s="26" t="str">
        <f>IF(ISERROR(FIND($A$2,Lines!L13))=TRUE,"",Lines!L13)</f>
        <v/>
      </c>
      <c r="M13" s="27" t="str">
        <f>IF(ISERROR(FIND($A$2,Lines!M13))=TRUE,"",Lines!M13)</f>
        <v/>
      </c>
      <c r="N13" s="30" t="str">
        <f>IF(ISERROR(FIND($A$2,Lines!N13))=TRUE,"",Lines!N13)</f>
        <v/>
      </c>
      <c r="O13" s="30" t="str">
        <f>IF(ISERROR(FIND($A$2,Lines!O13))=TRUE,"",Lines!O13)</f>
        <v/>
      </c>
      <c r="P13" s="30" t="str">
        <f>IF(ISERROR(FIND($A$2,Lines!P13))=TRUE,"",Lines!P13)</f>
        <v/>
      </c>
      <c r="Q13" s="30" t="str">
        <f>IF(ISERROR(FIND($A$2,Lines!Q13))=TRUE,"",Lines!Q13)</f>
        <v/>
      </c>
      <c r="R13" s="30" t="str">
        <f>IF(ISERROR(FIND($A$2,Lines!R13))=TRUE,"",Lines!R13)</f>
        <v/>
      </c>
      <c r="S13" s="30" t="str">
        <f>IF(ISERROR(FIND($A$2,Lines!S13))=TRUE,"",Lines!S13)</f>
        <v/>
      </c>
      <c r="T13" s="30" t="str">
        <f>IF(ISERROR(FIND($A$2,Lines!T13))=TRUE,"",Lines!T13)</f>
        <v/>
      </c>
      <c r="U13" s="30" t="str">
        <f>IF(ISERROR(FIND($A$2,Lines!U13))=TRUE,"",Lines!U13)</f>
        <v/>
      </c>
      <c r="V13" s="30" t="str">
        <f>IF(ISERROR(FIND($A$2,Lines!V13))=TRUE,"",Lines!V13)</f>
        <v/>
      </c>
      <c r="W13" s="36" t="str">
        <f>IF(ISERROR(FIND($A$2,Lines!W13))=TRUE,"",Lines!W13)</f>
        <v/>
      </c>
      <c r="X13" s="30" t="str">
        <f>IF(ISERROR(FIND($A$2,Lines!X13))=TRUE,"",Lines!X13)</f>
        <v/>
      </c>
      <c r="Y13" s="30" t="str">
        <f>IF(ISERROR(FIND($A$2,Lines!Y13))=TRUE,"",Lines!Y13)</f>
        <v/>
      </c>
      <c r="Z13" s="30" t="str">
        <f>IF(ISERROR(FIND($A$2,Lines!Z13))=TRUE,"",Lines!Z13)</f>
        <v/>
      </c>
      <c r="AA13" s="30" t="str">
        <f>IF(ISERROR(FIND($A$2,Lines!AA13))=TRUE,"",Lines!AA13)</f>
        <v/>
      </c>
      <c r="AB13" s="30" t="str">
        <f>IF(ISERROR(FIND($A$2,Lines!AB13))=TRUE,"",Lines!AB13)</f>
        <v/>
      </c>
      <c r="AC13" s="30" t="str">
        <f>IF(ISERROR(FIND($A$2,Lines!AC13))=TRUE,"",Lines!AC13)</f>
        <v/>
      </c>
      <c r="AD13" s="30" t="str">
        <f>IF(ISERROR(FIND($A$2,Lines!AD13))=TRUE,"",Lines!AD13)</f>
        <v/>
      </c>
      <c r="AE13" s="30" t="str">
        <f>IF(ISERROR(FIND($A$2,Lines!AE13))=TRUE,"",Lines!AE13)</f>
        <v/>
      </c>
      <c r="AF13" s="30" t="str">
        <f>IF(ISERROR(FIND($A$2,Lines!AF13))=TRUE,"",Lines!AF13)</f>
        <v/>
      </c>
      <c r="AG13" s="30" t="str">
        <f>IF(ISERROR(FIND($A$2,Lines!AG13))=TRUE,"",Lines!AG13)</f>
        <v/>
      </c>
      <c r="AH13" s="30" t="str">
        <f>IF(ISERROR(FIND($A$2,Lines!AH13))=TRUE,"",Lines!AH13)</f>
        <v/>
      </c>
      <c r="AI13" s="30" t="str">
        <f>IF(ISERROR(FIND($A$2,Lines!AI13))=TRUE,"",Lines!AI13)</f>
        <v/>
      </c>
      <c r="AJ13" s="30" t="str">
        <f>IF(ISERROR(FIND($A$2,Lines!AJ13))=TRUE,"",Lines!AJ13)</f>
        <v/>
      </c>
      <c r="AK13" s="30" t="str">
        <f>IF(ISERROR(FIND($A$2,Lines!AK13))=TRUE,"",Lines!AK13)</f>
        <v/>
      </c>
      <c r="AL13" s="30" t="str">
        <f>IF(ISERROR(FIND($A$2,Lines!AL13))=TRUE,"",Lines!AL13)</f>
        <v/>
      </c>
      <c r="AM13" s="30" t="str">
        <f>IF(ISERROR(FIND($A$2,Lines!AM13))=TRUE,"",Lines!AM13)</f>
        <v/>
      </c>
      <c r="AN13" s="30" t="str">
        <f>IF(ISERROR(FIND($A$2,Lines!AN13))=TRUE,"",Lines!AN13)</f>
        <v/>
      </c>
      <c r="AO13" s="30" t="str">
        <f>IF(ISERROR(FIND($A$2,Lines!AO13))=TRUE,"",Lines!AO13)</f>
        <v/>
      </c>
      <c r="AP13" s="30" t="str">
        <f>IF(ISERROR(FIND($A$2,Lines!AP13))=TRUE,"",Lines!AP13)</f>
        <v/>
      </c>
      <c r="AQ13" s="30" t="str">
        <f>IF(ISERROR(FIND($A$2,Lines!AQ13))=TRUE,"",Lines!AQ13)</f>
        <v/>
      </c>
      <c r="AR13" s="30" t="str">
        <f>IF(ISERROR(FIND($A$2,Lines!AR13))=TRUE,"",Lines!AR13)</f>
        <v/>
      </c>
      <c r="AS13" s="30" t="str">
        <f>IF(ISERROR(FIND($A$2,Lines!AS13))=TRUE,"",Lines!AS13)</f>
        <v/>
      </c>
      <c r="AT13" s="30" t="str">
        <f>IF(ISERROR(FIND($A$2,Lines!AT13))=TRUE,"",Lines!AT13)</f>
        <v/>
      </c>
    </row>
    <row r="14" spans="1:46" ht="20.25" customHeight="1">
      <c r="A14" s="2" t="s">
        <v>64</v>
      </c>
      <c r="B14" s="26" t="str">
        <f>IF(ISERROR(FIND($A$2,Lines!B14))=TRUE,"",Lines!B14)</f>
        <v/>
      </c>
      <c r="C14" s="26" t="str">
        <f>IF(ISERROR(FIND($A$2,Lines!C14))=TRUE,"",Lines!C14)</f>
        <v/>
      </c>
      <c r="D14" s="26" t="str">
        <f>IF(ISERROR(FIND($A$2,Lines!D14))=TRUE,"",Lines!D14)</f>
        <v/>
      </c>
      <c r="E14" s="26" t="str">
        <f>IF(ISERROR(FIND($A$2,Lines!E14))=TRUE,"",Lines!E14)</f>
        <v/>
      </c>
      <c r="F14" s="26" t="str">
        <f>IF(ISERROR(FIND($A$2,Lines!F14))=TRUE,"",Lines!F14)</f>
        <v/>
      </c>
      <c r="G14" s="26" t="str">
        <f>IF(ISERROR(FIND($A$2,Lines!G14))=TRUE,"",Lines!G14)</f>
        <v/>
      </c>
      <c r="H14" s="26" t="str">
        <f>IF(ISERROR(FIND($A$2,Lines!H14))=TRUE,"",Lines!H14)</f>
        <v/>
      </c>
      <c r="I14" s="26" t="str">
        <f>IF(ISERROR(FIND($A$2,Lines!I14))=TRUE,"",Lines!I14)</f>
        <v/>
      </c>
      <c r="J14" s="26" t="str">
        <f>IF(ISERROR(FIND($A$2,Lines!J14))=TRUE,"",Lines!J14)</f>
        <v/>
      </c>
      <c r="K14" s="26" t="str">
        <f>IF(ISERROR(FIND($A$2,Lines!K14))=TRUE,"",Lines!K14)</f>
        <v/>
      </c>
      <c r="L14" s="63" t="str">
        <f>IF(ISERROR(FIND($A$2,Lines!L14))=TRUE,"",Lines!L14)</f>
        <v/>
      </c>
      <c r="M14" s="27" t="str">
        <f>IF(ISERROR(FIND($A$2,Lines!M14))=TRUE,"",Lines!M14)</f>
        <v/>
      </c>
      <c r="N14" s="30" t="str">
        <f>IF(ISERROR(FIND($A$2,Lines!N14))=TRUE,"",Lines!N14)</f>
        <v/>
      </c>
      <c r="O14" s="30" t="str">
        <f>IF(ISERROR(FIND($A$2,Lines!O14))=TRUE,"",Lines!O14)</f>
        <v/>
      </c>
      <c r="P14" s="30" t="str">
        <f>IF(ISERROR(FIND($A$2,Lines!P14))=TRUE,"",Lines!P14)</f>
        <v/>
      </c>
      <c r="Q14" s="30" t="str">
        <f>IF(ISERROR(FIND($A$2,Lines!Q14))=TRUE,"",Lines!Q14)</f>
        <v/>
      </c>
      <c r="R14" s="30" t="str">
        <f>IF(ISERROR(FIND($A$2,Lines!R14))=TRUE,"",Lines!R14)</f>
        <v/>
      </c>
      <c r="S14" s="30" t="str">
        <f>IF(ISERROR(FIND($A$2,Lines!S14))=TRUE,"",Lines!S14)</f>
        <v/>
      </c>
      <c r="T14" s="30" t="str">
        <f>IF(ISERROR(FIND($A$2,Lines!T14))=TRUE,"",Lines!T14)</f>
        <v/>
      </c>
      <c r="U14" s="30" t="str">
        <f>IF(ISERROR(FIND($A$2,Lines!U14))=TRUE,"",Lines!U14)</f>
        <v/>
      </c>
      <c r="V14" s="30" t="str">
        <f>IF(ISERROR(FIND($A$2,Lines!V14))=TRUE,"",Lines!V14)</f>
        <v/>
      </c>
      <c r="W14" s="36" t="str">
        <f>IF(ISERROR(FIND($A$2,Lines!W14))=TRUE,"",Lines!W14)</f>
        <v/>
      </c>
      <c r="X14" s="30" t="str">
        <f>IF(ISERROR(FIND($A$2,Lines!X14))=TRUE,"",Lines!X14)</f>
        <v/>
      </c>
      <c r="Y14" s="30" t="str">
        <f>IF(ISERROR(FIND($A$2,Lines!Y14))=TRUE,"",Lines!Y14)</f>
        <v/>
      </c>
      <c r="Z14" s="30" t="str">
        <f>IF(ISERROR(FIND($A$2,Lines!Z14))=TRUE,"",Lines!Z14)</f>
        <v/>
      </c>
      <c r="AA14" s="30" t="str">
        <f>IF(ISERROR(FIND($A$2,Lines!AA14))=TRUE,"",Lines!AA14)</f>
        <v/>
      </c>
      <c r="AB14" s="30" t="str">
        <f>IF(ISERROR(FIND($A$2,Lines!AB14))=TRUE,"",Lines!AB14)</f>
        <v/>
      </c>
      <c r="AC14" s="30" t="str">
        <f>IF(ISERROR(FIND($A$2,Lines!AC14))=TRUE,"",Lines!AC14)</f>
        <v/>
      </c>
      <c r="AD14" s="30" t="str">
        <f>IF(ISERROR(FIND($A$2,Lines!AD14))=TRUE,"",Lines!AD14)</f>
        <v/>
      </c>
      <c r="AE14" s="30" t="str">
        <f>IF(ISERROR(FIND($A$2,Lines!AE14))=TRUE,"",Lines!AE14)</f>
        <v/>
      </c>
      <c r="AF14" s="30" t="str">
        <f>IF(ISERROR(FIND($A$2,Lines!AF14))=TRUE,"",Lines!AF14)</f>
        <v/>
      </c>
      <c r="AG14" s="30" t="str">
        <f>IF(ISERROR(FIND($A$2,Lines!AG14))=TRUE,"",Lines!AG14)</f>
        <v/>
      </c>
      <c r="AH14" s="30" t="str">
        <f>IF(ISERROR(FIND($A$2,Lines!AH14))=TRUE,"",Lines!AH14)</f>
        <v/>
      </c>
      <c r="AI14" s="30" t="str">
        <f>IF(ISERROR(FIND($A$2,Lines!AI14))=TRUE,"",Lines!AI14)</f>
        <v/>
      </c>
      <c r="AJ14" s="30" t="str">
        <f>IF(ISERROR(FIND($A$2,Lines!AJ14))=TRUE,"",Lines!AJ14)</f>
        <v/>
      </c>
      <c r="AK14" s="30" t="str">
        <f>IF(ISERROR(FIND($A$2,Lines!AK14))=TRUE,"",Lines!AK14)</f>
        <v/>
      </c>
      <c r="AL14" s="30" t="str">
        <f>IF(ISERROR(FIND($A$2,Lines!AL14))=TRUE,"",Lines!AL14)</f>
        <v/>
      </c>
      <c r="AM14" s="30" t="str">
        <f>IF(ISERROR(FIND($A$2,Lines!AM14))=TRUE,"",Lines!AM14)</f>
        <v/>
      </c>
      <c r="AN14" s="30" t="str">
        <f>IF(ISERROR(FIND($A$2,Lines!AN14))=TRUE,"",Lines!AN14)</f>
        <v/>
      </c>
      <c r="AO14" s="30" t="str">
        <f>IF(ISERROR(FIND($A$2,Lines!AO14))=TRUE,"",Lines!AO14)</f>
        <v/>
      </c>
      <c r="AP14" s="30" t="str">
        <f>IF(ISERROR(FIND($A$2,Lines!AP14))=TRUE,"",Lines!AP14)</f>
        <v/>
      </c>
      <c r="AQ14" s="30" t="str">
        <f>IF(ISERROR(FIND($A$2,Lines!AQ14))=TRUE,"",Lines!AQ14)</f>
        <v/>
      </c>
      <c r="AR14" s="30" t="str">
        <f>IF(ISERROR(FIND($A$2,Lines!AR14))=TRUE,"",Lines!AR14)</f>
        <v/>
      </c>
      <c r="AS14" s="30" t="str">
        <f>IF(ISERROR(FIND($A$2,Lines!AS14))=TRUE,"",Lines!AS14)</f>
        <v/>
      </c>
      <c r="AT14" s="30" t="str">
        <f>IF(ISERROR(FIND($A$2,Lines!AT14))=TRUE,"",Lines!AT14)</f>
        <v/>
      </c>
    </row>
    <row r="15" spans="1:46" ht="20.25" customHeight="1">
      <c r="A15" s="2" t="s">
        <v>65</v>
      </c>
      <c r="B15" s="33" t="str">
        <f>IF(ISERROR(FIND($A$2,Lines!B15))=TRUE,"",Lines!B15)</f>
        <v/>
      </c>
      <c r="C15" s="33" t="str">
        <f>IF(ISERROR(FIND($A$2,Lines!C15))=TRUE,"",Lines!C15)</f>
        <v/>
      </c>
      <c r="D15" s="33" t="str">
        <f>IF(ISERROR(FIND($A$2,Lines!D15))=TRUE,"",Lines!D15)</f>
        <v/>
      </c>
      <c r="E15" s="33" t="str">
        <f>IF(ISERROR(FIND($A$2,Lines!E15))=TRUE,"",Lines!E15)</f>
        <v/>
      </c>
      <c r="F15" s="33" t="str">
        <f>IF(ISERROR(FIND($A$2,Lines!F15))=TRUE,"",Lines!F15)</f>
        <v/>
      </c>
      <c r="G15" s="33" t="str">
        <f>IF(ISERROR(FIND($A$2,Lines!G15))=TRUE,"",Lines!G15)</f>
        <v/>
      </c>
      <c r="H15" s="33" t="str">
        <f>IF(ISERROR(FIND($A$2,Lines!H15))=TRUE,"",Lines!H15)</f>
        <v/>
      </c>
      <c r="I15" s="33" t="str">
        <f>IF(ISERROR(FIND($A$2,Lines!I15))=TRUE,"",Lines!I15)</f>
        <v/>
      </c>
      <c r="J15" s="68" t="str">
        <f>IF(ISERROR(FIND($A$2,Lines!J15))=TRUE,"",Lines!J15)</f>
        <v/>
      </c>
      <c r="K15" s="33" t="str">
        <f>IF(ISERROR(FIND($A$2,Lines!K15))=TRUE,"",Lines!K15)</f>
        <v/>
      </c>
      <c r="L15" s="33" t="str">
        <f>IF(ISERROR(FIND($A$2,Lines!L15))=TRUE,"",Lines!L15)</f>
        <v/>
      </c>
      <c r="M15" s="64" t="str">
        <f>IF(ISERROR(FIND($A$2,Lines!M15))=TRUE,"",Lines!M15)</f>
        <v/>
      </c>
      <c r="N15" s="30" t="str">
        <f>IF(ISERROR(FIND($A$2,Lines!N15))=TRUE,"",Lines!N15)</f>
        <v/>
      </c>
      <c r="O15" s="30" t="str">
        <f>IF(ISERROR(FIND($A$2,Lines!O15))=TRUE,"",Lines!O15)</f>
        <v/>
      </c>
      <c r="P15" s="30" t="str">
        <f>IF(ISERROR(FIND($A$2,Lines!P15))=TRUE,"",Lines!P15)</f>
        <v/>
      </c>
      <c r="Q15" s="30" t="str">
        <f>IF(ISERROR(FIND($A$2,Lines!Q15))=TRUE,"",Lines!Q15)</f>
        <v/>
      </c>
      <c r="R15" s="30" t="str">
        <f>IF(ISERROR(FIND($A$2,Lines!R15))=TRUE,"",Lines!R15)</f>
        <v/>
      </c>
      <c r="S15" s="30" t="str">
        <f>IF(ISERROR(FIND($A$2,Lines!S15))=TRUE,"",Lines!S15)</f>
        <v/>
      </c>
      <c r="T15" s="30" t="str">
        <f>IF(ISERROR(FIND($A$2,Lines!T15))=TRUE,"",Lines!T15)</f>
        <v/>
      </c>
      <c r="U15" s="30" t="str">
        <f>IF(ISERROR(FIND($A$2,Lines!U15))=TRUE,"",Lines!U15)</f>
        <v/>
      </c>
      <c r="V15" s="30" t="str">
        <f>IF(ISERROR(FIND($A$2,Lines!V15))=TRUE,"",Lines!V15)</f>
        <v/>
      </c>
      <c r="W15" s="36" t="str">
        <f>IF(ISERROR(FIND($A$2,Lines!W15))=TRUE,"",Lines!W15)</f>
        <v/>
      </c>
      <c r="X15" s="30" t="str">
        <f>IF(ISERROR(FIND($A$2,Lines!X15))=TRUE,"",Lines!X15)</f>
        <v/>
      </c>
      <c r="Y15" s="30" t="str">
        <f>IF(ISERROR(FIND($A$2,Lines!Y15))=TRUE,"",Lines!Y15)</f>
        <v/>
      </c>
      <c r="Z15" s="30" t="str">
        <f>IF(ISERROR(FIND($A$2,Lines!Z15))=TRUE,"",Lines!Z15)</f>
        <v/>
      </c>
      <c r="AA15" s="30" t="str">
        <f>IF(ISERROR(FIND($A$2,Lines!AA15))=TRUE,"",Lines!AA15)</f>
        <v/>
      </c>
      <c r="AB15" s="30" t="str">
        <f>IF(ISERROR(FIND($A$2,Lines!AB15))=TRUE,"",Lines!AB15)</f>
        <v/>
      </c>
      <c r="AC15" s="30" t="str">
        <f>IF(ISERROR(FIND($A$2,Lines!AC15))=TRUE,"",Lines!AC15)</f>
        <v>±800扎鲁特-山东（10000MW）+2*1000锡盟-山东（4000MW+5000MW）</v>
      </c>
      <c r="AD15" s="30" t="str">
        <f>IF(ISERROR(FIND($A$2,Lines!AD15))=TRUE,"",Lines!AD15)</f>
        <v/>
      </c>
      <c r="AE15" s="30" t="str">
        <f>IF(ISERROR(FIND($A$2,Lines!AE15))=TRUE,"",Lines!AE15)</f>
        <v/>
      </c>
      <c r="AF15" s="30" t="str">
        <f>IF(ISERROR(FIND($A$2,Lines!AF15))=TRUE,"",Lines!AF15)</f>
        <v/>
      </c>
      <c r="AG15" s="30" t="str">
        <f>IF(ISERROR(FIND($A$2,Lines!AG15))=TRUE,"",Lines!AG15)</f>
        <v/>
      </c>
      <c r="AH15" s="30" t="str">
        <f>IF(ISERROR(FIND($A$2,Lines!AH15))=TRUE,"",Lines!AH15)</f>
        <v/>
      </c>
      <c r="AI15" s="30" t="str">
        <f>IF(ISERROR(FIND($A$2,Lines!AI15))=TRUE,"",Lines!AI15)</f>
        <v/>
      </c>
      <c r="AJ15" s="30" t="str">
        <f>IF(ISERROR(FIND($A$2,Lines!AJ15))=TRUE,"",Lines!AJ15)</f>
        <v/>
      </c>
      <c r="AK15" s="30" t="str">
        <f>IF(ISERROR(FIND($A$2,Lines!AK15))=TRUE,"",Lines!AK15)</f>
        <v/>
      </c>
      <c r="AL15" s="30" t="str">
        <f>IF(ISERROR(FIND($A$2,Lines!AL15))=TRUE,"",Lines!AL15)</f>
        <v/>
      </c>
      <c r="AM15" s="30" t="str">
        <f>IF(ISERROR(FIND($A$2,Lines!AM15))=TRUE,"",Lines!AM15)</f>
        <v/>
      </c>
      <c r="AN15" s="30" t="str">
        <f>IF(ISERROR(FIND($A$2,Lines!AN15))=TRUE,"",Lines!AN15)</f>
        <v/>
      </c>
      <c r="AO15" s="30" t="str">
        <f>IF(ISERROR(FIND($A$2,Lines!AO15))=TRUE,"",Lines!AO15)</f>
        <v/>
      </c>
      <c r="AP15" s="30" t="str">
        <f>IF(ISERROR(FIND($A$2,Lines!AP15))=TRUE,"",Lines!AP15)</f>
        <v/>
      </c>
      <c r="AQ15" s="30" t="str">
        <f>IF(ISERROR(FIND($A$2,Lines!AQ15))=TRUE,"",Lines!AQ15)</f>
        <v>±800锡盟-江苏（10000MW）+1000锡盟-南京（9400MW）</v>
      </c>
      <c r="AR15" s="30" t="str">
        <f>IF(ISERROR(FIND($A$2,Lines!AR15))=TRUE,"",Lines!AR15)</f>
        <v/>
      </c>
      <c r="AS15" s="30" t="str">
        <f>IF(ISERROR(FIND($A$2,Lines!AS15))=TRUE,"",Lines!AS15)</f>
        <v/>
      </c>
      <c r="AT15" s="30" t="str">
        <f>IF(ISERROR(FIND($A$2,Lines!AT15))=TRUE,"",Lines!AT15)</f>
        <v/>
      </c>
    </row>
    <row r="16" spans="1:46" ht="20.25" customHeight="1">
      <c r="A16" s="2" t="s">
        <v>12</v>
      </c>
      <c r="B16" s="30" t="str">
        <f>IF(ISERROR(FIND($A$2,Lines!B16))=TRUE,"",Lines!B16)</f>
        <v/>
      </c>
      <c r="C16" s="30" t="str">
        <f>IF(ISERROR(FIND($A$2,Lines!C16))=TRUE,"",Lines!C16)</f>
        <v/>
      </c>
      <c r="D16" s="30" t="str">
        <f>IF(ISERROR(FIND($A$2,Lines!D16))=TRUE,"",Lines!D16)</f>
        <v/>
      </c>
      <c r="E16" s="30" t="str">
        <f>IF(ISERROR(FIND($A$2,Lines!E16))=TRUE,"",Lines!E16)</f>
        <v/>
      </c>
      <c r="F16" s="30" t="str">
        <f>IF(ISERROR(FIND($A$2,Lines!F16))=TRUE,"",Lines!F16)</f>
        <v/>
      </c>
      <c r="G16" s="30" t="str">
        <f>IF(ISERROR(FIND($A$2,Lines!G16))=TRUE,"",Lines!G16)</f>
        <v/>
      </c>
      <c r="H16" s="30" t="str">
        <f>IF(ISERROR(FIND($A$2,Lines!H16))=TRUE,"",Lines!H16)</f>
        <v/>
      </c>
      <c r="I16" s="30" t="str">
        <f>IF(ISERROR(FIND($A$2,Lines!I16))=TRUE,"",Lines!I16)</f>
        <v/>
      </c>
      <c r="J16" s="30" t="str">
        <f>IF(ISERROR(FIND($A$2,Lines!J16))=TRUE,"",Lines!J16)</f>
        <v/>
      </c>
      <c r="K16" s="30" t="str">
        <f>IF(ISERROR(FIND($A$2,Lines!K16))=TRUE,"",Lines!K16)</f>
        <v/>
      </c>
      <c r="L16" s="30" t="str">
        <f>IF(ISERROR(FIND($A$2,Lines!L16))=TRUE,"",Lines!L16)</f>
        <v/>
      </c>
      <c r="M16" s="30" t="str">
        <f>IF(ISERROR(FIND($A$2,Lines!M16))=TRUE,"",Lines!M16)</f>
        <v/>
      </c>
      <c r="N16" s="65" t="str">
        <f>IF(ISERROR(FIND($A$2,Lines!N16))=TRUE,"",Lines!N16)</f>
        <v/>
      </c>
      <c r="O16" s="32" t="str">
        <f>IF(ISERROR(FIND($A$2,Lines!O16))=TRUE,"",Lines!O16)</f>
        <v/>
      </c>
      <c r="P16" s="29" t="str">
        <f>IF(ISERROR(FIND($A$2,Lines!P16))=TRUE,"",Lines!P16)</f>
        <v/>
      </c>
      <c r="Q16" s="29" t="str">
        <f>IF(ISERROR(FIND($A$2,Lines!Q16))=TRUE,"",Lines!Q16)</f>
        <v/>
      </c>
      <c r="R16" s="29" t="str">
        <f>IF(ISERROR(FIND($A$2,Lines!R16))=TRUE,"",Lines!R16)</f>
        <v/>
      </c>
      <c r="S16" s="29" t="str">
        <f>IF(ISERROR(FIND($A$2,Lines!S16))=TRUE,"",Lines!S16)</f>
        <v/>
      </c>
      <c r="T16" s="29" t="str">
        <f>IF(ISERROR(FIND($A$2,Lines!T16))=TRUE,"",Lines!T16)</f>
        <v/>
      </c>
      <c r="U16" s="29" t="str">
        <f>IF(ISERROR(FIND($A$2,Lines!U16))=TRUE,"",Lines!U16)</f>
        <v/>
      </c>
      <c r="V16" s="34" t="str">
        <f>IF(ISERROR(FIND($A$2,Lines!V16))=TRUE,"",Lines!V16)</f>
        <v/>
      </c>
      <c r="W16" s="36" t="str">
        <f>IF(ISERROR(FIND($A$2,Lines!W16))=TRUE,"",Lines!W16)</f>
        <v/>
      </c>
      <c r="X16" s="30" t="str">
        <f>IF(ISERROR(FIND($A$2,Lines!X16))=TRUE,"",Lines!X16)</f>
        <v/>
      </c>
      <c r="Y16" s="30" t="str">
        <f>IF(ISERROR(FIND($A$2,Lines!Y16))=TRUE,"",Lines!Y16)</f>
        <v/>
      </c>
      <c r="Z16" s="30" t="str">
        <f>IF(ISERROR(FIND($A$2,Lines!Z16))=TRUE,"",Lines!Z16)</f>
        <v/>
      </c>
      <c r="AA16" s="30" t="str">
        <f>IF(ISERROR(FIND($A$2,Lines!AA16))=TRUE,"",Lines!AA16)</f>
        <v/>
      </c>
      <c r="AB16" s="30" t="str">
        <f>IF(ISERROR(FIND($A$2,Lines!#REF!))=TRUE,"",Lines!#REF!)</f>
        <v/>
      </c>
      <c r="AC16" s="30" t="str">
        <f>IF(ISERROR(FIND($A$2,Lines!AC16))=TRUE,"",Lines!AC16)</f>
        <v>1000榆横-潍坊（7200MW）</v>
      </c>
      <c r="AD16" s="30" t="str">
        <f>IF(ISERROR(FIND($A$2,Lines!AD16))=TRUE,"",Lines!AD16)</f>
        <v/>
      </c>
      <c r="AE16" s="30" t="str">
        <f>IF(ISERROR(FIND($A$2,Lines!AE16))=TRUE,"",Lines!AE16)</f>
        <v>±800陕西-湖北（10000MW）</v>
      </c>
      <c r="AF16" s="30" t="str">
        <f>IF(ISERROR(FIND($A$2,Lines!AF16))=TRUE,"",Lines!AF16)</f>
        <v/>
      </c>
      <c r="AG16" s="30" t="str">
        <f>IF(ISERROR(FIND($A$2,Lines!AG16))=TRUE,"",Lines!AG16)</f>
        <v/>
      </c>
      <c r="AH16" s="30" t="str">
        <f>IF(ISERROR(FIND($A$2,Lines!AH16))=TRUE,"",Lines!AH16)</f>
        <v>1000（陇彬-豫北5000MW）</v>
      </c>
      <c r="AI16" s="30" t="str">
        <f>IF(ISERROR(FIND($A$2,Lines!AI16))=TRUE,"",Lines!AI16)</f>
        <v/>
      </c>
      <c r="AJ16" s="30" t="str">
        <f>IF(ISERROR(FIND($A$2,Lines!AJ16))=TRUE,"",Lines!AJ16)</f>
        <v/>
      </c>
      <c r="AK16" s="30" t="str">
        <f>IF(ISERROR(FIND($A$2,Lines!AK16))=TRUE,"",Lines!AK16)</f>
        <v/>
      </c>
      <c r="AL16" s="30" t="str">
        <f>IF(ISERROR(FIND($A$2,Lines!AL16))=TRUE,"",Lines!AL16)</f>
        <v/>
      </c>
      <c r="AM16" s="30" t="str">
        <f>IF(ISERROR(FIND($A$2,Lines!AM16))=TRUE,"",Lines!AM16)</f>
        <v/>
      </c>
      <c r="AN16" s="30" t="str">
        <f>IF(ISERROR(FIND($A$2,Lines!AN16))=TRUE,"",Lines!AN16)</f>
        <v/>
      </c>
      <c r="AO16" s="30" t="str">
        <f>IF(ISERROR(FIND($A$2,Lines!AO16))=TRUE,"",Lines!AO16)</f>
        <v/>
      </c>
      <c r="AP16" s="30" t="str">
        <f>IF(ISERROR(FIND($A$2,Lines!AP16))=TRUE,"",Lines!AP16)</f>
        <v/>
      </c>
      <c r="AQ16" s="30" t="str">
        <f>IF(ISERROR(FIND($A$2,Lines!AQ16))=TRUE,"",Lines!AQ16)</f>
        <v/>
      </c>
      <c r="AR16" s="30" t="str">
        <f>IF(ISERROR(FIND($A$2,Lines!AR16))=TRUE,"",Lines!AR16)</f>
        <v/>
      </c>
      <c r="AS16" s="30" t="str">
        <f>IF(ISERROR(FIND($A$2,Lines!AS16))=TRUE,"",Lines!AS16)</f>
        <v/>
      </c>
      <c r="AT16" s="30" t="str">
        <f>IF(ISERROR(FIND($A$2,Lines!AT16))=TRUE,"",Lines!AT16)</f>
        <v/>
      </c>
    </row>
    <row r="17" spans="1:46" ht="20.25" customHeight="1">
      <c r="A17" s="2" t="s">
        <v>13</v>
      </c>
      <c r="B17" s="30" t="str">
        <f>IF(ISERROR(FIND($A$2,Lines!B17))=TRUE,"",Lines!B17)</f>
        <v/>
      </c>
      <c r="C17" s="30" t="str">
        <f>IF(ISERROR(FIND($A$2,Lines!C17))=TRUE,"",Lines!C17)</f>
        <v/>
      </c>
      <c r="D17" s="30" t="str">
        <f>IF(ISERROR(FIND($A$2,Lines!D17))=TRUE,"",Lines!D17)</f>
        <v/>
      </c>
      <c r="E17" s="30" t="str">
        <f>IF(ISERROR(FIND($A$2,Lines!E17))=TRUE,"",Lines!E17)</f>
        <v/>
      </c>
      <c r="F17" s="30" t="str">
        <f>IF(ISERROR(FIND($A$2,Lines!F17))=TRUE,"",Lines!F17)</f>
        <v/>
      </c>
      <c r="G17" s="30" t="str">
        <f>IF(ISERROR(FIND($A$2,Lines!G17))=TRUE,"",Lines!G17)</f>
        <v/>
      </c>
      <c r="H17" s="30" t="str">
        <f>IF(ISERROR(FIND($A$2,Lines!H17))=TRUE,"",Lines!H17)</f>
        <v/>
      </c>
      <c r="I17" s="30" t="str">
        <f>IF(ISERROR(FIND($A$2,Lines!I17))=TRUE,"",Lines!I17)</f>
        <v/>
      </c>
      <c r="J17" s="30" t="str">
        <f>IF(ISERROR(FIND($A$2,Lines!J17))=TRUE,"",Lines!J17)</f>
        <v/>
      </c>
      <c r="K17" s="30" t="str">
        <f>IF(ISERROR(FIND($A$2,Lines!K17))=TRUE,"",Lines!K17)</f>
        <v/>
      </c>
      <c r="L17" s="30" t="str">
        <f>IF(ISERROR(FIND($A$2,Lines!L17))=TRUE,"",Lines!L17)</f>
        <v/>
      </c>
      <c r="M17" s="30" t="str">
        <f>IF(ISERROR(FIND($A$2,Lines!M17))=TRUE,"",Lines!M17)</f>
        <v/>
      </c>
      <c r="N17" s="32" t="str">
        <f>IF(ISERROR(FIND($A$2,Lines!N17))=TRUE,"",Lines!N17)</f>
        <v/>
      </c>
      <c r="O17" s="66" t="str">
        <f>IF(ISERROR(FIND($A$2,Lines!O17))=TRUE,"",Lines!O17)</f>
        <v/>
      </c>
      <c r="P17" s="25" t="str">
        <f>IF(ISERROR(FIND($A$2,Lines!P17))=TRUE,"",Lines!P17)</f>
        <v/>
      </c>
      <c r="Q17" s="25" t="str">
        <f>IF(ISERROR(FIND($A$2,Lines!Q17))=TRUE,"",Lines!Q17)</f>
        <v/>
      </c>
      <c r="R17" s="25" t="str">
        <f>IF(ISERROR(FIND($A$2,Lines!R17))=TRUE,"",Lines!R17)</f>
        <v/>
      </c>
      <c r="S17" s="25" t="str">
        <f>IF(ISERROR(FIND($A$2,Lines!S17))=TRUE,"",Lines!S17)</f>
        <v/>
      </c>
      <c r="T17" s="25" t="str">
        <f>IF(ISERROR(FIND($A$2,Lines!T17))=TRUE,"",Lines!T17)</f>
        <v/>
      </c>
      <c r="U17" s="25" t="str">
        <f>IF(ISERROR(FIND($A$2,Lines!U17))=TRUE,"",Lines!U17)</f>
        <v/>
      </c>
      <c r="V17" s="35" t="str">
        <f>IF(ISERROR(FIND($A$2,Lines!V17))=TRUE,"",Lines!V17)</f>
        <v/>
      </c>
      <c r="W17" s="36" t="str">
        <f>IF(ISERROR(FIND($A$2,Lines!W17))=TRUE,"",Lines!W17)</f>
        <v/>
      </c>
      <c r="X17" s="30" t="str">
        <f>IF(ISERROR(FIND($A$2,Lines!X17))=TRUE,"",Lines!X17)</f>
        <v/>
      </c>
      <c r="Y17" s="30" t="str">
        <f>IF(ISERROR(FIND($A$2,Lines!Y17))=TRUE,"",Lines!Y17)</f>
        <v/>
      </c>
      <c r="Z17" s="30" t="str">
        <f>IF(ISERROR(FIND($A$2,Lines!Z17))=TRUE,"",Lines!Z17)</f>
        <v/>
      </c>
      <c r="AA17" s="30" t="str">
        <f>IF(ISERROR(FIND($A$2,Lines!AB16))=TRUE,"",Lines!AB16)</f>
        <v/>
      </c>
      <c r="AB17" s="30" t="str">
        <f>IF(ISERROR(FIND($A$2,Lines!AB17))=TRUE,"",Lines!AB17)</f>
        <v/>
      </c>
      <c r="AC17" s="30" t="str">
        <f>IF(ISERROR(FIND($A$2,Lines!AC17))=TRUE,"",Lines!AC17)</f>
        <v/>
      </c>
      <c r="AD17" s="30" t="str">
        <f>IF(ISERROR(FIND($A$2,Lines!AD17))=TRUE,"",Lines!AD17)</f>
        <v/>
      </c>
      <c r="AE17" s="30" t="str">
        <f>IF(ISERROR(FIND($A$2,Lines!AE17))=TRUE,"",Lines!AE17)</f>
        <v/>
      </c>
      <c r="AF17" s="30" t="str">
        <f>IF(ISERROR(FIND($A$2,Lines!AF17))=TRUE,"",Lines!AF17)</f>
        <v/>
      </c>
      <c r="AG17" s="30" t="str">
        <f>IF(ISERROR(FIND($A$2,Lines!AG17))=TRUE,"",Lines!AG17)</f>
        <v/>
      </c>
      <c r="AH17" s="30" t="str">
        <f>IF(ISERROR(FIND($A$2,Lines!AH17))=TRUE,"",Lines!AH17)</f>
        <v/>
      </c>
      <c r="AI17" s="30" t="str">
        <f>IF(ISERROR(FIND($A$2,Lines!AI17))=TRUE,"",Lines!AI17)</f>
        <v/>
      </c>
      <c r="AJ17" s="45" t="str">
        <f>IF(ISERROR(FIND($A$2,Lines!AJ17))=TRUE,"",Lines!AJ17)</f>
        <v/>
      </c>
      <c r="AK17" s="30" t="str">
        <f>IF(ISERROR(FIND($A$2,Lines!AK17))=TRUE,"",Lines!AK17)</f>
        <v/>
      </c>
      <c r="AL17" s="30" t="str">
        <f>IF(ISERROR(FIND($A$2,Lines!AL17))=TRUE,"",Lines!AL17)</f>
        <v/>
      </c>
      <c r="AM17" s="30" t="str">
        <f>IF(ISERROR(FIND($A$2,Lines!AM17))=TRUE,"",Lines!AM17)</f>
        <v/>
      </c>
      <c r="AN17" s="30" t="str">
        <f>IF(ISERROR(FIND($A$2,Lines!AN17))=TRUE,"",Lines!AN17)</f>
        <v/>
      </c>
      <c r="AO17" s="30" t="str">
        <f>IF(ISERROR(FIND($A$2,Lines!AO17))=TRUE,"",Lines!AO17)</f>
        <v/>
      </c>
      <c r="AP17" s="30" t="str">
        <f>IF(ISERROR(FIND($A$2,Lines!AP17))=TRUE,"",Lines!AP17)</f>
        <v/>
      </c>
      <c r="AQ17" s="30" t="str">
        <f>IF(ISERROR(FIND($A$2,Lines!AQ17))=TRUE,"",Lines!AQ17)</f>
        <v/>
      </c>
      <c r="AR17" s="30" t="str">
        <f>IF(ISERROR(FIND($A$2,Lines!AR17))=TRUE,"",Lines!AR17)</f>
        <v/>
      </c>
      <c r="AS17" s="30" t="str">
        <f>IF(ISERROR(FIND($A$2,Lines!AS17))=TRUE,"",Lines!AS17)</f>
        <v/>
      </c>
      <c r="AT17" s="30" t="str">
        <f>IF(ISERROR(FIND($A$2,Lines!AT17))=TRUE,"",Lines!AT17)</f>
        <v/>
      </c>
    </row>
    <row r="18" spans="1:46" ht="20.25" customHeight="1">
      <c r="A18" s="2" t="s">
        <v>66</v>
      </c>
      <c r="B18" s="30" t="str">
        <f>IF(ISERROR(FIND($A$2,Lines!B18))=TRUE,"",Lines!B18)</f>
        <v/>
      </c>
      <c r="C18" s="30" t="str">
        <f>IF(ISERROR(FIND($A$2,Lines!C18))=TRUE,"",Lines!C18)</f>
        <v/>
      </c>
      <c r="D18" s="30" t="str">
        <f>IF(ISERROR(FIND($A$2,Lines!D18))=TRUE,"",Lines!D18)</f>
        <v/>
      </c>
      <c r="E18" s="30" t="str">
        <f>IF(ISERROR(FIND($A$2,Lines!E18))=TRUE,"",Lines!E18)</f>
        <v/>
      </c>
      <c r="F18" s="30" t="str">
        <f>IF(ISERROR(FIND($A$2,Lines!F18))=TRUE,"",Lines!F18)</f>
        <v/>
      </c>
      <c r="G18" s="30" t="str">
        <f>IF(ISERROR(FIND($A$2,Lines!G18))=TRUE,"",Lines!G18)</f>
        <v/>
      </c>
      <c r="H18" s="30" t="str">
        <f>IF(ISERROR(FIND($A$2,Lines!H18))=TRUE,"",Lines!H18)</f>
        <v/>
      </c>
      <c r="I18" s="30" t="str">
        <f>IF(ISERROR(FIND($A$2,Lines!I18))=TRUE,"",Lines!I18)</f>
        <v/>
      </c>
      <c r="J18" s="30" t="str">
        <f>IF(ISERROR(FIND($A$2,Lines!J18))=TRUE,"",Lines!J18)</f>
        <v/>
      </c>
      <c r="K18" s="30" t="str">
        <f>IF(ISERROR(FIND($A$2,Lines!K18))=TRUE,"",Lines!K18)</f>
        <v/>
      </c>
      <c r="L18" s="30" t="str">
        <f>IF(ISERROR(FIND($A$2,Lines!L18))=TRUE,"",Lines!L18)</f>
        <v/>
      </c>
      <c r="M18" s="30" t="str">
        <f>IF(ISERROR(FIND($A$2,Lines!M18))=TRUE,"",Lines!M18)</f>
        <v/>
      </c>
      <c r="N18" s="32" t="str">
        <f>IF(ISERROR(FIND($A$2,Lines!N18))=TRUE,"",Lines!N18)</f>
        <v/>
      </c>
      <c r="O18" s="25" t="str">
        <f>IF(ISERROR(FIND($A$2,Lines!O18))=TRUE,"",Lines!O18)</f>
        <v/>
      </c>
      <c r="P18" s="66" t="str">
        <f>IF(ISERROR(FIND($A$2,Lines!P18))=TRUE,"",Lines!P18)</f>
        <v/>
      </c>
      <c r="Q18" s="25" t="str">
        <f>IF(ISERROR(FIND($A$2,Lines!Q18))=TRUE,"",Lines!Q18)</f>
        <v/>
      </c>
      <c r="R18" s="25" t="str">
        <f>IF(ISERROR(FIND($A$2,Lines!R18))=TRUE,"",Lines!R18)</f>
        <v/>
      </c>
      <c r="S18" s="25" t="str">
        <f>IF(ISERROR(FIND($A$2,Lines!S18))=TRUE,"",Lines!S18)</f>
        <v/>
      </c>
      <c r="T18" s="25" t="str">
        <f>IF(ISERROR(FIND($A$2,Lines!T18))=TRUE,"",Lines!T18)</f>
        <v/>
      </c>
      <c r="U18" s="25" t="str">
        <f>IF(ISERROR(FIND($A$2,Lines!U18))=TRUE,"",Lines!U18)</f>
        <v/>
      </c>
      <c r="V18" s="35" t="str">
        <f>IF(ISERROR(FIND($A$2,Lines!V18))=TRUE,"",Lines!V18)</f>
        <v/>
      </c>
      <c r="W18" s="36" t="str">
        <f>IF(ISERROR(FIND($A$2,Lines!W18))=TRUE,"",Lines!W18)</f>
        <v/>
      </c>
      <c r="X18" s="30" t="str">
        <f>IF(ISERROR(FIND($A$2,Lines!X18))=TRUE,"",Lines!X18)</f>
        <v/>
      </c>
      <c r="Y18" s="30" t="str">
        <f>IF(ISERROR(FIND($A$2,Lines!Y18))=TRUE,"",Lines!Y18)</f>
        <v/>
      </c>
      <c r="Z18" s="30" t="str">
        <f>IF(ISERROR(FIND($A$2,Lines!Z18))=TRUE,"",Lines!Z18)</f>
        <v/>
      </c>
      <c r="AA18" s="30" t="str">
        <f>IF(ISERROR(FIND($A$2,Lines!AA18))=TRUE,"",Lines!AA18)</f>
        <v/>
      </c>
      <c r="AB18" s="30" t="str">
        <f>IF(ISERROR(FIND($A$2,Lines!AB18))=TRUE,"",Lines!AB18)</f>
        <v/>
      </c>
      <c r="AC18" s="30" t="str">
        <f>IF(ISERROR(FIND($A$2,Lines!AC18))=TRUE,"",Lines!AC18)</f>
        <v/>
      </c>
      <c r="AD18" s="30" t="str">
        <f>IF(ISERROR(FIND($A$2,Lines!AD18))=TRUE,"",Lines!AD18)</f>
        <v/>
      </c>
      <c r="AE18" s="30" t="str">
        <f>IF(ISERROR(FIND($A$2,Lines!AE18))=TRUE,"",Lines!AE18)</f>
        <v/>
      </c>
      <c r="AF18" s="30" t="str">
        <f>IF(ISERROR(FIND($A$2,Lines!AF18))=TRUE,"",Lines!AF18)</f>
        <v/>
      </c>
      <c r="AG18" s="30" t="str">
        <f>IF(ISERROR(FIND($A$2,Lines!AG18))=TRUE,"",Lines!AG18)</f>
        <v/>
      </c>
      <c r="AH18" s="30" t="str">
        <f>IF(ISERROR(FIND($A$2,Lines!AH18))=TRUE,"",Lines!AH18)</f>
        <v/>
      </c>
      <c r="AI18" s="30" t="str">
        <f>IF(ISERROR(FIND($A$2,Lines!AI18))=TRUE,"",Lines!AI18)</f>
        <v/>
      </c>
      <c r="AJ18" s="30" t="str">
        <f>IF(ISERROR(FIND($A$2,Lines!AJ18))=TRUE,"",Lines!AJ18)</f>
        <v/>
      </c>
      <c r="AK18" s="30" t="str">
        <f>IF(ISERROR(FIND($A$2,Lines!AK18))=TRUE,"",Lines!AK18)</f>
        <v/>
      </c>
      <c r="AL18" s="30" t="str">
        <f>IF(ISERROR(FIND($A$2,Lines!AL18))=TRUE,"",Lines!AL18)</f>
        <v/>
      </c>
      <c r="AM18" s="30" t="str">
        <f>IF(ISERROR(FIND($A$2,Lines!AM18))=TRUE,"",Lines!AM18)</f>
        <v/>
      </c>
      <c r="AN18" s="30" t="str">
        <f>IF(ISERROR(FIND($A$2,Lines!AN18))=TRUE,"",Lines!AN18)</f>
        <v/>
      </c>
      <c r="AO18" s="30" t="str">
        <f>IF(ISERROR(FIND($A$2,Lines!AO18))=TRUE,"",Lines!AO18)</f>
        <v/>
      </c>
      <c r="AP18" s="30" t="str">
        <f>IF(ISERROR(FIND($A$2,Lines!AP18))=TRUE,"",Lines!AP18)</f>
        <v/>
      </c>
      <c r="AQ18" s="30" t="str">
        <f>IF(ISERROR(FIND($A$2,Lines!AQ18))=TRUE,"",Lines!AQ18)</f>
        <v/>
      </c>
      <c r="AR18" s="30" t="str">
        <f>IF(ISERROR(FIND($A$2,Lines!AR18))=TRUE,"",Lines!AR18)</f>
        <v/>
      </c>
      <c r="AS18" s="30" t="str">
        <f>IF(ISERROR(FIND($A$2,Lines!AS18))=TRUE,"",Lines!AS18)</f>
        <v/>
      </c>
      <c r="AT18" s="30" t="str">
        <f>IF(ISERROR(FIND($A$2,Lines!AT18))=TRUE,"",Lines!AT18)</f>
        <v/>
      </c>
    </row>
    <row r="19" spans="1:46" ht="20.25" customHeight="1">
      <c r="A19" s="2" t="s">
        <v>67</v>
      </c>
      <c r="B19" s="30" t="str">
        <f>IF(ISERROR(FIND($A$2,Lines!B19))=TRUE,"",Lines!B19)</f>
        <v/>
      </c>
      <c r="C19" s="30" t="str">
        <f>IF(ISERROR(FIND($A$2,Lines!C19))=TRUE,"",Lines!C19)</f>
        <v/>
      </c>
      <c r="D19" s="30" t="str">
        <f>IF(ISERROR(FIND($A$2,Lines!D19))=TRUE,"",Lines!D19)</f>
        <v/>
      </c>
      <c r="E19" s="30" t="str">
        <f>IF(ISERROR(FIND($A$2,Lines!E19))=TRUE,"",Lines!E19)</f>
        <v/>
      </c>
      <c r="F19" s="30" t="str">
        <f>IF(ISERROR(FIND($A$2,Lines!F19))=TRUE,"",Lines!F19)</f>
        <v/>
      </c>
      <c r="G19" s="30" t="str">
        <f>IF(ISERROR(FIND($A$2,Lines!G19))=TRUE,"",Lines!G19)</f>
        <v/>
      </c>
      <c r="H19" s="30" t="str">
        <f>IF(ISERROR(FIND($A$2,Lines!H19))=TRUE,"",Lines!H19)</f>
        <v/>
      </c>
      <c r="I19" s="30" t="str">
        <f>IF(ISERROR(FIND($A$2,Lines!I19))=TRUE,"",Lines!I19)</f>
        <v/>
      </c>
      <c r="J19" s="30" t="str">
        <f>IF(ISERROR(FIND($A$2,Lines!J19))=TRUE,"",Lines!J19)</f>
        <v/>
      </c>
      <c r="K19" s="30" t="str">
        <f>IF(ISERROR(FIND($A$2,Lines!K19))=TRUE,"",Lines!K19)</f>
        <v/>
      </c>
      <c r="L19" s="30" t="str">
        <f>IF(ISERROR(FIND($A$2,Lines!L19))=TRUE,"",Lines!L19)</f>
        <v/>
      </c>
      <c r="M19" s="30" t="str">
        <f>IF(ISERROR(FIND($A$2,Lines!M19))=TRUE,"",Lines!M19)</f>
        <v/>
      </c>
      <c r="N19" s="32" t="str">
        <f>IF(ISERROR(FIND($A$2,Lines!N19))=TRUE,"",Lines!N19)</f>
        <v/>
      </c>
      <c r="O19" s="25" t="str">
        <f>IF(ISERROR(FIND($A$2,Lines!O19))=TRUE,"",Lines!O19)</f>
        <v/>
      </c>
      <c r="P19" s="25" t="str">
        <f>IF(ISERROR(FIND($A$2,Lines!P19))=TRUE,"",Lines!P19)</f>
        <v/>
      </c>
      <c r="Q19" s="66" t="str">
        <f>IF(ISERROR(FIND($A$2,Lines!Q19))=TRUE,"",Lines!Q19)</f>
        <v/>
      </c>
      <c r="R19" s="25" t="str">
        <f>IF(ISERROR(FIND($A$2,Lines!R19))=TRUE,"",Lines!R19)</f>
        <v/>
      </c>
      <c r="S19" s="25" t="str">
        <f>IF(ISERROR(FIND($A$2,Lines!S19))=TRUE,"",Lines!S19)</f>
        <v/>
      </c>
      <c r="T19" s="25" t="str">
        <f>IF(ISERROR(FIND($A$2,Lines!T19))=TRUE,"",Lines!T19)</f>
        <v/>
      </c>
      <c r="U19" s="25" t="str">
        <f>IF(ISERROR(FIND($A$2,Lines!U19))=TRUE,"",Lines!U19)</f>
        <v/>
      </c>
      <c r="V19" s="35" t="str">
        <f>IF(ISERROR(FIND($A$2,Lines!V19))=TRUE,"",Lines!V19)</f>
        <v/>
      </c>
      <c r="W19" s="36" t="str">
        <f>IF(ISERROR(FIND($A$2,Lines!W19))=TRUE,"",Lines!W19)</f>
        <v/>
      </c>
      <c r="X19" s="30" t="str">
        <f>IF(ISERROR(FIND($A$2,Lines!X19))=TRUE,"",Lines!X19)</f>
        <v/>
      </c>
      <c r="Y19" s="30" t="str">
        <f>IF(ISERROR(FIND($A$2,Lines!Y19))=TRUE,"",Lines!Y19)</f>
        <v/>
      </c>
      <c r="Z19" s="30" t="str">
        <f>IF(ISERROR(FIND($A$2,Lines!Z19))=TRUE,"",Lines!Z19)</f>
        <v/>
      </c>
      <c r="AA19" s="30" t="str">
        <f>IF(ISERROR(FIND($A$2,Lines!AA19))=TRUE,"",Lines!AA19)</f>
        <v/>
      </c>
      <c r="AB19" s="30" t="str">
        <f>IF(ISERROR(FIND($A$2,Lines!AB19))=TRUE,"",Lines!AB19)</f>
        <v/>
      </c>
      <c r="AC19" s="30" t="str">
        <f>IF(ISERROR(FIND($A$2,Lines!AC19))=TRUE,"",Lines!AC19)</f>
        <v/>
      </c>
      <c r="AD19" s="30" t="str">
        <f>IF(ISERROR(FIND($A$2,Lines!AD19))=TRUE,"",Lines!AD19)</f>
        <v/>
      </c>
      <c r="AE19" s="30" t="str">
        <f>IF(ISERROR(FIND($A$2,Lines!AE19))=TRUE,"",Lines!AE19)</f>
        <v/>
      </c>
      <c r="AF19" s="30" t="str">
        <f>IF(ISERROR(FIND($A$2,Lines!AF19))=TRUE,"",Lines!AF19)</f>
        <v/>
      </c>
      <c r="AG19" s="30" t="str">
        <f>IF(ISERROR(FIND($A$2,Lines!AG19))=TRUE,"",Lines!AG19)</f>
        <v/>
      </c>
      <c r="AH19" s="30" t="str">
        <f>IF(ISERROR(FIND($A$2,Lines!AH19))=TRUE,"",Lines!AH19)</f>
        <v/>
      </c>
      <c r="AI19" s="30" t="str">
        <f>IF(ISERROR(FIND($A$2,Lines!AI19))=TRUE,"",Lines!AI19)</f>
        <v/>
      </c>
      <c r="AJ19" s="30" t="str">
        <f>IF(ISERROR(FIND($A$2,Lines!AJ19))=TRUE,"",Lines!AJ19)</f>
        <v/>
      </c>
      <c r="AK19" s="30" t="str">
        <f>IF(ISERROR(FIND($A$2,Lines!AK19))=TRUE,"",Lines!AK19)</f>
        <v/>
      </c>
      <c r="AL19" s="30" t="str">
        <f>IF(ISERROR(FIND($A$2,Lines!AL19))=TRUE,"",Lines!AL19)</f>
        <v/>
      </c>
      <c r="AM19" s="30" t="str">
        <f>IF(ISERROR(FIND($A$2,Lines!AM19))=TRUE,"",Lines!AM19)</f>
        <v/>
      </c>
      <c r="AN19" s="30" t="str">
        <f>IF(ISERROR(FIND($A$2,Lines!AN19))=TRUE,"",Lines!AN19)</f>
        <v/>
      </c>
      <c r="AO19" s="30" t="str">
        <f>IF(ISERROR(FIND($A$2,Lines!AO19))=TRUE,"",Lines!AO19)</f>
        <v/>
      </c>
      <c r="AP19" s="30" t="str">
        <f>IF(ISERROR(FIND($A$2,Lines!AP19))=TRUE,"",Lines!AP19)</f>
        <v/>
      </c>
      <c r="AQ19" s="30" t="str">
        <f>IF(ISERROR(FIND($A$2,Lines!AQ19))=TRUE,"",Lines!AQ19)</f>
        <v>±800陇东-江苏（10000MW）</v>
      </c>
      <c r="AR19" s="30" t="str">
        <f>IF(ISERROR(FIND($A$2,Lines!AR19))=TRUE,"",Lines!AR19)</f>
        <v/>
      </c>
      <c r="AS19" s="30" t="str">
        <f>IF(ISERROR(FIND($A$2,Lines!AS19))=TRUE,"",Lines!AS19)</f>
        <v/>
      </c>
      <c r="AT19" s="30" t="str">
        <f>IF(ISERROR(FIND($A$2,Lines!AT19))=TRUE,"",Lines!AT19)</f>
        <v/>
      </c>
    </row>
    <row r="20" spans="1:46" ht="20.25" customHeight="1">
      <c r="A20" s="2" t="s">
        <v>68</v>
      </c>
      <c r="B20" s="30" t="str">
        <f>IF(ISERROR(FIND($A$2,Lines!B20))=TRUE,"",Lines!B20)</f>
        <v/>
      </c>
      <c r="C20" s="30" t="str">
        <f>IF(ISERROR(FIND($A$2,Lines!C20))=TRUE,"",Lines!C20)</f>
        <v/>
      </c>
      <c r="D20" s="30" t="str">
        <f>IF(ISERROR(FIND($A$2,Lines!D20))=TRUE,"",Lines!D20)</f>
        <v/>
      </c>
      <c r="E20" s="30" t="str">
        <f>IF(ISERROR(FIND($A$2,Lines!E20))=TRUE,"",Lines!E20)</f>
        <v/>
      </c>
      <c r="F20" s="30" t="str">
        <f>IF(ISERROR(FIND($A$2,Lines!F20))=TRUE,"",Lines!F20)</f>
        <v/>
      </c>
      <c r="G20" s="30" t="str">
        <f>IF(ISERROR(FIND($A$2,Lines!G20))=TRUE,"",Lines!G20)</f>
        <v/>
      </c>
      <c r="H20" s="30" t="str">
        <f>IF(ISERROR(FIND($A$2,Lines!H20))=TRUE,"",Lines!H20)</f>
        <v/>
      </c>
      <c r="I20" s="30" t="str">
        <f>IF(ISERROR(FIND($A$2,Lines!I20))=TRUE,"",Lines!I20)</f>
        <v/>
      </c>
      <c r="J20" s="30" t="str">
        <f>IF(ISERROR(FIND($A$2,Lines!J20))=TRUE,"",Lines!J20)</f>
        <v/>
      </c>
      <c r="K20" s="30" t="str">
        <f>IF(ISERROR(FIND($A$2,Lines!K20))=TRUE,"",Lines!K20)</f>
        <v/>
      </c>
      <c r="L20" s="30" t="str">
        <f>IF(ISERROR(FIND($A$2,Lines!L20))=TRUE,"",Lines!L20)</f>
        <v/>
      </c>
      <c r="M20" s="30" t="str">
        <f>IF(ISERROR(FIND($A$2,Lines!M20))=TRUE,"",Lines!M20)</f>
        <v/>
      </c>
      <c r="N20" s="32" t="str">
        <f>IF(ISERROR(FIND($A$2,Lines!N20))=TRUE,"",Lines!N20)</f>
        <v/>
      </c>
      <c r="O20" s="25" t="str">
        <f>IF(ISERROR(FIND($A$2,Lines!O20))=TRUE,"",Lines!O20)</f>
        <v/>
      </c>
      <c r="P20" s="25" t="str">
        <f>IF(ISERROR(FIND($A$2,Lines!P20))=TRUE,"",Lines!P20)</f>
        <v/>
      </c>
      <c r="Q20" s="25" t="str">
        <f>IF(ISERROR(FIND($A$2,Lines!Q20))=TRUE,"",Lines!Q20)</f>
        <v/>
      </c>
      <c r="R20" s="66" t="str">
        <f>IF(ISERROR(FIND($A$2,Lines!R20))=TRUE,"",Lines!R20)</f>
        <v/>
      </c>
      <c r="S20" s="25" t="str">
        <f>IF(ISERROR(FIND($A$2,Lines!S20))=TRUE,"",Lines!S20)</f>
        <v/>
      </c>
      <c r="T20" s="25" t="str">
        <f>IF(ISERROR(FIND($A$2,Lines!T20))=TRUE,"",Lines!T20)</f>
        <v/>
      </c>
      <c r="U20" s="25" t="str">
        <f>IF(ISERROR(FIND($A$2,Lines!U20))=TRUE,"",Lines!U20)</f>
        <v/>
      </c>
      <c r="V20" s="35" t="str">
        <f>IF(ISERROR(FIND($A$2,Lines!V20))=TRUE,"",Lines!V20)</f>
        <v/>
      </c>
      <c r="W20" s="36" t="str">
        <f>IF(ISERROR(FIND($A$2,Lines!W20))=TRUE,"",Lines!W20)</f>
        <v/>
      </c>
      <c r="X20" s="30" t="str">
        <f>IF(ISERROR(FIND($A$2,Lines!X20))=TRUE,"",Lines!X20)</f>
        <v/>
      </c>
      <c r="Y20" s="30" t="str">
        <f>IF(ISERROR(FIND($A$2,Lines!Y20))=TRUE,"",Lines!Y20)</f>
        <v/>
      </c>
      <c r="Z20" s="30" t="str">
        <f>IF(ISERROR(FIND($A$2,Lines!Z20))=TRUE,"",Lines!Z20)</f>
        <v/>
      </c>
      <c r="AA20" s="30" t="str">
        <f>IF(ISERROR(FIND($A$2,Lines!AA20))=TRUE,"",Lines!AA20)</f>
        <v/>
      </c>
      <c r="AB20" s="30" t="str">
        <f>IF(ISERROR(FIND($A$2,Lines!AB20))=TRUE,"",Lines!AB20)</f>
        <v/>
      </c>
      <c r="AC20" s="30" t="str">
        <f>IF(ISERROR(FIND($A$2,Lines!AC20))=TRUE,"",Lines!AC20)</f>
        <v/>
      </c>
      <c r="AD20" s="30" t="str">
        <f>IF(ISERROR(FIND($A$2,Lines!AD20))=TRUE,"",Lines!AD20)</f>
        <v/>
      </c>
      <c r="AE20" s="30" t="str">
        <f>IF(ISERROR(FIND($A$2,Lines!AE20))=TRUE,"",Lines!AE20)</f>
        <v/>
      </c>
      <c r="AF20" s="30" t="str">
        <f>IF(ISERROR(FIND($A$2,Lines!AF20))=TRUE,"",Lines!AF20)</f>
        <v/>
      </c>
      <c r="AG20" s="30" t="str">
        <f>IF(ISERROR(FIND($A$2,Lines!AG20))=TRUE,"",Lines!AG20)</f>
        <v/>
      </c>
      <c r="AH20" s="30" t="str">
        <f>IF(ISERROR(FIND($A$2,Lines!AH20))=TRUE,"",Lines!AH20)</f>
        <v/>
      </c>
      <c r="AI20" s="30" t="str">
        <f>IF(ISERROR(FIND($A$2,Lines!AI20))=TRUE,"",Lines!AI20)</f>
        <v/>
      </c>
      <c r="AJ20" s="30" t="str">
        <f>IF(ISERROR(FIND($A$2,Lines!AJ20))=TRUE,"",Lines!AJ20)</f>
        <v/>
      </c>
      <c r="AK20" s="30" t="str">
        <f>IF(ISERROR(FIND($A$2,Lines!AK20))=TRUE,"",Lines!AK20)</f>
        <v/>
      </c>
      <c r="AL20" s="30" t="str">
        <f>IF(ISERROR(FIND($A$2,Lines!AL20))=TRUE,"",Lines!AL20)</f>
        <v/>
      </c>
      <c r="AM20" s="30" t="str">
        <f>IF(ISERROR(FIND($A$2,Lines!AM20))=TRUE,"",Lines!AM20)</f>
        <v/>
      </c>
      <c r="AN20" s="30" t="str">
        <f>IF(ISERROR(FIND($A$2,Lines!AN20))=TRUE,"",Lines!AN20)</f>
        <v/>
      </c>
      <c r="AO20" s="30" t="str">
        <f>IF(ISERROR(FIND($A$2,Lines!AO20))=TRUE,"",Lines!AO20)</f>
        <v/>
      </c>
      <c r="AP20" s="30" t="str">
        <f>IF(ISERROR(FIND($A$2,Lines!AP20))=TRUE,"",Lines!AP20)</f>
        <v/>
      </c>
      <c r="AQ20" s="30" t="str">
        <f>IF(ISERROR(FIND($A$2,Lines!AQ20))=TRUE,"",Lines!AQ20)</f>
        <v/>
      </c>
      <c r="AR20" s="30" t="str">
        <f>IF(ISERROR(FIND($A$2,Lines!AR20))=TRUE,"",Lines!AR20)</f>
        <v/>
      </c>
      <c r="AS20" s="30" t="str">
        <f>IF(ISERROR(FIND($A$2,Lines!AS20))=TRUE,"",Lines!AS20)</f>
        <v/>
      </c>
      <c r="AT20" s="30" t="str">
        <f>IF(ISERROR(FIND($A$2,Lines!AT20))=TRUE,"",Lines!AT20)</f>
        <v/>
      </c>
    </row>
    <row r="21" spans="1:46" ht="20.25" customHeight="1">
      <c r="A21" s="2" t="s">
        <v>69</v>
      </c>
      <c r="B21" s="30" t="str">
        <f>IF(ISERROR(FIND($A$2,Lines!B21))=TRUE,"",Lines!B21)</f>
        <v/>
      </c>
      <c r="C21" s="30" t="str">
        <f>IF(ISERROR(FIND($A$2,Lines!C21))=TRUE,"",Lines!C21)</f>
        <v/>
      </c>
      <c r="D21" s="30" t="str">
        <f>IF(ISERROR(FIND($A$2,Lines!D21))=TRUE,"",Lines!D21)</f>
        <v/>
      </c>
      <c r="E21" s="30" t="str">
        <f>IF(ISERROR(FIND($A$2,Lines!E21))=TRUE,"",Lines!E21)</f>
        <v/>
      </c>
      <c r="F21" s="30" t="str">
        <f>IF(ISERROR(FIND($A$2,Lines!F21))=TRUE,"",Lines!F21)</f>
        <v/>
      </c>
      <c r="G21" s="30" t="str">
        <f>IF(ISERROR(FIND($A$2,Lines!G21))=TRUE,"",Lines!G21)</f>
        <v/>
      </c>
      <c r="H21" s="30" t="str">
        <f>IF(ISERROR(FIND($A$2,Lines!H21))=TRUE,"",Lines!H21)</f>
        <v/>
      </c>
      <c r="I21" s="30" t="str">
        <f>IF(ISERROR(FIND($A$2,Lines!I21))=TRUE,"",Lines!I21)</f>
        <v/>
      </c>
      <c r="J21" s="30" t="str">
        <f>IF(ISERROR(FIND($A$2,Lines!J21))=TRUE,"",Lines!J21)</f>
        <v/>
      </c>
      <c r="K21" s="30" t="str">
        <f>IF(ISERROR(FIND($A$2,Lines!K21))=TRUE,"",Lines!K21)</f>
        <v/>
      </c>
      <c r="L21" s="30" t="str">
        <f>IF(ISERROR(FIND($A$2,Lines!L21))=TRUE,"",Lines!L21)</f>
        <v/>
      </c>
      <c r="M21" s="30" t="str">
        <f>IF(ISERROR(FIND($A$2,Lines!M21))=TRUE,"",Lines!M21)</f>
        <v/>
      </c>
      <c r="N21" s="32" t="str">
        <f>IF(ISERROR(FIND($A$2,Lines!N21))=TRUE,"",Lines!N21)</f>
        <v/>
      </c>
      <c r="O21" s="25" t="str">
        <f>IF(ISERROR(FIND($A$2,Lines!O21))=TRUE,"",Lines!O21)</f>
        <v/>
      </c>
      <c r="P21" s="25" t="str">
        <f>IF(ISERROR(FIND($A$2,Lines!P21))=TRUE,"",Lines!P21)</f>
        <v/>
      </c>
      <c r="Q21" s="25" t="str">
        <f>IF(ISERROR(FIND($A$2,Lines!Q21))=TRUE,"",Lines!Q21)</f>
        <v/>
      </c>
      <c r="R21" s="25" t="str">
        <f>IF(ISERROR(FIND($A$2,Lines!R21))=TRUE,"",Lines!R21)</f>
        <v/>
      </c>
      <c r="S21" s="66" t="str">
        <f>IF(ISERROR(FIND($A$2,Lines!S21))=TRUE,"",Lines!S21)</f>
        <v/>
      </c>
      <c r="T21" s="25" t="str">
        <f>IF(ISERROR(FIND($A$2,Lines!T21))=TRUE,"",Lines!T21)</f>
        <v/>
      </c>
      <c r="U21" s="25" t="str">
        <f>IF(ISERROR(FIND($A$2,Lines!U21))=TRUE,"",Lines!U21)</f>
        <v/>
      </c>
      <c r="V21" s="35" t="str">
        <f>IF(ISERROR(FIND($A$2,Lines!V21))=TRUE,"",Lines!V21)</f>
        <v/>
      </c>
      <c r="W21" s="36" t="str">
        <f>IF(ISERROR(FIND($A$2,Lines!W21))=TRUE,"",Lines!W21)</f>
        <v/>
      </c>
      <c r="X21" s="30" t="str">
        <f>IF(ISERROR(FIND($A$2,Lines!X21))=TRUE,"",Lines!X21)</f>
        <v/>
      </c>
      <c r="Y21" s="30" t="str">
        <f>IF(ISERROR(FIND($A$2,Lines!Y21))=TRUE,"",Lines!Y21)</f>
        <v/>
      </c>
      <c r="Z21" s="30" t="str">
        <f>IF(ISERROR(FIND($A$2,Lines!Z21))=TRUE,"",Lines!Z21)</f>
        <v/>
      </c>
      <c r="AA21" s="30" t="str">
        <f>IF(ISERROR(FIND($A$2,Lines!AA21))=TRUE,"",Lines!AA21)</f>
        <v/>
      </c>
      <c r="AB21" s="30" t="str">
        <f>IF(ISERROR(FIND($A$2,Lines!AB21))=TRUE,"",Lines!AB21)</f>
        <v/>
      </c>
      <c r="AC21" s="30" t="str">
        <f>IF(ISERROR(FIND($A$2,Lines!AC21))=TRUE,"",Lines!AC21)</f>
        <v/>
      </c>
      <c r="AD21" s="30" t="str">
        <f>IF(ISERROR(FIND($A$2,Lines!AD21))=TRUE,"",Lines!AD21)</f>
        <v/>
      </c>
      <c r="AE21" s="30" t="str">
        <f>IF(ISERROR(FIND($A$2,Lines!AE21))=TRUE,"",Lines!AE21)</f>
        <v/>
      </c>
      <c r="AF21" s="30" t="str">
        <f>IF(ISERROR(FIND($A$2,Lines!AF21))=TRUE,"",Lines!AF21)</f>
        <v/>
      </c>
      <c r="AG21" s="30" t="str">
        <f>IF(ISERROR(FIND($A$2,Lines!AG21))=TRUE,"",Lines!AG21)</f>
        <v/>
      </c>
      <c r="AH21" s="30" t="str">
        <f>IF(ISERROR(FIND($A$2,Lines!AH21))=TRUE,"",Lines!AH21)</f>
        <v/>
      </c>
      <c r="AI21" s="30" t="str">
        <f>IF(ISERROR(FIND($A$2,Lines!AI21))=TRUE,"",Lines!AI21)</f>
        <v/>
      </c>
      <c r="AJ21" s="30" t="str">
        <f>IF(ISERROR(FIND($A$2,Lines!AJ21))=TRUE,"",Lines!AJ21)</f>
        <v/>
      </c>
      <c r="AK21" s="30" t="str">
        <f>IF(ISERROR(FIND($A$2,Lines!AK21))=TRUE,"",Lines!AK21)</f>
        <v/>
      </c>
      <c r="AL21" s="30" t="str">
        <f>IF(ISERROR(FIND($A$2,Lines!AL21))=TRUE,"",Lines!AL21)</f>
        <v/>
      </c>
      <c r="AM21" s="30" t="str">
        <f>IF(ISERROR(FIND($A$2,Lines!AM21))=TRUE,"",Lines!AM21)</f>
        <v/>
      </c>
      <c r="AN21" s="30" t="str">
        <f>IF(ISERROR(FIND($A$2,Lines!AN21))=TRUE,"",Lines!AN21)</f>
        <v/>
      </c>
      <c r="AO21" s="30" t="str">
        <f>IF(ISERROR(FIND($A$2,Lines!AO21))=TRUE,"",Lines!AO21)</f>
        <v/>
      </c>
      <c r="AP21" s="30" t="str">
        <f>IF(ISERROR(FIND($A$2,Lines!AP21))=TRUE,"",Lines!AP21)</f>
        <v/>
      </c>
      <c r="AQ21" s="30" t="str">
        <f>IF(ISERROR(FIND($A$2,Lines!AQ21))=TRUE,"",Lines!AQ21)</f>
        <v/>
      </c>
      <c r="AR21" s="30" t="str">
        <f>IF(ISERROR(FIND($A$2,Lines!AR21))=TRUE,"",Lines!AR21)</f>
        <v/>
      </c>
      <c r="AS21" s="30" t="str">
        <f>IF(ISERROR(FIND($A$2,Lines!AS21))=TRUE,"",Lines!AS21)</f>
        <v/>
      </c>
      <c r="AT21" s="30" t="str">
        <f>IF(ISERROR(FIND($A$2,Lines!AT21))=TRUE,"",Lines!AT21)</f>
        <v/>
      </c>
    </row>
    <row r="22" spans="1:46" ht="20.25" customHeight="1">
      <c r="A22" s="2" t="s">
        <v>70</v>
      </c>
      <c r="B22" s="30" t="str">
        <f>IF(ISERROR(FIND($A$2,Lines!B22))=TRUE,"",Lines!B22)</f>
        <v/>
      </c>
      <c r="C22" s="30" t="str">
        <f>IF(ISERROR(FIND($A$2,Lines!C22))=TRUE,"",Lines!C22)</f>
        <v/>
      </c>
      <c r="D22" s="30" t="str">
        <f>IF(ISERROR(FIND($A$2,Lines!D22))=TRUE,"",Lines!D22)</f>
        <v/>
      </c>
      <c r="E22" s="30" t="str">
        <f>IF(ISERROR(FIND($A$2,Lines!E22))=TRUE,"",Lines!E22)</f>
        <v/>
      </c>
      <c r="F22" s="30" t="str">
        <f>IF(ISERROR(FIND($A$2,Lines!F22))=TRUE,"",Lines!F22)</f>
        <v/>
      </c>
      <c r="G22" s="30" t="str">
        <f>IF(ISERROR(FIND($A$2,Lines!G22))=TRUE,"",Lines!G22)</f>
        <v/>
      </c>
      <c r="H22" s="30" t="str">
        <f>IF(ISERROR(FIND($A$2,Lines!H22))=TRUE,"",Lines!H22)</f>
        <v/>
      </c>
      <c r="I22" s="30" t="str">
        <f>IF(ISERROR(FIND($A$2,Lines!I22))=TRUE,"",Lines!I22)</f>
        <v/>
      </c>
      <c r="J22" s="30" t="str">
        <f>IF(ISERROR(FIND($A$2,Lines!J22))=TRUE,"",Lines!J22)</f>
        <v/>
      </c>
      <c r="K22" s="30" t="str">
        <f>IF(ISERROR(FIND($A$2,Lines!K22))=TRUE,"",Lines!K22)</f>
        <v/>
      </c>
      <c r="L22" s="30" t="str">
        <f>IF(ISERROR(FIND($A$2,Lines!L22))=TRUE,"",Lines!L22)</f>
        <v/>
      </c>
      <c r="M22" s="30" t="str">
        <f>IF(ISERROR(FIND($A$2,Lines!M22))=TRUE,"",Lines!M22)</f>
        <v/>
      </c>
      <c r="N22" s="32" t="str">
        <f>IF(ISERROR(FIND($A$2,Lines!N22))=TRUE,"",Lines!N22)</f>
        <v/>
      </c>
      <c r="O22" s="25" t="str">
        <f>IF(ISERROR(FIND($A$2,Lines!O22))=TRUE,"",Lines!O22)</f>
        <v/>
      </c>
      <c r="P22" s="25" t="str">
        <f>IF(ISERROR(FIND($A$2,Lines!P22))=TRUE,"",Lines!P22)</f>
        <v/>
      </c>
      <c r="Q22" s="25" t="str">
        <f>IF(ISERROR(FIND($A$2,Lines!Q22))=TRUE,"",Lines!Q22)</f>
        <v/>
      </c>
      <c r="R22" s="25" t="str">
        <f>IF(ISERROR(FIND($A$2,Lines!R22))=TRUE,"",Lines!R22)</f>
        <v/>
      </c>
      <c r="S22" s="25" t="str">
        <f>IF(ISERROR(FIND($A$2,Lines!S22))=TRUE,"",Lines!S22)</f>
        <v/>
      </c>
      <c r="T22" s="66" t="str">
        <f>IF(ISERROR(FIND($A$2,Lines!T22))=TRUE,"",Lines!T22)</f>
        <v/>
      </c>
      <c r="U22" s="25" t="str">
        <f>IF(ISERROR(FIND($A$2,Lines!U22))=TRUE,"",Lines!U22)</f>
        <v/>
      </c>
      <c r="V22" s="35" t="str">
        <f>IF(ISERROR(FIND($A$2,Lines!V22))=TRUE,"",Lines!V22)</f>
        <v/>
      </c>
      <c r="W22" s="36" t="str">
        <f>IF(ISERROR(FIND($A$2,Lines!W22))=TRUE,"",Lines!W22)</f>
        <v/>
      </c>
      <c r="X22" s="30" t="str">
        <f>IF(ISERROR(FIND($A$2,Lines!X22))=TRUE,"",Lines!X22)</f>
        <v/>
      </c>
      <c r="Y22" s="30" t="str">
        <f>IF(ISERROR(FIND($A$2,Lines!Y22))=TRUE,"",Lines!Y22)</f>
        <v/>
      </c>
      <c r="Z22" s="30" t="str">
        <f>IF(ISERROR(FIND($A$2,Lines!Z22))=TRUE,"",Lines!Z22)</f>
        <v/>
      </c>
      <c r="AA22" s="30" t="str">
        <f>IF(ISERROR(FIND($A$2,Lines!AA22))=TRUE,"",Lines!AA22)</f>
        <v/>
      </c>
      <c r="AB22" s="30" t="str">
        <f>IF(ISERROR(FIND($A$2,Lines!AB22))=TRUE,"",Lines!AB22)</f>
        <v/>
      </c>
      <c r="AC22" s="30" t="str">
        <f>IF(ISERROR(FIND($A$2,Lines!AC22))=TRUE,"",Lines!AC22)</f>
        <v/>
      </c>
      <c r="AD22" s="30" t="str">
        <f>IF(ISERROR(FIND($A$2,Lines!AD22))=TRUE,"",Lines!AD22)</f>
        <v/>
      </c>
      <c r="AE22" s="30" t="str">
        <f>IF(ISERROR(FIND($A$2,Lines!AE22))=TRUE,"",Lines!AE22)</f>
        <v/>
      </c>
      <c r="AF22" s="30" t="str">
        <f>IF(ISERROR(FIND($A$2,Lines!AF22))=TRUE,"",Lines!AF22)</f>
        <v/>
      </c>
      <c r="AG22" s="30" t="str">
        <f>IF(ISERROR(FIND($A$2,Lines!AG22))=TRUE,"",Lines!AG22)</f>
        <v/>
      </c>
      <c r="AH22" s="30" t="str">
        <f>IF(ISERROR(FIND($A$2,Lines!AH22))=TRUE,"",Lines!AH22)</f>
        <v/>
      </c>
      <c r="AI22" s="30" t="str">
        <f>IF(ISERROR(FIND($A$2,Lines!AI22))=TRUE,"",Lines!AI22)</f>
        <v/>
      </c>
      <c r="AJ22" s="30" t="str">
        <f>IF(ISERROR(FIND($A$2,Lines!AJ22))=TRUE,"",Lines!AJ22)</f>
        <v/>
      </c>
      <c r="AK22" s="30" t="str">
        <f>IF(ISERROR(FIND($A$2,Lines!AK22))=TRUE,"",Lines!AK22)</f>
        <v/>
      </c>
      <c r="AL22" s="30" t="str">
        <f>IF(ISERROR(FIND($A$2,Lines!AL22))=TRUE,"",Lines!AL22)</f>
        <v/>
      </c>
      <c r="AM22" s="30" t="str">
        <f>IF(ISERROR(FIND($A$2,Lines!AM22))=TRUE,"",Lines!AM22)</f>
        <v/>
      </c>
      <c r="AN22" s="30" t="str">
        <f>IF(ISERROR(FIND($A$2,Lines!AN22))=TRUE,"",Lines!AN22)</f>
        <v/>
      </c>
      <c r="AO22" s="30" t="str">
        <f>IF(ISERROR(FIND($A$2,Lines!AO22))=TRUE,"",Lines!AO22)</f>
        <v/>
      </c>
      <c r="AP22" s="30" t="str">
        <f>IF(ISERROR(FIND($A$2,Lines!AP22))=TRUE,"",Lines!AP22)</f>
        <v/>
      </c>
      <c r="AQ22" s="30" t="str">
        <f>IF(ISERROR(FIND($A$2,Lines!AQ22))=TRUE,"",Lines!AQ22)</f>
        <v/>
      </c>
      <c r="AR22" s="30" t="str">
        <f>IF(ISERROR(FIND($A$2,Lines!AR22))=TRUE,"",Lines!AR22)</f>
        <v/>
      </c>
      <c r="AS22" s="30" t="str">
        <f>IF(ISERROR(FIND($A$2,Lines!AS22))=TRUE,"",Lines!AS22)</f>
        <v/>
      </c>
      <c r="AT22" s="30" t="str">
        <f>IF(ISERROR(FIND($A$2,Lines!AT22))=TRUE,"",Lines!AT22)</f>
        <v/>
      </c>
    </row>
    <row r="23" spans="1:46" ht="20.25" customHeight="1">
      <c r="A23" s="2" t="s">
        <v>71</v>
      </c>
      <c r="B23" s="30" t="str">
        <f>IF(ISERROR(FIND($A$2,Lines!B23))=TRUE,"",Lines!B23)</f>
        <v/>
      </c>
      <c r="C23" s="30" t="str">
        <f>IF(ISERROR(FIND($A$2,Lines!C23))=TRUE,"",Lines!C23)</f>
        <v/>
      </c>
      <c r="D23" s="30" t="str">
        <f>IF(ISERROR(FIND($A$2,Lines!D23))=TRUE,"",Lines!D23)</f>
        <v/>
      </c>
      <c r="E23" s="30" t="str">
        <f>IF(ISERROR(FIND($A$2,Lines!E23))=TRUE,"",Lines!E23)</f>
        <v/>
      </c>
      <c r="F23" s="30" t="str">
        <f>IF(ISERROR(FIND($A$2,Lines!F23))=TRUE,"",Lines!F23)</f>
        <v/>
      </c>
      <c r="G23" s="30" t="str">
        <f>IF(ISERROR(FIND($A$2,Lines!G23))=TRUE,"",Lines!G23)</f>
        <v/>
      </c>
      <c r="H23" s="30" t="str">
        <f>IF(ISERROR(FIND($A$2,Lines!H23))=TRUE,"",Lines!H23)</f>
        <v/>
      </c>
      <c r="I23" s="30" t="str">
        <f>IF(ISERROR(FIND($A$2,Lines!I23))=TRUE,"",Lines!I23)</f>
        <v/>
      </c>
      <c r="J23" s="30" t="str">
        <f>IF(ISERROR(FIND($A$2,Lines!J23))=TRUE,"",Lines!J23)</f>
        <v/>
      </c>
      <c r="K23" s="30" t="str">
        <f>IF(ISERROR(FIND($A$2,Lines!K23))=TRUE,"",Lines!K23)</f>
        <v/>
      </c>
      <c r="L23" s="30" t="str">
        <f>IF(ISERROR(FIND($A$2,Lines!L23))=TRUE,"",Lines!L23)</f>
        <v/>
      </c>
      <c r="M23" s="30" t="str">
        <f>IF(ISERROR(FIND($A$2,Lines!M23))=TRUE,"",Lines!M23)</f>
        <v/>
      </c>
      <c r="N23" s="32" t="str">
        <f>IF(ISERROR(FIND($A$2,Lines!N23))=TRUE,"",Lines!N23)</f>
        <v/>
      </c>
      <c r="O23" s="25" t="str">
        <f>IF(ISERROR(FIND($A$2,Lines!O23))=TRUE,"",Lines!O23)</f>
        <v/>
      </c>
      <c r="P23" s="25" t="str">
        <f>IF(ISERROR(FIND($A$2,Lines!P23))=TRUE,"",Lines!P23)</f>
        <v/>
      </c>
      <c r="Q23" s="25" t="str">
        <f>IF(ISERROR(FIND($A$2,Lines!Q23))=TRUE,"",Lines!Q23)</f>
        <v/>
      </c>
      <c r="R23" s="25" t="str">
        <f>IF(ISERROR(FIND($A$2,Lines!R23))=TRUE,"",Lines!R23)</f>
        <v/>
      </c>
      <c r="S23" s="25" t="str">
        <f>IF(ISERROR(FIND($A$2,Lines!S23))=TRUE,"",Lines!S23)</f>
        <v/>
      </c>
      <c r="T23" s="25" t="str">
        <f>IF(ISERROR(FIND($A$2,Lines!T23))=TRUE,"",Lines!T23)</f>
        <v/>
      </c>
      <c r="U23" s="66" t="str">
        <f>IF(ISERROR(FIND($A$2,Lines!U23))=TRUE,"",Lines!U23)</f>
        <v/>
      </c>
      <c r="V23" s="35" t="str">
        <f>IF(ISERROR(FIND($A$2,Lines!V23))=TRUE,"",Lines!V23)</f>
        <v/>
      </c>
      <c r="W23" s="36" t="str">
        <f>IF(ISERROR(FIND($A$2,Lines!W23))=TRUE,"",Lines!W23)</f>
        <v/>
      </c>
      <c r="X23" s="30" t="str">
        <f>IF(ISERROR(FIND($A$2,Lines!X23))=TRUE,"",Lines!X23)</f>
        <v/>
      </c>
      <c r="Y23" s="30" t="str">
        <f>IF(ISERROR(FIND($A$2,Lines!Y23))=TRUE,"",Lines!Y23)</f>
        <v/>
      </c>
      <c r="Z23" s="30" t="str">
        <f>IF(ISERROR(FIND($A$2,Lines!Z23))=TRUE,"",Lines!Z23)</f>
        <v/>
      </c>
      <c r="AA23" s="30" t="str">
        <f>IF(ISERROR(FIND($A$2,Lines!AA23))=TRUE,"",Lines!AA23)</f>
        <v/>
      </c>
      <c r="AB23" s="30" t="str">
        <f>IF(ISERROR(FIND($A$2,Lines!AB23))=TRUE,"",Lines!AB23)</f>
        <v/>
      </c>
      <c r="AC23" s="30" t="str">
        <f>IF(ISERROR(FIND($A$2,Lines!AC23))=TRUE,"",Lines!AC23)</f>
        <v/>
      </c>
      <c r="AD23" s="30" t="str">
        <f>IF(ISERROR(FIND($A$2,Lines!AD23))=TRUE,"",Lines!AD23)</f>
        <v/>
      </c>
      <c r="AE23" s="30" t="str">
        <f>IF(ISERROR(FIND($A$2,Lines!AE23))=TRUE,"",Lines!AE23)</f>
        <v/>
      </c>
      <c r="AF23" s="30" t="str">
        <f>IF(ISERROR(FIND($A$2,Lines!AF23))=TRUE,"",Lines!AF23)</f>
        <v/>
      </c>
      <c r="AG23" s="30" t="str">
        <f>IF(ISERROR(FIND($A$2,Lines!AG23))=TRUE,"",Lines!AG23)</f>
        <v/>
      </c>
      <c r="AH23" s="30" t="str">
        <f>IF(ISERROR(FIND($A$2,Lines!AH23))=TRUE,"",Lines!AH23)</f>
        <v/>
      </c>
      <c r="AI23" s="30" t="str">
        <f>IF(ISERROR(FIND($A$2,Lines!AI23))=TRUE,"",Lines!AI23)</f>
        <v/>
      </c>
      <c r="AJ23" s="30" t="str">
        <f>IF(ISERROR(FIND($A$2,Lines!AJ23))=TRUE,"",Lines!AJ23)</f>
        <v/>
      </c>
      <c r="AK23" s="30" t="str">
        <f>IF(ISERROR(FIND($A$2,Lines!AK23))=TRUE,"",Lines!AK23)</f>
        <v/>
      </c>
      <c r="AL23" s="30" t="str">
        <f>IF(ISERROR(FIND($A$2,Lines!AL23))=TRUE,"",Lines!AL23)</f>
        <v/>
      </c>
      <c r="AM23" s="30" t="str">
        <f>IF(ISERROR(FIND($A$2,Lines!AM23))=TRUE,"",Lines!AM23)</f>
        <v/>
      </c>
      <c r="AN23" s="30" t="str">
        <f>IF(ISERROR(FIND($A$2,Lines!AN23))=TRUE,"",Lines!AN23)</f>
        <v/>
      </c>
      <c r="AO23" s="30" t="str">
        <f>IF(ISERROR(FIND($A$2,Lines!AO23))=TRUE,"",Lines!AO23)</f>
        <v/>
      </c>
      <c r="AP23" s="30" t="str">
        <f>IF(ISERROR(FIND($A$2,Lines!AP23))=TRUE,"",Lines!AP23)</f>
        <v/>
      </c>
      <c r="AQ23" s="30" t="str">
        <f>IF(ISERROR(FIND($A$2,Lines!AQ23))=TRUE,"",Lines!AQ23)</f>
        <v/>
      </c>
      <c r="AR23" s="30" t="str">
        <f>IF(ISERROR(FIND($A$2,Lines!AR23))=TRUE,"",Lines!AR23)</f>
        <v/>
      </c>
      <c r="AS23" s="30" t="str">
        <f>IF(ISERROR(FIND($A$2,Lines!AS23))=TRUE,"",Lines!AS23)</f>
        <v/>
      </c>
      <c r="AT23" s="30" t="str">
        <f>IF(ISERROR(FIND($A$2,Lines!AT23))=TRUE,"",Lines!AT23)</f>
        <v/>
      </c>
    </row>
    <row r="24" spans="1:46" ht="20.25" customHeight="1">
      <c r="A24" s="2" t="s">
        <v>72</v>
      </c>
      <c r="B24" s="30" t="str">
        <f>IF(ISERROR(FIND($A$2,Lines!B24))=TRUE,"",Lines!B24)</f>
        <v/>
      </c>
      <c r="C24" s="30" t="str">
        <f>IF(ISERROR(FIND($A$2,Lines!C24))=TRUE,"",Lines!C24)</f>
        <v/>
      </c>
      <c r="D24" s="30" t="str">
        <f>IF(ISERROR(FIND($A$2,Lines!D24))=TRUE,"",Lines!D24)</f>
        <v/>
      </c>
      <c r="E24" s="30" t="str">
        <f>IF(ISERROR(FIND($A$2,Lines!E24))=TRUE,"",Lines!E24)</f>
        <v/>
      </c>
      <c r="F24" s="30" t="str">
        <f>IF(ISERROR(FIND($A$2,Lines!F24))=TRUE,"",Lines!F24)</f>
        <v/>
      </c>
      <c r="G24" s="30" t="str">
        <f>IF(ISERROR(FIND($A$2,Lines!G24))=TRUE,"",Lines!G24)</f>
        <v/>
      </c>
      <c r="H24" s="30" t="str">
        <f>IF(ISERROR(FIND($A$2,Lines!H24))=TRUE,"",Lines!H24)</f>
        <v/>
      </c>
      <c r="I24" s="30" t="str">
        <f>IF(ISERROR(FIND($A$2,Lines!I24))=TRUE,"",Lines!I24)</f>
        <v/>
      </c>
      <c r="J24" s="30" t="str">
        <f>IF(ISERROR(FIND($A$2,Lines!J24))=TRUE,"",Lines!J24)</f>
        <v/>
      </c>
      <c r="K24" s="30" t="str">
        <f>IF(ISERROR(FIND($A$2,Lines!K24))=TRUE,"",Lines!K24)</f>
        <v/>
      </c>
      <c r="L24" s="30" t="str">
        <f>IF(ISERROR(FIND($A$2,Lines!L24))=TRUE,"",Lines!L24)</f>
        <v/>
      </c>
      <c r="M24" s="30" t="str">
        <f>IF(ISERROR(FIND($A$2,Lines!M24))=TRUE,"",Lines!M24)</f>
        <v/>
      </c>
      <c r="N24" s="37" t="str">
        <f>IF(ISERROR(FIND($A$2,Lines!N24))=TRUE,"",Lines!N24)</f>
        <v/>
      </c>
      <c r="O24" s="38" t="str">
        <f>IF(ISERROR(FIND($A$2,Lines!O24))=TRUE,"",Lines!O24)</f>
        <v/>
      </c>
      <c r="P24" s="38" t="str">
        <f>IF(ISERROR(FIND($A$2,Lines!P24))=TRUE,"",Lines!P24)</f>
        <v/>
      </c>
      <c r="Q24" s="38" t="str">
        <f>IF(ISERROR(FIND($A$2,Lines!Q24))=TRUE,"",Lines!Q24)</f>
        <v/>
      </c>
      <c r="R24" s="38" t="str">
        <f>IF(ISERROR(FIND($A$2,Lines!R24))=TRUE,"",Lines!R24)</f>
        <v/>
      </c>
      <c r="S24" s="38" t="str">
        <f>IF(ISERROR(FIND($A$2,Lines!S24))=TRUE,"",Lines!S24)</f>
        <v/>
      </c>
      <c r="T24" s="38" t="str">
        <f>IF(ISERROR(FIND($A$2,Lines!T24))=TRUE,"",Lines!T24)</f>
        <v/>
      </c>
      <c r="U24" s="38" t="str">
        <f>IF(ISERROR(FIND($A$2,Lines!U24))=TRUE,"",Lines!U24)</f>
        <v/>
      </c>
      <c r="V24" s="67" t="str">
        <f>IF(ISERROR(FIND($A$2,Lines!V24))=TRUE,"",Lines!V24)</f>
        <v/>
      </c>
      <c r="W24" s="36" t="str">
        <f>IF(ISERROR(FIND($A$2,Lines!W24))=TRUE,"",Lines!W24)</f>
        <v/>
      </c>
      <c r="X24" s="30" t="str">
        <f>IF(ISERROR(FIND($A$2,Lines!X24))=TRUE,"",Lines!X24)</f>
        <v/>
      </c>
      <c r="Y24" s="30" t="str">
        <f>IF(ISERROR(FIND($A$2,Lines!Y24))=TRUE,"",Lines!Y24)</f>
        <v/>
      </c>
      <c r="Z24" s="30" t="str">
        <f>IF(ISERROR(FIND($A$2,Lines!Z24))=TRUE,"",Lines!Z24)</f>
        <v/>
      </c>
      <c r="AA24" s="30" t="str">
        <f>IF(ISERROR(FIND($A$2,Lines!AA24))=TRUE,"",Lines!AA24)</f>
        <v/>
      </c>
      <c r="AB24" s="30" t="str">
        <f>IF(ISERROR(FIND($A$2,Lines!AB24))=TRUE,"",Lines!AB24)</f>
        <v/>
      </c>
      <c r="AC24" s="30" t="str">
        <f>IF(ISERROR(FIND($A$2,Lines!AC24))=TRUE,"",Lines!AC24)</f>
        <v/>
      </c>
      <c r="AD24" s="30" t="str">
        <f>IF(ISERROR(FIND($A$2,Lines!AD24))=TRUE,"",Lines!AD24)</f>
        <v/>
      </c>
      <c r="AE24" s="30" t="str">
        <f>IF(ISERROR(FIND($A$2,Lines!AE24))=TRUE,"",Lines!AE24)</f>
        <v/>
      </c>
      <c r="AF24" s="30" t="str">
        <f>IF(ISERROR(FIND($A$2,Lines!AF24))=TRUE,"",Lines!AF24)</f>
        <v/>
      </c>
      <c r="AG24" s="30" t="str">
        <f>IF(ISERROR(FIND($A$2,Lines!AG24))=TRUE,"",Lines!AG24)</f>
        <v/>
      </c>
      <c r="AH24" s="30" t="str">
        <f>IF(ISERROR(FIND($A$2,Lines!AH24))=TRUE,"",Lines!AH24)</f>
        <v/>
      </c>
      <c r="AI24" s="30" t="str">
        <f>IF(ISERROR(FIND($A$2,Lines!AI24))=TRUE,"",Lines!AI24)</f>
        <v/>
      </c>
      <c r="AJ24" s="30" t="str">
        <f>IF(ISERROR(FIND($A$2,Lines!AJ24))=TRUE,"",Lines!AJ24)</f>
        <v/>
      </c>
      <c r="AK24" s="30" t="str">
        <f>IF(ISERROR(FIND($A$2,Lines!AK24))=TRUE,"",Lines!AK24)</f>
        <v/>
      </c>
      <c r="AL24" s="30" t="str">
        <f>IF(ISERROR(FIND($A$2,Lines!AL24))=TRUE,"",Lines!AL24)</f>
        <v/>
      </c>
      <c r="AM24" s="30" t="str">
        <f>IF(ISERROR(FIND($A$2,Lines!AM24))=TRUE,"",Lines!AM24)</f>
        <v/>
      </c>
      <c r="AN24" s="30" t="str">
        <f>IF(ISERROR(FIND($A$2,Lines!AN24))=TRUE,"",Lines!AN24)</f>
        <v/>
      </c>
      <c r="AO24" s="30" t="str">
        <f>IF(ISERROR(FIND($A$2,Lines!AO24))=TRUE,"",Lines!AO24)</f>
        <v/>
      </c>
      <c r="AP24" s="30" t="str">
        <f>IF(ISERROR(FIND($A$2,Lines!AP24))=TRUE,"",Lines!AP24)</f>
        <v/>
      </c>
      <c r="AQ24" s="30" t="str">
        <f>IF(ISERROR(FIND($A$2,Lines!AQ24))=TRUE,"",Lines!AQ24)</f>
        <v/>
      </c>
      <c r="AR24" s="30" t="str">
        <f>IF(ISERROR(FIND($A$2,Lines!AR24))=TRUE,"",Lines!AR24)</f>
        <v/>
      </c>
      <c r="AS24" s="30" t="str">
        <f>IF(ISERROR(FIND($A$2,Lines!AS24))=TRUE,"",Lines!AS24)</f>
        <v/>
      </c>
      <c r="AT24" s="30" t="str">
        <f>IF(ISERROR(FIND($A$2,Lines!AT24))=TRUE,"",Lines!AT24)</f>
        <v/>
      </c>
    </row>
    <row r="25" spans="1:46" ht="20.25" customHeight="1">
      <c r="A25" s="2" t="s">
        <v>73</v>
      </c>
      <c r="B25" s="36" t="str">
        <f>IF(ISERROR(FIND($A$2,Lines!B25))=TRUE,"",Lines!B25)</f>
        <v/>
      </c>
      <c r="C25" s="36" t="str">
        <f>IF(ISERROR(FIND($A$2,Lines!C25))=TRUE,"",Lines!C25)</f>
        <v/>
      </c>
      <c r="D25" s="36" t="str">
        <f>IF(ISERROR(FIND($A$2,Lines!D25))=TRUE,"",Lines!D25)</f>
        <v/>
      </c>
      <c r="E25" s="36" t="str">
        <f>IF(ISERROR(FIND($A$2,Lines!E25))=TRUE,"",Lines!E25)</f>
        <v/>
      </c>
      <c r="F25" s="36" t="str">
        <f>IF(ISERROR(FIND($A$2,Lines!F25))=TRUE,"",Lines!F25)</f>
        <v/>
      </c>
      <c r="G25" s="36" t="str">
        <f>IF(ISERROR(FIND($A$2,Lines!G25))=TRUE,"",Lines!G25)</f>
        <v/>
      </c>
      <c r="H25" s="36" t="str">
        <f>IF(ISERROR(FIND($A$2,Lines!H25))=TRUE,"",Lines!H25)</f>
        <v/>
      </c>
      <c r="I25" s="36" t="str">
        <f>IF(ISERROR(FIND($A$2,Lines!I25))=TRUE,"",Lines!I25)</f>
        <v/>
      </c>
      <c r="J25" s="36" t="str">
        <f>IF(ISERROR(FIND($A$2,Lines!J25))=TRUE,"",Lines!J25)</f>
        <v/>
      </c>
      <c r="K25" s="36" t="str">
        <f>IF(ISERROR(FIND($A$2,Lines!K25))=TRUE,"",Lines!K25)</f>
        <v/>
      </c>
      <c r="L25" s="36" t="str">
        <f>IF(ISERROR(FIND($A$2,Lines!L25))=TRUE,"",Lines!L25)</f>
        <v/>
      </c>
      <c r="M25" s="36" t="str">
        <f>IF(ISERROR(FIND($A$2,Lines!M25))=TRUE,"",Lines!M25)</f>
        <v/>
      </c>
      <c r="N25" s="36" t="str">
        <f>IF(ISERROR(FIND($A$2,Lines!N25))=TRUE,"",Lines!N25)</f>
        <v/>
      </c>
      <c r="O25" s="36" t="str">
        <f>IF(ISERROR(FIND($A$2,Lines!O25))=TRUE,"",Lines!O25)</f>
        <v/>
      </c>
      <c r="P25" s="36" t="str">
        <f>IF(ISERROR(FIND($A$2,Lines!P25))=TRUE,"",Lines!P25)</f>
        <v/>
      </c>
      <c r="Q25" s="36" t="str">
        <f>IF(ISERROR(FIND($A$2,Lines!Q25))=TRUE,"",Lines!Q25)</f>
        <v/>
      </c>
      <c r="R25" s="36" t="str">
        <f>IF(ISERROR(FIND($A$2,Lines!R25))=TRUE,"",Lines!R25)</f>
        <v/>
      </c>
      <c r="S25" s="36" t="str">
        <f>IF(ISERROR(FIND($A$2,Lines!S25))=TRUE,"",Lines!S25)</f>
        <v/>
      </c>
      <c r="T25" s="36" t="str">
        <f>IF(ISERROR(FIND($A$2,Lines!T25))=TRUE,"",Lines!T25)</f>
        <v/>
      </c>
      <c r="U25" s="36" t="str">
        <f>IF(ISERROR(FIND($A$2,Lines!U25))=TRUE,"",Lines!U25)</f>
        <v/>
      </c>
      <c r="V25" s="36" t="str">
        <f>IF(ISERROR(FIND($A$2,Lines!V25))=TRUE,"",Lines!V25)</f>
        <v/>
      </c>
      <c r="W25" s="36" t="str">
        <f>IF(ISERROR(FIND($A$2,Lines!W25))=TRUE,"",Lines!W25)</f>
        <v/>
      </c>
      <c r="X25" s="36" t="str">
        <f>IF(ISERROR(FIND($A$2,Lines!X25))=TRUE,"",Lines!X25)</f>
        <v/>
      </c>
      <c r="Y25" s="36" t="str">
        <f>IF(ISERROR(FIND($A$2,Lines!Y25))=TRUE,"",Lines!Y25)</f>
        <v/>
      </c>
      <c r="Z25" s="36" t="str">
        <f>IF(ISERROR(FIND($A$2,Lines!Z25))=TRUE,"",Lines!Z25)</f>
        <v/>
      </c>
      <c r="AA25" s="36" t="str">
        <f>IF(ISERROR(FIND($A$2,Lines!AA25))=TRUE,"",Lines!AA25)</f>
        <v/>
      </c>
      <c r="AB25" s="36" t="str">
        <f>IF(ISERROR(FIND($A$2,Lines!AB25))=TRUE,"",Lines!AB25)</f>
        <v/>
      </c>
      <c r="AC25" s="36" t="str">
        <f>IF(ISERROR(FIND($A$2,Lines!AC25))=TRUE,"",Lines!AC25)</f>
        <v/>
      </c>
      <c r="AD25" s="36" t="str">
        <f>IF(ISERROR(FIND($A$2,Lines!AD25))=TRUE,"",Lines!AD25)</f>
        <v/>
      </c>
      <c r="AE25" s="36" t="str">
        <f>IF(ISERROR(FIND($A$2,Lines!AE25))=TRUE,"",Lines!AE25)</f>
        <v/>
      </c>
      <c r="AF25" s="36" t="str">
        <f>IF(ISERROR(FIND($A$2,Lines!AF25))=TRUE,"",Lines!AF25)</f>
        <v/>
      </c>
      <c r="AG25" s="36" t="str">
        <f>IF(ISERROR(FIND($A$2,Lines!AG25))=TRUE,"",Lines!AG25)</f>
        <v/>
      </c>
      <c r="AH25" s="36" t="str">
        <f>IF(ISERROR(FIND($A$2,Lines!AH25))=TRUE,"",Lines!AH25)</f>
        <v/>
      </c>
      <c r="AI25" s="36" t="str">
        <f>IF(ISERROR(FIND($A$2,Lines!AI25))=TRUE,"",Lines!AI25)</f>
        <v/>
      </c>
      <c r="AJ25" s="36" t="str">
        <f>IF(ISERROR(FIND($A$2,Lines!AJ25))=TRUE,"",Lines!AJ25)</f>
        <v/>
      </c>
      <c r="AK25" s="36" t="str">
        <f>IF(ISERROR(FIND($A$2,Lines!AK25))=TRUE,"",Lines!AK25)</f>
        <v/>
      </c>
      <c r="AL25" s="36" t="str">
        <f>IF(ISERROR(FIND($A$2,Lines!AL25))=TRUE,"",Lines!AL25)</f>
        <v/>
      </c>
      <c r="AM25" s="36" t="str">
        <f>IF(ISERROR(FIND($A$2,Lines!AM25))=TRUE,"",Lines!AM25)</f>
        <v/>
      </c>
      <c r="AN25" s="36" t="str">
        <f>IF(ISERROR(FIND($A$2,Lines!AN25))=TRUE,"",Lines!AN25)</f>
        <v/>
      </c>
      <c r="AO25" s="36" t="str">
        <f>IF(ISERROR(FIND($A$2,Lines!AO25))=TRUE,"",Lines!AO25)</f>
        <v/>
      </c>
      <c r="AP25" s="36" t="str">
        <f>IF(ISERROR(FIND($A$2,Lines!AP25))=TRUE,"",Lines!AP25)</f>
        <v/>
      </c>
      <c r="AQ25" s="36" t="str">
        <f>IF(ISERROR(FIND($A$2,Lines!AQ25))=TRUE,"",Lines!AQ25)</f>
        <v/>
      </c>
      <c r="AR25" s="36" t="str">
        <f>IF(ISERROR(FIND($A$2,Lines!AR25))=TRUE,"",Lines!AR25)</f>
        <v/>
      </c>
      <c r="AS25" s="36" t="str">
        <f>IF(ISERROR(FIND($A$2,Lines!AS25))=TRUE,"",Lines!AS25)</f>
        <v/>
      </c>
      <c r="AT25" s="36" t="str">
        <f>IF(ISERROR(FIND($A$2,Lines!AT25))=TRUE,"",Lines!AT25)</f>
        <v/>
      </c>
    </row>
    <row r="26" spans="1:46" ht="45" customHeight="1">
      <c r="A26" s="2" t="s">
        <v>74</v>
      </c>
      <c r="B26" s="30" t="str">
        <f>IF(ISERROR(FIND($A$2,Lines!B26))=TRUE,"",Lines!B26)</f>
        <v/>
      </c>
      <c r="C26" s="30" t="str">
        <f>IF(ISERROR(FIND($A$2,Lines!C26))=TRUE,"",Lines!C26)</f>
        <v/>
      </c>
      <c r="D26" s="30" t="str">
        <f>IF(ISERROR(FIND($A$2,Lines!D26))=TRUE,"",Lines!D26)</f>
        <v/>
      </c>
      <c r="E26" s="30" t="str">
        <f>IF(ISERROR(FIND($A$2,Lines!E26))=TRUE,"",Lines!E26)</f>
        <v/>
      </c>
      <c r="F26" s="30" t="str">
        <f>IF(ISERROR(FIND($A$2,Lines!F26))=TRUE,"",Lines!F26)</f>
        <v/>
      </c>
      <c r="G26" s="30" t="str">
        <f>IF(ISERROR(FIND($A$2,Lines!G26))=TRUE,"",Lines!G26)</f>
        <v/>
      </c>
      <c r="H26" s="30" t="str">
        <f>IF(ISERROR(FIND($A$2,Lines!H26))=TRUE,"",Lines!H26)</f>
        <v/>
      </c>
      <c r="I26" s="30" t="str">
        <f>IF(ISERROR(FIND($A$2,Lines!I26))=TRUE,"",Lines!I26)</f>
        <v/>
      </c>
      <c r="J26" s="70" t="str">
        <f>IF(ISERROR(FIND($A$2,Lines!J26))=TRUE,"",Lines!J26)</f>
        <v/>
      </c>
      <c r="K26" s="30" t="str">
        <f>IF(ISERROR(FIND($A$2,Lines!K26))=TRUE,"",Lines!K26)</f>
        <v/>
      </c>
      <c r="L26" s="30" t="str">
        <f>IF(ISERROR(FIND($A$2,Lines!L26))=TRUE,"",Lines!L26)</f>
        <v/>
      </c>
      <c r="M26" s="30" t="str">
        <f>IF(ISERROR(FIND($A$2,Lines!M26))=TRUE,"",Lines!M26)</f>
        <v/>
      </c>
      <c r="N26" s="30" t="str">
        <f>IF(ISERROR(FIND($A$2,Lines!N26))=TRUE,"",Lines!N26)</f>
        <v/>
      </c>
      <c r="O26" s="30" t="str">
        <f>IF(ISERROR(FIND($A$2,Lines!O26))=TRUE,"",Lines!O26)</f>
        <v/>
      </c>
      <c r="P26" s="30" t="str">
        <f>IF(ISERROR(FIND($A$2,Lines!P26))=TRUE,"",Lines!P26)</f>
        <v/>
      </c>
      <c r="Q26" s="30" t="str">
        <f>IF(ISERROR(FIND($A$2,Lines!Q26))=TRUE,"",Lines!Q26)</f>
        <v/>
      </c>
      <c r="R26" s="30" t="str">
        <f>IF(ISERROR(FIND($A$2,Lines!R26))=TRUE,"",Lines!R26)</f>
        <v/>
      </c>
      <c r="S26" s="30" t="str">
        <f>IF(ISERROR(FIND($A$2,Lines!S26))=TRUE,"",Lines!S26)</f>
        <v/>
      </c>
      <c r="T26" s="30" t="str">
        <f>IF(ISERROR(FIND($A$2,Lines!T26))=TRUE,"",Lines!T26)</f>
        <v/>
      </c>
      <c r="U26" s="30" t="str">
        <f>IF(ISERROR(FIND($A$2,Lines!U26))=TRUE,"",Lines!U26)</f>
        <v/>
      </c>
      <c r="V26" s="30" t="str">
        <f>IF(ISERROR(FIND($A$2,Lines!V26))=TRUE,"",Lines!V26)</f>
        <v/>
      </c>
      <c r="W26" s="36" t="str">
        <f>IF(ISERROR(FIND($A$2,Lines!W26))=TRUE,"",Lines!W26)</f>
        <v/>
      </c>
      <c r="X26" s="65" t="str">
        <f>IF(ISERROR(FIND($A$2,Lines!X26))=TRUE,"",Lines!X26)</f>
        <v/>
      </c>
      <c r="Y26" s="39" t="str">
        <f>IF(ISERROR(FIND($A$2,Lines!Y26))=TRUE,"",Lines!Y26)</f>
        <v/>
      </c>
      <c r="Z26" s="39" t="str">
        <f>IF(ISERROR(FIND($A$2,Lines!Z26))=TRUE,"",Lines!Z26)</f>
        <v>500AC*9, 1000北京-石家庄（5000MW）</v>
      </c>
      <c r="AA26" s="39" t="str">
        <f>IF(ISERROR(FIND($A$2,Lines!AA26))=TRUE,"",Lines!AA26)</f>
        <v>500AC*2, 1000（廊坊－海河)</v>
      </c>
      <c r="AB26" s="39" t="str">
        <f>IF(ISERROR(FIND($A$2,Lines!AB26))=TRUE,"",Lines!AB26)</f>
        <v/>
      </c>
      <c r="AC26" s="39" t="str">
        <f>IF(ISERROR(FIND($A$2,Lines!AC26))=TRUE,"",Lines!AC26)</f>
        <v/>
      </c>
      <c r="AD26" s="52" t="str">
        <f>IF(ISERROR(FIND($A$2,Lines!AD26))=TRUE,"",Lines!AD26)</f>
        <v/>
      </c>
      <c r="AE26" s="30" t="str">
        <f>IF(ISERROR(FIND($A$2,Lines!AE26))=TRUE,"",Lines!AE26)</f>
        <v/>
      </c>
      <c r="AF26" s="30" t="str">
        <f>IF(ISERROR(FIND($A$2,Lines!AF26))=TRUE,"",Lines!AF26)</f>
        <v/>
      </c>
      <c r="AG26" s="30" t="str">
        <f>IF(ISERROR(FIND($A$2,Lines!AG26))=TRUE,"",Lines!AG26)</f>
        <v/>
      </c>
      <c r="AH26" s="30" t="str">
        <f>IF(ISERROR(FIND($A$2,Lines!AH26))=TRUE,"",Lines!AH26)</f>
        <v/>
      </c>
      <c r="AI26" s="30" t="str">
        <f>IF(ISERROR(FIND($A$2,Lines!AI26))=TRUE,"",Lines!AI26)</f>
        <v/>
      </c>
      <c r="AJ26" s="30" t="str">
        <f>IF(ISERROR(FIND($A$2,Lines!AJ26))=TRUE,"",Lines!AJ26)</f>
        <v/>
      </c>
      <c r="AK26" s="30" t="str">
        <f>IF(ISERROR(FIND($A$2,Lines!AK26))=TRUE,"",Lines!AK26)</f>
        <v/>
      </c>
      <c r="AL26" s="30" t="str">
        <f>IF(ISERROR(FIND($A$2,Lines!AL26))=TRUE,"",Lines!AL26)</f>
        <v/>
      </c>
      <c r="AM26" s="30" t="str">
        <f>IF(ISERROR(FIND($A$2,Lines!AM26))=TRUE,"",Lines!AM26)</f>
        <v/>
      </c>
      <c r="AN26" s="30" t="str">
        <f>IF(ISERROR(FIND($A$2,Lines!AN26))=TRUE,"",Lines!AN26)</f>
        <v/>
      </c>
      <c r="AO26" s="30" t="str">
        <f>IF(ISERROR(FIND($A$2,Lines!AO26))=TRUE,"",Lines!AO26)</f>
        <v/>
      </c>
      <c r="AP26" s="30" t="str">
        <f>IF(ISERROR(FIND($A$2,Lines!AP26))=TRUE,"",Lines!AP26)</f>
        <v/>
      </c>
      <c r="AQ26" s="30" t="str">
        <f>IF(ISERROR(FIND($A$2,Lines!AQ26))=TRUE,"",Lines!AQ26)</f>
        <v/>
      </c>
      <c r="AR26" s="30" t="str">
        <f>IF(ISERROR(FIND($A$2,Lines!AR26))=TRUE,"",Lines!AR26)</f>
        <v/>
      </c>
      <c r="AS26" s="30" t="str">
        <f>IF(ISERROR(FIND($A$2,Lines!AS26))=TRUE,"",Lines!AS26)</f>
        <v/>
      </c>
      <c r="AT26" s="30" t="str">
        <f>IF(ISERROR(FIND($A$2,Lines!AT26))=TRUE,"",Lines!AT26)</f>
        <v/>
      </c>
    </row>
    <row r="27" spans="1:46" ht="52" customHeight="1">
      <c r="A27" s="2" t="s">
        <v>75</v>
      </c>
      <c r="B27" s="30" t="str">
        <f>IF(ISERROR(FIND($A$2,Lines!B27))=TRUE,"",Lines!B27)</f>
        <v/>
      </c>
      <c r="C27" s="30" t="str">
        <f>IF(ISERROR(FIND($A$2,Lines!C27))=TRUE,"",Lines!C27)</f>
        <v/>
      </c>
      <c r="D27" s="30" t="str">
        <f>IF(ISERROR(FIND($A$2,Lines!D27))=TRUE,"",Lines!D27)</f>
        <v/>
      </c>
      <c r="E27" s="30" t="str">
        <f>IF(ISERROR(FIND($A$2,Lines!E27))=TRUE,"",Lines!E27)</f>
        <v/>
      </c>
      <c r="F27" s="30" t="str">
        <f>IF(ISERROR(FIND($A$2,Lines!F27))=TRUE,"",Lines!F27)</f>
        <v/>
      </c>
      <c r="G27" s="30" t="str">
        <f>IF(ISERROR(FIND($A$2,Lines!G27))=TRUE,"",Lines!G27)</f>
        <v/>
      </c>
      <c r="H27" s="30" t="str">
        <f>IF(ISERROR(FIND($A$2,Lines!H27))=TRUE,"",Lines!H27)</f>
        <v/>
      </c>
      <c r="I27" s="30" t="str">
        <f>IF(ISERROR(FIND($A$2,Lines!I27))=TRUE,"",Lines!I27)</f>
        <v/>
      </c>
      <c r="J27" s="30" t="str">
        <f>IF(ISERROR(FIND($A$2,Lines!J27))=TRUE,"",Lines!J27)</f>
        <v/>
      </c>
      <c r="K27" s="30" t="str">
        <f>IF(ISERROR(FIND($A$2,Lines!K27))=TRUE,"",Lines!K27)</f>
        <v/>
      </c>
      <c r="L27" s="30" t="str">
        <f>IF(ISERROR(FIND($A$2,Lines!L27))=TRUE,"",Lines!L27)</f>
        <v/>
      </c>
      <c r="M27" s="30" t="str">
        <f>IF(ISERROR(FIND($A$2,Lines!M27))=TRUE,"",Lines!M27)</f>
        <v/>
      </c>
      <c r="N27" s="30" t="str">
        <f>IF(ISERROR(FIND($A$2,Lines!N27))=TRUE,"",Lines!N27)</f>
        <v/>
      </c>
      <c r="O27" s="30" t="str">
        <f>IF(ISERROR(FIND($A$2,Lines!O27))=TRUE,"",Lines!O27)</f>
        <v/>
      </c>
      <c r="P27" s="30" t="str">
        <f>IF(ISERROR(FIND($A$2,Lines!P27))=TRUE,"",Lines!P27)</f>
        <v/>
      </c>
      <c r="Q27" s="30" t="str">
        <f>IF(ISERROR(FIND($A$2,Lines!Q27))=TRUE,"",Lines!Q27)</f>
        <v/>
      </c>
      <c r="R27" s="30" t="str">
        <f>IF(ISERROR(FIND($A$2,Lines!R27))=TRUE,"",Lines!R27)</f>
        <v/>
      </c>
      <c r="S27" s="30" t="str">
        <f>IF(ISERROR(FIND($A$2,Lines!S27))=TRUE,"",Lines!S27)</f>
        <v/>
      </c>
      <c r="T27" s="30" t="str">
        <f>IF(ISERROR(FIND($A$2,Lines!T27))=TRUE,"",Lines!T27)</f>
        <v/>
      </c>
      <c r="U27" s="30" t="str">
        <f>IF(ISERROR(FIND($A$2,Lines!U27))=TRUE,"",Lines!U27)</f>
        <v/>
      </c>
      <c r="V27" s="30" t="str">
        <f>IF(ISERROR(FIND($A$2,Lines!V27))=TRUE,"",Lines!V27)</f>
        <v/>
      </c>
      <c r="W27" s="36" t="str">
        <f>IF(ISERROR(FIND($A$2,Lines!W27))=TRUE,"",Lines!W27)</f>
        <v/>
      </c>
      <c r="X27" s="40" t="str">
        <f>IF(ISERROR(FIND($A$2,Lines!X27))=TRUE,"",Lines!X27)</f>
        <v/>
      </c>
      <c r="Y27" s="66" t="str">
        <f>IF(ISERROR(FIND($A$2,Lines!Y27))=TRUE,"",Lines!Y27)</f>
        <v/>
      </c>
      <c r="Z27" s="41" t="str">
        <f>IF(ISERROR(FIND($A$2,Lines!Z27))=TRUE,"",Lines!Z27)</f>
        <v/>
      </c>
      <c r="AA27" s="41" t="str">
        <f>IF(ISERROR(FIND($A$2,Lines!AA27))=TRUE,"",Lines!AA27)</f>
        <v>500AC*4, 1000(海河－保定交流)</v>
      </c>
      <c r="AB27" s="41" t="str">
        <f>IF(ISERROR(FIND($A$2,Lines!AB27))=TRUE,"",Lines!AB27)</f>
        <v>500AC*13, 220AC*2, 110AC*1, 1000(北岳－保定交流)</v>
      </c>
      <c r="AC27" s="41" t="str">
        <f>IF(ISERROR(FIND($A$2,Lines!AC27))=TRUE,"",Lines!AC27)</f>
        <v>500AC*4, 1000（山东-河北特高压环网工程4000MW）</v>
      </c>
      <c r="AD27" s="46" t="str">
        <f>IF(ISERROR(FIND($A$2,Lines!AD27))=TRUE,"",Lines!AD27)</f>
        <v/>
      </c>
      <c r="AE27" s="30" t="str">
        <f>IF(ISERROR(FIND($A$2,Lines!AE27))=TRUE,"",Lines!AE27)</f>
        <v/>
      </c>
      <c r="AF27" s="30" t="str">
        <f>IF(ISERROR(FIND($A$2,Lines!AF27))=TRUE,"",Lines!AF27)</f>
        <v/>
      </c>
      <c r="AG27" s="30" t="str">
        <f>IF(ISERROR(FIND($A$2,Lines!AG27))=TRUE,"",Lines!AG27)</f>
        <v/>
      </c>
      <c r="AH27" s="30" t="str">
        <f>IF(ISERROR(FIND($A$2,Lines!AH27))=TRUE,"",Lines!AH27)</f>
        <v/>
      </c>
      <c r="AI27" s="30" t="str">
        <f>IF(ISERROR(FIND($A$2,Lines!AI27))=TRUE,"",Lines!AI27)</f>
        <v/>
      </c>
      <c r="AJ27" s="30" t="str">
        <f>IF(ISERROR(FIND($A$2,Lines!AJ27))=TRUE,"",Lines!AJ27)</f>
        <v/>
      </c>
      <c r="AK27" s="30" t="str">
        <f>IF(ISERROR(FIND($A$2,Lines!AK27))=TRUE,"",Lines!AK27)</f>
        <v/>
      </c>
      <c r="AL27" s="30" t="str">
        <f>IF(ISERROR(FIND($A$2,Lines!AL27))=TRUE,"",Lines!AL27)</f>
        <v/>
      </c>
      <c r="AM27" s="30" t="str">
        <f>IF(ISERROR(FIND($A$2,Lines!AM27))=TRUE,"",Lines!AM27)</f>
        <v/>
      </c>
      <c r="AN27" s="30" t="str">
        <f>IF(ISERROR(FIND($A$2,Lines!AN27))=TRUE,"",Lines!AN27)</f>
        <v/>
      </c>
      <c r="AO27" s="30" t="str">
        <f>IF(ISERROR(FIND($A$2,Lines!AO27))=TRUE,"",Lines!AO27)</f>
        <v/>
      </c>
      <c r="AP27" s="30" t="str">
        <f>IF(ISERROR(FIND($A$2,Lines!AP27))=TRUE,"",Lines!AP27)</f>
        <v/>
      </c>
      <c r="AQ27" s="30" t="str">
        <f>IF(ISERROR(FIND($A$2,Lines!AQ27))=TRUE,"",Lines!AQ27)</f>
        <v/>
      </c>
      <c r="AR27" s="30" t="str">
        <f>IF(ISERROR(FIND($A$2,Lines!AR27))=TRUE,"",Lines!AR27)</f>
        <v/>
      </c>
      <c r="AS27" s="30" t="str">
        <f>IF(ISERROR(FIND($A$2,Lines!AS27))=TRUE,"",Lines!AS27)</f>
        <v/>
      </c>
      <c r="AT27" s="30" t="str">
        <f>IF(ISERROR(FIND($A$2,Lines!AT27))=TRUE,"",Lines!AT27)</f>
        <v/>
      </c>
    </row>
    <row r="28" spans="1:46" ht="20.25" customHeight="1">
      <c r="A28" s="2" t="s">
        <v>76</v>
      </c>
      <c r="B28" s="30" t="str">
        <f>IF(ISERROR(FIND($A$2,Lines!B28))=TRUE,"",Lines!B28)</f>
        <v/>
      </c>
      <c r="C28" s="30" t="str">
        <f>IF(ISERROR(FIND($A$2,Lines!C28))=TRUE,"",Lines!C28)</f>
        <v/>
      </c>
      <c r="D28" s="30" t="str">
        <f>IF(ISERROR(FIND($A$2,Lines!D28))=TRUE,"",Lines!D28)</f>
        <v/>
      </c>
      <c r="E28" s="30" t="str">
        <f>IF(ISERROR(FIND($A$2,Lines!E28))=TRUE,"",Lines!E28)</f>
        <v/>
      </c>
      <c r="F28" s="30" t="str">
        <f>IF(ISERROR(FIND($A$2,Lines!F28))=TRUE,"",Lines!F28)</f>
        <v/>
      </c>
      <c r="G28" s="30" t="str">
        <f>IF(ISERROR(FIND($A$2,Lines!G28))=TRUE,"",Lines!G28)</f>
        <v/>
      </c>
      <c r="H28" s="30" t="str">
        <f>IF(ISERROR(FIND($A$2,Lines!H28))=TRUE,"",Lines!H28)</f>
        <v/>
      </c>
      <c r="I28" s="30" t="str">
        <f>IF(ISERROR(FIND($A$2,Lines!I28))=TRUE,"",Lines!I28)</f>
        <v/>
      </c>
      <c r="J28" s="30" t="str">
        <f>IF(ISERROR(FIND($A$2,Lines!J28))=TRUE,"",Lines!J28)</f>
        <v/>
      </c>
      <c r="K28" s="30" t="str">
        <f>IF(ISERROR(FIND($A$2,Lines!K28))=TRUE,"",Lines!K28)</f>
        <v/>
      </c>
      <c r="L28" s="30" t="str">
        <f>IF(ISERROR(FIND($A$2,Lines!L28))=TRUE,"",Lines!L28)</f>
        <v/>
      </c>
      <c r="M28" s="30" t="str">
        <f>IF(ISERROR(FIND($A$2,Lines!M28))=TRUE,"",Lines!M28)</f>
        <v/>
      </c>
      <c r="N28" s="30" t="str">
        <f>IF(ISERROR(FIND($A$2,Lines!N28))=TRUE,"",Lines!N28)</f>
        <v/>
      </c>
      <c r="O28" s="30" t="str">
        <f>IF(ISERROR(FIND($A$2,Lines!O28))=TRUE,"",Lines!O28)</f>
        <v/>
      </c>
      <c r="P28" s="30" t="str">
        <f>IF(ISERROR(FIND($A$2,Lines!P28))=TRUE,"",Lines!P28)</f>
        <v/>
      </c>
      <c r="Q28" s="30" t="str">
        <f>IF(ISERROR(FIND($A$2,Lines!Q28))=TRUE,"",Lines!Q28)</f>
        <v/>
      </c>
      <c r="R28" s="30" t="str">
        <f>IF(ISERROR(FIND($A$2,Lines!R28))=TRUE,"",Lines!R28)</f>
        <v/>
      </c>
      <c r="S28" s="30" t="str">
        <f>IF(ISERROR(FIND($A$2,Lines!S28))=TRUE,"",Lines!S28)</f>
        <v/>
      </c>
      <c r="T28" s="30" t="str">
        <f>IF(ISERROR(FIND($A$2,Lines!T28))=TRUE,"",Lines!T28)</f>
        <v/>
      </c>
      <c r="U28" s="30" t="str">
        <f>IF(ISERROR(FIND($A$2,Lines!U28))=TRUE,"",Lines!U28)</f>
        <v/>
      </c>
      <c r="V28" s="30" t="str">
        <f>IF(ISERROR(FIND($A$2,Lines!V28))=TRUE,"",Lines!V28)</f>
        <v/>
      </c>
      <c r="W28" s="36" t="str">
        <f>IF(ISERROR(FIND($A$2,Lines!W28))=TRUE,"",Lines!W28)</f>
        <v/>
      </c>
      <c r="X28" s="40" t="str">
        <f>IF(ISERROR(FIND($A$2,Lines!X28))=TRUE,"",Lines!X28)</f>
        <v>500AC*9, 1000北京-石家庄（5000MW）</v>
      </c>
      <c r="Y28" s="41" t="str">
        <f>IF(ISERROR(FIND($A$2,Lines!Y28))=TRUE,"",Lines!Y28)</f>
        <v/>
      </c>
      <c r="Z28" s="66" t="str">
        <f>IF(ISERROR(FIND($A$2,Lines!Z28))=TRUE,"",Lines!Z28)</f>
        <v/>
      </c>
      <c r="AA28" s="41" t="str">
        <f>IF(ISERROR(FIND($A$2,Lines!AA28))=TRUE,"",Lines!AA28)</f>
        <v/>
      </c>
      <c r="AB28" s="41" t="str">
        <f>IF(ISERROR(FIND($A$2,Lines!AB28))=TRUE,"",Lines!AB28)</f>
        <v/>
      </c>
      <c r="AC28" s="41" t="str">
        <f>IF(ISERROR(FIND($A$2,Lines!AC28))=TRUE,"",Lines!AC28)</f>
        <v/>
      </c>
      <c r="AD28" s="46" t="str">
        <f>IF(ISERROR(FIND($A$2,Lines!AD28))=TRUE,"",Lines!AD28)</f>
        <v/>
      </c>
      <c r="AE28" s="30" t="str">
        <f>IF(ISERROR(FIND($A$2,Lines!AE28))=TRUE,"",Lines!AE28)</f>
        <v/>
      </c>
      <c r="AF28" s="30" t="str">
        <f>IF(ISERROR(FIND($A$2,Lines!AF28))=TRUE,"",Lines!AF28)</f>
        <v/>
      </c>
      <c r="AG28" s="30" t="str">
        <f>IF(ISERROR(FIND($A$2,Lines!AG28))=TRUE,"",Lines!AG28)</f>
        <v/>
      </c>
      <c r="AH28" s="30" t="str">
        <f>IF(ISERROR(FIND($A$2,Lines!AH28))=TRUE,"",Lines!AH28)</f>
        <v/>
      </c>
      <c r="AI28" s="30" t="str">
        <f>IF(ISERROR(FIND($A$2,Lines!AI28))=TRUE,"",Lines!AI28)</f>
        <v/>
      </c>
      <c r="AJ28" s="30" t="str">
        <f>IF(ISERROR(FIND($A$2,Lines!AJ28))=TRUE,"",Lines!AJ28)</f>
        <v/>
      </c>
      <c r="AK28" s="30" t="str">
        <f>IF(ISERROR(FIND($A$2,Lines!AK28))=TRUE,"",Lines!AK28)</f>
        <v/>
      </c>
      <c r="AL28" s="30" t="str">
        <f>IF(ISERROR(FIND($A$2,Lines!AL28))=TRUE,"",Lines!AL28)</f>
        <v/>
      </c>
      <c r="AM28" s="30" t="str">
        <f>IF(ISERROR(FIND($A$2,Lines!AM28))=TRUE,"",Lines!AM28)</f>
        <v/>
      </c>
      <c r="AN28" s="30" t="str">
        <f>IF(ISERROR(FIND($A$2,Lines!AN28))=TRUE,"",Lines!AN28)</f>
        <v/>
      </c>
      <c r="AO28" s="30" t="str">
        <f>IF(ISERROR(FIND($A$2,Lines!AO28))=TRUE,"",Lines!AO28)</f>
        <v/>
      </c>
      <c r="AP28" s="30" t="str">
        <f>IF(ISERROR(FIND($A$2,Lines!AP28))=TRUE,"",Lines!AP28)</f>
        <v/>
      </c>
      <c r="AQ28" s="30" t="str">
        <f>IF(ISERROR(FIND($A$2,Lines!AQ28))=TRUE,"",Lines!AQ28)</f>
        <v/>
      </c>
      <c r="AR28" s="30" t="str">
        <f>IF(ISERROR(FIND($A$2,Lines!AR28))=TRUE,"",Lines!AR28)</f>
        <v/>
      </c>
      <c r="AS28" s="30" t="str">
        <f>IF(ISERROR(FIND($A$2,Lines!AS28))=TRUE,"",Lines!AS28)</f>
        <v/>
      </c>
      <c r="AT28" s="30" t="str">
        <f>IF(ISERROR(FIND($A$2,Lines!AT28))=TRUE,"",Lines!AT28)</f>
        <v/>
      </c>
    </row>
    <row r="29" spans="1:46" ht="20.25" customHeight="1">
      <c r="A29" s="2" t="s">
        <v>77</v>
      </c>
      <c r="B29" s="30" t="str">
        <f>IF(ISERROR(FIND($A$2,Lines!B29))=TRUE,"",Lines!B29)</f>
        <v/>
      </c>
      <c r="C29" s="30" t="str">
        <f>IF(ISERROR(FIND($A$2,Lines!C29))=TRUE,"",Lines!C29)</f>
        <v/>
      </c>
      <c r="D29" s="30" t="str">
        <f>IF(ISERROR(FIND($A$2,Lines!D29))=TRUE,"",Lines!D29)</f>
        <v/>
      </c>
      <c r="E29" s="30" t="str">
        <f>IF(ISERROR(FIND($A$2,Lines!E29))=TRUE,"",Lines!E29)</f>
        <v/>
      </c>
      <c r="F29" s="30" t="str">
        <f>IF(ISERROR(FIND($A$2,Lines!F29))=TRUE,"",Lines!F29)</f>
        <v/>
      </c>
      <c r="G29" s="30" t="str">
        <f>IF(ISERROR(FIND($A$2,Lines!G29))=TRUE,"",Lines!G29)</f>
        <v/>
      </c>
      <c r="H29" s="30" t="str">
        <f>IF(ISERROR(FIND($A$2,Lines!H29))=TRUE,"",Lines!H29)</f>
        <v/>
      </c>
      <c r="I29" s="30" t="str">
        <f>IF(ISERROR(FIND($A$2,Lines!I29))=TRUE,"",Lines!I29)</f>
        <v/>
      </c>
      <c r="J29" s="30" t="str">
        <f>IF(ISERROR(FIND($A$2,Lines!J29))=TRUE,"",Lines!J29)</f>
        <v/>
      </c>
      <c r="K29" s="30" t="str">
        <f>IF(ISERROR(FIND($A$2,Lines!K29))=TRUE,"",Lines!K29)</f>
        <v/>
      </c>
      <c r="L29" s="30" t="str">
        <f>IF(ISERROR(FIND($A$2,Lines!L29))=TRUE,"",Lines!L29)</f>
        <v/>
      </c>
      <c r="M29" s="30" t="str">
        <f>IF(ISERROR(FIND($A$2,Lines!M29))=TRUE,"",Lines!M29)</f>
        <v/>
      </c>
      <c r="N29" s="30" t="str">
        <f>IF(ISERROR(FIND($A$2,Lines!N29))=TRUE,"",Lines!N29)</f>
        <v/>
      </c>
      <c r="O29" s="30" t="str">
        <f>IF(ISERROR(FIND($A$2,Lines!O29))=TRUE,"",Lines!O29)</f>
        <v/>
      </c>
      <c r="P29" s="30" t="str">
        <f>IF(ISERROR(FIND($A$2,Lines!P29))=TRUE,"",Lines!P29)</f>
        <v/>
      </c>
      <c r="Q29" s="30" t="str">
        <f>IF(ISERROR(FIND($A$2,Lines!Q29))=TRUE,"",Lines!Q29)</f>
        <v/>
      </c>
      <c r="R29" s="30" t="str">
        <f>IF(ISERROR(FIND($A$2,Lines!R29))=TRUE,"",Lines!R29)</f>
        <v/>
      </c>
      <c r="S29" s="30" t="str">
        <f>IF(ISERROR(FIND($A$2,Lines!S29))=TRUE,"",Lines!S29)</f>
        <v/>
      </c>
      <c r="T29" s="30" t="str">
        <f>IF(ISERROR(FIND($A$2,Lines!T29))=TRUE,"",Lines!T29)</f>
        <v/>
      </c>
      <c r="U29" s="30" t="str">
        <f>IF(ISERROR(FIND($A$2,Lines!U29))=TRUE,"",Lines!U29)</f>
        <v/>
      </c>
      <c r="V29" s="30" t="str">
        <f>IF(ISERROR(FIND($A$2,Lines!V29))=TRUE,"",Lines!V29)</f>
        <v/>
      </c>
      <c r="W29" s="36" t="str">
        <f>IF(ISERROR(FIND($A$2,Lines!W29))=TRUE,"",Lines!W29)</f>
        <v/>
      </c>
      <c r="X29" s="39" t="str">
        <f>IF(ISERROR(FIND($A$2,Lines!X29))=TRUE,"",Lines!X29)</f>
        <v>500AC*2, 1000（廊坊－海河)</v>
      </c>
      <c r="Y29" s="41" t="str">
        <f>IF(ISERROR(FIND($A$2,Lines!Y29))=TRUE,"",Lines!Y29)</f>
        <v>500AC*4, 1000(海河－保定交流)</v>
      </c>
      <c r="Z29" s="41" t="str">
        <f>IF(ISERROR(FIND($A$2,Lines!Z29))=TRUE,"",Lines!Z29)</f>
        <v/>
      </c>
      <c r="AA29" s="66" t="str">
        <f>IF(ISERROR(FIND($A$2,Lines!AA29))=TRUE,"",Lines!AA29)</f>
        <v/>
      </c>
      <c r="AB29" s="41" t="str">
        <f>IF(ISERROR(FIND($A$2,Lines!AB29))=TRUE,"",Lines!AB29)</f>
        <v/>
      </c>
      <c r="AC29" s="41" t="str">
        <f>IF(ISERROR(FIND($A$2,Lines!AC29))=TRUE,"",Lines!AC29)</f>
        <v/>
      </c>
      <c r="AD29" s="46" t="str">
        <f>IF(ISERROR(FIND($A$2,Lines!AD29))=TRUE,"",Lines!AD29)</f>
        <v>1000蒙西-天津南（5000MW）</v>
      </c>
      <c r="AE29" s="30" t="str">
        <f>IF(ISERROR(FIND($A$2,Lines!AE29))=TRUE,"",Lines!AE29)</f>
        <v/>
      </c>
      <c r="AF29" s="30" t="str">
        <f>IF(ISERROR(FIND($A$2,Lines!AF29))=TRUE,"",Lines!AF29)</f>
        <v/>
      </c>
      <c r="AG29" s="30" t="str">
        <f>IF(ISERROR(FIND($A$2,Lines!AG29))=TRUE,"",Lines!AG29)</f>
        <v/>
      </c>
      <c r="AH29" s="30" t="str">
        <f>IF(ISERROR(FIND($A$2,Lines!AH29))=TRUE,"",Lines!AH29)</f>
        <v/>
      </c>
      <c r="AI29" s="30" t="str">
        <f>IF(ISERROR(FIND($A$2,Lines!AI29))=TRUE,"",Lines!AI29)</f>
        <v/>
      </c>
      <c r="AJ29" s="30" t="str">
        <f>IF(ISERROR(FIND($A$2,Lines!AJ29))=TRUE,"",Lines!AJ29)</f>
        <v/>
      </c>
      <c r="AK29" s="30" t="str">
        <f>IF(ISERROR(FIND($A$2,Lines!AK29))=TRUE,"",Lines!AK29)</f>
        <v/>
      </c>
      <c r="AL29" s="30" t="str">
        <f>IF(ISERROR(FIND($A$2,Lines!AL29))=TRUE,"",Lines!AL29)</f>
        <v/>
      </c>
      <c r="AM29" s="30" t="str">
        <f>IF(ISERROR(FIND($A$2,Lines!AM29))=TRUE,"",Lines!AM29)</f>
        <v/>
      </c>
      <c r="AN29" s="30" t="str">
        <f>IF(ISERROR(FIND($A$2,Lines!AN29))=TRUE,"",Lines!AN29)</f>
        <v/>
      </c>
      <c r="AO29" s="30" t="str">
        <f>IF(ISERROR(FIND($A$2,Lines!AO29))=TRUE,"",Lines!AO29)</f>
        <v/>
      </c>
      <c r="AP29" s="30" t="str">
        <f>IF(ISERROR(FIND($A$2,Lines!AP29))=TRUE,"",Lines!AP29)</f>
        <v/>
      </c>
      <c r="AQ29" s="30" t="str">
        <f>IF(ISERROR(FIND($A$2,Lines!AQ29))=TRUE,"",Lines!AQ29)</f>
        <v/>
      </c>
      <c r="AR29" s="30" t="str">
        <f>IF(ISERROR(FIND($A$2,Lines!AR29))=TRUE,"",Lines!AR29)</f>
        <v/>
      </c>
      <c r="AS29" s="30" t="str">
        <f>IF(ISERROR(FIND($A$2,Lines!AS29))=TRUE,"",Lines!AS29)</f>
        <v/>
      </c>
      <c r="AT29" s="30" t="str">
        <f>IF(ISERROR(FIND($A$2,Lines!AT29))=TRUE,"",Lines!AT29)</f>
        <v/>
      </c>
    </row>
    <row r="30" spans="1:46" ht="20.25" customHeight="1">
      <c r="A30" s="2" t="s">
        <v>78</v>
      </c>
      <c r="B30" s="30" t="str">
        <f>IF(ISERROR(FIND($A$2,Lines!B30))=TRUE,"",Lines!B30)</f>
        <v/>
      </c>
      <c r="C30" s="30" t="str">
        <f>IF(ISERROR(FIND($A$2,Lines!C30))=TRUE,"",Lines!C30)</f>
        <v/>
      </c>
      <c r="D30" s="30" t="str">
        <f>IF(ISERROR(FIND($A$2,Lines!D30))=TRUE,"",Lines!D30)</f>
        <v/>
      </c>
      <c r="E30" s="30" t="str">
        <f>IF(ISERROR(FIND($A$2,Lines!E30))=TRUE,"",Lines!E30)</f>
        <v/>
      </c>
      <c r="F30" s="30" t="str">
        <f>IF(ISERROR(FIND($A$2,Lines!F30))=TRUE,"",Lines!F30)</f>
        <v/>
      </c>
      <c r="G30" s="30" t="str">
        <f>IF(ISERROR(FIND($A$2,Lines!G30))=TRUE,"",Lines!G30)</f>
        <v/>
      </c>
      <c r="H30" s="30" t="str">
        <f>IF(ISERROR(FIND($A$2,Lines!H30))=TRUE,"",Lines!H30)</f>
        <v/>
      </c>
      <c r="I30" s="30" t="str">
        <f>IF(ISERROR(FIND($A$2,Lines!I30))=TRUE,"",Lines!I30)</f>
        <v/>
      </c>
      <c r="J30" s="30" t="str">
        <f>IF(ISERROR(FIND($A$2,Lines!J30))=TRUE,"",Lines!J30)</f>
        <v/>
      </c>
      <c r="K30" s="30" t="str">
        <f>IF(ISERROR(FIND($A$2,Lines!K30))=TRUE,"",Lines!K30)</f>
        <v/>
      </c>
      <c r="L30" s="30" t="str">
        <f>IF(ISERROR(FIND($A$2,Lines!L30))=TRUE,"",Lines!L30)</f>
        <v/>
      </c>
      <c r="M30" s="30" t="str">
        <f>IF(ISERROR(FIND($A$2,Lines!M30))=TRUE,"",Lines!M30)</f>
        <v/>
      </c>
      <c r="N30" s="30" t="str">
        <f>IF(ISERROR(FIND($A$2,Lines!N30))=TRUE,"",Lines!N30)</f>
        <v/>
      </c>
      <c r="O30" s="30" t="str">
        <f>IF(ISERROR(FIND($A$2,Lines!O30))=TRUE,"",Lines!O30)</f>
        <v/>
      </c>
      <c r="P30" s="30" t="str">
        <f>IF(ISERROR(FIND($A$2,Lines!P30))=TRUE,"",Lines!P30)</f>
        <v/>
      </c>
      <c r="Q30" s="30" t="str">
        <f>IF(ISERROR(FIND($A$2,Lines!Q30))=TRUE,"",Lines!Q30)</f>
        <v/>
      </c>
      <c r="R30" s="30" t="str">
        <f>IF(ISERROR(FIND($A$2,Lines!R30))=TRUE,"",Lines!R30)</f>
        <v/>
      </c>
      <c r="S30" s="30" t="str">
        <f>IF(ISERROR(FIND($A$2,Lines!S30))=TRUE,"",Lines!S30)</f>
        <v/>
      </c>
      <c r="T30" s="30" t="str">
        <f>IF(ISERROR(FIND($A$2,Lines!T30))=TRUE,"",Lines!T30)</f>
        <v/>
      </c>
      <c r="U30" s="30" t="str">
        <f>IF(ISERROR(FIND($A$2,Lines!U30))=TRUE,"",Lines!U30)</f>
        <v/>
      </c>
      <c r="V30" s="30" t="str">
        <f>IF(ISERROR(FIND($A$2,Lines!V30))=TRUE,"",Lines!V30)</f>
        <v/>
      </c>
      <c r="W30" s="36" t="str">
        <f>IF(ISERROR(FIND($A$2,Lines!W30))=TRUE,"",Lines!W30)</f>
        <v/>
      </c>
      <c r="X30" s="40" t="str">
        <f>IF(ISERROR(FIND($A$2,Lines!X30))=TRUE,"",Lines!X30)</f>
        <v/>
      </c>
      <c r="Y30" s="41" t="str">
        <f>IF(ISERROR(FIND($A$2,Lines!Y30))=TRUE,"",Lines!Y30)</f>
        <v>500AC*13, 220AC*2, 110AC*1, 1000(北岳－保定交流)</v>
      </c>
      <c r="Z30" s="41" t="str">
        <f>IF(ISERROR(FIND($A$2,Lines!Z30))=TRUE,"",Lines!Z30)</f>
        <v/>
      </c>
      <c r="AA30" s="41" t="str">
        <f>IF(ISERROR(FIND($A$2,Lines!AA30))=TRUE,"",Lines!AA30)</f>
        <v/>
      </c>
      <c r="AB30" s="66" t="str">
        <f>IF(ISERROR(FIND($A$2,Lines!AB30))=TRUE,"",Lines!AB30)</f>
        <v/>
      </c>
      <c r="AC30" s="41" t="str">
        <f>IF(ISERROR(FIND($A$2,Lines!AC30))=TRUE,"",Lines!AC30)</f>
        <v/>
      </c>
      <c r="AD30" s="53" t="str">
        <f>IF(ISERROR(FIND($A$2,Lines!AD30))=TRUE,"",Lines!AD30)</f>
        <v>500AC*4, 1000蒙西-晋中（5000MW）</v>
      </c>
      <c r="AE30" s="30" t="str">
        <f>IF(ISERROR(FIND($A$2,Lines!AE30))=TRUE,"",Lines!AE30)</f>
        <v>1000(晋东南--南阳--荆门5000MW)</v>
      </c>
      <c r="AF30" s="30" t="str">
        <f>IF(ISERROR(FIND($A$2,Lines!AF30))=TRUE,"",Lines!AF30)</f>
        <v/>
      </c>
      <c r="AG30" s="30" t="str">
        <f>IF(ISERROR(FIND($A$2,Lines!AG30))=TRUE,"",Lines!AG30)</f>
        <v/>
      </c>
      <c r="AH30" s="30" t="str">
        <f>IF(ISERROR(FIND($A$2,Lines!AH30))=TRUE,"",Lines!AH30)</f>
        <v/>
      </c>
      <c r="AI30" s="30" t="str">
        <f>IF(ISERROR(FIND($A$2,Lines!AI30))=TRUE,"",Lines!AI30)</f>
        <v/>
      </c>
      <c r="AJ30" s="30" t="str">
        <f>IF(ISERROR(FIND($A$2,Lines!AJ30))=TRUE,"",Lines!AJ30)</f>
        <v/>
      </c>
      <c r="AK30" s="30" t="str">
        <f>IF(ISERROR(FIND($A$2,Lines!AK30))=TRUE,"",Lines!AK30)</f>
        <v/>
      </c>
      <c r="AL30" s="30" t="str">
        <f>IF(ISERROR(FIND($A$2,Lines!AL30))=TRUE,"",Lines!AL30)</f>
        <v/>
      </c>
      <c r="AM30" s="30" t="str">
        <f>IF(ISERROR(FIND($A$2,Lines!AM30))=TRUE,"",Lines!AM30)</f>
        <v/>
      </c>
      <c r="AN30" s="30" t="str">
        <f>IF(ISERROR(FIND($A$2,Lines!AN30))=TRUE,"",Lines!AN30)</f>
        <v/>
      </c>
      <c r="AO30" s="30" t="str">
        <f>IF(ISERROR(FIND($A$2,Lines!AO30))=TRUE,"",Lines!AO30)</f>
        <v/>
      </c>
      <c r="AP30" s="30" t="str">
        <f>IF(ISERROR(FIND($A$2,Lines!AP30))=TRUE,"",Lines!AP30)</f>
        <v/>
      </c>
      <c r="AQ30" s="30" t="str">
        <f>IF(ISERROR(FIND($A$2,Lines!AQ30))=TRUE,"",Lines!AQ30)</f>
        <v/>
      </c>
      <c r="AR30" s="30" t="str">
        <f>IF(ISERROR(FIND($A$2,Lines!AR30))=TRUE,"",Lines!AR30)</f>
        <v/>
      </c>
      <c r="AS30" s="30" t="str">
        <f>IF(ISERROR(FIND($A$2,Lines!AS30))=TRUE,"",Lines!AS30)</f>
        <v/>
      </c>
      <c r="AT30" s="30" t="str">
        <f>IF(ISERROR(FIND($A$2,Lines!AT30))=TRUE,"",Lines!AT30)</f>
        <v/>
      </c>
    </row>
    <row r="31" spans="1:46" ht="20.25" customHeight="1">
      <c r="A31" s="2" t="s">
        <v>79</v>
      </c>
      <c r="B31" s="30" t="str">
        <f>IF(ISERROR(FIND($A$2,Lines!B31))=TRUE,"",Lines!B31)</f>
        <v/>
      </c>
      <c r="C31" s="30" t="str">
        <f>IF(ISERROR(FIND($A$2,Lines!C31))=TRUE,"",Lines!C31)</f>
        <v/>
      </c>
      <c r="D31" s="30" t="str">
        <f>IF(ISERROR(FIND($A$2,Lines!D31))=TRUE,"",Lines!D31)</f>
        <v/>
      </c>
      <c r="E31" s="30" t="str">
        <f>IF(ISERROR(FIND($A$2,Lines!E31))=TRUE,"",Lines!E31)</f>
        <v/>
      </c>
      <c r="F31" s="30" t="str">
        <f>IF(ISERROR(FIND($A$2,Lines!F31))=TRUE,"",Lines!F31)</f>
        <v/>
      </c>
      <c r="G31" s="30" t="str">
        <f>IF(ISERROR(FIND($A$2,Lines!G31))=TRUE,"",Lines!G31)</f>
        <v/>
      </c>
      <c r="H31" s="30" t="str">
        <f>IF(ISERROR(FIND($A$2,Lines!H31))=TRUE,"",Lines!H31)</f>
        <v/>
      </c>
      <c r="I31" s="30" t="str">
        <f>IF(ISERROR(FIND($A$2,Lines!I31))=TRUE,"",Lines!I31)</f>
        <v/>
      </c>
      <c r="J31" s="30" t="str">
        <f>IF(ISERROR(FIND($A$2,Lines!J31))=TRUE,"",Lines!J31)</f>
        <v/>
      </c>
      <c r="K31" s="30" t="str">
        <f>IF(ISERROR(FIND($A$2,Lines!K31))=TRUE,"",Lines!K31)</f>
        <v/>
      </c>
      <c r="L31" s="30" t="str">
        <f>IF(ISERROR(FIND($A$2,Lines!L31))=TRUE,"",Lines!L31)</f>
        <v/>
      </c>
      <c r="M31" s="30" t="str">
        <f>IF(ISERROR(FIND($A$2,Lines!M31))=TRUE,"",Lines!M31)</f>
        <v>±800扎鲁特-山东（10000MW）+2*1000锡盟-山东（4000MW+5000MW）</v>
      </c>
      <c r="N31" s="30" t="str">
        <f>IF(ISERROR(FIND($A$2,Lines!N31))=TRUE,"",Lines!N31)</f>
        <v>1000榆横-潍坊（7200MW）</v>
      </c>
      <c r="O31" s="30" t="str">
        <f>IF(ISERROR(FIND($A$2,Lines!O31))=TRUE,"",Lines!O31)</f>
        <v/>
      </c>
      <c r="P31" s="30" t="str">
        <f>IF(ISERROR(FIND($A$2,Lines!P31))=TRUE,"",Lines!P31)</f>
        <v/>
      </c>
      <c r="Q31" s="30" t="str">
        <f>IF(ISERROR(FIND($A$2,Lines!Q31))=TRUE,"",Lines!Q31)</f>
        <v/>
      </c>
      <c r="R31" s="30" t="str">
        <f>IF(ISERROR(FIND($A$2,Lines!R31))=TRUE,"",Lines!R31)</f>
        <v/>
      </c>
      <c r="S31" s="30" t="str">
        <f>IF(ISERROR(FIND($A$2,Lines!S31))=TRUE,"",Lines!S31)</f>
        <v/>
      </c>
      <c r="T31" s="30" t="str">
        <f>IF(ISERROR(FIND($A$2,Lines!T31))=TRUE,"",Lines!T31)</f>
        <v/>
      </c>
      <c r="U31" s="30" t="str">
        <f>IF(ISERROR(FIND($A$2,Lines!U31))=TRUE,"",Lines!U31)</f>
        <v/>
      </c>
      <c r="V31" s="30" t="str">
        <f>IF(ISERROR(FIND($A$2,Lines!V31))=TRUE,"",Lines!V31)</f>
        <v/>
      </c>
      <c r="W31" s="36" t="str">
        <f>IF(ISERROR(FIND($A$2,Lines!W31))=TRUE,"",Lines!W31)</f>
        <v/>
      </c>
      <c r="X31" s="39" t="str">
        <f>IF(ISERROR(FIND($A$2,Lines!X31))=TRUE,"",Lines!X31)</f>
        <v/>
      </c>
      <c r="Y31" s="41" t="str">
        <f>IF(ISERROR(FIND($A$2,Lines!Y31))=TRUE,"",Lines!Y31)</f>
        <v>500AC*4, 1000（山东-河北特高压环网工程4000MW）</v>
      </c>
      <c r="Z31" s="41" t="str">
        <f>IF(ISERROR(FIND($A$2,Lines!Z31))=TRUE,"",Lines!Z31)</f>
        <v/>
      </c>
      <c r="AA31" s="41" t="str">
        <f>IF(ISERROR(FIND($A$2,Lines!AA31))=TRUE,"",Lines!AA31)</f>
        <v/>
      </c>
      <c r="AB31" s="41" t="str">
        <f>IF(ISERROR(FIND($A$2,Lines!AB31))=TRUE,"",Lines!AB31)</f>
        <v/>
      </c>
      <c r="AC31" s="66" t="str">
        <f>IF(ISERROR(FIND($A$2,Lines!AC31))=TRUE,"",Lines!AC31)</f>
        <v/>
      </c>
      <c r="AD31" s="46" t="str">
        <f>IF(ISERROR(FIND($A$2,Lines!AD31))=TRUE,"",Lines!AD31)</f>
        <v>±800上海庙-山东（10000MW）</v>
      </c>
      <c r="AE31" s="30" t="str">
        <f>IF(ISERROR(FIND($A$2,Lines!AE31))=TRUE,"",Lines!AE31)</f>
        <v/>
      </c>
      <c r="AF31" s="30" t="str">
        <f>IF(ISERROR(FIND($A$2,Lines!AF31))=TRUE,"",Lines!AF31)</f>
        <v/>
      </c>
      <c r="AG31" s="30" t="str">
        <f>IF(ISERROR(FIND($A$2,Lines!AG31))=TRUE,"",Lines!AG31)</f>
        <v/>
      </c>
      <c r="AH31" s="30" t="str">
        <f>IF(ISERROR(FIND($A$2,Lines!AH31))=TRUE,"",Lines!AH31)</f>
        <v/>
      </c>
      <c r="AI31" s="30" t="str">
        <f>IF(ISERROR(FIND($A$2,Lines!AI31))=TRUE,"",Lines!AI31)</f>
        <v/>
      </c>
      <c r="AJ31" s="30" t="str">
        <f>IF(ISERROR(FIND($A$2,Lines!AJ31))=TRUE,"",Lines!AJ31)</f>
        <v/>
      </c>
      <c r="AK31" s="30" t="str">
        <f>IF(ISERROR(FIND($A$2,Lines!AK31))=TRUE,"",Lines!AK31)</f>
        <v/>
      </c>
      <c r="AL31" s="30" t="str">
        <f>IF(ISERROR(FIND($A$2,Lines!AL31))=TRUE,"",Lines!AL31)</f>
        <v/>
      </c>
      <c r="AM31" s="30" t="str">
        <f>IF(ISERROR(FIND($A$2,Lines!AM31))=TRUE,"",Lines!AM31)</f>
        <v/>
      </c>
      <c r="AN31" s="30" t="str">
        <f>IF(ISERROR(FIND($A$2,Lines!AN31))=TRUE,"",Lines!AN31)</f>
        <v/>
      </c>
      <c r="AO31" s="30" t="str">
        <f>IF(ISERROR(FIND($A$2,Lines!AO31))=TRUE,"",Lines!AO31)</f>
        <v/>
      </c>
      <c r="AP31" s="30" t="str">
        <f>IF(ISERROR(FIND($A$2,Lines!AP31))=TRUE,"",Lines!AP31)</f>
        <v/>
      </c>
      <c r="AQ31" s="30" t="str">
        <f>IF(ISERROR(FIND($A$2,Lines!AQ31))=TRUE,"",Lines!AQ31)</f>
        <v/>
      </c>
      <c r="AR31" s="30" t="str">
        <f>IF(ISERROR(FIND($A$2,Lines!AR31))=TRUE,"",Lines!AR31)</f>
        <v/>
      </c>
      <c r="AS31" s="30" t="str">
        <f>IF(ISERROR(FIND($A$2,Lines!AS31))=TRUE,"",Lines!AS31)</f>
        <v/>
      </c>
      <c r="AT31" s="30" t="str">
        <f>IF(ISERROR(FIND($A$2,Lines!AT31))=TRUE,"",Lines!AT31)</f>
        <v/>
      </c>
    </row>
    <row r="32" spans="1:46" ht="20.25" customHeight="1">
      <c r="A32" s="2" t="s">
        <v>80</v>
      </c>
      <c r="B32" s="30" t="str">
        <f>IF(ISERROR(FIND($A$2,Lines!B32))=TRUE,"",Lines!B32)</f>
        <v/>
      </c>
      <c r="C32" s="30" t="str">
        <f>IF(ISERROR(FIND($A$2,Lines!C32))=TRUE,"",Lines!C32)</f>
        <v/>
      </c>
      <c r="D32" s="30" t="str">
        <f>IF(ISERROR(FIND($A$2,Lines!D32))=TRUE,"",Lines!D32)</f>
        <v/>
      </c>
      <c r="E32" s="30" t="str">
        <f>IF(ISERROR(FIND($A$2,Lines!E32))=TRUE,"",Lines!E32)</f>
        <v/>
      </c>
      <c r="F32" s="30" t="str">
        <f>IF(ISERROR(FIND($A$2,Lines!F32))=TRUE,"",Lines!F32)</f>
        <v/>
      </c>
      <c r="G32" s="30" t="str">
        <f>IF(ISERROR(FIND($A$2,Lines!G32))=TRUE,"",Lines!G32)</f>
        <v/>
      </c>
      <c r="H32" s="30" t="str">
        <f>IF(ISERROR(FIND($A$2,Lines!H32))=TRUE,"",Lines!H32)</f>
        <v/>
      </c>
      <c r="I32" s="30" t="str">
        <f>IF(ISERROR(FIND($A$2,Lines!I32))=TRUE,"",Lines!I32)</f>
        <v/>
      </c>
      <c r="J32" s="30" t="str">
        <f>IF(ISERROR(FIND($A$2,Lines!J32))=TRUE,"",Lines!J32)</f>
        <v/>
      </c>
      <c r="K32" s="30" t="str">
        <f>IF(ISERROR(FIND($A$2,Lines!K32))=TRUE,"",Lines!K32)</f>
        <v/>
      </c>
      <c r="L32" s="30" t="str">
        <f>IF(ISERROR(FIND($A$2,Lines!L32))=TRUE,"",Lines!L32)</f>
        <v/>
      </c>
      <c r="M32" s="30" t="str">
        <f>IF(ISERROR(FIND($A$2,Lines!M32))=TRUE,"",Lines!M32)</f>
        <v/>
      </c>
      <c r="N32" s="30" t="str">
        <f>IF(ISERROR(FIND($A$2,Lines!N32))=TRUE,"",Lines!N32)</f>
        <v/>
      </c>
      <c r="O32" s="30" t="str">
        <f>IF(ISERROR(FIND($A$2,Lines!O32))=TRUE,"",Lines!O32)</f>
        <v/>
      </c>
      <c r="P32" s="30" t="str">
        <f>IF(ISERROR(FIND($A$2,Lines!P32))=TRUE,"",Lines!P32)</f>
        <v/>
      </c>
      <c r="Q32" s="30" t="str">
        <f>IF(ISERROR(FIND($A$2,Lines!Q32))=TRUE,"",Lines!Q32)</f>
        <v/>
      </c>
      <c r="R32" s="30" t="str">
        <f>IF(ISERROR(FIND($A$2,Lines!R32))=TRUE,"",Lines!R32)</f>
        <v/>
      </c>
      <c r="S32" s="30" t="str">
        <f>IF(ISERROR(FIND($A$2,Lines!S32))=TRUE,"",Lines!S32)</f>
        <v/>
      </c>
      <c r="T32" s="30" t="str">
        <f>IF(ISERROR(FIND($A$2,Lines!T32))=TRUE,"",Lines!T32)</f>
        <v/>
      </c>
      <c r="U32" s="30" t="str">
        <f>IF(ISERROR(FIND($A$2,Lines!U32))=TRUE,"",Lines!U32)</f>
        <v/>
      </c>
      <c r="V32" s="30" t="str">
        <f>IF(ISERROR(FIND($A$2,Lines!V32))=TRUE,"",Lines!V32)</f>
        <v/>
      </c>
      <c r="W32" s="36" t="str">
        <f>IF(ISERROR(FIND($A$2,Lines!W32))=TRUE,"",Lines!W32)</f>
        <v/>
      </c>
      <c r="X32" s="52" t="str">
        <f>IF(ISERROR(FIND($A$2,Lines!X32))=TRUE,"",Lines!X32)</f>
        <v/>
      </c>
      <c r="Y32" s="53" t="str">
        <f>IF(ISERROR(FIND($A$2,Lines!Y32))=TRUE,"",Lines!Y32)</f>
        <v/>
      </c>
      <c r="Z32" s="53" t="str">
        <f>IF(ISERROR(FIND($A$2,Lines!Z32))=TRUE,"",Lines!Z32)</f>
        <v/>
      </c>
      <c r="AA32" s="53" t="str">
        <f>IF(ISERROR(FIND($A$2,Lines!AA32))=TRUE,"",Lines!AA32)</f>
        <v>1000蒙西-天津南（5000MW）</v>
      </c>
      <c r="AB32" s="53" t="str">
        <f>IF(ISERROR(FIND($A$2,Lines!AB32))=TRUE,"",Lines!AB32)</f>
        <v>500AC*4, 1000蒙西-晋中（5000MW）</v>
      </c>
      <c r="AC32" s="53" t="str">
        <f>IF(ISERROR(FIND($A$2,Lines!AC32))=TRUE,"",Lines!AC32)</f>
        <v>±800上海庙-山东（10000MW）</v>
      </c>
      <c r="AD32" s="67" t="str">
        <f>IF(ISERROR(FIND($A$2,Lines!AD32))=TRUE,"",Lines!AD32)</f>
        <v/>
      </c>
      <c r="AE32" s="30" t="str">
        <f>IF(ISERROR(FIND($A$2,Lines!AE32))=TRUE,"",Lines!AE32)</f>
        <v/>
      </c>
      <c r="AF32" s="30" t="str">
        <f>IF(ISERROR(FIND($A$2,Lines!AF32))=TRUE,"",Lines!AF32)</f>
        <v/>
      </c>
      <c r="AG32" s="30" t="str">
        <f>IF(ISERROR(FIND($A$2,Lines!AG32))=TRUE,"",Lines!AG32)</f>
        <v/>
      </c>
      <c r="AH32" s="30" t="str">
        <f>IF(ISERROR(FIND($A$2,Lines!AH32))=TRUE,"",Lines!AH32)</f>
        <v/>
      </c>
      <c r="AI32" s="30" t="str">
        <f>IF(ISERROR(FIND($A$2,Lines!AI32))=TRUE,"",Lines!AI32)</f>
        <v/>
      </c>
      <c r="AJ32" s="30" t="str">
        <f>IF(ISERROR(FIND($A$2,Lines!AJ32))=TRUE,"",Lines!AJ32)</f>
        <v/>
      </c>
      <c r="AK32" s="30" t="str">
        <f>IF(ISERROR(FIND($A$2,Lines!AK32))=TRUE,"",Lines!AK32)</f>
        <v/>
      </c>
      <c r="AL32" s="30" t="str">
        <f>IF(ISERROR(FIND($A$2,Lines!AL32))=TRUE,"",Lines!AL32)</f>
        <v/>
      </c>
      <c r="AM32" s="30" t="str">
        <f>IF(ISERROR(FIND($A$2,Lines!AM32))=TRUE,"",Lines!AM32)</f>
        <v/>
      </c>
      <c r="AN32" s="30" t="str">
        <f>IF(ISERROR(FIND($A$2,Lines!AN32))=TRUE,"",Lines!AN32)</f>
        <v/>
      </c>
      <c r="AO32" s="30" t="str">
        <f>IF(ISERROR(FIND($A$2,Lines!AO32))=TRUE,"",Lines!AO32)</f>
        <v/>
      </c>
      <c r="AP32" s="30" t="str">
        <f>IF(ISERROR(FIND($A$2,Lines!AP32))=TRUE,"",Lines!AP32)</f>
        <v/>
      </c>
      <c r="AQ32" s="30" t="str">
        <f>IF(ISERROR(FIND($A$2,Lines!AQ32))=TRUE,"",Lines!AQ32)</f>
        <v/>
      </c>
      <c r="AR32" s="30" t="str">
        <f>IF(ISERROR(FIND($A$2,Lines!AR32))=TRUE,"",Lines!AR32)</f>
        <v/>
      </c>
      <c r="AS32" s="30" t="str">
        <f>IF(ISERROR(FIND($A$2,Lines!AS32))=TRUE,"",Lines!AS32)</f>
        <v/>
      </c>
      <c r="AT32" s="30" t="str">
        <f>IF(ISERROR(FIND($A$2,Lines!AT32))=TRUE,"",Lines!AT32)</f>
        <v/>
      </c>
    </row>
    <row r="33" spans="1:46" ht="20.25" customHeight="1">
      <c r="A33" s="2" t="s">
        <v>81</v>
      </c>
      <c r="B33" s="30" t="str">
        <f>IF(ISERROR(FIND($A$2,Lines!B33))=TRUE,"",Lines!B33)</f>
        <v/>
      </c>
      <c r="C33" s="30" t="str">
        <f>IF(ISERROR(FIND($A$2,Lines!C33))=TRUE,"",Lines!C33)</f>
        <v/>
      </c>
      <c r="D33" s="30" t="str">
        <f>IF(ISERROR(FIND($A$2,Lines!D33))=TRUE,"",Lines!D33)</f>
        <v/>
      </c>
      <c r="E33" s="30" t="str">
        <f>IF(ISERROR(FIND($A$2,Lines!E33))=TRUE,"",Lines!E33)</f>
        <v/>
      </c>
      <c r="F33" s="30" t="str">
        <f>IF(ISERROR(FIND($A$2,Lines!F33))=TRUE,"",Lines!F33)</f>
        <v/>
      </c>
      <c r="G33" s="30" t="str">
        <f>IF(ISERROR(FIND($A$2,Lines!G33))=TRUE,"",Lines!G33)</f>
        <v/>
      </c>
      <c r="H33" s="30" t="str">
        <f>IF(ISERROR(FIND($A$2,Lines!H33))=TRUE,"",Lines!H33)</f>
        <v/>
      </c>
      <c r="I33" s="30" t="str">
        <f>IF(ISERROR(FIND($A$2,Lines!I33))=TRUE,"",Lines!I33)</f>
        <v/>
      </c>
      <c r="J33" s="30" t="str">
        <f>IF(ISERROR(FIND($A$2,Lines!J33))=TRUE,"",Lines!J33)</f>
        <v/>
      </c>
      <c r="K33" s="30" t="str">
        <f>IF(ISERROR(FIND($A$2,Lines!K33))=TRUE,"",Lines!K33)</f>
        <v/>
      </c>
      <c r="L33" s="30" t="str">
        <f>IF(ISERROR(FIND($A$2,Lines!L33))=TRUE,"",Lines!L33)</f>
        <v/>
      </c>
      <c r="M33" s="30" t="str">
        <f>IF(ISERROR(FIND($A$2,Lines!M33))=TRUE,"",Lines!M33)</f>
        <v/>
      </c>
      <c r="N33" s="30" t="str">
        <f>IF(ISERROR(FIND($A$2,Lines!N33))=TRUE,"",Lines!N33)</f>
        <v>±800陕西-湖北（10000MW）</v>
      </c>
      <c r="O33" s="30" t="str">
        <f>IF(ISERROR(FIND($A$2,Lines!O33))=TRUE,"",Lines!O33)</f>
        <v/>
      </c>
      <c r="P33" s="30" t="str">
        <f>IF(ISERROR(FIND($A$2,Lines!P33))=TRUE,"",Lines!P33)</f>
        <v/>
      </c>
      <c r="Q33" s="30" t="str">
        <f>IF(ISERROR(FIND($A$2,Lines!Q33))=TRUE,"",Lines!Q33)</f>
        <v/>
      </c>
      <c r="R33" s="30" t="str">
        <f>IF(ISERROR(FIND($A$2,Lines!R33))=TRUE,"",Lines!R33)</f>
        <v/>
      </c>
      <c r="S33" s="30" t="str">
        <f>IF(ISERROR(FIND($A$2,Lines!S33))=TRUE,"",Lines!S33)</f>
        <v/>
      </c>
      <c r="T33" s="30" t="str">
        <f>IF(ISERROR(FIND($A$2,Lines!T33))=TRUE,"",Lines!T33)</f>
        <v/>
      </c>
      <c r="U33" s="30" t="str">
        <f>IF(ISERROR(FIND($A$2,Lines!U33))=TRUE,"",Lines!U33)</f>
        <v/>
      </c>
      <c r="V33" s="30" t="str">
        <f>IF(ISERROR(FIND($A$2,Lines!V33))=TRUE,"",Lines!V33)</f>
        <v/>
      </c>
      <c r="W33" s="36" t="str">
        <f>IF(ISERROR(FIND($A$2,Lines!W33))=TRUE,"",Lines!W33)</f>
        <v/>
      </c>
      <c r="X33" s="30" t="str">
        <f>IF(ISERROR(FIND($A$2,Lines!X33))=TRUE,"",Lines!X33)</f>
        <v/>
      </c>
      <c r="Y33" s="30" t="str">
        <f>IF(ISERROR(FIND($A$2,Lines!Y33))=TRUE,"",Lines!Y33)</f>
        <v/>
      </c>
      <c r="Z33" s="30" t="str">
        <f>IF(ISERROR(FIND($A$2,Lines!Z33))=TRUE,"",Lines!Z33)</f>
        <v/>
      </c>
      <c r="AA33" s="30" t="str">
        <f>IF(ISERROR(FIND($A$2,Lines!AA33))=TRUE,"",Lines!AA33)</f>
        <v/>
      </c>
      <c r="AB33" s="30" t="str">
        <f>IF(ISERROR(FIND($A$2,Lines!AB33))=TRUE,"",Lines!AB33)</f>
        <v>1000(晋东南--南阳--荆门5000MW)</v>
      </c>
      <c r="AC33" s="30" t="str">
        <f>IF(ISERROR(FIND($A$2,Lines!AC33))=TRUE,"",Lines!AC33)</f>
        <v/>
      </c>
      <c r="AD33" s="30" t="str">
        <f>IF(ISERROR(FIND($A$2,Lines!AD33))=TRUE,"",Lines!AD33)</f>
        <v/>
      </c>
      <c r="AE33" s="65" t="str">
        <f>IF(ISERROR(FIND($A$2,Lines!AE33))=TRUE,"",Lines!AE33)</f>
        <v/>
      </c>
      <c r="AF33" s="47" t="str">
        <f>IF(ISERROR(FIND($A$2,Lines!AF33))=TRUE,"",Lines!AF33)</f>
        <v/>
      </c>
      <c r="AG33" s="47" t="str">
        <f>IF(ISERROR(FIND($A$2,Lines!AG33))=TRUE,"",Lines!AG33)</f>
        <v/>
      </c>
      <c r="AH33" s="47" t="str">
        <f>IF(ISERROR(FIND($A$2,Lines!AH33))=TRUE,"",Lines!AH33)</f>
        <v/>
      </c>
      <c r="AI33" s="47" t="str">
        <f>IF(ISERROR(FIND($A$2,Lines!AI33))=TRUE,"",Lines!AI33)</f>
        <v/>
      </c>
      <c r="AJ33" s="48" t="str">
        <f>IF(ISERROR(FIND($A$2,Lines!AJ33))=TRUE,"",Lines!AJ33)</f>
        <v>1000雅安-武汉特高压交流（8000MW）</v>
      </c>
      <c r="AK33" s="30" t="str">
        <f>IF(ISERROR(FIND($A$2,Lines!AK33))=TRUE,"",Lines!AK33)</f>
        <v/>
      </c>
      <c r="AL33" s="30" t="str">
        <f>IF(ISERROR(FIND($A$2,Lines!AL33))=TRUE,"",Lines!AL33)</f>
        <v/>
      </c>
      <c r="AM33" s="30" t="str">
        <f>IF(ISERROR(FIND($A$2,Lines!AM33))=TRUE,"",Lines!AM33)</f>
        <v/>
      </c>
      <c r="AN33" s="30" t="str">
        <f>IF(ISERROR(FIND($A$2,Lines!AN33))=TRUE,"",Lines!AN33)</f>
        <v/>
      </c>
      <c r="AO33" s="30" t="str">
        <f>IF(ISERROR(FIND($A$2,Lines!AO33))=TRUE,"",Lines!AO33)</f>
        <v/>
      </c>
      <c r="AP33" s="30" t="str">
        <f>IF(ISERROR(FIND($A$2,Lines!AP33))=TRUE,"",Lines!AP33)</f>
        <v/>
      </c>
      <c r="AQ33" s="30" t="str">
        <f>IF(ISERROR(FIND($A$2,Lines!AQ33))=TRUE,"",Lines!AQ33)</f>
        <v/>
      </c>
      <c r="AR33" s="30" t="str">
        <f>IF(ISERROR(FIND($A$2,Lines!AR33))=TRUE,"",Lines!AR33)</f>
        <v/>
      </c>
      <c r="AS33" s="30" t="str">
        <f>IF(ISERROR(FIND($A$2,Lines!AS33))=TRUE,"",Lines!AS33)</f>
        <v/>
      </c>
      <c r="AT33" s="30" t="str">
        <f>IF(ISERROR(FIND($A$2,Lines!AT33))=TRUE,"",Lines!AT33)</f>
        <v/>
      </c>
    </row>
    <row r="34" spans="1:46" ht="20.25" customHeight="1">
      <c r="A34" s="2" t="s">
        <v>82</v>
      </c>
      <c r="B34" s="30" t="str">
        <f>IF(ISERROR(FIND($A$2,Lines!B34))=TRUE,"",Lines!B34)</f>
        <v/>
      </c>
      <c r="C34" s="30" t="str">
        <f>IF(ISERROR(FIND($A$2,Lines!C34))=TRUE,"",Lines!C34)</f>
        <v/>
      </c>
      <c r="D34" s="30" t="str">
        <f>IF(ISERROR(FIND($A$2,Lines!D34))=TRUE,"",Lines!D34)</f>
        <v/>
      </c>
      <c r="E34" s="30" t="str">
        <f>IF(ISERROR(FIND($A$2,Lines!E34))=TRUE,"",Lines!E34)</f>
        <v/>
      </c>
      <c r="F34" s="30" t="str">
        <f>IF(ISERROR(FIND($A$2,Lines!F34))=TRUE,"",Lines!F34)</f>
        <v/>
      </c>
      <c r="G34" s="30" t="str">
        <f>IF(ISERROR(FIND($A$2,Lines!G34))=TRUE,"",Lines!G34)</f>
        <v/>
      </c>
      <c r="H34" s="30" t="str">
        <f>IF(ISERROR(FIND($A$2,Lines!H34))=TRUE,"",Lines!H34)</f>
        <v/>
      </c>
      <c r="I34" s="30" t="str">
        <f>IF(ISERROR(FIND($A$2,Lines!I34))=TRUE,"",Lines!I34)</f>
        <v/>
      </c>
      <c r="J34" s="30" t="str">
        <f>IF(ISERROR(FIND($A$2,Lines!J34))=TRUE,"",Lines!J34)</f>
        <v/>
      </c>
      <c r="K34" s="30" t="str">
        <f>IF(ISERROR(FIND($A$2,Lines!K34))=TRUE,"",Lines!K34)</f>
        <v/>
      </c>
      <c r="L34" s="30" t="str">
        <f>IF(ISERROR(FIND($A$2,Lines!L34))=TRUE,"",Lines!L34)</f>
        <v/>
      </c>
      <c r="M34" s="30" t="str">
        <f>IF(ISERROR(FIND($A$2,Lines!M34))=TRUE,"",Lines!M34)</f>
        <v/>
      </c>
      <c r="N34" s="30" t="str">
        <f>IF(ISERROR(FIND($A$2,Lines!N34))=TRUE,"",Lines!N34)</f>
        <v/>
      </c>
      <c r="O34" s="30" t="str">
        <f>IF(ISERROR(FIND($A$2,Lines!O34))=TRUE,"",Lines!O34)</f>
        <v/>
      </c>
      <c r="P34" s="30" t="str">
        <f>IF(ISERROR(FIND($A$2,Lines!P34))=TRUE,"",Lines!P34)</f>
        <v/>
      </c>
      <c r="Q34" s="30" t="str">
        <f>IF(ISERROR(FIND($A$2,Lines!Q34))=TRUE,"",Lines!Q34)</f>
        <v/>
      </c>
      <c r="R34" s="30" t="str">
        <f>IF(ISERROR(FIND($A$2,Lines!R34))=TRUE,"",Lines!R34)</f>
        <v/>
      </c>
      <c r="S34" s="30" t="str">
        <f>IF(ISERROR(FIND($A$2,Lines!S34))=TRUE,"",Lines!S34)</f>
        <v/>
      </c>
      <c r="T34" s="30" t="str">
        <f>IF(ISERROR(FIND($A$2,Lines!T34))=TRUE,"",Lines!T34)</f>
        <v/>
      </c>
      <c r="U34" s="30" t="str">
        <f>IF(ISERROR(FIND($A$2,Lines!U34))=TRUE,"",Lines!U34)</f>
        <v/>
      </c>
      <c r="V34" s="30" t="str">
        <f>IF(ISERROR(FIND($A$2,Lines!V34))=TRUE,"",Lines!V34)</f>
        <v/>
      </c>
      <c r="W34" s="36" t="str">
        <f>IF(ISERROR(FIND($A$2,Lines!W34))=TRUE,"",Lines!W34)</f>
        <v/>
      </c>
      <c r="X34" s="30" t="str">
        <f>IF(ISERROR(FIND($A$2,Lines!X34))=TRUE,"",Lines!X34)</f>
        <v/>
      </c>
      <c r="Y34" s="30" t="str">
        <f>IF(ISERROR(FIND($A$2,Lines!Y34))=TRUE,"",Lines!Y34)</f>
        <v/>
      </c>
      <c r="Z34" s="30" t="str">
        <f>IF(ISERROR(FIND($A$2,Lines!Z34))=TRUE,"",Lines!Z34)</f>
        <v/>
      </c>
      <c r="AA34" s="30" t="str">
        <f>IF(ISERROR(FIND($A$2,Lines!AA34))=TRUE,"",Lines!AA34)</f>
        <v/>
      </c>
      <c r="AB34" s="30" t="str">
        <f>IF(ISERROR(FIND($A$2,Lines!AB34))=TRUE,"",Lines!AB34)</f>
        <v/>
      </c>
      <c r="AC34" s="30" t="str">
        <f>IF(ISERROR(FIND($A$2,Lines!AC34))=TRUE,"",Lines!AC34)</f>
        <v/>
      </c>
      <c r="AD34" s="30" t="str">
        <f>IF(ISERROR(FIND($A$2,Lines!AD34))=TRUE,"",Lines!AD34)</f>
        <v/>
      </c>
      <c r="AE34" s="51" t="str">
        <f>IF(ISERROR(FIND($A$2,Lines!AE34))=TRUE,"",Lines!AE34)</f>
        <v/>
      </c>
      <c r="AF34" s="66" t="str">
        <f>IF(ISERROR(FIND($A$2,Lines!AF34))=TRUE,"",Lines!AF34)</f>
        <v/>
      </c>
      <c r="AG34" s="42" t="str">
        <f>IF(ISERROR(FIND($A$2,Lines!AG34))=TRUE,"",Lines!AG34)</f>
        <v/>
      </c>
      <c r="AH34" s="42" t="str">
        <f>IF(ISERROR(FIND($A$2,Lines!AH34))=TRUE,"",Lines!AH34)</f>
        <v/>
      </c>
      <c r="AI34" s="42" t="str">
        <f>IF(ISERROR(FIND($A$2,Lines!AI34))=TRUE,"",Lines!AI34)</f>
        <v/>
      </c>
      <c r="AJ34" s="49" t="str">
        <f>IF(ISERROR(FIND($A$2,Lines!AJ34))=TRUE,"",Lines!AJ34)</f>
        <v/>
      </c>
      <c r="AK34" s="30" t="str">
        <f>IF(ISERROR(FIND($A$2,Lines!AK34))=TRUE,"",Lines!AK34)</f>
        <v/>
      </c>
      <c r="AL34" s="30" t="str">
        <f>IF(ISERROR(FIND($A$2,Lines!AL34))=TRUE,"",Lines!AL34)</f>
        <v/>
      </c>
      <c r="AM34" s="30" t="str">
        <f>IF(ISERROR(FIND($A$2,Lines!AM34))=TRUE,"",Lines!AM34)</f>
        <v/>
      </c>
      <c r="AN34" s="30" t="str">
        <f>IF(ISERROR(FIND($A$2,Lines!AN34))=TRUE,"",Lines!AN34)</f>
        <v/>
      </c>
      <c r="AO34" s="30" t="str">
        <f>IF(ISERROR(FIND($A$2,Lines!AO34))=TRUE,"",Lines!AO34)</f>
        <v/>
      </c>
      <c r="AP34" s="30" t="str">
        <f>IF(ISERROR(FIND($A$2,Lines!AP34))=TRUE,"",Lines!AP34)</f>
        <v/>
      </c>
      <c r="AQ34" s="30" t="str">
        <f>IF(ISERROR(FIND($A$2,Lines!AQ34))=TRUE,"",Lines!AQ34)</f>
        <v/>
      </c>
      <c r="AR34" s="30" t="str">
        <f>IF(ISERROR(FIND($A$2,Lines!AR34))=TRUE,"",Lines!AR34)</f>
        <v/>
      </c>
      <c r="AS34" s="30" t="str">
        <f>IF(ISERROR(FIND($A$2,Lines!AS34))=TRUE,"",Lines!AS34)</f>
        <v/>
      </c>
      <c r="AT34" s="30" t="str">
        <f>IF(ISERROR(FIND($A$2,Lines!AT34))=TRUE,"",Lines!AT34)</f>
        <v/>
      </c>
    </row>
    <row r="35" spans="1:46" ht="20.25" customHeight="1">
      <c r="A35" s="2" t="s">
        <v>83</v>
      </c>
      <c r="B35" s="30" t="str">
        <f>IF(ISERROR(FIND($A$2,Lines!B35))=TRUE,"",Lines!B35)</f>
        <v/>
      </c>
      <c r="C35" s="30" t="str">
        <f>IF(ISERROR(FIND($A$2,Lines!C35))=TRUE,"",Lines!C35)</f>
        <v/>
      </c>
      <c r="D35" s="30" t="str">
        <f>IF(ISERROR(FIND($A$2,Lines!D35))=TRUE,"",Lines!D35)</f>
        <v/>
      </c>
      <c r="E35" s="30" t="str">
        <f>IF(ISERROR(FIND($A$2,Lines!E35))=TRUE,"",Lines!E35)</f>
        <v/>
      </c>
      <c r="F35" s="30" t="str">
        <f>IF(ISERROR(FIND($A$2,Lines!F35))=TRUE,"",Lines!F35)</f>
        <v/>
      </c>
      <c r="G35" s="30" t="str">
        <f>IF(ISERROR(FIND($A$2,Lines!G35))=TRUE,"",Lines!G35)</f>
        <v/>
      </c>
      <c r="H35" s="30" t="str">
        <f>IF(ISERROR(FIND($A$2,Lines!H35))=TRUE,"",Lines!H35)</f>
        <v/>
      </c>
      <c r="I35" s="30" t="str">
        <f>IF(ISERROR(FIND($A$2,Lines!I35))=TRUE,"",Lines!I35)</f>
        <v/>
      </c>
      <c r="J35" s="30" t="str">
        <f>IF(ISERROR(FIND($A$2,Lines!J35))=TRUE,"",Lines!J35)</f>
        <v/>
      </c>
      <c r="K35" s="30" t="str">
        <f>IF(ISERROR(FIND($A$2,Lines!K35))=TRUE,"",Lines!K35)</f>
        <v/>
      </c>
      <c r="L35" s="30" t="str">
        <f>IF(ISERROR(FIND($A$2,Lines!L35))=TRUE,"",Lines!L35)</f>
        <v/>
      </c>
      <c r="M35" s="30" t="str">
        <f>IF(ISERROR(FIND($A$2,Lines!M35))=TRUE,"",Lines!M35)</f>
        <v/>
      </c>
      <c r="N35" s="30" t="str">
        <f>IF(ISERROR(FIND($A$2,Lines!N35))=TRUE,"",Lines!N35)</f>
        <v/>
      </c>
      <c r="O35" s="30" t="str">
        <f>IF(ISERROR(FIND($A$2,Lines!O35))=TRUE,"",Lines!O35)</f>
        <v/>
      </c>
      <c r="P35" s="30" t="str">
        <f>IF(ISERROR(FIND($A$2,Lines!P35))=TRUE,"",Lines!P35)</f>
        <v/>
      </c>
      <c r="Q35" s="30" t="str">
        <f>IF(ISERROR(FIND($A$2,Lines!Q35))=TRUE,"",Lines!Q35)</f>
        <v/>
      </c>
      <c r="R35" s="30" t="str">
        <f>IF(ISERROR(FIND($A$2,Lines!R35))=TRUE,"",Lines!R35)</f>
        <v/>
      </c>
      <c r="S35" s="30" t="str">
        <f>IF(ISERROR(FIND($A$2,Lines!S35))=TRUE,"",Lines!S35)</f>
        <v/>
      </c>
      <c r="T35" s="30" t="str">
        <f>IF(ISERROR(FIND($A$2,Lines!T35))=TRUE,"",Lines!T35)</f>
        <v/>
      </c>
      <c r="U35" s="30" t="str">
        <f>IF(ISERROR(FIND($A$2,Lines!U35))=TRUE,"",Lines!U35)</f>
        <v/>
      </c>
      <c r="V35" s="30" t="str">
        <f>IF(ISERROR(FIND($A$2,Lines!V35))=TRUE,"",Lines!V35)</f>
        <v/>
      </c>
      <c r="W35" s="36" t="str">
        <f>IF(ISERROR(FIND($A$2,Lines!W35))=TRUE,"",Lines!W35)</f>
        <v/>
      </c>
      <c r="X35" s="30" t="str">
        <f>IF(ISERROR(FIND($A$2,Lines!X35))=TRUE,"",Lines!X35)</f>
        <v/>
      </c>
      <c r="Y35" s="30" t="str">
        <f>IF(ISERROR(FIND($A$2,Lines!Y35))=TRUE,"",Lines!Y35)</f>
        <v/>
      </c>
      <c r="Z35" s="30" t="str">
        <f>IF(ISERROR(FIND($A$2,Lines!Z35))=TRUE,"",Lines!Z35)</f>
        <v/>
      </c>
      <c r="AA35" s="30" t="str">
        <f>IF(ISERROR(FIND($A$2,Lines!AA35))=TRUE,"",Lines!AA35)</f>
        <v/>
      </c>
      <c r="AB35" s="30" t="str">
        <f>IF(ISERROR(FIND($A$2,Lines!AB35))=TRUE,"",Lines!AB35)</f>
        <v/>
      </c>
      <c r="AC35" s="30" t="str">
        <f>IF(ISERROR(FIND($A$2,Lines!AC35))=TRUE,"",Lines!AC35)</f>
        <v/>
      </c>
      <c r="AD35" s="30" t="str">
        <f>IF(ISERROR(FIND($A$2,Lines!AD35))=TRUE,"",Lines!AD35)</f>
        <v/>
      </c>
      <c r="AE35" s="51" t="str">
        <f>IF(ISERROR(FIND($A$2,Lines!AE35))=TRUE,"",Lines!AE35)</f>
        <v/>
      </c>
      <c r="AF35" s="42" t="str">
        <f>IF(ISERROR(FIND($A$2,Lines!AF35))=TRUE,"",Lines!AF35)</f>
        <v/>
      </c>
      <c r="AG35" s="66" t="str">
        <f>IF(ISERROR(FIND($A$2,Lines!AG35))=TRUE,"",Lines!AG35)</f>
        <v/>
      </c>
      <c r="AH35" s="42" t="str">
        <f>IF(ISERROR(FIND($A$2,Lines!AH35))=TRUE,"",Lines!AH35)</f>
        <v/>
      </c>
      <c r="AI35" s="42" t="str">
        <f>IF(ISERROR(FIND($A$2,Lines!AI35))=TRUE,"",Lines!AI35)</f>
        <v/>
      </c>
      <c r="AJ35" s="49" t="str">
        <f>IF(ISERROR(FIND($A$2,Lines!AJ35))=TRUE,"",Lines!AJ35)</f>
        <v>±800吉安-金上（10000MW）</v>
      </c>
      <c r="AK35" s="30" t="str">
        <f>IF(ISERROR(FIND($A$2,Lines!AK35))=TRUE,"",Lines!AK35)</f>
        <v/>
      </c>
      <c r="AL35" s="30" t="str">
        <f>IF(ISERROR(FIND($A$2,Lines!AL35))=TRUE,"",Lines!AL35)</f>
        <v/>
      </c>
      <c r="AM35" s="30" t="str">
        <f>IF(ISERROR(FIND($A$2,Lines!AM35))=TRUE,"",Lines!AM35)</f>
        <v/>
      </c>
      <c r="AN35" s="30" t="str">
        <f>IF(ISERROR(FIND($A$2,Lines!AN35))=TRUE,"",Lines!AN35)</f>
        <v/>
      </c>
      <c r="AO35" s="30" t="str">
        <f>IF(ISERROR(FIND($A$2,Lines!AO35))=TRUE,"",Lines!AO35)</f>
        <v/>
      </c>
      <c r="AP35" s="30" t="str">
        <f>IF(ISERROR(FIND($A$2,Lines!AP35))=TRUE,"",Lines!AP35)</f>
        <v/>
      </c>
      <c r="AQ35" s="30" t="str">
        <f>IF(ISERROR(FIND($A$2,Lines!AQ35))=TRUE,"",Lines!AQ35)</f>
        <v/>
      </c>
      <c r="AR35" s="30" t="str">
        <f>IF(ISERROR(FIND($A$2,Lines!AR35))=TRUE,"",Lines!AR35)</f>
        <v/>
      </c>
      <c r="AS35" s="30" t="str">
        <f>IF(ISERROR(FIND($A$2,Lines!AS35))=TRUE,"",Lines!AS35)</f>
        <v/>
      </c>
      <c r="AT35" s="30" t="str">
        <f>IF(ISERROR(FIND($A$2,Lines!AT35))=TRUE,"",Lines!AT35)</f>
        <v/>
      </c>
    </row>
    <row r="36" spans="1:46" ht="20.25" customHeight="1">
      <c r="A36" s="2" t="s">
        <v>84</v>
      </c>
      <c r="B36" s="30" t="str">
        <f>IF(ISERROR(FIND($A$2,Lines!B36))=TRUE,"",Lines!B36)</f>
        <v/>
      </c>
      <c r="C36" s="30" t="str">
        <f>IF(ISERROR(FIND($A$2,Lines!C36))=TRUE,"",Lines!C36)</f>
        <v/>
      </c>
      <c r="D36" s="30" t="str">
        <f>IF(ISERROR(FIND($A$2,Lines!D36))=TRUE,"",Lines!D36)</f>
        <v/>
      </c>
      <c r="E36" s="30" t="str">
        <f>IF(ISERROR(FIND($A$2,Lines!E36))=TRUE,"",Lines!E36)</f>
        <v/>
      </c>
      <c r="F36" s="30" t="str">
        <f>IF(ISERROR(FIND($A$2,Lines!F36))=TRUE,"",Lines!F36)</f>
        <v/>
      </c>
      <c r="G36" s="30" t="str">
        <f>IF(ISERROR(FIND($A$2,Lines!G36))=TRUE,"",Lines!G36)</f>
        <v/>
      </c>
      <c r="H36" s="30" t="str">
        <f>IF(ISERROR(FIND($A$2,Lines!H36))=TRUE,"",Lines!H36)</f>
        <v/>
      </c>
      <c r="I36" s="30" t="str">
        <f>IF(ISERROR(FIND($A$2,Lines!I36))=TRUE,"",Lines!I36)</f>
        <v/>
      </c>
      <c r="J36" s="30" t="str">
        <f>IF(ISERROR(FIND($A$2,Lines!J36))=TRUE,"",Lines!J36)</f>
        <v/>
      </c>
      <c r="K36" s="30" t="str">
        <f>IF(ISERROR(FIND($A$2,Lines!K36))=TRUE,"",Lines!K36)</f>
        <v/>
      </c>
      <c r="L36" s="30" t="str">
        <f>IF(ISERROR(FIND($A$2,Lines!L36))=TRUE,"",Lines!L36)</f>
        <v/>
      </c>
      <c r="M36" s="30" t="str">
        <f>IF(ISERROR(FIND($A$2,Lines!M36))=TRUE,"",Lines!M36)</f>
        <v/>
      </c>
      <c r="N36" s="30" t="str">
        <f>IF(ISERROR(FIND($A$2,Lines!N36))=TRUE,"",Lines!N36)</f>
        <v>1000（陇彬-豫北5000MW）</v>
      </c>
      <c r="O36" s="30" t="str">
        <f>IF(ISERROR(FIND($A$2,Lines!O36))=TRUE,"",Lines!O36)</f>
        <v/>
      </c>
      <c r="P36" s="30" t="str">
        <f>IF(ISERROR(FIND($A$2,Lines!P36))=TRUE,"",Lines!P36)</f>
        <v/>
      </c>
      <c r="Q36" s="30" t="str">
        <f>IF(ISERROR(FIND($A$2,Lines!Q36))=TRUE,"",Lines!Q36)</f>
        <v/>
      </c>
      <c r="R36" s="30" t="str">
        <f>IF(ISERROR(FIND($A$2,Lines!R36))=TRUE,"",Lines!R36)</f>
        <v/>
      </c>
      <c r="S36" s="30" t="str">
        <f>IF(ISERROR(FIND($A$2,Lines!S36))=TRUE,"",Lines!S36)</f>
        <v/>
      </c>
      <c r="T36" s="30" t="str">
        <f>IF(ISERROR(FIND($A$2,Lines!T36))=TRUE,"",Lines!T36)</f>
        <v/>
      </c>
      <c r="U36" s="30" t="str">
        <f>IF(ISERROR(FIND($A$2,Lines!U36))=TRUE,"",Lines!U36)</f>
        <v/>
      </c>
      <c r="V36" s="30" t="str">
        <f>IF(ISERROR(FIND($A$2,Lines!V36))=TRUE,"",Lines!V36)</f>
        <v/>
      </c>
      <c r="W36" s="36" t="str">
        <f>IF(ISERROR(FIND($A$2,Lines!W36))=TRUE,"",Lines!W36)</f>
        <v/>
      </c>
      <c r="X36" s="30" t="str">
        <f>IF(ISERROR(FIND($A$2,Lines!X36))=TRUE,"",Lines!X36)</f>
        <v/>
      </c>
      <c r="Y36" s="30" t="str">
        <f>IF(ISERROR(FIND($A$2,Lines!Y36))=TRUE,"",Lines!Y36)</f>
        <v/>
      </c>
      <c r="Z36" s="30" t="str">
        <f>IF(ISERROR(FIND($A$2,Lines!Z36))=TRUE,"",Lines!Z36)</f>
        <v/>
      </c>
      <c r="AA36" s="30" t="str">
        <f>IF(ISERROR(FIND($A$2,Lines!AA36))=TRUE,"",Lines!AA36)</f>
        <v/>
      </c>
      <c r="AB36" s="30" t="str">
        <f>IF(ISERROR(FIND($A$2,Lines!AB36))=TRUE,"",Lines!AB36)</f>
        <v/>
      </c>
      <c r="AC36" s="30" t="str">
        <f>IF(ISERROR(FIND($A$2,Lines!AC36))=TRUE,"",Lines!AC36)</f>
        <v/>
      </c>
      <c r="AD36" s="30" t="str">
        <f>IF(ISERROR(FIND($A$2,Lines!AD36))=TRUE,"",Lines!AD36)</f>
        <v/>
      </c>
      <c r="AE36" s="51" t="str">
        <f>IF(ISERROR(FIND($A$2,Lines!AE36))=TRUE,"",Lines!AE36)</f>
        <v/>
      </c>
      <c r="AF36" s="42" t="str">
        <f>IF(ISERROR(FIND($A$2,Lines!AF36))=TRUE,"",Lines!AF36)</f>
        <v/>
      </c>
      <c r="AG36" s="42" t="str">
        <f>IF(ISERROR(FIND($A$2,Lines!AG36))=TRUE,"",Lines!AG36)</f>
        <v/>
      </c>
      <c r="AH36" s="66" t="str">
        <f>IF(ISERROR(FIND($A$2,Lines!AH36))=TRUE,"",Lines!AH36)</f>
        <v/>
      </c>
      <c r="AI36" s="42" t="str">
        <f>IF(ISERROR(FIND($A$2,Lines!AI36))=TRUE,"",Lines!AI36)</f>
        <v/>
      </c>
      <c r="AJ36" s="49" t="str">
        <f>IF(ISERROR(FIND($A$2,Lines!AJ36))=TRUE,"",Lines!AJ36)</f>
        <v/>
      </c>
      <c r="AK36" s="30" t="str">
        <f>IF(ISERROR(FIND($A$2,Lines!AK36))=TRUE,"",Lines!AK36)</f>
        <v/>
      </c>
      <c r="AL36" s="30" t="str">
        <f>IF(ISERROR(FIND($A$2,Lines!AL36))=TRUE,"",Lines!AL36)</f>
        <v/>
      </c>
      <c r="AM36" s="30" t="str">
        <f>IF(ISERROR(FIND($A$2,Lines!AM36))=TRUE,"",Lines!AM36)</f>
        <v/>
      </c>
      <c r="AN36" s="30" t="str">
        <f>IF(ISERROR(FIND($A$2,Lines!AN36))=TRUE,"",Lines!AN36)</f>
        <v/>
      </c>
      <c r="AO36" s="30" t="str">
        <f>IF(ISERROR(FIND($A$2,Lines!AO36))=TRUE,"",Lines!AO36)</f>
        <v/>
      </c>
      <c r="AP36" s="30" t="str">
        <f>IF(ISERROR(FIND($A$2,Lines!AP36))=TRUE,"",Lines!AP36)</f>
        <v/>
      </c>
      <c r="AQ36" s="30" t="str">
        <f>IF(ISERROR(FIND($A$2,Lines!AQ36))=TRUE,"",Lines!AQ36)</f>
        <v/>
      </c>
      <c r="AR36" s="30" t="str">
        <f>IF(ISERROR(FIND($A$2,Lines!AR36))=TRUE,"",Lines!AR36)</f>
        <v/>
      </c>
      <c r="AS36" s="30" t="str">
        <f>IF(ISERROR(FIND($A$2,Lines!AS36))=TRUE,"",Lines!AS36)</f>
        <v/>
      </c>
      <c r="AT36" s="30" t="str">
        <f>IF(ISERROR(FIND($A$2,Lines!AT36))=TRUE,"",Lines!AT36)</f>
        <v/>
      </c>
    </row>
    <row r="37" spans="1:46" ht="20.25" customHeight="1">
      <c r="A37" s="2" t="s">
        <v>85</v>
      </c>
      <c r="B37" s="30" t="str">
        <f>IF(ISERROR(FIND($A$2,Lines!B37))=TRUE,"",Lines!B37)</f>
        <v/>
      </c>
      <c r="C37" s="30" t="str">
        <f>IF(ISERROR(FIND($A$2,Lines!C37))=TRUE,"",Lines!C37)</f>
        <v/>
      </c>
      <c r="D37" s="30" t="str">
        <f>IF(ISERROR(FIND($A$2,Lines!D37))=TRUE,"",Lines!D37)</f>
        <v/>
      </c>
      <c r="E37" s="30" t="str">
        <f>IF(ISERROR(FIND($A$2,Lines!E37))=TRUE,"",Lines!E37)</f>
        <v/>
      </c>
      <c r="F37" s="30" t="str">
        <f>IF(ISERROR(FIND($A$2,Lines!F37))=TRUE,"",Lines!F37)</f>
        <v/>
      </c>
      <c r="G37" s="30" t="str">
        <f>IF(ISERROR(FIND($A$2,Lines!G37))=TRUE,"",Lines!G37)</f>
        <v/>
      </c>
      <c r="H37" s="30" t="str">
        <f>IF(ISERROR(FIND($A$2,Lines!H37))=TRUE,"",Lines!H37)</f>
        <v/>
      </c>
      <c r="I37" s="30" t="str">
        <f>IF(ISERROR(FIND($A$2,Lines!I37))=TRUE,"",Lines!I37)</f>
        <v/>
      </c>
      <c r="J37" s="30" t="str">
        <f>IF(ISERROR(FIND($A$2,Lines!J37))=TRUE,"",Lines!J37)</f>
        <v/>
      </c>
      <c r="K37" s="30" t="str">
        <f>IF(ISERROR(FIND($A$2,Lines!K37))=TRUE,"",Lines!K37)</f>
        <v/>
      </c>
      <c r="L37" s="30" t="str">
        <f>IF(ISERROR(FIND($A$2,Lines!L37))=TRUE,"",Lines!L37)</f>
        <v/>
      </c>
      <c r="M37" s="30" t="str">
        <f>IF(ISERROR(FIND($A$2,Lines!M37))=TRUE,"",Lines!M37)</f>
        <v/>
      </c>
      <c r="N37" s="30" t="str">
        <f>IF(ISERROR(FIND($A$2,Lines!N37))=TRUE,"",Lines!N37)</f>
        <v/>
      </c>
      <c r="O37" s="30" t="str">
        <f>IF(ISERROR(FIND($A$2,Lines!O37))=TRUE,"",Lines!O37)</f>
        <v/>
      </c>
      <c r="P37" s="30" t="str">
        <f>IF(ISERROR(FIND($A$2,Lines!P37))=TRUE,"",Lines!P37)</f>
        <v/>
      </c>
      <c r="Q37" s="30" t="str">
        <f>IF(ISERROR(FIND($A$2,Lines!Q37))=TRUE,"",Lines!Q37)</f>
        <v/>
      </c>
      <c r="R37" s="30" t="str">
        <f>IF(ISERROR(FIND($A$2,Lines!R37))=TRUE,"",Lines!R37)</f>
        <v/>
      </c>
      <c r="S37" s="30" t="str">
        <f>IF(ISERROR(FIND($A$2,Lines!S37))=TRUE,"",Lines!S37)</f>
        <v/>
      </c>
      <c r="T37" s="30" t="str">
        <f>IF(ISERROR(FIND($A$2,Lines!T37))=TRUE,"",Lines!T37)</f>
        <v/>
      </c>
      <c r="U37" s="30" t="str">
        <f>IF(ISERROR(FIND($A$2,Lines!U37))=TRUE,"",Lines!U37)</f>
        <v/>
      </c>
      <c r="V37" s="30" t="str">
        <f>IF(ISERROR(FIND($A$2,Lines!V37))=TRUE,"",Lines!V37)</f>
        <v/>
      </c>
      <c r="W37" s="36" t="str">
        <f>IF(ISERROR(FIND($A$2,Lines!W37))=TRUE,"",Lines!W37)</f>
        <v/>
      </c>
      <c r="X37" s="30" t="str">
        <f>IF(ISERROR(FIND($A$2,Lines!X37))=TRUE,"",Lines!X37)</f>
        <v/>
      </c>
      <c r="Y37" s="30" t="str">
        <f>IF(ISERROR(FIND($A$2,Lines!Y37))=TRUE,"",Lines!Y37)</f>
        <v/>
      </c>
      <c r="Z37" s="30" t="str">
        <f>IF(ISERROR(FIND($A$2,Lines!Z37))=TRUE,"",Lines!Z37)</f>
        <v/>
      </c>
      <c r="AA37" s="30" t="str">
        <f>IF(ISERROR(FIND($A$2,Lines!AA37))=TRUE,"",Lines!AA37)</f>
        <v/>
      </c>
      <c r="AB37" s="30" t="str">
        <f>IF(ISERROR(FIND($A$2,Lines!AB37))=TRUE,"",Lines!AB37)</f>
        <v/>
      </c>
      <c r="AC37" s="30" t="str">
        <f>IF(ISERROR(FIND($A$2,Lines!AC37))=TRUE,"",Lines!AC37)</f>
        <v/>
      </c>
      <c r="AD37" s="30" t="str">
        <f>IF(ISERROR(FIND($A$2,Lines!AD37))=TRUE,"",Lines!AD37)</f>
        <v/>
      </c>
      <c r="AE37" s="51" t="str">
        <f>IF(ISERROR(FIND($A$2,Lines!AE37))=TRUE,"",Lines!AE37)</f>
        <v/>
      </c>
      <c r="AF37" s="42" t="str">
        <f>IF(ISERROR(FIND($A$2,Lines!AF37))=TRUE,"",Lines!AF37)</f>
        <v/>
      </c>
      <c r="AG37" s="42" t="str">
        <f>IF(ISERROR(FIND($A$2,Lines!AG37))=TRUE,"",Lines!AG37)</f>
        <v/>
      </c>
      <c r="AH37" s="42" t="str">
        <f>IF(ISERROR(FIND($A$2,Lines!AH37))=TRUE,"",Lines!AH37)</f>
        <v/>
      </c>
      <c r="AI37" s="66" t="str">
        <f>IF(ISERROR(FIND($A$2,Lines!AI37))=TRUE,"",Lines!AI37)</f>
        <v/>
      </c>
      <c r="AJ37" s="49" t="str">
        <f>IF(ISERROR(FIND($A$2,Lines!AJ37))=TRUE,"",Lines!AJ37)</f>
        <v/>
      </c>
      <c r="AK37" s="30" t="str">
        <f>IF(ISERROR(FIND($A$2,Lines!AK37))=TRUE,"",Lines!AK37)</f>
        <v/>
      </c>
      <c r="AL37" s="30" t="str">
        <f>IF(ISERROR(FIND($A$2,Lines!AL37))=TRUE,"",Lines!AL37)</f>
        <v/>
      </c>
      <c r="AM37" s="30" t="str">
        <f>IF(ISERROR(FIND($A$2,Lines!AM37))=TRUE,"",Lines!AM37)</f>
        <v/>
      </c>
      <c r="AN37" s="30" t="str">
        <f>IF(ISERROR(FIND($A$2,Lines!AN37))=TRUE,"",Lines!AN37)</f>
        <v/>
      </c>
      <c r="AO37" s="30" t="str">
        <f>IF(ISERROR(FIND($A$2,Lines!AO37))=TRUE,"",Lines!AO37)</f>
        <v/>
      </c>
      <c r="AP37" s="30" t="str">
        <f>IF(ISERROR(FIND($A$2,Lines!AP37))=TRUE,"",Lines!AP37)</f>
        <v/>
      </c>
      <c r="AQ37" s="30" t="str">
        <f>IF(ISERROR(FIND($A$2,Lines!AQ37))=TRUE,"",Lines!AQ37)</f>
        <v/>
      </c>
      <c r="AR37" s="30" t="str">
        <f>IF(ISERROR(FIND($A$2,Lines!AR37))=TRUE,"",Lines!AR37)</f>
        <v/>
      </c>
      <c r="AS37" s="30" t="str">
        <f>IF(ISERROR(FIND($A$2,Lines!AS37))=TRUE,"",Lines!AS37)</f>
        <v/>
      </c>
      <c r="AT37" s="30" t="str">
        <f>IF(ISERROR(FIND($A$2,Lines!AT37))=TRUE,"",Lines!AT37)</f>
        <v/>
      </c>
    </row>
    <row r="38" spans="1:46" ht="20.25" customHeight="1">
      <c r="A38" s="2" t="s">
        <v>86</v>
      </c>
      <c r="B38" s="30" t="str">
        <f>IF(ISERROR(FIND($A$2,Lines!B38))=TRUE,"",Lines!B38)</f>
        <v/>
      </c>
      <c r="C38" s="30" t="str">
        <f>IF(ISERROR(FIND($A$2,Lines!C38))=TRUE,"",Lines!C38)</f>
        <v/>
      </c>
      <c r="D38" s="30" t="str">
        <f>IF(ISERROR(FIND($A$2,Lines!D38))=TRUE,"",Lines!D38)</f>
        <v/>
      </c>
      <c r="E38" s="30" t="str">
        <f>IF(ISERROR(FIND($A$2,Lines!E38))=TRUE,"",Lines!E38)</f>
        <v/>
      </c>
      <c r="F38" s="30" t="str">
        <f>IF(ISERROR(FIND($A$2,Lines!F38))=TRUE,"",Lines!F38)</f>
        <v/>
      </c>
      <c r="G38" s="30" t="str">
        <f>IF(ISERROR(FIND($A$2,Lines!G38))=TRUE,"",Lines!G38)</f>
        <v/>
      </c>
      <c r="H38" s="30" t="str">
        <f>IF(ISERROR(FIND($A$2,Lines!H38))=TRUE,"",Lines!H38)</f>
        <v/>
      </c>
      <c r="I38" s="30" t="str">
        <f>IF(ISERROR(FIND($A$2,Lines!I38))=TRUE,"",Lines!I38)</f>
        <v/>
      </c>
      <c r="J38" s="30" t="str">
        <f>IF(ISERROR(FIND($A$2,Lines!J38))=TRUE,"",Lines!J38)</f>
        <v/>
      </c>
      <c r="K38" s="30" t="str">
        <f>IF(ISERROR(FIND($A$2,Lines!K38))=TRUE,"",Lines!K38)</f>
        <v/>
      </c>
      <c r="L38" s="30" t="str">
        <f>IF(ISERROR(FIND($A$2,Lines!L38))=TRUE,"",Lines!L38)</f>
        <v/>
      </c>
      <c r="M38" s="30" t="str">
        <f>IF(ISERROR(FIND($A$2,Lines!M38))=TRUE,"",Lines!M38)</f>
        <v/>
      </c>
      <c r="N38" s="30" t="str">
        <f>IF(ISERROR(FIND($A$2,Lines!N38))=TRUE,"",Lines!N38)</f>
        <v/>
      </c>
      <c r="O38" s="45" t="str">
        <f>IF(ISERROR(FIND($A$2,Lines!O38))=TRUE,"",Lines!O38)</f>
        <v/>
      </c>
      <c r="P38" s="30" t="str">
        <f>IF(ISERROR(FIND($A$2,Lines!P38))=TRUE,"",Lines!P38)</f>
        <v/>
      </c>
      <c r="Q38" s="30" t="str">
        <f>IF(ISERROR(FIND($A$2,Lines!Q38))=TRUE,"",Lines!Q38)</f>
        <v/>
      </c>
      <c r="R38" s="30" t="str">
        <f>IF(ISERROR(FIND($A$2,Lines!R38))=TRUE,"",Lines!R38)</f>
        <v/>
      </c>
      <c r="S38" s="30" t="str">
        <f>IF(ISERROR(FIND($A$2,Lines!S38))=TRUE,"",Lines!S38)</f>
        <v/>
      </c>
      <c r="T38" s="30" t="str">
        <f>IF(ISERROR(FIND($A$2,Lines!T38))=TRUE,"",Lines!T38)</f>
        <v/>
      </c>
      <c r="U38" s="30" t="str">
        <f>IF(ISERROR(FIND($A$2,Lines!U38))=TRUE,"",Lines!U38)</f>
        <v/>
      </c>
      <c r="V38" s="30" t="str">
        <f>IF(ISERROR(FIND($A$2,Lines!V38))=TRUE,"",Lines!V38)</f>
        <v/>
      </c>
      <c r="W38" s="36" t="str">
        <f>IF(ISERROR(FIND($A$2,Lines!W38))=TRUE,"",Lines!W38)</f>
        <v/>
      </c>
      <c r="X38" s="30" t="str">
        <f>IF(ISERROR(FIND($A$2,Lines!X38))=TRUE,"",Lines!X38)</f>
        <v/>
      </c>
      <c r="Y38" s="30" t="str">
        <f>IF(ISERROR(FIND($A$2,Lines!Y38))=TRUE,"",Lines!Y38)</f>
        <v/>
      </c>
      <c r="Z38" s="30" t="str">
        <f>IF(ISERROR(FIND($A$2,Lines!Z38))=TRUE,"",Lines!Z38)</f>
        <v/>
      </c>
      <c r="AA38" s="30" t="str">
        <f>IF(ISERROR(FIND($A$2,Lines!AA38))=TRUE,"",Lines!AA38)</f>
        <v/>
      </c>
      <c r="AB38" s="30" t="str">
        <f>IF(ISERROR(FIND($A$2,Lines!AB38))=TRUE,"",Lines!AB38)</f>
        <v/>
      </c>
      <c r="AC38" s="30" t="str">
        <f>IF(ISERROR(FIND($A$2,Lines!AC38))=TRUE,"",Lines!AC38)</f>
        <v/>
      </c>
      <c r="AD38" s="30" t="str">
        <f>IF(ISERROR(FIND($A$2,Lines!AD38))=TRUE,"",Lines!AD38)</f>
        <v/>
      </c>
      <c r="AE38" s="55" t="str">
        <f>IF(ISERROR(FIND($A$2,Lines!AE38))=TRUE,"",Lines!AE38)</f>
        <v>1000雅安-武汉特高压交流（8000MW）</v>
      </c>
      <c r="AF38" s="56" t="str">
        <f>IF(ISERROR(FIND($A$2,Lines!AF38))=TRUE,"",Lines!AF38)</f>
        <v/>
      </c>
      <c r="AG38" s="56" t="str">
        <f>IF(ISERROR(FIND($A$2,Lines!AG38))=TRUE,"",Lines!AG38)</f>
        <v>±800吉安-金上（10000MW）</v>
      </c>
      <c r="AH38" s="56" t="str">
        <f>IF(ISERROR(FIND($A$2,Lines!AH38))=TRUE,"",Lines!AH38)</f>
        <v/>
      </c>
      <c r="AI38" s="56" t="str">
        <f>IF(ISERROR(FIND($A$2,Lines!AI38))=TRUE,"",Lines!AI38)</f>
        <v/>
      </c>
      <c r="AJ38" s="67" t="str">
        <f>IF(ISERROR(FIND($A$2,Lines!AJ38))=TRUE,"",Lines!AJ38)</f>
        <v/>
      </c>
      <c r="AK38" s="30" t="str">
        <f>IF(ISERROR(FIND($A$2,Lines!AK38))=TRUE,"",Lines!AK38)</f>
        <v/>
      </c>
      <c r="AL38" s="30" t="str">
        <f>IF(ISERROR(FIND($A$2,Lines!AL38))=TRUE,"",Lines!AL38)</f>
        <v/>
      </c>
      <c r="AM38" s="30" t="str">
        <f>IF(ISERROR(FIND($A$2,Lines!AM38))=TRUE,"",Lines!AM38)</f>
        <v/>
      </c>
      <c r="AN38" s="30" t="str">
        <f>IF(ISERROR(FIND($A$2,Lines!AN38))=TRUE,"",Lines!AN38)</f>
        <v/>
      </c>
      <c r="AO38" s="30" t="str">
        <f>IF(ISERROR(FIND($A$2,Lines!AO38))=TRUE,"",Lines!AO38)</f>
        <v/>
      </c>
      <c r="AP38" s="30" t="str">
        <f>IF(ISERROR(FIND($A$2,Lines!AP38))=TRUE,"",Lines!AP38)</f>
        <v/>
      </c>
      <c r="AQ38" s="30" t="str">
        <f>IF(ISERROR(FIND($A$2,Lines!AQ38))=TRUE,"",Lines!AQ38)</f>
        <v/>
      </c>
      <c r="AR38" s="30" t="str">
        <f>IF(ISERROR(FIND($A$2,Lines!AR38))=TRUE,"",Lines!AR38)</f>
        <v/>
      </c>
      <c r="AS38" s="30" t="str">
        <f>IF(ISERROR(FIND($A$2,Lines!AS38))=TRUE,"",Lines!AS38)</f>
        <v/>
      </c>
      <c r="AT38" s="30" t="str">
        <f>IF(ISERROR(FIND($A$2,Lines!AT38))=TRUE,"",Lines!AT38)</f>
        <v/>
      </c>
    </row>
    <row r="39" spans="1:46" ht="20.25" customHeight="1">
      <c r="A39" s="2" t="s">
        <v>87</v>
      </c>
      <c r="B39" s="30" t="str">
        <f>IF(ISERROR(FIND($A$2,Lines!B39))=TRUE,"",Lines!B39)</f>
        <v/>
      </c>
      <c r="C39" s="30" t="str">
        <f>IF(ISERROR(FIND($A$2,Lines!C39))=TRUE,"",Lines!C39)</f>
        <v/>
      </c>
      <c r="D39" s="30" t="str">
        <f>IF(ISERROR(FIND($A$2,Lines!D39))=TRUE,"",Lines!D39)</f>
        <v/>
      </c>
      <c r="E39" s="30" t="str">
        <f>IF(ISERROR(FIND($A$2,Lines!E39))=TRUE,"",Lines!E39)</f>
        <v/>
      </c>
      <c r="F39" s="30" t="str">
        <f>IF(ISERROR(FIND($A$2,Lines!F39))=TRUE,"",Lines!F39)</f>
        <v/>
      </c>
      <c r="G39" s="30" t="str">
        <f>IF(ISERROR(FIND($A$2,Lines!G39))=TRUE,"",Lines!G39)</f>
        <v/>
      </c>
      <c r="H39" s="30" t="str">
        <f>IF(ISERROR(FIND($A$2,Lines!H39))=TRUE,"",Lines!H39)</f>
        <v/>
      </c>
      <c r="I39" s="30" t="str">
        <f>IF(ISERROR(FIND($A$2,Lines!I39))=TRUE,"",Lines!I39)</f>
        <v/>
      </c>
      <c r="J39" s="30" t="str">
        <f>IF(ISERROR(FIND($A$2,Lines!J39))=TRUE,"",Lines!J39)</f>
        <v/>
      </c>
      <c r="K39" s="30" t="str">
        <f>IF(ISERROR(FIND($A$2,Lines!K39))=TRUE,"",Lines!K39)</f>
        <v/>
      </c>
      <c r="L39" s="30" t="str">
        <f>IF(ISERROR(FIND($A$2,Lines!L39))=TRUE,"",Lines!L39)</f>
        <v/>
      </c>
      <c r="M39" s="30" t="str">
        <f>IF(ISERROR(FIND($A$2,Lines!M39))=TRUE,"",Lines!M39)</f>
        <v/>
      </c>
      <c r="N39" s="30" t="str">
        <f>IF(ISERROR(FIND($A$2,Lines!N39))=TRUE,"",Lines!N39)</f>
        <v/>
      </c>
      <c r="O39" s="30" t="str">
        <f>IF(ISERROR(FIND($A$2,Lines!O39))=TRUE,"",Lines!O39)</f>
        <v/>
      </c>
      <c r="P39" s="30" t="str">
        <f>IF(ISERROR(FIND($A$2,Lines!P39))=TRUE,"",Lines!P39)</f>
        <v/>
      </c>
      <c r="Q39" s="30" t="str">
        <f>IF(ISERROR(FIND($A$2,Lines!Q39))=TRUE,"",Lines!Q39)</f>
        <v/>
      </c>
      <c r="R39" s="30" t="str">
        <f>IF(ISERROR(FIND($A$2,Lines!R39))=TRUE,"",Lines!R39)</f>
        <v/>
      </c>
      <c r="S39" s="30" t="str">
        <f>IF(ISERROR(FIND($A$2,Lines!S39))=TRUE,"",Lines!S39)</f>
        <v/>
      </c>
      <c r="T39" s="30" t="str">
        <f>IF(ISERROR(FIND($A$2,Lines!T39))=TRUE,"",Lines!T39)</f>
        <v/>
      </c>
      <c r="U39" s="30" t="str">
        <f>IF(ISERROR(FIND($A$2,Lines!U39))=TRUE,"",Lines!U39)</f>
        <v/>
      </c>
      <c r="V39" s="30" t="str">
        <f>IF(ISERROR(FIND($A$2,Lines!V39))=TRUE,"",Lines!V39)</f>
        <v/>
      </c>
      <c r="W39" s="36" t="str">
        <f>IF(ISERROR(FIND($A$2,Lines!W39))=TRUE,"",Lines!W39)</f>
        <v/>
      </c>
      <c r="X39" s="30" t="str">
        <f>IF(ISERROR(FIND($A$2,Lines!X39))=TRUE,"",Lines!X39)</f>
        <v/>
      </c>
      <c r="Y39" s="30" t="str">
        <f>IF(ISERROR(FIND($A$2,Lines!Y39))=TRUE,"",Lines!Y39)</f>
        <v/>
      </c>
      <c r="Z39" s="30" t="str">
        <f>IF(ISERROR(FIND($A$2,Lines!Z39))=TRUE,"",Lines!Z39)</f>
        <v/>
      </c>
      <c r="AA39" s="30" t="str">
        <f>IF(ISERROR(FIND($A$2,Lines!AA39))=TRUE,"",Lines!AA39)</f>
        <v/>
      </c>
      <c r="AB39" s="30" t="str">
        <f>IF(ISERROR(FIND($A$2,Lines!AB39))=TRUE,"",Lines!AB39)</f>
        <v/>
      </c>
      <c r="AC39" s="30" t="str">
        <f>IF(ISERROR(FIND($A$2,Lines!AC39))=TRUE,"",Lines!AC39)</f>
        <v/>
      </c>
      <c r="AD39" s="30" t="str">
        <f>IF(ISERROR(FIND($A$2,Lines!AD39))=TRUE,"",Lines!AD39)</f>
        <v/>
      </c>
      <c r="AE39" s="30" t="str">
        <f>IF(ISERROR(FIND($A$2,Lines!AE39))=TRUE,"",Lines!AE39)</f>
        <v/>
      </c>
      <c r="AF39" s="30" t="str">
        <f>IF(ISERROR(FIND($A$2,Lines!AF39))=TRUE,"",Lines!AF39)</f>
        <v/>
      </c>
      <c r="AG39" s="30" t="str">
        <f>IF(ISERROR(FIND($A$2,Lines!AG39))=TRUE,"",Lines!AG39)</f>
        <v/>
      </c>
      <c r="AH39" s="30" t="str">
        <f>IF(ISERROR(FIND($A$2,Lines!AH39))=TRUE,"",Lines!AH39)</f>
        <v/>
      </c>
      <c r="AI39" s="30" t="str">
        <f>IF(ISERROR(FIND($A$2,Lines!AI39))=TRUE,"",Lines!AI39)</f>
        <v/>
      </c>
      <c r="AJ39" s="30" t="str">
        <f>IF(ISERROR(FIND($A$2,Lines!AJ39))=TRUE,"",Lines!AJ39)</f>
        <v/>
      </c>
      <c r="AK39" s="65" t="str">
        <f>IF(ISERROR(FIND($A$2,Lines!AK39))=TRUE,"",Lines!AK39)</f>
        <v/>
      </c>
      <c r="AL39" s="50" t="str">
        <f>IF(ISERROR(FIND($A$2,Lines!AL39))=TRUE,"",Lines!AL39)</f>
        <v/>
      </c>
      <c r="AM39" s="50" t="str">
        <f>IF(ISERROR(FIND($A$2,Lines!AM39))=TRUE,"",Lines!AM39)</f>
        <v/>
      </c>
      <c r="AN39" s="50" t="str">
        <f>IF(ISERROR(FIND($A$2,Lines!AN39))=TRUE,"",Lines!AN39)</f>
        <v/>
      </c>
      <c r="AO39" s="60" t="str">
        <f>IF(ISERROR(FIND($A$2,Lines!AO39))=TRUE,"",Lines!AO39)</f>
        <v/>
      </c>
      <c r="AP39" s="30" t="str">
        <f>IF(ISERROR(FIND($A$2,Lines!AP39))=TRUE,"",Lines!AP39)</f>
        <v/>
      </c>
      <c r="AQ39" s="30" t="str">
        <f>IF(ISERROR(FIND($A$2,Lines!AQ39))=TRUE,"",Lines!AQ39)</f>
        <v/>
      </c>
      <c r="AR39" s="30" t="str">
        <f>IF(ISERROR(FIND($A$2,Lines!AR39))=TRUE,"",Lines!AR39)</f>
        <v/>
      </c>
      <c r="AS39" s="30" t="str">
        <f>IF(ISERROR(FIND($A$2,Lines!AS39))=TRUE,"",Lines!AS39)</f>
        <v/>
      </c>
      <c r="AT39" s="30" t="str">
        <f>IF(ISERROR(FIND($A$2,Lines!AT39))=TRUE,"",Lines!AT39)</f>
        <v/>
      </c>
    </row>
    <row r="40" spans="1:46" ht="20.25" customHeight="1">
      <c r="A40" s="2" t="s">
        <v>88</v>
      </c>
      <c r="B40" s="30" t="str">
        <f>IF(ISERROR(FIND($A$2,Lines!B40))=TRUE,"",Lines!B40)</f>
        <v/>
      </c>
      <c r="C40" s="30" t="str">
        <f>IF(ISERROR(FIND($A$2,Lines!C40))=TRUE,"",Lines!C40)</f>
        <v/>
      </c>
      <c r="D40" s="30" t="str">
        <f>IF(ISERROR(FIND($A$2,Lines!D40))=TRUE,"",Lines!D40)</f>
        <v/>
      </c>
      <c r="E40" s="30" t="str">
        <f>IF(ISERROR(FIND($A$2,Lines!E40))=TRUE,"",Lines!E40)</f>
        <v/>
      </c>
      <c r="F40" s="30" t="str">
        <f>IF(ISERROR(FIND($A$2,Lines!F40))=TRUE,"",Lines!F40)</f>
        <v/>
      </c>
      <c r="G40" s="30" t="str">
        <f>IF(ISERROR(FIND($A$2,Lines!G40))=TRUE,"",Lines!G40)</f>
        <v/>
      </c>
      <c r="H40" s="30" t="str">
        <f>IF(ISERROR(FIND($A$2,Lines!H40))=TRUE,"",Lines!H40)</f>
        <v/>
      </c>
      <c r="I40" s="30" t="str">
        <f>IF(ISERROR(FIND($A$2,Lines!I40))=TRUE,"",Lines!I40)</f>
        <v/>
      </c>
      <c r="J40" s="30" t="str">
        <f>IF(ISERROR(FIND($A$2,Lines!J40))=TRUE,"",Lines!J40)</f>
        <v/>
      </c>
      <c r="K40" s="30" t="str">
        <f>IF(ISERROR(FIND($A$2,Lines!K40))=TRUE,"",Lines!K40)</f>
        <v/>
      </c>
      <c r="L40" s="30" t="str">
        <f>IF(ISERROR(FIND($A$2,Lines!L40))=TRUE,"",Lines!L40)</f>
        <v/>
      </c>
      <c r="M40" s="30" t="str">
        <f>IF(ISERROR(FIND($A$2,Lines!M40))=TRUE,"",Lines!M40)</f>
        <v/>
      </c>
      <c r="N40" s="30" t="str">
        <f>IF(ISERROR(FIND($A$2,Lines!N40))=TRUE,"",Lines!N40)</f>
        <v/>
      </c>
      <c r="O40" s="30" t="str">
        <f>IF(ISERROR(FIND($A$2,Lines!O40))=TRUE,"",Lines!O40)</f>
        <v/>
      </c>
      <c r="P40" s="30" t="str">
        <f>IF(ISERROR(FIND($A$2,Lines!P40))=TRUE,"",Lines!P40)</f>
        <v/>
      </c>
      <c r="Q40" s="30" t="str">
        <f>IF(ISERROR(FIND($A$2,Lines!Q40))=TRUE,"",Lines!Q40)</f>
        <v/>
      </c>
      <c r="R40" s="30" t="str">
        <f>IF(ISERROR(FIND($A$2,Lines!R40))=TRUE,"",Lines!R40)</f>
        <v/>
      </c>
      <c r="S40" s="30" t="str">
        <f>IF(ISERROR(FIND($A$2,Lines!S40))=TRUE,"",Lines!S40)</f>
        <v/>
      </c>
      <c r="T40" s="30" t="str">
        <f>IF(ISERROR(FIND($A$2,Lines!T40))=TRUE,"",Lines!T40)</f>
        <v/>
      </c>
      <c r="U40" s="30" t="str">
        <f>IF(ISERROR(FIND($A$2,Lines!U40))=TRUE,"",Lines!U40)</f>
        <v/>
      </c>
      <c r="V40" s="30" t="str">
        <f>IF(ISERROR(FIND($A$2,Lines!V40))=TRUE,"",Lines!V40)</f>
        <v/>
      </c>
      <c r="W40" s="36" t="str">
        <f>IF(ISERROR(FIND($A$2,Lines!W40))=TRUE,"",Lines!W40)</f>
        <v/>
      </c>
      <c r="X40" s="30" t="str">
        <f>IF(ISERROR(FIND($A$2,Lines!X40))=TRUE,"",Lines!X40)</f>
        <v/>
      </c>
      <c r="Y40" s="30" t="str">
        <f>IF(ISERROR(FIND($A$2,Lines!Y40))=TRUE,"",Lines!Y40)</f>
        <v/>
      </c>
      <c r="Z40" s="30" t="str">
        <f>IF(ISERROR(FIND($A$2,Lines!Z40))=TRUE,"",Lines!Z40)</f>
        <v/>
      </c>
      <c r="AA40" s="30" t="str">
        <f>IF(ISERROR(FIND($A$2,Lines!AA40))=TRUE,"",Lines!AA40)</f>
        <v/>
      </c>
      <c r="AB40" s="30" t="str">
        <f>IF(ISERROR(FIND($A$2,Lines!AB40))=TRUE,"",Lines!AB40)</f>
        <v/>
      </c>
      <c r="AC40" s="30" t="str">
        <f>IF(ISERROR(FIND($A$2,Lines!AC40))=TRUE,"",Lines!AC40)</f>
        <v/>
      </c>
      <c r="AD40" s="30" t="str">
        <f>IF(ISERROR(FIND($A$2,Lines!AD40))=TRUE,"",Lines!AD40)</f>
        <v/>
      </c>
      <c r="AE40" s="30" t="str">
        <f>IF(ISERROR(FIND($A$2,Lines!AE40))=TRUE,"",Lines!AE40)</f>
        <v/>
      </c>
      <c r="AF40" s="30" t="str">
        <f>IF(ISERROR(FIND($A$2,Lines!AF40))=TRUE,"",Lines!AF40)</f>
        <v/>
      </c>
      <c r="AG40" s="30" t="str">
        <f>IF(ISERROR(FIND($A$2,Lines!AG40))=TRUE,"",Lines!AG40)</f>
        <v/>
      </c>
      <c r="AH40" s="30" t="str">
        <f>IF(ISERROR(FIND($A$2,Lines!AH40))=TRUE,"",Lines!AH40)</f>
        <v/>
      </c>
      <c r="AI40" s="30" t="str">
        <f>IF(ISERROR(FIND($A$2,Lines!AI40))=TRUE,"",Lines!AI40)</f>
        <v/>
      </c>
      <c r="AJ40" s="30" t="str">
        <f>IF(ISERROR(FIND($A$2,Lines!AJ40))=TRUE,"",Lines!AJ40)</f>
        <v/>
      </c>
      <c r="AK40" s="54" t="str">
        <f>IF(ISERROR(FIND($A$2,Lines!AK40))=TRUE,"",Lines!AK40)</f>
        <v/>
      </c>
      <c r="AL40" s="66" t="str">
        <f>IF(ISERROR(FIND($A$2,Lines!AL40))=TRUE,"",Lines!AL40)</f>
        <v/>
      </c>
      <c r="AM40" s="43" t="str">
        <f>IF(ISERROR(FIND($A$2,Lines!AM40))=TRUE,"",Lines!AM40)</f>
        <v/>
      </c>
      <c r="AN40" s="43" t="str">
        <f>IF(ISERROR(FIND($A$2,Lines!AN40))=TRUE,"",Lines!AN40)</f>
        <v/>
      </c>
      <c r="AO40" s="61" t="str">
        <f>IF(ISERROR(FIND($A$2,Lines!AO40))=TRUE,"",Lines!AO40)</f>
        <v/>
      </c>
      <c r="AP40" s="30" t="str">
        <f>IF(ISERROR(FIND($A$2,Lines!AP40))=TRUE,"",Lines!AP40)</f>
        <v/>
      </c>
      <c r="AQ40" s="30" t="str">
        <f>IF(ISERROR(FIND($A$2,Lines!AQ40))=TRUE,"",Lines!AQ40)</f>
        <v/>
      </c>
      <c r="AR40" s="30" t="str">
        <f>IF(ISERROR(FIND($A$2,Lines!AR40))=TRUE,"",Lines!AR40)</f>
        <v/>
      </c>
      <c r="AS40" s="30" t="str">
        <f>IF(ISERROR(FIND($A$2,Lines!AS40))=TRUE,"",Lines!AS40)</f>
        <v/>
      </c>
      <c r="AT40" s="30" t="str">
        <f>IF(ISERROR(FIND($A$2,Lines!AT40))=TRUE,"",Lines!AT40)</f>
        <v/>
      </c>
    </row>
    <row r="41" spans="1:46" ht="20.25" customHeight="1">
      <c r="A41" s="2" t="s">
        <v>89</v>
      </c>
      <c r="B41" s="30" t="str">
        <f>IF(ISERROR(FIND($A$2,Lines!B41))=TRUE,"",Lines!B41)</f>
        <v/>
      </c>
      <c r="C41" s="30" t="str">
        <f>IF(ISERROR(FIND($A$2,Lines!C41))=TRUE,"",Lines!C41)</f>
        <v/>
      </c>
      <c r="D41" s="30" t="str">
        <f>IF(ISERROR(FIND($A$2,Lines!D41))=TRUE,"",Lines!D41)</f>
        <v/>
      </c>
      <c r="E41" s="30" t="str">
        <f>IF(ISERROR(FIND($A$2,Lines!E41))=TRUE,"",Lines!E41)</f>
        <v/>
      </c>
      <c r="F41" s="30" t="str">
        <f>IF(ISERROR(FIND($A$2,Lines!F41))=TRUE,"",Lines!F41)</f>
        <v/>
      </c>
      <c r="G41" s="30" t="str">
        <f>IF(ISERROR(FIND($A$2,Lines!G41))=TRUE,"",Lines!G41)</f>
        <v/>
      </c>
      <c r="H41" s="30" t="str">
        <f>IF(ISERROR(FIND($A$2,Lines!H41))=TRUE,"",Lines!H41)</f>
        <v/>
      </c>
      <c r="I41" s="30" t="str">
        <f>IF(ISERROR(FIND($A$2,Lines!I41))=TRUE,"",Lines!I41)</f>
        <v/>
      </c>
      <c r="J41" s="30" t="str">
        <f>IF(ISERROR(FIND($A$2,Lines!J41))=TRUE,"",Lines!J41)</f>
        <v/>
      </c>
      <c r="K41" s="30" t="str">
        <f>IF(ISERROR(FIND($A$2,Lines!K41))=TRUE,"",Lines!K41)</f>
        <v/>
      </c>
      <c r="L41" s="30" t="str">
        <f>IF(ISERROR(FIND($A$2,Lines!L41))=TRUE,"",Lines!L41)</f>
        <v/>
      </c>
      <c r="M41" s="30" t="str">
        <f>IF(ISERROR(FIND($A$2,Lines!M41))=TRUE,"",Lines!M41)</f>
        <v/>
      </c>
      <c r="N41" s="30" t="str">
        <f>IF(ISERROR(FIND($A$2,Lines!N41))=TRUE,"",Lines!N41)</f>
        <v/>
      </c>
      <c r="O41" s="30" t="str">
        <f>IF(ISERROR(FIND($A$2,Lines!O41))=TRUE,"",Lines!O41)</f>
        <v/>
      </c>
      <c r="P41" s="30" t="str">
        <f>IF(ISERROR(FIND($A$2,Lines!P41))=TRUE,"",Lines!P41)</f>
        <v/>
      </c>
      <c r="Q41" s="30" t="str">
        <f>IF(ISERROR(FIND($A$2,Lines!Q41))=TRUE,"",Lines!Q41)</f>
        <v/>
      </c>
      <c r="R41" s="30" t="str">
        <f>IF(ISERROR(FIND($A$2,Lines!R41))=TRUE,"",Lines!R41)</f>
        <v/>
      </c>
      <c r="S41" s="30" t="str">
        <f>IF(ISERROR(FIND($A$2,Lines!S41))=TRUE,"",Lines!S41)</f>
        <v/>
      </c>
      <c r="T41" s="30" t="str">
        <f>IF(ISERROR(FIND($A$2,Lines!T41))=TRUE,"",Lines!T41)</f>
        <v/>
      </c>
      <c r="U41" s="30" t="str">
        <f>IF(ISERROR(FIND($A$2,Lines!U41))=TRUE,"",Lines!U41)</f>
        <v/>
      </c>
      <c r="V41" s="30" t="str">
        <f>IF(ISERROR(FIND($A$2,Lines!V41))=TRUE,"",Lines!V41)</f>
        <v/>
      </c>
      <c r="W41" s="36" t="str">
        <f>IF(ISERROR(FIND($A$2,Lines!W41))=TRUE,"",Lines!W41)</f>
        <v/>
      </c>
      <c r="X41" s="30" t="str">
        <f>IF(ISERROR(FIND($A$2,Lines!X41))=TRUE,"",Lines!X41)</f>
        <v/>
      </c>
      <c r="Y41" s="30" t="str">
        <f>IF(ISERROR(FIND($A$2,Lines!Y41))=TRUE,"",Lines!Y41)</f>
        <v/>
      </c>
      <c r="Z41" s="30" t="str">
        <f>IF(ISERROR(FIND($A$2,Lines!Z41))=TRUE,"",Lines!Z41)</f>
        <v/>
      </c>
      <c r="AA41" s="30" t="str">
        <f>IF(ISERROR(FIND($A$2,Lines!AA41))=TRUE,"",Lines!AA41)</f>
        <v/>
      </c>
      <c r="AB41" s="30" t="str">
        <f>IF(ISERROR(FIND($A$2,Lines!AB41))=TRUE,"",Lines!AB41)</f>
        <v/>
      </c>
      <c r="AC41" s="30" t="str">
        <f>IF(ISERROR(FIND($A$2,Lines!AC41))=TRUE,"",Lines!AC41)</f>
        <v/>
      </c>
      <c r="AD41" s="30" t="str">
        <f>IF(ISERROR(FIND($A$2,Lines!AD41))=TRUE,"",Lines!AD41)</f>
        <v/>
      </c>
      <c r="AE41" s="30" t="str">
        <f>IF(ISERROR(FIND($A$2,Lines!AE41))=TRUE,"",Lines!AE41)</f>
        <v/>
      </c>
      <c r="AF41" s="30" t="str">
        <f>IF(ISERROR(FIND($A$2,Lines!AF41))=TRUE,"",Lines!AF41)</f>
        <v/>
      </c>
      <c r="AG41" s="30" t="str">
        <f>IF(ISERROR(FIND($A$2,Lines!AG41))=TRUE,"",Lines!AG41)</f>
        <v/>
      </c>
      <c r="AH41" s="30" t="str">
        <f>IF(ISERROR(FIND($A$2,Lines!AH41))=TRUE,"",Lines!AH41)</f>
        <v/>
      </c>
      <c r="AI41" s="30" t="str">
        <f>IF(ISERROR(FIND($A$2,Lines!AI41))=TRUE,"",Lines!AI41)</f>
        <v/>
      </c>
      <c r="AJ41" s="30" t="str">
        <f>IF(ISERROR(FIND($A$2,Lines!AJ41))=TRUE,"",Lines!AJ41)</f>
        <v/>
      </c>
      <c r="AK41" s="54" t="str">
        <f>IF(ISERROR(FIND($A$2,Lines!AK41))=TRUE,"",Lines!AK41)</f>
        <v/>
      </c>
      <c r="AL41" s="43" t="str">
        <f>IF(ISERROR(FIND($A$2,Lines!AL41))=TRUE,"",Lines!AL41)</f>
        <v/>
      </c>
      <c r="AM41" s="66" t="str">
        <f>IF(ISERROR(FIND($A$2,Lines!AM41))=TRUE,"",Lines!AM41)</f>
        <v/>
      </c>
      <c r="AN41" s="43" t="str">
        <f>IF(ISERROR(FIND($A$2,Lines!AN41))=TRUE,"",Lines!AN41)</f>
        <v/>
      </c>
      <c r="AO41" s="61" t="str">
        <f>IF(ISERROR(FIND($A$2,Lines!AO41))=TRUE,"",Lines!AO41)</f>
        <v/>
      </c>
      <c r="AP41" s="30" t="str">
        <f>IF(ISERROR(FIND($A$2,Lines!AP41))=TRUE,"",Lines!AP41)</f>
        <v/>
      </c>
      <c r="AQ41" s="30" t="str">
        <f>IF(ISERROR(FIND($A$2,Lines!AQ41))=TRUE,"",Lines!AQ41)</f>
        <v/>
      </c>
      <c r="AR41" s="30" t="str">
        <f>IF(ISERROR(FIND($A$2,Lines!AR41))=TRUE,"",Lines!AR41)</f>
        <v/>
      </c>
      <c r="AS41" s="30" t="str">
        <f>IF(ISERROR(FIND($A$2,Lines!AS41))=TRUE,"",Lines!AS41)</f>
        <v/>
      </c>
      <c r="AT41" s="30" t="str">
        <f>IF(ISERROR(FIND($A$2,Lines!AT41))=TRUE,"",Lines!AT41)</f>
        <v/>
      </c>
    </row>
    <row r="42" spans="1:46" ht="20.25" customHeight="1">
      <c r="A42" s="2" t="s">
        <v>90</v>
      </c>
      <c r="B42" s="30" t="str">
        <f>IF(ISERROR(FIND($A$2,Lines!B42))=TRUE,"",Lines!B42)</f>
        <v/>
      </c>
      <c r="C42" s="30" t="str">
        <f>IF(ISERROR(FIND($A$2,Lines!C42))=TRUE,"",Lines!C42)</f>
        <v/>
      </c>
      <c r="D42" s="30" t="str">
        <f>IF(ISERROR(FIND($A$2,Lines!D42))=TRUE,"",Lines!D42)</f>
        <v/>
      </c>
      <c r="E42" s="30" t="str">
        <f>IF(ISERROR(FIND($A$2,Lines!E42))=TRUE,"",Lines!E42)</f>
        <v/>
      </c>
      <c r="F42" s="30" t="str">
        <f>IF(ISERROR(FIND($A$2,Lines!F42))=TRUE,"",Lines!F42)</f>
        <v/>
      </c>
      <c r="G42" s="30" t="str">
        <f>IF(ISERROR(FIND($A$2,Lines!G42))=TRUE,"",Lines!G42)</f>
        <v/>
      </c>
      <c r="H42" s="30" t="str">
        <f>IF(ISERROR(FIND($A$2,Lines!H42))=TRUE,"",Lines!H42)</f>
        <v/>
      </c>
      <c r="I42" s="30" t="str">
        <f>IF(ISERROR(FIND($A$2,Lines!I42))=TRUE,"",Lines!I42)</f>
        <v/>
      </c>
      <c r="J42" s="30" t="str">
        <f>IF(ISERROR(FIND($A$2,Lines!J42))=TRUE,"",Lines!J42)</f>
        <v/>
      </c>
      <c r="K42" s="30" t="str">
        <f>IF(ISERROR(FIND($A$2,Lines!K42))=TRUE,"",Lines!K42)</f>
        <v/>
      </c>
      <c r="L42" s="30" t="str">
        <f>IF(ISERROR(FIND($A$2,Lines!L42))=TRUE,"",Lines!L42)</f>
        <v/>
      </c>
      <c r="M42" s="30" t="str">
        <f>IF(ISERROR(FIND($A$2,Lines!M42))=TRUE,"",Lines!M42)</f>
        <v/>
      </c>
      <c r="N42" s="30" t="str">
        <f>IF(ISERROR(FIND($A$2,Lines!N42))=TRUE,"",Lines!N42)</f>
        <v/>
      </c>
      <c r="O42" s="30" t="str">
        <f>IF(ISERROR(FIND($A$2,Lines!O42))=TRUE,"",Lines!O42)</f>
        <v/>
      </c>
      <c r="P42" s="30" t="str">
        <f>IF(ISERROR(FIND($A$2,Lines!P42))=TRUE,"",Lines!P42)</f>
        <v/>
      </c>
      <c r="Q42" s="30" t="str">
        <f>IF(ISERROR(FIND($A$2,Lines!Q42))=TRUE,"",Lines!Q42)</f>
        <v/>
      </c>
      <c r="R42" s="30" t="str">
        <f>IF(ISERROR(FIND($A$2,Lines!R42))=TRUE,"",Lines!R42)</f>
        <v/>
      </c>
      <c r="S42" s="30" t="str">
        <f>IF(ISERROR(FIND($A$2,Lines!S42))=TRUE,"",Lines!S42)</f>
        <v/>
      </c>
      <c r="T42" s="30" t="str">
        <f>IF(ISERROR(FIND($A$2,Lines!T42))=TRUE,"",Lines!T42)</f>
        <v/>
      </c>
      <c r="U42" s="30" t="str">
        <f>IF(ISERROR(FIND($A$2,Lines!U42))=TRUE,"",Lines!U42)</f>
        <v/>
      </c>
      <c r="V42" s="30" t="str">
        <f>IF(ISERROR(FIND($A$2,Lines!V42))=TRUE,"",Lines!V42)</f>
        <v/>
      </c>
      <c r="W42" s="36" t="str">
        <f>IF(ISERROR(FIND($A$2,Lines!W42))=TRUE,"",Lines!W42)</f>
        <v/>
      </c>
      <c r="X42" s="30" t="str">
        <f>IF(ISERROR(FIND($A$2,Lines!X42))=TRUE,"",Lines!X42)</f>
        <v/>
      </c>
      <c r="Y42" s="30" t="str">
        <f>IF(ISERROR(FIND($A$2,Lines!Y42))=TRUE,"",Lines!Y42)</f>
        <v/>
      </c>
      <c r="Z42" s="30" t="str">
        <f>IF(ISERROR(FIND($A$2,Lines!Z42))=TRUE,"",Lines!Z42)</f>
        <v/>
      </c>
      <c r="AA42" s="30" t="str">
        <f>IF(ISERROR(FIND($A$2,Lines!AA42))=TRUE,"",Lines!AA42)</f>
        <v/>
      </c>
      <c r="AB42" s="30" t="str">
        <f>IF(ISERROR(FIND($A$2,Lines!AB42))=TRUE,"",Lines!AB42)</f>
        <v/>
      </c>
      <c r="AC42" s="30" t="str">
        <f>IF(ISERROR(FIND($A$2,Lines!AC42))=TRUE,"",Lines!AC42)</f>
        <v/>
      </c>
      <c r="AD42" s="30" t="str">
        <f>IF(ISERROR(FIND($A$2,Lines!AD42))=TRUE,"",Lines!AD42)</f>
        <v/>
      </c>
      <c r="AE42" s="30" t="str">
        <f>IF(ISERROR(FIND($A$2,Lines!AE42))=TRUE,"",Lines!AE42)</f>
        <v/>
      </c>
      <c r="AF42" s="30" t="str">
        <f>IF(ISERROR(FIND($A$2,Lines!AF42))=TRUE,"",Lines!AF42)</f>
        <v/>
      </c>
      <c r="AG42" s="30" t="str">
        <f>IF(ISERROR(FIND($A$2,Lines!AG42))=TRUE,"",Lines!AG42)</f>
        <v/>
      </c>
      <c r="AH42" s="30" t="str">
        <f>IF(ISERROR(FIND($A$2,Lines!AH42))=TRUE,"",Lines!AH42)</f>
        <v/>
      </c>
      <c r="AI42" s="30" t="str">
        <f>IF(ISERROR(FIND($A$2,Lines!AI42))=TRUE,"",Lines!AI42)</f>
        <v/>
      </c>
      <c r="AJ42" s="30" t="str">
        <f>IF(ISERROR(FIND($A$2,Lines!AJ42))=TRUE,"",Lines!AJ42)</f>
        <v/>
      </c>
      <c r="AK42" s="54" t="str">
        <f>IF(ISERROR(FIND($A$2,Lines!AK42))=TRUE,"",Lines!AK42)</f>
        <v/>
      </c>
      <c r="AL42" s="43" t="str">
        <f>IF(ISERROR(FIND($A$2,Lines!AL42))=TRUE,"",Lines!AL42)</f>
        <v/>
      </c>
      <c r="AM42" s="43" t="str">
        <f>IF(ISERROR(FIND($A$2,Lines!AM42))=TRUE,"",Lines!AM42)</f>
        <v/>
      </c>
      <c r="AN42" s="66" t="str">
        <f>IF(ISERROR(FIND($A$2,Lines!AN42))=TRUE,"",Lines!AN42)</f>
        <v/>
      </c>
      <c r="AO42" s="61" t="str">
        <f>IF(ISERROR(FIND($A$2,Lines!AO42))=TRUE,"",Lines!AO42)</f>
        <v/>
      </c>
      <c r="AP42" s="30" t="str">
        <f>IF(ISERROR(FIND($A$2,Lines!AP42))=TRUE,"",Lines!AP42)</f>
        <v/>
      </c>
      <c r="AQ42" s="30" t="str">
        <f>IF(ISERROR(FIND($A$2,Lines!AQ42))=TRUE,"",Lines!AQ42)</f>
        <v/>
      </c>
      <c r="AR42" s="30" t="str">
        <f>IF(ISERROR(FIND($A$2,Lines!AR42))=TRUE,"",Lines!AR42)</f>
        <v/>
      </c>
      <c r="AS42" s="30" t="str">
        <f>IF(ISERROR(FIND($A$2,Lines!AS42))=TRUE,"",Lines!AS42)</f>
        <v/>
      </c>
      <c r="AT42" s="30" t="str">
        <f>IF(ISERROR(FIND($A$2,Lines!AT42))=TRUE,"",Lines!AT42)</f>
        <v/>
      </c>
    </row>
    <row r="43" spans="1:46" ht="20.25" customHeight="1">
      <c r="A43" s="2" t="s">
        <v>91</v>
      </c>
      <c r="B43" s="30" t="str">
        <f>IF(ISERROR(FIND($A$2,Lines!B43))=TRUE,"",Lines!B43)</f>
        <v/>
      </c>
      <c r="C43" s="30" t="str">
        <f>IF(ISERROR(FIND($A$2,Lines!C43))=TRUE,"",Lines!C43)</f>
        <v/>
      </c>
      <c r="D43" s="30" t="str">
        <f>IF(ISERROR(FIND($A$2,Lines!D43))=TRUE,"",Lines!D43)</f>
        <v/>
      </c>
      <c r="E43" s="30" t="str">
        <f>IF(ISERROR(FIND($A$2,Lines!E43))=TRUE,"",Lines!E43)</f>
        <v/>
      </c>
      <c r="F43" s="30" t="str">
        <f>IF(ISERROR(FIND($A$2,Lines!F43))=TRUE,"",Lines!F43)</f>
        <v/>
      </c>
      <c r="G43" s="30" t="str">
        <f>IF(ISERROR(FIND($A$2,Lines!G43))=TRUE,"",Lines!G43)</f>
        <v/>
      </c>
      <c r="H43" s="30" t="str">
        <f>IF(ISERROR(FIND($A$2,Lines!H43))=TRUE,"",Lines!H43)</f>
        <v/>
      </c>
      <c r="I43" s="30" t="str">
        <f>IF(ISERROR(FIND($A$2,Lines!I43))=TRUE,"",Lines!I43)</f>
        <v/>
      </c>
      <c r="J43" s="30" t="str">
        <f>IF(ISERROR(FIND($A$2,Lines!J43))=TRUE,"",Lines!J43)</f>
        <v/>
      </c>
      <c r="K43" s="30" t="str">
        <f>IF(ISERROR(FIND($A$2,Lines!K43))=TRUE,"",Lines!K43)</f>
        <v/>
      </c>
      <c r="L43" s="30" t="str">
        <f>IF(ISERROR(FIND($A$2,Lines!L43))=TRUE,"",Lines!L43)</f>
        <v/>
      </c>
      <c r="M43" s="30" t="str">
        <f>IF(ISERROR(FIND($A$2,Lines!M43))=TRUE,"",Lines!M43)</f>
        <v/>
      </c>
      <c r="N43" s="30" t="str">
        <f>IF(ISERROR(FIND($A$2,Lines!N43))=TRUE,"",Lines!N43)</f>
        <v/>
      </c>
      <c r="O43" s="30" t="str">
        <f>IF(ISERROR(FIND($A$2,Lines!O43))=TRUE,"",Lines!O43)</f>
        <v/>
      </c>
      <c r="P43" s="30" t="str">
        <f>IF(ISERROR(FIND($A$2,Lines!P43))=TRUE,"",Lines!P43)</f>
        <v/>
      </c>
      <c r="Q43" s="30" t="str">
        <f>IF(ISERROR(FIND($A$2,Lines!Q43))=TRUE,"",Lines!Q43)</f>
        <v/>
      </c>
      <c r="R43" s="30" t="str">
        <f>IF(ISERROR(FIND($A$2,Lines!R43))=TRUE,"",Lines!R43)</f>
        <v/>
      </c>
      <c r="S43" s="30" t="str">
        <f>IF(ISERROR(FIND($A$2,Lines!S43))=TRUE,"",Lines!S43)</f>
        <v/>
      </c>
      <c r="T43" s="30" t="str">
        <f>IF(ISERROR(FIND($A$2,Lines!T43))=TRUE,"",Lines!T43)</f>
        <v/>
      </c>
      <c r="U43" s="30" t="str">
        <f>IF(ISERROR(FIND($A$2,Lines!U43))=TRUE,"",Lines!U43)</f>
        <v/>
      </c>
      <c r="V43" s="30" t="str">
        <f>IF(ISERROR(FIND($A$2,Lines!V43))=TRUE,"",Lines!V43)</f>
        <v/>
      </c>
      <c r="W43" s="36" t="str">
        <f>IF(ISERROR(FIND($A$2,Lines!W43))=TRUE,"",Lines!W43)</f>
        <v/>
      </c>
      <c r="X43" s="30" t="str">
        <f>IF(ISERROR(FIND($A$2,Lines!X43))=TRUE,"",Lines!X43)</f>
        <v/>
      </c>
      <c r="Y43" s="30" t="str">
        <f>IF(ISERROR(FIND($A$2,Lines!Y43))=TRUE,"",Lines!Y43)</f>
        <v/>
      </c>
      <c r="Z43" s="30" t="str">
        <f>IF(ISERROR(FIND($A$2,Lines!Z43))=TRUE,"",Lines!Z43)</f>
        <v/>
      </c>
      <c r="AA43" s="30" t="str">
        <f>IF(ISERROR(FIND($A$2,Lines!AA43))=TRUE,"",Lines!AA43)</f>
        <v/>
      </c>
      <c r="AB43" s="30" t="str">
        <f>IF(ISERROR(FIND($A$2,Lines!AB43))=TRUE,"",Lines!AB43)</f>
        <v/>
      </c>
      <c r="AC43" s="30" t="str">
        <f>IF(ISERROR(FIND($A$2,Lines!AC43))=TRUE,"",Lines!AC43)</f>
        <v/>
      </c>
      <c r="AD43" s="30" t="str">
        <f>IF(ISERROR(FIND($A$2,Lines!AD43))=TRUE,"",Lines!AD43)</f>
        <v/>
      </c>
      <c r="AE43" s="30" t="str">
        <f>IF(ISERROR(FIND($A$2,Lines!AE43))=TRUE,"",Lines!AE43)</f>
        <v/>
      </c>
      <c r="AF43" s="30" t="str">
        <f>IF(ISERROR(FIND($A$2,Lines!AF43))=TRUE,"",Lines!AF43)</f>
        <v/>
      </c>
      <c r="AG43" s="30" t="str">
        <f>IF(ISERROR(FIND($A$2,Lines!AG43))=TRUE,"",Lines!AG43)</f>
        <v/>
      </c>
      <c r="AH43" s="30" t="str">
        <f>IF(ISERROR(FIND($A$2,Lines!AH43))=TRUE,"",Lines!AH43)</f>
        <v/>
      </c>
      <c r="AI43" s="30" t="str">
        <f>IF(ISERROR(FIND($A$2,Lines!AI43))=TRUE,"",Lines!AI43)</f>
        <v/>
      </c>
      <c r="AJ43" s="30" t="str">
        <f>IF(ISERROR(FIND($A$2,Lines!AJ43))=TRUE,"",Lines!AJ43)</f>
        <v/>
      </c>
      <c r="AK43" s="58" t="str">
        <f>IF(ISERROR(FIND($A$2,Lines!AK43))=TRUE,"",Lines!AK43)</f>
        <v/>
      </c>
      <c r="AL43" s="59" t="str">
        <f>IF(ISERROR(FIND($A$2,Lines!AL43))=TRUE,"",Lines!AL43)</f>
        <v/>
      </c>
      <c r="AM43" s="59" t="str">
        <f>IF(ISERROR(FIND($A$2,Lines!AM43))=TRUE,"",Lines!AM43)</f>
        <v/>
      </c>
      <c r="AN43" s="59" t="str">
        <f>IF(ISERROR(FIND($A$2,Lines!AN43))=TRUE,"",Lines!AN43)</f>
        <v/>
      </c>
      <c r="AO43" s="67" t="str">
        <f>IF(ISERROR(FIND($A$2,Lines!AO43))=TRUE,"",Lines!AO43)</f>
        <v/>
      </c>
      <c r="AP43" s="45" t="str">
        <f>IF(ISERROR(FIND($A$2,Lines!AP43))=TRUE,"",Lines!AP43)</f>
        <v/>
      </c>
      <c r="AQ43" s="30" t="str">
        <f>IF(ISERROR(FIND($A$2,Lines!AQ43))=TRUE,"",Lines!AQ43)</f>
        <v/>
      </c>
      <c r="AR43" s="30" t="str">
        <f>IF(ISERROR(FIND($A$2,Lines!AR43))=TRUE,"",Lines!AR43)</f>
        <v/>
      </c>
      <c r="AS43" s="30" t="str">
        <f>IF(ISERROR(FIND($A$2,Lines!AS43))=TRUE,"",Lines!AS43)</f>
        <v/>
      </c>
      <c r="AT43" s="30" t="str">
        <f>IF(ISERROR(FIND($A$2,Lines!AT43))=TRUE,"",Lines!AT43)</f>
        <v/>
      </c>
    </row>
    <row r="44" spans="1:46" ht="20.25" customHeight="1">
      <c r="A44" s="2" t="s">
        <v>92</v>
      </c>
      <c r="B44" s="30" t="str">
        <f>IF(ISERROR(FIND($A$2,Lines!B44))=TRUE,"",Lines!B44)</f>
        <v/>
      </c>
      <c r="C44" s="30" t="str">
        <f>IF(ISERROR(FIND($A$2,Lines!C44))=TRUE,"",Lines!C44)</f>
        <v/>
      </c>
      <c r="D44" s="30" t="str">
        <f>IF(ISERROR(FIND($A$2,Lines!D44))=TRUE,"",Lines!D44)</f>
        <v/>
      </c>
      <c r="E44" s="30" t="str">
        <f>IF(ISERROR(FIND($A$2,Lines!E44))=TRUE,"",Lines!E44)</f>
        <v/>
      </c>
      <c r="F44" s="30" t="str">
        <f>IF(ISERROR(FIND($A$2,Lines!F44))=TRUE,"",Lines!F44)</f>
        <v/>
      </c>
      <c r="G44" s="30" t="str">
        <f>IF(ISERROR(FIND($A$2,Lines!G44))=TRUE,"",Lines!G44)</f>
        <v/>
      </c>
      <c r="H44" s="30" t="str">
        <f>IF(ISERROR(FIND($A$2,Lines!H44))=TRUE,"",Lines!H44)</f>
        <v/>
      </c>
      <c r="I44" s="30" t="str">
        <f>IF(ISERROR(FIND($A$2,Lines!I44))=TRUE,"",Lines!I44)</f>
        <v/>
      </c>
      <c r="J44" s="30" t="str">
        <f>IF(ISERROR(FIND($A$2,Lines!J44))=TRUE,"",Lines!J44)</f>
        <v/>
      </c>
      <c r="K44" s="30" t="str">
        <f>IF(ISERROR(FIND($A$2,Lines!K44))=TRUE,"",Lines!K44)</f>
        <v/>
      </c>
      <c r="L44" s="30" t="str">
        <f>IF(ISERROR(FIND($A$2,Lines!L44))=TRUE,"",Lines!L44)</f>
        <v/>
      </c>
      <c r="M44" s="30" t="str">
        <f>IF(ISERROR(FIND($A$2,Lines!M44))=TRUE,"",Lines!M44)</f>
        <v/>
      </c>
      <c r="N44" s="30" t="str">
        <f>IF(ISERROR(FIND($A$2,Lines!N44))=TRUE,"",Lines!N44)</f>
        <v/>
      </c>
      <c r="O44" s="30" t="str">
        <f>IF(ISERROR(FIND($A$2,Lines!O44))=TRUE,"",Lines!O44)</f>
        <v/>
      </c>
      <c r="P44" s="30" t="str">
        <f>IF(ISERROR(FIND($A$2,Lines!P44))=TRUE,"",Lines!P44)</f>
        <v/>
      </c>
      <c r="Q44" s="30" t="str">
        <f>IF(ISERROR(FIND($A$2,Lines!Q44))=TRUE,"",Lines!Q44)</f>
        <v/>
      </c>
      <c r="R44" s="30" t="str">
        <f>IF(ISERROR(FIND($A$2,Lines!R44))=TRUE,"",Lines!R44)</f>
        <v/>
      </c>
      <c r="S44" s="30" t="str">
        <f>IF(ISERROR(FIND($A$2,Lines!S44))=TRUE,"",Lines!S44)</f>
        <v/>
      </c>
      <c r="T44" s="30" t="str">
        <f>IF(ISERROR(FIND($A$2,Lines!T44))=TRUE,"",Lines!T44)</f>
        <v/>
      </c>
      <c r="U44" s="30" t="str">
        <f>IF(ISERROR(FIND($A$2,Lines!U44))=TRUE,"",Lines!U44)</f>
        <v/>
      </c>
      <c r="V44" s="30" t="str">
        <f>IF(ISERROR(FIND($A$2,Lines!V44))=TRUE,"",Lines!V44)</f>
        <v/>
      </c>
      <c r="W44" s="36" t="str">
        <f>IF(ISERROR(FIND($A$2,Lines!W44))=TRUE,"",Lines!W44)</f>
        <v/>
      </c>
      <c r="X44" s="30" t="str">
        <f>IF(ISERROR(FIND($A$2,Lines!X44))=TRUE,"",Lines!X44)</f>
        <v/>
      </c>
      <c r="Y44" s="30" t="str">
        <f>IF(ISERROR(FIND($A$2,Lines!Y44))=TRUE,"",Lines!Y44)</f>
        <v/>
      </c>
      <c r="Z44" s="30" t="str">
        <f>IF(ISERROR(FIND($A$2,Lines!Z44))=TRUE,"",Lines!Z44)</f>
        <v/>
      </c>
      <c r="AA44" s="30" t="str">
        <f>IF(ISERROR(FIND($A$2,Lines!AA44))=TRUE,"",Lines!AA44)</f>
        <v/>
      </c>
      <c r="AB44" s="30" t="str">
        <f>IF(ISERROR(FIND($A$2,Lines!AB44))=TRUE,"",Lines!AB44)</f>
        <v/>
      </c>
      <c r="AC44" s="30" t="str">
        <f>IF(ISERROR(FIND($A$2,Lines!AC44))=TRUE,"",Lines!AC44)</f>
        <v/>
      </c>
      <c r="AD44" s="30" t="str">
        <f>IF(ISERROR(FIND($A$2,Lines!AD44))=TRUE,"",Lines!AD44)</f>
        <v/>
      </c>
      <c r="AE44" s="30" t="str">
        <f>IF(ISERROR(FIND($A$2,Lines!AE44))=TRUE,"",Lines!AE44)</f>
        <v/>
      </c>
      <c r="AF44" s="30" t="str">
        <f>IF(ISERROR(FIND($A$2,Lines!AF44))=TRUE,"",Lines!AF44)</f>
        <v/>
      </c>
      <c r="AG44" s="30" t="str">
        <f>IF(ISERROR(FIND($A$2,Lines!AG44))=TRUE,"",Lines!AG44)</f>
        <v/>
      </c>
      <c r="AH44" s="30" t="str">
        <f>IF(ISERROR(FIND($A$2,Lines!AH44))=TRUE,"",Lines!AH44)</f>
        <v/>
      </c>
      <c r="AI44" s="30" t="str">
        <f>IF(ISERROR(FIND($A$2,Lines!AI44))=TRUE,"",Lines!AI44)</f>
        <v/>
      </c>
      <c r="AJ44" s="30" t="str">
        <f>IF(ISERROR(FIND($A$2,Lines!AJ44))=TRUE,"",Lines!AJ44)</f>
        <v/>
      </c>
      <c r="AK44" s="30" t="str">
        <f>IF(ISERROR(FIND($A$2,Lines!AK44))=TRUE,"",Lines!AK44)</f>
        <v/>
      </c>
      <c r="AL44" s="30" t="str">
        <f>IF(ISERROR(FIND($A$2,Lines!AL44))=TRUE,"",Lines!AL44)</f>
        <v/>
      </c>
      <c r="AM44" s="30" t="str">
        <f>IF(ISERROR(FIND($A$2,Lines!AM44))=TRUE,"",Lines!AM44)</f>
        <v/>
      </c>
      <c r="AN44" s="30" t="str">
        <f>IF(ISERROR(FIND($A$2,Lines!AN44))=TRUE,"",Lines!AN44)</f>
        <v/>
      </c>
      <c r="AO44" s="45" t="str">
        <f>IF(ISERROR(FIND($A$2,Lines!AO44))=TRUE,"",Lines!AO44)</f>
        <v/>
      </c>
      <c r="AP44" s="65" t="str">
        <f>IF(ISERROR(FIND($A$2,Lines!AP44))=TRUE,"",Lines!AP44)</f>
        <v/>
      </c>
      <c r="AQ44" s="62" t="str">
        <f>IF(ISERROR(FIND($A$2,Lines!AQ44))=TRUE,"",Lines!AQ44)</f>
        <v/>
      </c>
      <c r="AR44" s="62" t="str">
        <f>IF(ISERROR(FIND($A$2,Lines!AR44))=TRUE,"",Lines!AR44)</f>
        <v>1000皖电东送特高压示范工程（4000MW）+1000淮南-南京-上海（4000MW）</v>
      </c>
      <c r="AS44" s="62" t="str">
        <f>IF(ISERROR(FIND($A$2,Lines!AS44))=TRUE,"",Lines!AS44)</f>
        <v/>
      </c>
      <c r="AT44" s="62" t="str">
        <f>IF(ISERROR(FIND($A$2,Lines!AT44))=TRUE,"",Lines!AT44)</f>
        <v>500AC*2, 1000KV（浙北-福州特高压交流工程6800MW）</v>
      </c>
    </row>
    <row r="45" spans="1:46" ht="20.25" customHeight="1">
      <c r="A45" s="2" t="s">
        <v>93</v>
      </c>
      <c r="B45" s="30" t="str">
        <f>IF(ISERROR(FIND($A$2,Lines!B45))=TRUE,"",Lines!B45)</f>
        <v/>
      </c>
      <c r="C45" s="30" t="str">
        <f>IF(ISERROR(FIND($A$2,Lines!C45))=TRUE,"",Lines!C45)</f>
        <v/>
      </c>
      <c r="D45" s="30" t="str">
        <f>IF(ISERROR(FIND($A$2,Lines!D45))=TRUE,"",Lines!D45)</f>
        <v/>
      </c>
      <c r="E45" s="30" t="str">
        <f>IF(ISERROR(FIND($A$2,Lines!E45))=TRUE,"",Lines!E45)</f>
        <v/>
      </c>
      <c r="F45" s="30" t="str">
        <f>IF(ISERROR(FIND($A$2,Lines!F45))=TRUE,"",Lines!F45)</f>
        <v/>
      </c>
      <c r="G45" s="30" t="str">
        <f>IF(ISERROR(FIND($A$2,Lines!G45))=TRUE,"",Lines!G45)</f>
        <v/>
      </c>
      <c r="H45" s="30" t="str">
        <f>IF(ISERROR(FIND($A$2,Lines!H45))=TRUE,"",Lines!H45)</f>
        <v/>
      </c>
      <c r="I45" s="30" t="str">
        <f>IF(ISERROR(FIND($A$2,Lines!I45))=TRUE,"",Lines!I45)</f>
        <v/>
      </c>
      <c r="J45" s="30" t="str">
        <f>IF(ISERROR(FIND($A$2,Lines!J45))=TRUE,"",Lines!J45)</f>
        <v/>
      </c>
      <c r="K45" s="30" t="str">
        <f>IF(ISERROR(FIND($A$2,Lines!K45))=TRUE,"",Lines!K45)</f>
        <v/>
      </c>
      <c r="L45" s="30" t="str">
        <f>IF(ISERROR(FIND($A$2,Lines!L45))=TRUE,"",Lines!L45)</f>
        <v/>
      </c>
      <c r="M45" s="30" t="str">
        <f>IF(ISERROR(FIND($A$2,Lines!M45))=TRUE,"",Lines!M45)</f>
        <v>±800锡盟-江苏（10000MW）+1000锡盟-南京（9400MW）</v>
      </c>
      <c r="N45" s="30" t="str">
        <f>IF(ISERROR(FIND($A$2,Lines!N45))=TRUE,"",Lines!N45)</f>
        <v/>
      </c>
      <c r="O45" s="30" t="str">
        <f>IF(ISERROR(FIND($A$2,Lines!O45))=TRUE,"",Lines!O45)</f>
        <v/>
      </c>
      <c r="P45" s="30" t="str">
        <f>IF(ISERROR(FIND($A$2,Lines!P45))=TRUE,"",Lines!P45)</f>
        <v/>
      </c>
      <c r="Q45" s="30" t="str">
        <f>IF(ISERROR(FIND($A$2,Lines!Q45))=TRUE,"",Lines!Q45)</f>
        <v>±800陇东-江苏（10000MW）</v>
      </c>
      <c r="R45" s="30" t="str">
        <f>IF(ISERROR(FIND($A$2,Lines!R45))=TRUE,"",Lines!R45)</f>
        <v/>
      </c>
      <c r="S45" s="30" t="str">
        <f>IF(ISERROR(FIND($A$2,Lines!S45))=TRUE,"",Lines!S45)</f>
        <v/>
      </c>
      <c r="T45" s="30" t="str">
        <f>IF(ISERROR(FIND($A$2,Lines!T45))=TRUE,"",Lines!T45)</f>
        <v/>
      </c>
      <c r="U45" s="30" t="str">
        <f>IF(ISERROR(FIND($A$2,Lines!U45))=TRUE,"",Lines!U45)</f>
        <v/>
      </c>
      <c r="V45" s="30" t="str">
        <f>IF(ISERROR(FIND($A$2,Lines!V45))=TRUE,"",Lines!V45)</f>
        <v/>
      </c>
      <c r="W45" s="36" t="str">
        <f>IF(ISERROR(FIND($A$2,Lines!W45))=TRUE,"",Lines!W45)</f>
        <v/>
      </c>
      <c r="X45" s="30" t="str">
        <f>IF(ISERROR(FIND($A$2,Lines!X45))=TRUE,"",Lines!X45)</f>
        <v/>
      </c>
      <c r="Y45" s="30" t="str">
        <f>IF(ISERROR(FIND($A$2,Lines!Y45))=TRUE,"",Lines!Y45)</f>
        <v/>
      </c>
      <c r="Z45" s="30" t="str">
        <f>IF(ISERROR(FIND($A$2,Lines!Z45))=TRUE,"",Lines!Z45)</f>
        <v/>
      </c>
      <c r="AA45" s="30" t="str">
        <f>IF(ISERROR(FIND($A$2,Lines!AA45))=TRUE,"",Lines!AA45)</f>
        <v/>
      </c>
      <c r="AB45" s="30" t="str">
        <f>IF(ISERROR(FIND($A$2,Lines!AB45))=TRUE,"",Lines!AB45)</f>
        <v/>
      </c>
      <c r="AC45" s="30" t="str">
        <f>IF(ISERROR(FIND($A$2,Lines!AC45))=TRUE,"",Lines!AC45)</f>
        <v/>
      </c>
      <c r="AD45" s="30" t="str">
        <f>IF(ISERROR(FIND($A$2,Lines!AD45))=TRUE,"",Lines!AD45)</f>
        <v/>
      </c>
      <c r="AE45" s="30" t="str">
        <f>IF(ISERROR(FIND($A$2,Lines!AE45))=TRUE,"",Lines!AE45)</f>
        <v/>
      </c>
      <c r="AF45" s="30" t="str">
        <f>IF(ISERROR(FIND($A$2,Lines!AF45))=TRUE,"",Lines!AF45)</f>
        <v/>
      </c>
      <c r="AG45" s="30" t="str">
        <f>IF(ISERROR(FIND($A$2,Lines!AG45))=TRUE,"",Lines!AG45)</f>
        <v/>
      </c>
      <c r="AH45" s="30" t="str">
        <f>IF(ISERROR(FIND($A$2,Lines!AH45))=TRUE,"",Lines!AH45)</f>
        <v/>
      </c>
      <c r="AI45" s="30" t="str">
        <f>IF(ISERROR(FIND($A$2,Lines!AI45))=TRUE,"",Lines!AI45)</f>
        <v/>
      </c>
      <c r="AJ45" s="30" t="str">
        <f>IF(ISERROR(FIND($A$2,Lines!AJ45))=TRUE,"",Lines!AJ45)</f>
        <v/>
      </c>
      <c r="AK45" s="30" t="str">
        <f>IF(ISERROR(FIND($A$2,Lines!AK45))=TRUE,"",Lines!AK45)</f>
        <v/>
      </c>
      <c r="AL45" s="30" t="str">
        <f>IF(ISERROR(FIND($A$2,Lines!AL45))=TRUE,"",Lines!AL45)</f>
        <v/>
      </c>
      <c r="AM45" s="30" t="str">
        <f>IF(ISERROR(FIND($A$2,Lines!AM45))=TRUE,"",Lines!AM45)</f>
        <v/>
      </c>
      <c r="AN45" s="30" t="str">
        <f>IF(ISERROR(FIND($A$2,Lines!AN45))=TRUE,"",Lines!AN45)</f>
        <v/>
      </c>
      <c r="AO45" s="30" t="str">
        <f>IF(ISERROR(FIND($A$2,Lines!AO45))=TRUE,"",Lines!AO45)</f>
        <v/>
      </c>
      <c r="AP45" s="57" t="str">
        <f>IF(ISERROR(FIND($A$2,Lines!AP45))=TRUE,"",Lines!AP45)</f>
        <v/>
      </c>
      <c r="AQ45" s="66" t="str">
        <f>IF(ISERROR(FIND($A$2,Lines!AQ45))=TRUE,"",Lines!AQ45)</f>
        <v/>
      </c>
      <c r="AR45" s="44" t="str">
        <f>IF(ISERROR(FIND($A$2,Lines!AR45))=TRUE,"",Lines!AR45)</f>
        <v/>
      </c>
      <c r="AS45" s="44" t="str">
        <f>IF(ISERROR(FIND($A$2,Lines!AS45))=TRUE,"",Lines!AS45)</f>
        <v/>
      </c>
      <c r="AT45" s="44" t="str">
        <f>IF(ISERROR(FIND($A$2,Lines!AT45))=TRUE,"",Lines!AT45)</f>
        <v/>
      </c>
    </row>
    <row r="46" spans="1:46" ht="20.25" customHeight="1">
      <c r="A46" s="2" t="s">
        <v>94</v>
      </c>
      <c r="B46" s="30" t="str">
        <f>IF(ISERROR(FIND($A$2,Lines!B46))=TRUE,"",Lines!B46)</f>
        <v/>
      </c>
      <c r="C46" s="30" t="str">
        <f>IF(ISERROR(FIND($A$2,Lines!C46))=TRUE,"",Lines!C46)</f>
        <v/>
      </c>
      <c r="D46" s="30" t="str">
        <f>IF(ISERROR(FIND($A$2,Lines!D46))=TRUE,"",Lines!D46)</f>
        <v/>
      </c>
      <c r="E46" s="30" t="str">
        <f>IF(ISERROR(FIND($A$2,Lines!E46))=TRUE,"",Lines!E46)</f>
        <v/>
      </c>
      <c r="F46" s="30" t="str">
        <f>IF(ISERROR(FIND($A$2,Lines!F46))=TRUE,"",Lines!F46)</f>
        <v/>
      </c>
      <c r="G46" s="30" t="str">
        <f>IF(ISERROR(FIND($A$2,Lines!G46))=TRUE,"",Lines!G46)</f>
        <v/>
      </c>
      <c r="H46" s="30" t="str">
        <f>IF(ISERROR(FIND($A$2,Lines!H46))=TRUE,"",Lines!H46)</f>
        <v/>
      </c>
      <c r="I46" s="30" t="str">
        <f>IF(ISERROR(FIND($A$2,Lines!I46))=TRUE,"",Lines!I46)</f>
        <v/>
      </c>
      <c r="J46" s="30" t="str">
        <f>IF(ISERROR(FIND($A$2,Lines!J46))=TRUE,"",Lines!J46)</f>
        <v/>
      </c>
      <c r="K46" s="30" t="str">
        <f>IF(ISERROR(FIND($A$2,Lines!K46))=TRUE,"",Lines!K46)</f>
        <v/>
      </c>
      <c r="L46" s="30" t="str">
        <f>IF(ISERROR(FIND($A$2,Lines!L46))=TRUE,"",Lines!L46)</f>
        <v/>
      </c>
      <c r="M46" s="30" t="str">
        <f>IF(ISERROR(FIND($A$2,Lines!M46))=TRUE,"",Lines!M46)</f>
        <v/>
      </c>
      <c r="N46" s="30" t="str">
        <f>IF(ISERROR(FIND($A$2,Lines!N46))=TRUE,"",Lines!N46)</f>
        <v/>
      </c>
      <c r="O46" s="30" t="str">
        <f>IF(ISERROR(FIND($A$2,Lines!O46))=TRUE,"",Lines!O46)</f>
        <v/>
      </c>
      <c r="P46" s="30" t="str">
        <f>IF(ISERROR(FIND($A$2,Lines!P46))=TRUE,"",Lines!P46)</f>
        <v/>
      </c>
      <c r="Q46" s="30" t="str">
        <f>IF(ISERROR(FIND($A$2,Lines!Q46))=TRUE,"",Lines!Q46)</f>
        <v/>
      </c>
      <c r="R46" s="30" t="str">
        <f>IF(ISERROR(FIND($A$2,Lines!R46))=TRUE,"",Lines!R46)</f>
        <v/>
      </c>
      <c r="S46" s="30" t="str">
        <f>IF(ISERROR(FIND($A$2,Lines!S46))=TRUE,"",Lines!S46)</f>
        <v/>
      </c>
      <c r="T46" s="30" t="str">
        <f>IF(ISERROR(FIND($A$2,Lines!T46))=TRUE,"",Lines!T46)</f>
        <v/>
      </c>
      <c r="U46" s="30" t="str">
        <f>IF(ISERROR(FIND($A$2,Lines!U46))=TRUE,"",Lines!U46)</f>
        <v/>
      </c>
      <c r="V46" s="30" t="str">
        <f>IF(ISERROR(FIND($A$2,Lines!V46))=TRUE,"",Lines!V46)</f>
        <v/>
      </c>
      <c r="W46" s="36" t="str">
        <f>IF(ISERROR(FIND($A$2,Lines!W46))=TRUE,"",Lines!W46)</f>
        <v/>
      </c>
      <c r="X46" s="30" t="str">
        <f>IF(ISERROR(FIND($A$2,Lines!X46))=TRUE,"",Lines!X46)</f>
        <v/>
      </c>
      <c r="Y46" s="30" t="str">
        <f>IF(ISERROR(FIND($A$2,Lines!Y46))=TRUE,"",Lines!Y46)</f>
        <v/>
      </c>
      <c r="Z46" s="30" t="str">
        <f>IF(ISERROR(FIND($A$2,Lines!Z46))=TRUE,"",Lines!Z46)</f>
        <v/>
      </c>
      <c r="AA46" s="30" t="str">
        <f>IF(ISERROR(FIND($A$2,Lines!AA46))=TRUE,"",Lines!AA46)</f>
        <v/>
      </c>
      <c r="AB46" s="30" t="str">
        <f>IF(ISERROR(FIND($A$2,Lines!AB46))=TRUE,"",Lines!AB46)</f>
        <v/>
      </c>
      <c r="AC46" s="30" t="str">
        <f>IF(ISERROR(FIND($A$2,Lines!AC46))=TRUE,"",Lines!AC46)</f>
        <v/>
      </c>
      <c r="AD46" s="30" t="str">
        <f>IF(ISERROR(FIND($A$2,Lines!AD46))=TRUE,"",Lines!AD46)</f>
        <v/>
      </c>
      <c r="AE46" s="30" t="str">
        <f>IF(ISERROR(FIND($A$2,Lines!AE46))=TRUE,"",Lines!AE46)</f>
        <v/>
      </c>
      <c r="AF46" s="30" t="str">
        <f>IF(ISERROR(FIND($A$2,Lines!AF46))=TRUE,"",Lines!AF46)</f>
        <v/>
      </c>
      <c r="AG46" s="30" t="str">
        <f>IF(ISERROR(FIND($A$2,Lines!AG46))=TRUE,"",Lines!AG46)</f>
        <v/>
      </c>
      <c r="AH46" s="30" t="str">
        <f>IF(ISERROR(FIND($A$2,Lines!AH46))=TRUE,"",Lines!AH46)</f>
        <v/>
      </c>
      <c r="AI46" s="30" t="str">
        <f>IF(ISERROR(FIND($A$2,Lines!AI46))=TRUE,"",Lines!AI46)</f>
        <v/>
      </c>
      <c r="AJ46" s="30" t="str">
        <f>IF(ISERROR(FIND($A$2,Lines!AJ46))=TRUE,"",Lines!AJ46)</f>
        <v/>
      </c>
      <c r="AK46" s="30" t="str">
        <f>IF(ISERROR(FIND($A$2,Lines!AK46))=TRUE,"",Lines!AK46)</f>
        <v/>
      </c>
      <c r="AL46" s="30" t="str">
        <f>IF(ISERROR(FIND($A$2,Lines!AL46))=TRUE,"",Lines!AL46)</f>
        <v/>
      </c>
      <c r="AM46" s="30" t="str">
        <f>IF(ISERROR(FIND($A$2,Lines!AM46))=TRUE,"",Lines!AM46)</f>
        <v/>
      </c>
      <c r="AN46" s="30" t="str">
        <f>IF(ISERROR(FIND($A$2,Lines!AN46))=TRUE,"",Lines!AN46)</f>
        <v/>
      </c>
      <c r="AO46" s="30" t="str">
        <f>IF(ISERROR(FIND($A$2,Lines!AO46))=TRUE,"",Lines!AO46)</f>
        <v/>
      </c>
      <c r="AP46" s="57" t="str">
        <f>IF(ISERROR(FIND($A$2,Lines!AP46))=TRUE,"",Lines!AP46)</f>
        <v>1000皖电东送特高压示范工程（4000MW）+1000淮南-南京-上海（4000MW）</v>
      </c>
      <c r="AQ46" s="44" t="str">
        <f>IF(ISERROR(FIND($A$2,Lines!AQ46))=TRUE,"",Lines!AQ46)</f>
        <v/>
      </c>
      <c r="AR46" s="66" t="str">
        <f>IF(ISERROR(FIND($A$2,Lines!AR46))=TRUE,"",Lines!AR46)</f>
        <v/>
      </c>
      <c r="AS46" s="44" t="str">
        <f>IF(ISERROR(FIND($A$2,Lines!AS46))=TRUE,"",Lines!AS46)</f>
        <v/>
      </c>
      <c r="AT46" s="44" t="str">
        <f>IF(ISERROR(FIND($A$2,Lines!AT46))=TRUE,"",Lines!AT46)</f>
        <v/>
      </c>
    </row>
    <row r="47" spans="1:46" ht="20.25" customHeight="1">
      <c r="A47" s="2" t="s">
        <v>95</v>
      </c>
      <c r="B47" s="30" t="str">
        <f>IF(ISERROR(FIND($A$2,Lines!B47))=TRUE,"",Lines!B47)</f>
        <v/>
      </c>
      <c r="C47" s="30" t="str">
        <f>IF(ISERROR(FIND($A$2,Lines!C47))=TRUE,"",Lines!C47)</f>
        <v/>
      </c>
      <c r="D47" s="30" t="str">
        <f>IF(ISERROR(FIND($A$2,Lines!D47))=TRUE,"",Lines!D47)</f>
        <v/>
      </c>
      <c r="E47" s="30" t="str">
        <f>IF(ISERROR(FIND($A$2,Lines!E47))=TRUE,"",Lines!E47)</f>
        <v/>
      </c>
      <c r="F47" s="30" t="str">
        <f>IF(ISERROR(FIND($A$2,Lines!F47))=TRUE,"",Lines!F47)</f>
        <v/>
      </c>
      <c r="G47" s="30" t="str">
        <f>IF(ISERROR(FIND($A$2,Lines!G47))=TRUE,"",Lines!G47)</f>
        <v/>
      </c>
      <c r="H47" s="30" t="str">
        <f>IF(ISERROR(FIND($A$2,Lines!H47))=TRUE,"",Lines!H47)</f>
        <v/>
      </c>
      <c r="I47" s="30" t="str">
        <f>IF(ISERROR(FIND($A$2,Lines!I47))=TRUE,"",Lines!I47)</f>
        <v/>
      </c>
      <c r="J47" s="30" t="str">
        <f>IF(ISERROR(FIND($A$2,Lines!J47))=TRUE,"",Lines!J47)</f>
        <v/>
      </c>
      <c r="K47" s="30" t="str">
        <f>IF(ISERROR(FIND($A$2,Lines!K47))=TRUE,"",Lines!K47)</f>
        <v/>
      </c>
      <c r="L47" s="30" t="str">
        <f>IF(ISERROR(FIND($A$2,Lines!L47))=TRUE,"",Lines!L47)</f>
        <v/>
      </c>
      <c r="M47" s="30" t="str">
        <f>IF(ISERROR(FIND($A$2,Lines!M47))=TRUE,"",Lines!M47)</f>
        <v/>
      </c>
      <c r="N47" s="30" t="str">
        <f>IF(ISERROR(FIND($A$2,Lines!N47))=TRUE,"",Lines!N47)</f>
        <v/>
      </c>
      <c r="O47" s="30" t="str">
        <f>IF(ISERROR(FIND($A$2,Lines!O47))=TRUE,"",Lines!O47)</f>
        <v/>
      </c>
      <c r="P47" s="30" t="str">
        <f>IF(ISERROR(FIND($A$2,Lines!P47))=TRUE,"",Lines!P47)</f>
        <v/>
      </c>
      <c r="Q47" s="30" t="str">
        <f>IF(ISERROR(FIND($A$2,Lines!Q47))=TRUE,"",Lines!Q47)</f>
        <v/>
      </c>
      <c r="R47" s="30" t="str">
        <f>IF(ISERROR(FIND($A$2,Lines!R47))=TRUE,"",Lines!R47)</f>
        <v/>
      </c>
      <c r="S47" s="30" t="str">
        <f>IF(ISERROR(FIND($A$2,Lines!S47))=TRUE,"",Lines!S47)</f>
        <v/>
      </c>
      <c r="T47" s="30" t="str">
        <f>IF(ISERROR(FIND($A$2,Lines!T47))=TRUE,"",Lines!T47)</f>
        <v/>
      </c>
      <c r="U47" s="30" t="str">
        <f>IF(ISERROR(FIND($A$2,Lines!U47))=TRUE,"",Lines!U47)</f>
        <v/>
      </c>
      <c r="V47" s="30" t="str">
        <f>IF(ISERROR(FIND($A$2,Lines!V47))=TRUE,"",Lines!V47)</f>
        <v/>
      </c>
      <c r="W47" s="36" t="str">
        <f>IF(ISERROR(FIND($A$2,Lines!W47))=TRUE,"",Lines!W47)</f>
        <v/>
      </c>
      <c r="X47" s="30" t="str">
        <f>IF(ISERROR(FIND($A$2,Lines!X47))=TRUE,"",Lines!X47)</f>
        <v/>
      </c>
      <c r="Y47" s="30" t="str">
        <f>IF(ISERROR(FIND($A$2,Lines!Y47))=TRUE,"",Lines!Y47)</f>
        <v/>
      </c>
      <c r="Z47" s="30" t="str">
        <f>IF(ISERROR(FIND($A$2,Lines!Z47))=TRUE,"",Lines!Z47)</f>
        <v/>
      </c>
      <c r="AA47" s="30" t="str">
        <f>IF(ISERROR(FIND($A$2,Lines!AA47))=TRUE,"",Lines!AA47)</f>
        <v/>
      </c>
      <c r="AB47" s="30" t="str">
        <f>IF(ISERROR(FIND($A$2,Lines!AB47))=TRUE,"",Lines!AB47)</f>
        <v/>
      </c>
      <c r="AC47" s="30" t="str">
        <f>IF(ISERROR(FIND($A$2,Lines!AC47))=TRUE,"",Lines!AC47)</f>
        <v/>
      </c>
      <c r="AD47" s="30" t="str">
        <f>IF(ISERROR(FIND($A$2,Lines!AD47))=TRUE,"",Lines!AD47)</f>
        <v/>
      </c>
      <c r="AE47" s="30" t="str">
        <f>IF(ISERROR(FIND($A$2,Lines!AE47))=TRUE,"",Lines!AE47)</f>
        <v/>
      </c>
      <c r="AF47" s="30" t="str">
        <f>IF(ISERROR(FIND($A$2,Lines!AF47))=TRUE,"",Lines!AF47)</f>
        <v/>
      </c>
      <c r="AG47" s="30" t="str">
        <f>IF(ISERROR(FIND($A$2,Lines!AG47))=TRUE,"",Lines!AG47)</f>
        <v/>
      </c>
      <c r="AH47" s="30" t="str">
        <f>IF(ISERROR(FIND($A$2,Lines!AH47))=TRUE,"",Lines!AH47)</f>
        <v/>
      </c>
      <c r="AI47" s="30" t="str">
        <f>IF(ISERROR(FIND($A$2,Lines!AI47))=TRUE,"",Lines!AI47)</f>
        <v/>
      </c>
      <c r="AJ47" s="30" t="str">
        <f>IF(ISERROR(FIND($A$2,Lines!AJ47))=TRUE,"",Lines!AJ47)</f>
        <v/>
      </c>
      <c r="AK47" s="30" t="str">
        <f>IF(ISERROR(FIND($A$2,Lines!AK47))=TRUE,"",Lines!AK47)</f>
        <v/>
      </c>
      <c r="AL47" s="30" t="str">
        <f>IF(ISERROR(FIND($A$2,Lines!AL47))=TRUE,"",Lines!AL47)</f>
        <v/>
      </c>
      <c r="AM47" s="30" t="str">
        <f>IF(ISERROR(FIND($A$2,Lines!AM47))=TRUE,"",Lines!AM47)</f>
        <v/>
      </c>
      <c r="AN47" s="30" t="str">
        <f>IF(ISERROR(FIND($A$2,Lines!AN47))=TRUE,"",Lines!AN47)</f>
        <v/>
      </c>
      <c r="AO47" s="30" t="str">
        <f>IF(ISERROR(FIND($A$2,Lines!AO47))=TRUE,"",Lines!AO47)</f>
        <v/>
      </c>
      <c r="AP47" s="57" t="str">
        <f>IF(ISERROR(FIND($A$2,Lines!AP47))=TRUE,"",Lines!AP47)</f>
        <v/>
      </c>
      <c r="AQ47" s="44" t="str">
        <f>IF(ISERROR(FIND($A$2,Lines!AQ47))=TRUE,"",Lines!AQ47)</f>
        <v/>
      </c>
      <c r="AR47" s="44" t="str">
        <f>IF(ISERROR(FIND($A$2,Lines!AR47))=TRUE,"",Lines!AR47)</f>
        <v/>
      </c>
      <c r="AS47" s="66" t="str">
        <f>IF(ISERROR(FIND($A$2,Lines!AS47))=TRUE,"",Lines!AS47)</f>
        <v/>
      </c>
      <c r="AT47" s="44" t="str">
        <f>IF(ISERROR(FIND($A$2,Lines!AT47))=TRUE,"",Lines!AT47)</f>
        <v>500AC*2, 1000KV（浙北-福州特高压交流工程6800MW）</v>
      </c>
    </row>
    <row r="48" spans="1:46" ht="20.25" customHeight="1">
      <c r="A48" s="2" t="s">
        <v>96</v>
      </c>
      <c r="B48" s="30" t="str">
        <f>IF(ISERROR(FIND($A$2,Lines!B48))=TRUE,"",Lines!B48)</f>
        <v/>
      </c>
      <c r="C48" s="30" t="str">
        <f>IF(ISERROR(FIND($A$2,Lines!C48))=TRUE,"",Lines!C48)</f>
        <v/>
      </c>
      <c r="D48" s="30" t="str">
        <f>IF(ISERROR(FIND($A$2,Lines!D48))=TRUE,"",Lines!D48)</f>
        <v/>
      </c>
      <c r="E48" s="30" t="str">
        <f>IF(ISERROR(FIND($A$2,Lines!E48))=TRUE,"",Lines!E48)</f>
        <v/>
      </c>
      <c r="F48" s="30" t="str">
        <f>IF(ISERROR(FIND($A$2,Lines!F48))=TRUE,"",Lines!F48)</f>
        <v/>
      </c>
      <c r="G48" s="30" t="str">
        <f>IF(ISERROR(FIND($A$2,Lines!G48))=TRUE,"",Lines!G48)</f>
        <v/>
      </c>
      <c r="H48" s="30" t="str">
        <f>IF(ISERROR(FIND($A$2,Lines!H48))=TRUE,"",Lines!H48)</f>
        <v/>
      </c>
      <c r="I48" s="30" t="str">
        <f>IF(ISERROR(FIND($A$2,Lines!I48))=TRUE,"",Lines!I48)</f>
        <v/>
      </c>
      <c r="J48" s="30" t="str">
        <f>IF(ISERROR(FIND($A$2,Lines!J48))=TRUE,"",Lines!J48)</f>
        <v/>
      </c>
      <c r="K48" s="30" t="str">
        <f>IF(ISERROR(FIND($A$2,Lines!K48))=TRUE,"",Lines!K48)</f>
        <v/>
      </c>
      <c r="L48" s="30" t="str">
        <f>IF(ISERROR(FIND($A$2,Lines!L48))=TRUE,"",Lines!L48)</f>
        <v/>
      </c>
      <c r="M48" s="30" t="str">
        <f>IF(ISERROR(FIND($A$2,Lines!M48))=TRUE,"",Lines!M48)</f>
        <v/>
      </c>
      <c r="N48" s="30" t="str">
        <f>IF(ISERROR(FIND($A$2,Lines!N48))=TRUE,"",Lines!N48)</f>
        <v/>
      </c>
      <c r="O48" s="30" t="str">
        <f>IF(ISERROR(FIND($A$2,Lines!O48))=TRUE,"",Lines!O48)</f>
        <v/>
      </c>
      <c r="P48" s="30" t="str">
        <f>IF(ISERROR(FIND($A$2,Lines!P48))=TRUE,"",Lines!P48)</f>
        <v/>
      </c>
      <c r="Q48" s="30" t="str">
        <f>IF(ISERROR(FIND($A$2,Lines!Q48))=TRUE,"",Lines!Q48)</f>
        <v/>
      </c>
      <c r="R48" s="30" t="str">
        <f>IF(ISERROR(FIND($A$2,Lines!R48))=TRUE,"",Lines!R48)</f>
        <v/>
      </c>
      <c r="S48" s="30" t="str">
        <f>IF(ISERROR(FIND($A$2,Lines!S48))=TRUE,"",Lines!S48)</f>
        <v/>
      </c>
      <c r="T48" s="30" t="str">
        <f>IF(ISERROR(FIND($A$2,Lines!T48))=TRUE,"",Lines!T48)</f>
        <v/>
      </c>
      <c r="U48" s="30" t="str">
        <f>IF(ISERROR(FIND($A$2,Lines!U48))=TRUE,"",Lines!U48)</f>
        <v/>
      </c>
      <c r="V48" s="30" t="str">
        <f>IF(ISERROR(FIND($A$2,Lines!V48))=TRUE,"",Lines!V48)</f>
        <v/>
      </c>
      <c r="W48" s="36" t="str">
        <f>IF(ISERROR(FIND($A$2,Lines!W48))=TRUE,"",Lines!W48)</f>
        <v/>
      </c>
      <c r="X48" s="30" t="str">
        <f>IF(ISERROR(FIND($A$2,Lines!X48))=TRUE,"",Lines!X48)</f>
        <v/>
      </c>
      <c r="Y48" s="30" t="str">
        <f>IF(ISERROR(FIND($A$2,Lines!Y48))=TRUE,"",Lines!Y48)</f>
        <v/>
      </c>
      <c r="Z48" s="30" t="str">
        <f>IF(ISERROR(FIND($A$2,Lines!Z48))=TRUE,"",Lines!Z48)</f>
        <v/>
      </c>
      <c r="AA48" s="30" t="str">
        <f>IF(ISERROR(FIND($A$2,Lines!AA48))=TRUE,"",Lines!AA48)</f>
        <v/>
      </c>
      <c r="AB48" s="30" t="str">
        <f>IF(ISERROR(FIND($A$2,Lines!AB48))=TRUE,"",Lines!AB48)</f>
        <v/>
      </c>
      <c r="AC48" s="30" t="str">
        <f>IF(ISERROR(FIND($A$2,Lines!AC48))=TRUE,"",Lines!AC48)</f>
        <v/>
      </c>
      <c r="AD48" s="30" t="str">
        <f>IF(ISERROR(FIND($A$2,Lines!AD48))=TRUE,"",Lines!AD48)</f>
        <v/>
      </c>
      <c r="AE48" s="30" t="str">
        <f>IF(ISERROR(FIND($A$2,Lines!AE48))=TRUE,"",Lines!AE48)</f>
        <v/>
      </c>
      <c r="AF48" s="30" t="str">
        <f>IF(ISERROR(FIND($A$2,Lines!AF48))=TRUE,"",Lines!AF48)</f>
        <v/>
      </c>
      <c r="AG48" s="30" t="str">
        <f>IF(ISERROR(FIND($A$2,Lines!AG48))=TRUE,"",Lines!AG48)</f>
        <v/>
      </c>
      <c r="AH48" s="30" t="str">
        <f>IF(ISERROR(FIND($A$2,Lines!AH48))=TRUE,"",Lines!AH48)</f>
        <v/>
      </c>
      <c r="AI48" s="30" t="str">
        <f>IF(ISERROR(FIND($A$2,Lines!AI48))=TRUE,"",Lines!AI48)</f>
        <v/>
      </c>
      <c r="AJ48" s="30" t="str">
        <f>IF(ISERROR(FIND($A$2,Lines!AJ48))=TRUE,"",Lines!AJ48)</f>
        <v/>
      </c>
      <c r="AK48" s="30" t="str">
        <f>IF(ISERROR(FIND($A$2,Lines!AK48))=TRUE,"",Lines!AK48)</f>
        <v/>
      </c>
      <c r="AL48" s="30" t="str">
        <f>IF(ISERROR(FIND($A$2,Lines!AL48))=TRUE,"",Lines!AL48)</f>
        <v/>
      </c>
      <c r="AM48" s="30" t="str">
        <f>IF(ISERROR(FIND($A$2,Lines!AM48))=TRUE,"",Lines!AM48)</f>
        <v/>
      </c>
      <c r="AN48" s="30" t="str">
        <f>IF(ISERROR(FIND($A$2,Lines!AN48))=TRUE,"",Lines!AN48)</f>
        <v/>
      </c>
      <c r="AO48" s="30" t="str">
        <f>IF(ISERROR(FIND($A$2,Lines!AO48))=TRUE,"",Lines!AO48)</f>
        <v/>
      </c>
      <c r="AP48" s="57" t="str">
        <f>IF(ISERROR(FIND($A$2,Lines!AP48))=TRUE,"",Lines!AP48)</f>
        <v>500AC*2, 1000KV（浙北-福州特高压交流工程6800MW）</v>
      </c>
      <c r="AQ48" s="44" t="str">
        <f>IF(ISERROR(FIND($A$2,Lines!AQ48))=TRUE,"",Lines!AQ48)</f>
        <v/>
      </c>
      <c r="AR48" s="44" t="str">
        <f>IF(ISERROR(FIND($A$2,Lines!AR48))=TRUE,"",Lines!AR48)</f>
        <v/>
      </c>
      <c r="AS48" s="44" t="str">
        <f>IF(ISERROR(FIND($A$2,Lines!AS48))=TRUE,"",Lines!AS48)</f>
        <v>500AC*2, 1000KV（浙北-福州特高压交流工程6800MW）</v>
      </c>
      <c r="AT48" s="66" t="str">
        <f>IF(ISERROR(FIND($A$2,Lines!AT48))=TRUE,"",Lines!AT48)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8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57"/>
  <sheetViews>
    <sheetView tabSelected="1" topLeftCell="B1" zoomScale="110" zoomScaleNormal="110" zoomScalePageLayoutView="190" workbookViewId="0">
      <selection activeCell="AD1" sqref="AD1:AD1048576"/>
    </sheetView>
  </sheetViews>
  <sheetFormatPr baseColWidth="10" defaultColWidth="4.5" defaultRowHeight="20.25" customHeight="1"/>
  <cols>
    <col min="1" max="1" width="10.33203125" bestFit="1" customWidth="1"/>
    <col min="2" max="2" width="11.83203125" bestFit="1" customWidth="1"/>
    <col min="3" max="3" width="30.83203125" bestFit="1" customWidth="1"/>
    <col min="4" max="4" width="8.5" bestFit="1" customWidth="1"/>
    <col min="5" max="8" width="6.6640625" bestFit="1" customWidth="1"/>
    <col min="9" max="9" width="4.83203125" bestFit="1" customWidth="1"/>
    <col min="10" max="10" width="6.6640625" bestFit="1" customWidth="1"/>
    <col min="11" max="11" width="4.83203125" bestFit="1" customWidth="1"/>
    <col min="12" max="14" width="6.6640625" bestFit="1" customWidth="1"/>
    <col min="15" max="15" width="8.5" bestFit="1" customWidth="1"/>
    <col min="16" max="18" width="6.6640625" bestFit="1" customWidth="1"/>
    <col min="19" max="19" width="4.83203125" bestFit="1" customWidth="1"/>
    <col min="20" max="20" width="10.33203125" bestFit="1" customWidth="1"/>
    <col min="21" max="22" width="6.6640625" bestFit="1" customWidth="1"/>
    <col min="23" max="23" width="10.33203125" bestFit="1" customWidth="1"/>
    <col min="24" max="29" width="6.6640625" bestFit="1" customWidth="1"/>
    <col min="30" max="30" width="4.83203125" bestFit="1" customWidth="1"/>
    <col min="31" max="38" width="6.6640625" bestFit="1" customWidth="1"/>
    <col min="39" max="39" width="10.33203125" bestFit="1" customWidth="1"/>
    <col min="40" max="46" width="6.6640625" bestFit="1" customWidth="1"/>
  </cols>
  <sheetData>
    <row r="1" spans="1:46" ht="20.25" customHeight="1">
      <c r="B1" s="234"/>
      <c r="C1" s="234"/>
      <c r="D1" s="234"/>
      <c r="E1" s="234"/>
      <c r="F1" s="234"/>
      <c r="G1" s="1"/>
    </row>
    <row r="2" spans="1:46" ht="20.25" customHeight="1">
      <c r="A2" t="s">
        <v>229</v>
      </c>
      <c r="B2" s="1">
        <v>0.9</v>
      </c>
      <c r="C2" s="186" t="s">
        <v>141</v>
      </c>
    </row>
    <row r="3" spans="1:46" ht="20.25" customHeight="1">
      <c r="A3" t="s">
        <v>151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IF(ISERROR(FIND($A$2,Lines!B4))=TRUE,"",MID(Lines!B4,FIND($A$2,Lines!B4)+LEN($A$2)+1,FIND(",",_xlfn.CONCAT(Lines!B4,","),FIND($A$2,Lines!B4))-FIND($A$2,Lines!B4)-LEN($A$2)-1))</f>
        <v/>
      </c>
      <c r="C4" s="26" t="str">
        <f>IF(ISERROR(FIND($A$2,Lines!C4))=TRUE,"",MID(Lines!C4,FIND($A$2,Lines!C4)+LEN($A$2)+1,FIND(",",_xlfn.CONCAT(Lines!C4,","),FIND($A$2,Lines!C4))-FIND($A$2,Lines!C4)-LEN($A$2)-1))</f>
        <v/>
      </c>
      <c r="D4" s="26" t="str">
        <f>IF(ISERROR(FIND($A$2,Lines!D4))=TRUE,"",MID(Lines!D4,FIND($A$2,Lines!D4)+LEN($A$2)+1,FIND(",",_xlfn.CONCAT(Lines!D4,","),FIND($A$2,Lines!D4))-FIND($A$2,Lines!D4)-LEN($A$2)-1))</f>
        <v/>
      </c>
      <c r="E4" s="26" t="str">
        <f>IF(ISERROR(FIND($A$2,Lines!E4))=TRUE,"",MID(Lines!E4,FIND($A$2,Lines!E4)+LEN($A$2)+1,FIND(",",_xlfn.CONCAT(Lines!E4,","),FIND($A$2,Lines!E4))-FIND($A$2,Lines!E4)-LEN($A$2)-1))</f>
        <v/>
      </c>
      <c r="F4" s="26" t="str">
        <f>IF(ISERROR(FIND($A$2,Lines!F4))=TRUE,"",MID(Lines!F4,FIND($A$2,Lines!F4)+LEN($A$2)+1,FIND(",",_xlfn.CONCAT(Lines!F4,","),FIND($A$2,Lines!F4))-FIND($A$2,Lines!F4)-LEN($A$2)-1))</f>
        <v/>
      </c>
      <c r="G4" s="26" t="str">
        <f>IF(ISERROR(FIND($A$2,Lines!G4))=TRUE,"",MID(Lines!G4,FIND($A$2,Lines!G4)+LEN($A$2)+1,FIND(",",_xlfn.CONCAT(Lines!G4,","),FIND($A$2,Lines!G4))-FIND($A$2,Lines!G4)-LEN($A$2)-1))</f>
        <v/>
      </c>
      <c r="H4" s="26" t="str">
        <f>IF(ISERROR(FIND($A$2,Lines!H4))=TRUE,"",MID(Lines!H4,FIND($A$2,Lines!H4)+LEN($A$2)+1,FIND(",",_xlfn.CONCAT(Lines!H4,","),FIND($A$2,Lines!H4))-FIND($A$2,Lines!H4)-LEN($A$2)-1))</f>
        <v/>
      </c>
      <c r="I4" s="26" t="str">
        <f>IF(ISERROR(FIND($A$2,Lines!I4))=TRUE,"",MID(Lines!I4,FIND($A$2,Lines!I4)+LEN($A$2)+1,FIND(",",_xlfn.CONCAT(Lines!I4,","),FIND($A$2,Lines!I4))-FIND($A$2,Lines!I4)-LEN($A$2)-1))</f>
        <v/>
      </c>
      <c r="J4" s="26" t="str">
        <f>IF(ISERROR(FIND($A$2,Lines!J4))=TRUE,"",MID(Lines!J4,FIND($A$2,Lines!J4)+LEN($A$2)+1,FIND(",",_xlfn.CONCAT(Lines!J4,","),FIND($A$2,Lines!J4))-FIND($A$2,Lines!J4)-LEN($A$2)-1))</f>
        <v/>
      </c>
      <c r="K4" s="26" t="str">
        <f>IF(ISERROR(FIND($A$2,Lines!K4))=TRUE,"",MID(Lines!K4,FIND($A$2,Lines!K4)+LEN($A$2)+1,FIND(",",_xlfn.CONCAT(Lines!K4,","),FIND($A$2,Lines!K4))-FIND($A$2,Lines!K4)-LEN($A$2)-1))</f>
        <v/>
      </c>
      <c r="L4" s="26" t="str">
        <f>IF(ISERROR(FIND($A$2,Lines!L4))=TRUE,"",MID(Lines!L4,FIND($A$2,Lines!L4)+LEN($A$2)+1,FIND(",",_xlfn.CONCAT(Lines!L4,","),FIND($A$2,Lines!L4))-FIND($A$2,Lines!L4)-LEN($A$2)-1))</f>
        <v/>
      </c>
      <c r="M4" s="27" t="str">
        <f>IF(ISERROR(FIND($A$2,Lines!M4))=TRUE,"",MID(Lines!M4,FIND($A$2,Lines!M4)+LEN($A$2)+1,FIND(",",_xlfn.CONCAT(Lines!M4,","),FIND($A$2,Lines!M4))-FIND($A$2,Lines!M4)-LEN($A$2)-1))</f>
        <v/>
      </c>
      <c r="N4" s="30" t="str">
        <f>IF(ISERROR(FIND($A$2,Lines!N4))=TRUE,"",MID(Lines!N4,FIND($A$2,Lines!N4)+LEN($A$2)+1,FIND(",",_xlfn.CONCAT(Lines!N4,","),FIND($A$2,Lines!N4))-FIND($A$2,Lines!N4)-LEN($A$2)-1))</f>
        <v/>
      </c>
      <c r="O4" s="30" t="str">
        <f>IF(ISERROR(FIND($A$2,Lines!O4))=TRUE,"",MID(Lines!O4,FIND($A$2,Lines!O4)+LEN($A$2)+1,FIND(",",_xlfn.CONCAT(Lines!O4,","),FIND($A$2,Lines!O4))-FIND($A$2,Lines!O4)-LEN($A$2)-1))</f>
        <v/>
      </c>
      <c r="P4" s="30" t="str">
        <f>IF(ISERROR(FIND($A$2,Lines!P4))=TRUE,"",MID(Lines!P4,FIND($A$2,Lines!P4)+LEN($A$2)+1,FIND(",",_xlfn.CONCAT(Lines!P4,","),FIND($A$2,Lines!P4))-FIND($A$2,Lines!P4)-LEN($A$2)-1))</f>
        <v/>
      </c>
      <c r="Q4" s="30" t="str">
        <f>IF(ISERROR(FIND($A$2,Lines!Q4))=TRUE,"",MID(Lines!Q4,FIND($A$2,Lines!Q4)+LEN($A$2)+1,FIND(",",_xlfn.CONCAT(Lines!Q4,","),FIND($A$2,Lines!Q4))-FIND($A$2,Lines!Q4)-LEN($A$2)-1))</f>
        <v/>
      </c>
      <c r="R4" s="30" t="str">
        <f>IF(ISERROR(FIND($A$2,Lines!R4))=TRUE,"",MID(Lines!R4,FIND($A$2,Lines!R4)+LEN($A$2)+1,FIND(",",_xlfn.CONCAT(Lines!R4,","),FIND($A$2,Lines!R4))-FIND($A$2,Lines!R4)-LEN($A$2)-1))</f>
        <v/>
      </c>
      <c r="S4" s="30" t="str">
        <f>IF(ISERROR(FIND($A$2,Lines!S4))=TRUE,"",MID(Lines!S4,FIND($A$2,Lines!S4)+LEN($A$2)+1,FIND(",",_xlfn.CONCAT(Lines!S4,","),FIND($A$2,Lines!S4))-FIND($A$2,Lines!S4)-LEN($A$2)-1))</f>
        <v/>
      </c>
      <c r="T4" s="30" t="str">
        <f>IF(ISERROR(FIND($A$2,Lines!T4))=TRUE,"",MID(Lines!T4,FIND($A$2,Lines!T4)+LEN($A$2)+1,FIND(",",_xlfn.CONCAT(Lines!T4,","),FIND($A$2,Lines!T4))-FIND($A$2,Lines!T4)-LEN($A$2)-1))</f>
        <v/>
      </c>
      <c r="U4" s="30" t="str">
        <f>IF(ISERROR(FIND($A$2,Lines!U4))=TRUE,"",MID(Lines!U4,FIND($A$2,Lines!U4)+LEN($A$2)+1,FIND(",",_xlfn.CONCAT(Lines!U4,","),FIND($A$2,Lines!U4))-FIND($A$2,Lines!U4)-LEN($A$2)-1))</f>
        <v/>
      </c>
      <c r="V4" s="30" t="str">
        <f>IF(ISERROR(FIND($A$2,Lines!V4))=TRUE,"",MID(Lines!V4,FIND($A$2,Lines!V4)+LEN($A$2)+1,FIND(",",_xlfn.CONCAT(Lines!V4,","),FIND($A$2,Lines!V4))-FIND($A$2,Lines!V4)-LEN($A$2)-1))</f>
        <v/>
      </c>
      <c r="W4" s="36" t="str">
        <f>IF(ISERROR(FIND($A$2,Lines!W4))=TRUE,"",MID(Lines!W4,FIND($A$2,Lines!W4)+LEN($A$2)+1,FIND(",",_xlfn.CONCAT(Lines!W4,","),FIND($A$2,Lines!W4))-FIND($A$2,Lines!W4)-LEN($A$2)-1))</f>
        <v/>
      </c>
      <c r="X4" s="30" t="str">
        <f>IF(ISERROR(FIND($A$2,Lines!X4))=TRUE,"",MID(Lines!X4,FIND($A$2,Lines!X4)+LEN($A$2)+1,FIND(",",_xlfn.CONCAT(Lines!X4,","),FIND($A$2,Lines!X4))-FIND($A$2,Lines!X4)-LEN($A$2)-1))</f>
        <v/>
      </c>
      <c r="Y4" s="30" t="str">
        <f>IF(ISERROR(FIND($A$2,Lines!Y4))=TRUE,"",MID(Lines!Y4,FIND($A$2,Lines!Y4)+LEN($A$2)+1,FIND(",",_xlfn.CONCAT(Lines!Y4,","),FIND($A$2,Lines!Y4))-FIND($A$2,Lines!Y4)-LEN($A$2)-1))</f>
        <v/>
      </c>
      <c r="Z4" s="30" t="str">
        <f>IF(ISERROR(FIND($A$2,Lines!Z4))=TRUE,"",MID(Lines!Z4,FIND($A$2,Lines!Z4)+LEN($A$2)+1,FIND(",",_xlfn.CONCAT(Lines!Z4,","),FIND($A$2,Lines!Z4))-FIND($A$2,Lines!Z4)-LEN($A$2)-1))</f>
        <v/>
      </c>
      <c r="AA4" s="30" t="str">
        <f>IF(ISERROR(FIND($A$2,Lines!AA4))=TRUE,"",MID(Lines!AA4,FIND($A$2,Lines!AA4)+LEN($A$2)+1,FIND(",",_xlfn.CONCAT(Lines!AA4,","),FIND($A$2,Lines!AA4))-FIND($A$2,Lines!AA4)-LEN($A$2)-1))</f>
        <v/>
      </c>
      <c r="AB4" s="30" t="str">
        <f>IF(ISERROR(FIND($A$2,Lines!AB4))=TRUE,"",MID(Lines!AB4,FIND($A$2,Lines!AB4)+LEN($A$2)+1,FIND(",",_xlfn.CONCAT(Lines!AB4,","),FIND($A$2,Lines!AB4))-FIND($A$2,Lines!AB4)-LEN($A$2)-1))</f>
        <v/>
      </c>
      <c r="AC4" s="30" t="str">
        <f>IF(ISERROR(FIND($A$2,Lines!AC4))=TRUE,"",MID(Lines!AC4,FIND($A$2,Lines!AC4)+LEN($A$2)+1,FIND(",",_xlfn.CONCAT(Lines!AC4,","),FIND($A$2,Lines!AC4))-FIND($A$2,Lines!AC4)-LEN($A$2)-1))</f>
        <v/>
      </c>
      <c r="AD4" s="30" t="str">
        <f>IF(ISERROR(FIND($A$2,Lines!AD4))=TRUE,"",MID(Lines!AD4,FIND($A$2,Lines!AD4)+LEN($A$2)+1,FIND(",",_xlfn.CONCAT(Lines!AD4,","),FIND($A$2,Lines!AD4))-FIND($A$2,Lines!AD4)-LEN($A$2)-1))</f>
        <v/>
      </c>
      <c r="AE4" s="30" t="str">
        <f>IF(ISERROR(FIND($A$2,Lines!AE4))=TRUE,"",MID(Lines!AE4,FIND($A$2,Lines!AE4)+LEN($A$2)+1,FIND(",",_xlfn.CONCAT(Lines!AE4,","),FIND($A$2,Lines!AE4))-FIND($A$2,Lines!AE4)-LEN($A$2)-1))</f>
        <v/>
      </c>
      <c r="AF4" s="30" t="str">
        <f>IF(ISERROR(FIND($A$2,Lines!AF4))=TRUE,"",MID(Lines!AF4,FIND($A$2,Lines!AF4)+LEN($A$2)+1,FIND(",",_xlfn.CONCAT(Lines!AF4,","),FIND($A$2,Lines!AF4))-FIND($A$2,Lines!AF4)-LEN($A$2)-1))</f>
        <v/>
      </c>
      <c r="AG4" s="30" t="str">
        <f>IF(ISERROR(FIND($A$2,Lines!AG4))=TRUE,"",MID(Lines!AG4,FIND($A$2,Lines!AG4)+LEN($A$2)+1,FIND(",",_xlfn.CONCAT(Lines!AG4,","),FIND($A$2,Lines!AG4))-FIND($A$2,Lines!AG4)-LEN($A$2)-1))</f>
        <v/>
      </c>
      <c r="AH4" s="30" t="str">
        <f>IF(ISERROR(FIND($A$2,Lines!AH4))=TRUE,"",MID(Lines!AH4,FIND($A$2,Lines!AH4)+LEN($A$2)+1,FIND(",",_xlfn.CONCAT(Lines!AH4,","),FIND($A$2,Lines!AH4))-FIND($A$2,Lines!AH4)-LEN($A$2)-1))</f>
        <v/>
      </c>
      <c r="AI4" s="30" t="str">
        <f>IF(ISERROR(FIND($A$2,Lines!AI4))=TRUE,"",MID(Lines!AI4,FIND($A$2,Lines!AI4)+LEN($A$2)+1,FIND(",",_xlfn.CONCAT(Lines!AI4,","),FIND($A$2,Lines!AI4))-FIND($A$2,Lines!AI4)-LEN($A$2)-1))</f>
        <v/>
      </c>
      <c r="AJ4" s="30" t="str">
        <f>IF(ISERROR(FIND($A$2,Lines!AJ4))=TRUE,"",MID(Lines!AJ4,FIND($A$2,Lines!AJ4)+LEN($A$2)+1,FIND(",",_xlfn.CONCAT(Lines!AJ4,","),FIND($A$2,Lines!AJ4))-FIND($A$2,Lines!AJ4)-LEN($A$2)-1))</f>
        <v/>
      </c>
      <c r="AK4" s="30" t="str">
        <f>IF(ISERROR(FIND($A$2,Lines!AK4))=TRUE,"",MID(Lines!AK4,FIND($A$2,Lines!AK4)+LEN($A$2)+1,FIND(",",_xlfn.CONCAT(Lines!AK4,","),FIND($A$2,Lines!AK4))-FIND($A$2,Lines!AK4)-LEN($A$2)-1))</f>
        <v/>
      </c>
      <c r="AL4" s="30" t="str">
        <f>IF(ISERROR(FIND($A$2,Lines!AL4))=TRUE,"",MID(Lines!AL4,FIND($A$2,Lines!AL4)+LEN($A$2)+1,FIND(",",_xlfn.CONCAT(Lines!AL4,","),FIND($A$2,Lines!AL4))-FIND($A$2,Lines!AL4)-LEN($A$2)-1))</f>
        <v/>
      </c>
      <c r="AM4" s="30" t="str">
        <f>IF(ISERROR(FIND($A$2,Lines!AM4))=TRUE,"",MID(Lines!AM4,FIND($A$2,Lines!AM4)+LEN($A$2)+1,FIND(",",_xlfn.CONCAT(Lines!AM4,","),FIND($A$2,Lines!AM4))-FIND($A$2,Lines!AM4)-LEN($A$2)-1))</f>
        <v/>
      </c>
      <c r="AN4" s="30" t="str">
        <f>IF(ISERROR(FIND($A$2,Lines!AN4))=TRUE,"",MID(Lines!AN4,FIND($A$2,Lines!AN4)+LEN($A$2)+1,FIND(",",_xlfn.CONCAT(Lines!AN4,","),FIND($A$2,Lines!AN4))-FIND($A$2,Lines!AN4)-LEN($A$2)-1))</f>
        <v/>
      </c>
      <c r="AO4" s="30" t="str">
        <f>IF(ISERROR(FIND($A$2,Lines!AO4))=TRUE,"",MID(Lines!AO4,FIND($A$2,Lines!AO4)+LEN($A$2)+1,FIND(",",_xlfn.CONCAT(Lines!AO4,","),FIND($A$2,Lines!AO4))-FIND($A$2,Lines!AO4)-LEN($A$2)-1))</f>
        <v/>
      </c>
      <c r="AP4" s="30" t="str">
        <f>IF(ISERROR(FIND($A$2,Lines!AP4))=TRUE,"",MID(Lines!AP4,FIND($A$2,Lines!AP4)+LEN($A$2)+1,FIND(",",_xlfn.CONCAT(Lines!AP4,","),FIND($A$2,Lines!AP4))-FIND($A$2,Lines!AP4)-LEN($A$2)-1))</f>
        <v/>
      </c>
      <c r="AQ4" s="30" t="str">
        <f>IF(ISERROR(FIND($A$2,Lines!AQ4))=TRUE,"",MID(Lines!AQ4,FIND($A$2,Lines!AQ4)+LEN($A$2)+1,FIND(",",_xlfn.CONCAT(Lines!AQ4,","),FIND($A$2,Lines!AQ4))-FIND($A$2,Lines!AQ4)-LEN($A$2)-1))</f>
        <v/>
      </c>
      <c r="AR4" s="30" t="str">
        <f>IF(ISERROR(FIND($A$2,Lines!AR4))=TRUE,"",MID(Lines!AR4,FIND($A$2,Lines!AR4)+LEN($A$2)+1,FIND(",",_xlfn.CONCAT(Lines!AR4,","),FIND($A$2,Lines!AR4))-FIND($A$2,Lines!AR4)-LEN($A$2)-1))</f>
        <v/>
      </c>
      <c r="AS4" s="30" t="str">
        <f>IF(ISERROR(FIND($A$2,Lines!AS4))=TRUE,"",MID(Lines!AS4,FIND($A$2,Lines!AS4)+LEN($A$2)+1,FIND(",",_xlfn.CONCAT(Lines!AS4,","),FIND($A$2,Lines!AS4))-FIND($A$2,Lines!AS4)-LEN($A$2)-1))</f>
        <v/>
      </c>
      <c r="AT4" s="30" t="str">
        <f>IF(ISERROR(FIND($A$2,Lines!AT4))=TRUE,"",MID(Lines!AT4,FIND($A$2,Lines!AT4)+LEN($A$2)+1,FIND(",",_xlfn.CONCAT(Lines!AT4,","),FIND($A$2,Lines!AT4))-FIND($A$2,Lines!AT4)-LEN($A$2)-1))</f>
        <v/>
      </c>
    </row>
    <row r="5" spans="1:46" ht="20.25" customHeight="1">
      <c r="A5" s="2" t="s">
        <v>56</v>
      </c>
      <c r="B5" s="26" t="str">
        <f>IF(ISERROR(FIND($A$2,Lines!B5))=TRUE,"",MID(Lines!B5,FIND($A$2,Lines!B5)+LEN($A$2)+1,FIND(",",_xlfn.CONCAT(Lines!B5,","),FIND($A$2,Lines!B5))-FIND($A$2,Lines!B5)-LEN($A$2)-1))</f>
        <v/>
      </c>
      <c r="C5" s="63" t="str">
        <f>IF(ISERROR(FIND($A$2,Lines!C5))=TRUE,"",MID(Lines!C5,FIND($A$2,Lines!C5)+LEN($A$2)+1,FIND(",",_xlfn.CONCAT(Lines!C5,","),FIND($A$2,Lines!C5))-FIND($A$2,Lines!C5)-LEN($A$2)-1))</f>
        <v/>
      </c>
      <c r="D5" s="26" t="str">
        <f>IF(ISERROR(FIND($A$2,Lines!D5))=TRUE,"",MID(Lines!D5,FIND($A$2,Lines!D5)+LEN($A$2)+1,FIND(",",_xlfn.CONCAT(Lines!D5,","),FIND($A$2,Lines!D5))-FIND($A$2,Lines!D5)-LEN($A$2)-1))</f>
        <v/>
      </c>
      <c r="E5" s="26" t="str">
        <f>IF(ISERROR(FIND($A$2,Lines!E5))=TRUE,"",MID(Lines!E5,FIND($A$2,Lines!E5)+LEN($A$2)+1,FIND(",",_xlfn.CONCAT(Lines!E5,","),FIND($A$2,Lines!E5))-FIND($A$2,Lines!E5)-LEN($A$2)-1))</f>
        <v/>
      </c>
      <c r="F5" s="26" t="str">
        <f>IF(ISERROR(FIND($A$2,Lines!F5))=TRUE,"",MID(Lines!F5,FIND($A$2,Lines!F5)+LEN($A$2)+1,FIND(",",_xlfn.CONCAT(Lines!F5,","),FIND($A$2,Lines!F5))-FIND($A$2,Lines!F5)-LEN($A$2)-1))</f>
        <v/>
      </c>
      <c r="G5" s="26" t="str">
        <f>IF(ISERROR(FIND($A$2,Lines!G5))=TRUE,"",MID(Lines!G5,FIND($A$2,Lines!G5)+LEN($A$2)+1,FIND(",",_xlfn.CONCAT(Lines!G5,","),FIND($A$2,Lines!G5))-FIND($A$2,Lines!G5)-LEN($A$2)-1))</f>
        <v/>
      </c>
      <c r="H5" s="26" t="str">
        <f>IF(ISERROR(FIND($A$2,Lines!H5))=TRUE,"",MID(Lines!H5,FIND($A$2,Lines!H5)+LEN($A$2)+1,FIND(",",_xlfn.CONCAT(Lines!H5,","),FIND($A$2,Lines!H5))-FIND($A$2,Lines!H5)-LEN($A$2)-1))</f>
        <v/>
      </c>
      <c r="I5" s="26" t="str">
        <f>IF(ISERROR(FIND($A$2,Lines!I5))=TRUE,"",MID(Lines!I5,FIND($A$2,Lines!I5)+LEN($A$2)+1,FIND(",",_xlfn.CONCAT(Lines!I5,","),FIND($A$2,Lines!I5))-FIND($A$2,Lines!I5)-LEN($A$2)-1))</f>
        <v/>
      </c>
      <c r="J5" s="26" t="str">
        <f>IF(ISERROR(FIND($A$2,Lines!J5))=TRUE,"",MID(Lines!J5,FIND($A$2,Lines!J5)+LEN($A$2)+1,FIND(",",_xlfn.CONCAT(Lines!J5,","),FIND($A$2,Lines!J5))-FIND($A$2,Lines!J5)-LEN($A$2)-1))</f>
        <v/>
      </c>
      <c r="K5" s="26" t="str">
        <f>IF(ISERROR(FIND($A$2,Lines!K5))=TRUE,"",MID(Lines!K5,FIND($A$2,Lines!K5)+LEN($A$2)+1,FIND(",",_xlfn.CONCAT(Lines!K5,","),FIND($A$2,Lines!K5))-FIND($A$2,Lines!K5)-LEN($A$2)-1))</f>
        <v/>
      </c>
      <c r="L5" s="26" t="str">
        <f>IF(ISERROR(FIND($A$2,Lines!L5))=TRUE,"",MID(Lines!L5,FIND($A$2,Lines!L5)+LEN($A$2)+1,FIND(",",_xlfn.CONCAT(Lines!L5,","),FIND($A$2,Lines!L5))-FIND($A$2,Lines!L5)-LEN($A$2)-1))</f>
        <v/>
      </c>
      <c r="M5" s="27" t="str">
        <f>IF(ISERROR(FIND($A$2,Lines!M5))=TRUE,"",MID(Lines!M5,FIND($A$2,Lines!M5)+LEN($A$2)+1,FIND(",",_xlfn.CONCAT(Lines!M5,","),FIND($A$2,Lines!M5))-FIND($A$2,Lines!M5)-LEN($A$2)-1))</f>
        <v/>
      </c>
      <c r="N5" s="30" t="str">
        <f>IF(ISERROR(FIND($A$2,Lines!N5))=TRUE,"",MID(Lines!N5,FIND($A$2,Lines!N5)+LEN($A$2)+1,FIND(",",_xlfn.CONCAT(Lines!N5,","),FIND($A$2,Lines!N5))-FIND($A$2,Lines!N5)-LEN($A$2)-1))</f>
        <v/>
      </c>
      <c r="O5" s="30" t="str">
        <f>IF(ISERROR(FIND($A$2,Lines!O5))=TRUE,"",MID(Lines!O5,FIND($A$2,Lines!O5)+LEN($A$2)+1,FIND(",",_xlfn.CONCAT(Lines!O5,","),FIND($A$2,Lines!O5))-FIND($A$2,Lines!O5)-LEN($A$2)-1))</f>
        <v/>
      </c>
      <c r="P5" s="30" t="str">
        <f>IF(ISERROR(FIND($A$2,Lines!P5))=TRUE,"",MID(Lines!P5,FIND($A$2,Lines!P5)+LEN($A$2)+1,FIND(",",_xlfn.CONCAT(Lines!P5,","),FIND($A$2,Lines!P5))-FIND($A$2,Lines!P5)-LEN($A$2)-1))</f>
        <v/>
      </c>
      <c r="Q5" s="30" t="str">
        <f>IF(ISERROR(FIND($A$2,Lines!Q5))=TRUE,"",MID(Lines!Q5,FIND($A$2,Lines!Q5)+LEN($A$2)+1,FIND(",",_xlfn.CONCAT(Lines!Q5,","),FIND($A$2,Lines!Q5))-FIND($A$2,Lines!Q5)-LEN($A$2)-1))</f>
        <v/>
      </c>
      <c r="R5" s="30" t="str">
        <f>IF(ISERROR(FIND($A$2,Lines!R5))=TRUE,"",MID(Lines!R5,FIND($A$2,Lines!R5)+LEN($A$2)+1,FIND(",",_xlfn.CONCAT(Lines!R5,","),FIND($A$2,Lines!R5))-FIND($A$2,Lines!R5)-LEN($A$2)-1))</f>
        <v/>
      </c>
      <c r="S5" s="30" t="str">
        <f>IF(ISERROR(FIND($A$2,Lines!S5))=TRUE,"",MID(Lines!S5,FIND($A$2,Lines!S5)+LEN($A$2)+1,FIND(",",_xlfn.CONCAT(Lines!S5,","),FIND($A$2,Lines!S5))-FIND($A$2,Lines!S5)-LEN($A$2)-1))</f>
        <v/>
      </c>
      <c r="T5" s="30" t="str">
        <f>IF(ISERROR(FIND($A$2,Lines!T5))=TRUE,"",MID(Lines!T5,FIND($A$2,Lines!T5)+LEN($A$2)+1,FIND(",",_xlfn.CONCAT(Lines!T5,","),FIND($A$2,Lines!T5))-FIND($A$2,Lines!T5)-LEN($A$2)-1))</f>
        <v/>
      </c>
      <c r="U5" s="30" t="str">
        <f>IF(ISERROR(FIND($A$2,Lines!U5))=TRUE,"",MID(Lines!U5,FIND($A$2,Lines!U5)+LEN($A$2)+1,FIND(",",_xlfn.CONCAT(Lines!U5,","),FIND($A$2,Lines!U5))-FIND($A$2,Lines!U5)-LEN($A$2)-1))</f>
        <v/>
      </c>
      <c r="V5" s="30" t="str">
        <f>IF(ISERROR(FIND($A$2,Lines!V5))=TRUE,"",MID(Lines!V5,FIND($A$2,Lines!V5)+LEN($A$2)+1,FIND(",",_xlfn.CONCAT(Lines!V5,","),FIND($A$2,Lines!V5))-FIND($A$2,Lines!V5)-LEN($A$2)-1))</f>
        <v/>
      </c>
      <c r="W5" s="36" t="str">
        <f>IF(ISERROR(FIND($A$2,Lines!W5))=TRUE,"",MID(Lines!W5,FIND($A$2,Lines!W5)+LEN($A$2)+1,FIND(",",_xlfn.CONCAT(Lines!W5,","),FIND($A$2,Lines!W5))-FIND($A$2,Lines!W5)-LEN($A$2)-1))</f>
        <v/>
      </c>
      <c r="X5" s="30" t="str">
        <f>IF(ISERROR(FIND($A$2,Lines!X5))=TRUE,"",MID(Lines!X5,FIND($A$2,Lines!X5)+LEN($A$2)+1,FIND(",",_xlfn.CONCAT(Lines!X5,","),FIND($A$2,Lines!X5))-FIND($A$2,Lines!X5)-LEN($A$2)-1))</f>
        <v/>
      </c>
      <c r="Y5" s="30" t="str">
        <f>IF(ISERROR(FIND($A$2,Lines!Y5))=TRUE,"",MID(Lines!Y5,FIND($A$2,Lines!Y5)+LEN($A$2)+1,FIND(",",_xlfn.CONCAT(Lines!Y5,","),FIND($A$2,Lines!Y5))-FIND($A$2,Lines!Y5)-LEN($A$2)-1))</f>
        <v/>
      </c>
      <c r="Z5" s="30" t="str">
        <f>IF(ISERROR(FIND($A$2,Lines!Z5))=TRUE,"",MID(Lines!Z5,FIND($A$2,Lines!Z5)+LEN($A$2)+1,FIND(",",_xlfn.CONCAT(Lines!Z5,","),FIND($A$2,Lines!Z5))-FIND($A$2,Lines!Z5)-LEN($A$2)-1))</f>
        <v/>
      </c>
      <c r="AA5" s="30" t="str">
        <f>IF(ISERROR(FIND($A$2,Lines!AA5))=TRUE,"",MID(Lines!AA5,FIND($A$2,Lines!AA5)+LEN($A$2)+1,FIND(",",_xlfn.CONCAT(Lines!AA5,","),FIND($A$2,Lines!AA5))-FIND($A$2,Lines!AA5)-LEN($A$2)-1))</f>
        <v/>
      </c>
      <c r="AB5" s="30" t="str">
        <f>IF(ISERROR(FIND($A$2,Lines!AB5))=TRUE,"",MID(Lines!AB5,FIND($A$2,Lines!AB5)+LEN($A$2)+1,FIND(",",_xlfn.CONCAT(Lines!AB5,","),FIND($A$2,Lines!AB5))-FIND($A$2,Lines!AB5)-LEN($A$2)-1))</f>
        <v/>
      </c>
      <c r="AC5" s="30" t="str">
        <f>IF(ISERROR(FIND($A$2,Lines!AC5))=TRUE,"",MID(Lines!AC5,FIND($A$2,Lines!AC5)+LEN($A$2)+1,FIND(",",_xlfn.CONCAT(Lines!AC5,","),FIND($A$2,Lines!AC5))-FIND($A$2,Lines!AC5)-LEN($A$2)-1))</f>
        <v/>
      </c>
      <c r="AD5" s="30" t="str">
        <f>IF(ISERROR(FIND($A$2,Lines!AD5))=TRUE,"",MID(Lines!AD5,FIND($A$2,Lines!AD5)+LEN($A$2)+1,FIND(",",_xlfn.CONCAT(Lines!AD5,","),FIND($A$2,Lines!AD5))-FIND($A$2,Lines!AD5)-LEN($A$2)-1))</f>
        <v/>
      </c>
      <c r="AE5" s="30" t="str">
        <f>IF(ISERROR(FIND($A$2,Lines!AE5))=TRUE,"",MID(Lines!AE5,FIND($A$2,Lines!AE5)+LEN($A$2)+1,FIND(",",_xlfn.CONCAT(Lines!AE5,","),FIND($A$2,Lines!AE5))-FIND($A$2,Lines!AE5)-LEN($A$2)-1))</f>
        <v/>
      </c>
      <c r="AF5" s="30" t="str">
        <f>IF(ISERROR(FIND($A$2,Lines!AF5))=TRUE,"",MID(Lines!AF5,FIND($A$2,Lines!AF5)+LEN($A$2)+1,FIND(",",_xlfn.CONCAT(Lines!AF5,","),FIND($A$2,Lines!AF5))-FIND($A$2,Lines!AF5)-LEN($A$2)-1))</f>
        <v/>
      </c>
      <c r="AG5" s="30" t="str">
        <f>IF(ISERROR(FIND($A$2,Lines!AG5))=TRUE,"",MID(Lines!AG5,FIND($A$2,Lines!AG5)+LEN($A$2)+1,FIND(",",_xlfn.CONCAT(Lines!AG5,","),FIND($A$2,Lines!AG5))-FIND($A$2,Lines!AG5)-LEN($A$2)-1))</f>
        <v/>
      </c>
      <c r="AH5" s="30" t="str">
        <f>IF(ISERROR(FIND($A$2,Lines!AH5))=TRUE,"",MID(Lines!AH5,FIND($A$2,Lines!AH5)+LEN($A$2)+1,FIND(",",_xlfn.CONCAT(Lines!AH5,","),FIND($A$2,Lines!AH5))-FIND($A$2,Lines!AH5)-LEN($A$2)-1))</f>
        <v/>
      </c>
      <c r="AI5" s="30" t="str">
        <f>IF(ISERROR(FIND($A$2,Lines!AI5))=TRUE,"",MID(Lines!AI5,FIND($A$2,Lines!AI5)+LEN($A$2)+1,FIND(",",_xlfn.CONCAT(Lines!AI5,","),FIND($A$2,Lines!AI5))-FIND($A$2,Lines!AI5)-LEN($A$2)-1))</f>
        <v/>
      </c>
      <c r="AJ5" s="30" t="str">
        <f>IF(ISERROR(FIND($A$2,Lines!AJ5))=TRUE,"",MID(Lines!AJ5,FIND($A$2,Lines!AJ5)+LEN($A$2)+1,FIND(",",_xlfn.CONCAT(Lines!AJ5,","),FIND($A$2,Lines!AJ5))-FIND($A$2,Lines!AJ5)-LEN($A$2)-1))</f>
        <v/>
      </c>
      <c r="AK5" s="30" t="str">
        <f>IF(ISERROR(FIND($A$2,Lines!AK5))=TRUE,"",MID(Lines!AK5,FIND($A$2,Lines!AK5)+LEN($A$2)+1,FIND(",",_xlfn.CONCAT(Lines!AK5,","),FIND($A$2,Lines!AK5))-FIND($A$2,Lines!AK5)-LEN($A$2)-1))</f>
        <v/>
      </c>
      <c r="AL5" s="30" t="str">
        <f>IF(ISERROR(FIND($A$2,Lines!AL5))=TRUE,"",MID(Lines!AL5,FIND($A$2,Lines!AL5)+LEN($A$2)+1,FIND(",",_xlfn.CONCAT(Lines!AL5,","),FIND($A$2,Lines!AL5))-FIND($A$2,Lines!AL5)-LEN($A$2)-1))</f>
        <v/>
      </c>
      <c r="AM5" s="30" t="str">
        <f>IF(ISERROR(FIND($A$2,Lines!AM5))=TRUE,"",MID(Lines!AM5,FIND($A$2,Lines!AM5)+LEN($A$2)+1,FIND(",",_xlfn.CONCAT(Lines!AM5,","),FIND($A$2,Lines!AM5))-FIND($A$2,Lines!AM5)-LEN($A$2)-1))</f>
        <v/>
      </c>
      <c r="AN5" s="30" t="str">
        <f>IF(ISERROR(FIND($A$2,Lines!AN5))=TRUE,"",MID(Lines!AN5,FIND($A$2,Lines!AN5)+LEN($A$2)+1,FIND(",",_xlfn.CONCAT(Lines!AN5,","),FIND($A$2,Lines!AN5))-FIND($A$2,Lines!AN5)-LEN($A$2)-1))</f>
        <v/>
      </c>
      <c r="AO5" s="30" t="str">
        <f>IF(ISERROR(FIND($A$2,Lines!AO5))=TRUE,"",MID(Lines!AO5,FIND($A$2,Lines!AO5)+LEN($A$2)+1,FIND(",",_xlfn.CONCAT(Lines!AO5,","),FIND($A$2,Lines!AO5))-FIND($A$2,Lines!AO5)-LEN($A$2)-1))</f>
        <v/>
      </c>
      <c r="AP5" s="30" t="str">
        <f>IF(ISERROR(FIND($A$2,Lines!AP5))=TRUE,"",MID(Lines!AP5,FIND($A$2,Lines!AP5)+LEN($A$2)+1,FIND(",",_xlfn.CONCAT(Lines!AP5,","),FIND($A$2,Lines!AP5))-FIND($A$2,Lines!AP5)-LEN($A$2)-1))</f>
        <v/>
      </c>
      <c r="AQ5" s="30" t="str">
        <f>IF(ISERROR(FIND($A$2,Lines!AQ5))=TRUE,"",MID(Lines!AQ5,FIND($A$2,Lines!AQ5)+LEN($A$2)+1,FIND(",",_xlfn.CONCAT(Lines!AQ5,","),FIND($A$2,Lines!AQ5))-FIND($A$2,Lines!AQ5)-LEN($A$2)-1))</f>
        <v/>
      </c>
      <c r="AR5" s="30" t="str">
        <f>IF(ISERROR(FIND($A$2,Lines!AR5))=TRUE,"",MID(Lines!AR5,FIND($A$2,Lines!AR5)+LEN($A$2)+1,FIND(",",_xlfn.CONCAT(Lines!AR5,","),FIND($A$2,Lines!AR5))-FIND($A$2,Lines!AR5)-LEN($A$2)-1))</f>
        <v/>
      </c>
      <c r="AS5" s="30" t="str">
        <f>IF(ISERROR(FIND($A$2,Lines!AS5))=TRUE,"",MID(Lines!AS5,FIND($A$2,Lines!AS5)+LEN($A$2)+1,FIND(",",_xlfn.CONCAT(Lines!AS5,","),FIND($A$2,Lines!AS5))-FIND($A$2,Lines!AS5)-LEN($A$2)-1))</f>
        <v/>
      </c>
      <c r="AT5" s="30" t="str">
        <f>IF(ISERROR(FIND($A$2,Lines!AT5))=TRUE,"",MID(Lines!AT5,FIND($A$2,Lines!AT5)+LEN($A$2)+1,FIND(",",_xlfn.CONCAT(Lines!AT5,","),FIND($A$2,Lines!AT5))-FIND($A$2,Lines!AT5)-LEN($A$2)-1))</f>
        <v/>
      </c>
    </row>
    <row r="6" spans="1:46" ht="20.25" customHeight="1">
      <c r="A6" s="2" t="s">
        <v>57</v>
      </c>
      <c r="B6" s="26" t="str">
        <f>IF(ISERROR(FIND($A$2,Lines!B6))=TRUE,"",MID(Lines!B6,FIND($A$2,Lines!B6)+LEN($A$2)+1,FIND(",",_xlfn.CONCAT(Lines!B6,","),FIND($A$2,Lines!B6))-FIND($A$2,Lines!B6)-LEN($A$2)-1))</f>
        <v/>
      </c>
      <c r="C6" s="26" t="str">
        <f>IF(ISERROR(FIND($A$2,Lines!C6))=TRUE,"",MID(Lines!C6,FIND($A$2,Lines!C6)+LEN($A$2)+1,FIND(",",_xlfn.CONCAT(Lines!C6,","),FIND($A$2,Lines!C6))-FIND($A$2,Lines!C6)-LEN($A$2)-1))</f>
        <v/>
      </c>
      <c r="D6" s="63" t="str">
        <f>IF(ISERROR(FIND($A$2,Lines!D6))=TRUE,"",MID(Lines!D6,FIND($A$2,Lines!D6)+LEN($A$2)+1,FIND(",",_xlfn.CONCAT(Lines!D6,","),FIND($A$2,Lines!D6))-FIND($A$2,Lines!D6)-LEN($A$2)-1))</f>
        <v/>
      </c>
      <c r="E6" s="26" t="str">
        <f>IF(ISERROR(FIND($A$2,Lines!E6))=TRUE,"",MID(Lines!E6,FIND($A$2,Lines!E6)+LEN($A$2)+1,FIND(",",_xlfn.CONCAT(Lines!E6,","),FIND($A$2,Lines!E6))-FIND($A$2,Lines!E6)-LEN($A$2)-1))</f>
        <v/>
      </c>
      <c r="F6" s="26" t="str">
        <f>IF(ISERROR(FIND($A$2,Lines!F6))=TRUE,"",MID(Lines!F6,FIND($A$2,Lines!F6)+LEN($A$2)+1,FIND(",",_xlfn.CONCAT(Lines!F6,","),FIND($A$2,Lines!F6))-FIND($A$2,Lines!F6)-LEN($A$2)-1))</f>
        <v/>
      </c>
      <c r="G6" s="26" t="str">
        <f>IF(ISERROR(FIND($A$2,Lines!G6))=TRUE,"",MID(Lines!G6,FIND($A$2,Lines!G6)+LEN($A$2)+1,FIND(",",_xlfn.CONCAT(Lines!G6,","),FIND($A$2,Lines!G6))-FIND($A$2,Lines!G6)-LEN($A$2)-1))</f>
        <v/>
      </c>
      <c r="H6" s="26" t="str">
        <f>IF(ISERROR(FIND($A$2,Lines!H6))=TRUE,"",MID(Lines!H6,FIND($A$2,Lines!H6)+LEN($A$2)+1,FIND(",",_xlfn.CONCAT(Lines!H6,","),FIND($A$2,Lines!H6))-FIND($A$2,Lines!H6)-LEN($A$2)-1))</f>
        <v/>
      </c>
      <c r="I6" s="26" t="str">
        <f>IF(ISERROR(FIND($A$2,Lines!I6))=TRUE,"",MID(Lines!I6,FIND($A$2,Lines!I6)+LEN($A$2)+1,FIND(",",_xlfn.CONCAT(Lines!I6,","),FIND($A$2,Lines!I6))-FIND($A$2,Lines!I6)-LEN($A$2)-1))</f>
        <v/>
      </c>
      <c r="J6" s="26" t="str">
        <f>IF(ISERROR(FIND($A$2,Lines!J6))=TRUE,"",MID(Lines!J6,FIND($A$2,Lines!J6)+LEN($A$2)+1,FIND(",",_xlfn.CONCAT(Lines!J6,","),FIND($A$2,Lines!J6))-FIND($A$2,Lines!J6)-LEN($A$2)-1))</f>
        <v/>
      </c>
      <c r="K6" s="26" t="str">
        <f>IF(ISERROR(FIND($A$2,Lines!K6))=TRUE,"",MID(Lines!K6,FIND($A$2,Lines!K6)+LEN($A$2)+1,FIND(",",_xlfn.CONCAT(Lines!K6,","),FIND($A$2,Lines!K6))-FIND($A$2,Lines!K6)-LEN($A$2)-1))</f>
        <v/>
      </c>
      <c r="L6" s="26" t="str">
        <f>IF(ISERROR(FIND($A$2,Lines!L6))=TRUE,"",MID(Lines!L6,FIND($A$2,Lines!L6)+LEN($A$2)+1,FIND(",",_xlfn.CONCAT(Lines!L6,","),FIND($A$2,Lines!L6))-FIND($A$2,Lines!L6)-LEN($A$2)-1))</f>
        <v/>
      </c>
      <c r="M6" s="27" t="str">
        <f>IF(ISERROR(FIND($A$2,Lines!M6))=TRUE,"",MID(Lines!M6,FIND($A$2,Lines!M6)+LEN($A$2)+1,FIND(",",_xlfn.CONCAT(Lines!M6,","),FIND($A$2,Lines!M6))-FIND($A$2,Lines!M6)-LEN($A$2)-1))</f>
        <v/>
      </c>
      <c r="N6" s="30" t="str">
        <f>IF(ISERROR(FIND($A$2,Lines!N6))=TRUE,"",MID(Lines!N6,FIND($A$2,Lines!N6)+LEN($A$2)+1,FIND(",",_xlfn.CONCAT(Lines!N6,","),FIND($A$2,Lines!N6))-FIND($A$2,Lines!N6)-LEN($A$2)-1))</f>
        <v/>
      </c>
      <c r="O6" s="30" t="str">
        <f>IF(ISERROR(FIND($A$2,Lines!O6))=TRUE,"",MID(Lines!O6,FIND($A$2,Lines!O6)+LEN($A$2)+1,FIND(",",_xlfn.CONCAT(Lines!O6,","),FIND($A$2,Lines!O6))-FIND($A$2,Lines!O6)-LEN($A$2)-1))</f>
        <v/>
      </c>
      <c r="P6" s="30" t="str">
        <f>IF(ISERROR(FIND($A$2,Lines!P6))=TRUE,"",MID(Lines!P6,FIND($A$2,Lines!P6)+LEN($A$2)+1,FIND(",",_xlfn.CONCAT(Lines!P6,","),FIND($A$2,Lines!P6))-FIND($A$2,Lines!P6)-LEN($A$2)-1))</f>
        <v/>
      </c>
      <c r="Q6" s="30" t="str">
        <f>IF(ISERROR(FIND($A$2,Lines!Q6))=TRUE,"",MID(Lines!Q6,FIND($A$2,Lines!Q6)+LEN($A$2)+1,FIND(",",_xlfn.CONCAT(Lines!Q6,","),FIND($A$2,Lines!Q6))-FIND($A$2,Lines!Q6)-LEN($A$2)-1))</f>
        <v/>
      </c>
      <c r="R6" s="30" t="str">
        <f>IF(ISERROR(FIND($A$2,Lines!R6))=TRUE,"",MID(Lines!R6,FIND($A$2,Lines!R6)+LEN($A$2)+1,FIND(",",_xlfn.CONCAT(Lines!R6,","),FIND($A$2,Lines!R6))-FIND($A$2,Lines!R6)-LEN($A$2)-1))</f>
        <v/>
      </c>
      <c r="S6" s="30" t="str">
        <f>IF(ISERROR(FIND($A$2,Lines!S6))=TRUE,"",MID(Lines!S6,FIND($A$2,Lines!S6)+LEN($A$2)+1,FIND(",",_xlfn.CONCAT(Lines!S6,","),FIND($A$2,Lines!S6))-FIND($A$2,Lines!S6)-LEN($A$2)-1))</f>
        <v/>
      </c>
      <c r="T6" s="30" t="str">
        <f>IF(ISERROR(FIND($A$2,Lines!T6))=TRUE,"",MID(Lines!T6,FIND($A$2,Lines!T6)+LEN($A$2)+1,FIND(",",_xlfn.CONCAT(Lines!T6,","),FIND($A$2,Lines!T6))-FIND($A$2,Lines!T6)-LEN($A$2)-1))</f>
        <v/>
      </c>
      <c r="U6" s="30" t="str">
        <f>IF(ISERROR(FIND($A$2,Lines!U6))=TRUE,"",MID(Lines!U6,FIND($A$2,Lines!U6)+LEN($A$2)+1,FIND(",",_xlfn.CONCAT(Lines!U6,","),FIND($A$2,Lines!U6))-FIND($A$2,Lines!U6)-LEN($A$2)-1))</f>
        <v/>
      </c>
      <c r="V6" s="30" t="str">
        <f>IF(ISERROR(FIND($A$2,Lines!V6))=TRUE,"",MID(Lines!V6,FIND($A$2,Lines!V6)+LEN($A$2)+1,FIND(",",_xlfn.CONCAT(Lines!V6,","),FIND($A$2,Lines!V6))-FIND($A$2,Lines!V6)-LEN($A$2)-1))</f>
        <v/>
      </c>
      <c r="W6" s="36" t="str">
        <f>IF(ISERROR(FIND($A$2,Lines!W6))=TRUE,"",MID(Lines!W6,FIND($A$2,Lines!W6)+LEN($A$2)+1,FIND(",",_xlfn.CONCAT(Lines!W6,","),FIND($A$2,Lines!W6))-FIND($A$2,Lines!W6)-LEN($A$2)-1))</f>
        <v/>
      </c>
      <c r="X6" s="30" t="str">
        <f>IF(ISERROR(FIND($A$2,Lines!X6))=TRUE,"",MID(Lines!X6,FIND($A$2,Lines!X6)+LEN($A$2)+1,FIND(",",_xlfn.CONCAT(Lines!X6,","),FIND($A$2,Lines!X6))-FIND($A$2,Lines!X6)-LEN($A$2)-1))</f>
        <v/>
      </c>
      <c r="Y6" s="30" t="str">
        <f>IF(ISERROR(FIND($A$2,Lines!Y6))=TRUE,"",MID(Lines!Y6,FIND($A$2,Lines!Y6)+LEN($A$2)+1,FIND(",",_xlfn.CONCAT(Lines!Y6,","),FIND($A$2,Lines!Y6))-FIND($A$2,Lines!Y6)-LEN($A$2)-1))</f>
        <v/>
      </c>
      <c r="Z6" s="30" t="str">
        <f>IF(ISERROR(FIND($A$2,Lines!Z6))=TRUE,"",MID(Lines!Z6,FIND($A$2,Lines!Z6)+LEN($A$2)+1,FIND(",",_xlfn.CONCAT(Lines!Z6,","),FIND($A$2,Lines!Z6))-FIND($A$2,Lines!Z6)-LEN($A$2)-1))</f>
        <v/>
      </c>
      <c r="AA6" s="30" t="str">
        <f>IF(ISERROR(FIND($A$2,Lines!AA6))=TRUE,"",MID(Lines!AA6,FIND($A$2,Lines!AA6)+LEN($A$2)+1,FIND(",",_xlfn.CONCAT(Lines!AA6,","),FIND($A$2,Lines!AA6))-FIND($A$2,Lines!AA6)-LEN($A$2)-1))</f>
        <v/>
      </c>
      <c r="AB6" s="30" t="str">
        <f>IF(ISERROR(FIND($A$2,Lines!AB6))=TRUE,"",MID(Lines!AB6,FIND($A$2,Lines!AB6)+LEN($A$2)+1,FIND(",",_xlfn.CONCAT(Lines!AB6,","),FIND($A$2,Lines!AB6))-FIND($A$2,Lines!AB6)-LEN($A$2)-1))</f>
        <v/>
      </c>
      <c r="AC6" s="30" t="str">
        <f>IF(ISERROR(FIND($A$2,Lines!AC6))=TRUE,"",MID(Lines!AC6,FIND($A$2,Lines!AC6)+LEN($A$2)+1,FIND(",",_xlfn.CONCAT(Lines!AC6,","),FIND($A$2,Lines!AC6))-FIND($A$2,Lines!AC6)-LEN($A$2)-1))</f>
        <v/>
      </c>
      <c r="AD6" s="30" t="str">
        <f>IF(ISERROR(FIND($A$2,Lines!AD6))=TRUE,"",MID(Lines!AD6,FIND($A$2,Lines!AD6)+LEN($A$2)+1,FIND(",",_xlfn.CONCAT(Lines!AD6,","),FIND($A$2,Lines!AD6))-FIND($A$2,Lines!AD6)-LEN($A$2)-1))</f>
        <v/>
      </c>
      <c r="AE6" s="30" t="str">
        <f>IF(ISERROR(FIND($A$2,Lines!AE6))=TRUE,"",MID(Lines!AE6,FIND($A$2,Lines!AE6)+LEN($A$2)+1,FIND(",",_xlfn.CONCAT(Lines!AE6,","),FIND($A$2,Lines!AE6))-FIND($A$2,Lines!AE6)-LEN($A$2)-1))</f>
        <v/>
      </c>
      <c r="AF6" s="30" t="str">
        <f>IF(ISERROR(FIND($A$2,Lines!AF6))=TRUE,"",MID(Lines!AF6,FIND($A$2,Lines!AF6)+LEN($A$2)+1,FIND(",",_xlfn.CONCAT(Lines!AF6,","),FIND($A$2,Lines!AF6))-FIND($A$2,Lines!AF6)-LEN($A$2)-1))</f>
        <v/>
      </c>
      <c r="AG6" s="30" t="str">
        <f>IF(ISERROR(FIND($A$2,Lines!AG6))=TRUE,"",MID(Lines!AG6,FIND($A$2,Lines!AG6)+LEN($A$2)+1,FIND(",",_xlfn.CONCAT(Lines!AG6,","),FIND($A$2,Lines!AG6))-FIND($A$2,Lines!AG6)-LEN($A$2)-1))</f>
        <v/>
      </c>
      <c r="AH6" s="30" t="str">
        <f>IF(ISERROR(FIND($A$2,Lines!AH6))=TRUE,"",MID(Lines!AH6,FIND($A$2,Lines!AH6)+LEN($A$2)+1,FIND(",",_xlfn.CONCAT(Lines!AH6,","),FIND($A$2,Lines!AH6))-FIND($A$2,Lines!AH6)-LEN($A$2)-1))</f>
        <v/>
      </c>
      <c r="AI6" s="30" t="str">
        <f>IF(ISERROR(FIND($A$2,Lines!AI6))=TRUE,"",MID(Lines!AI6,FIND($A$2,Lines!AI6)+LEN($A$2)+1,FIND(",",_xlfn.CONCAT(Lines!AI6,","),FIND($A$2,Lines!AI6))-FIND($A$2,Lines!AI6)-LEN($A$2)-1))</f>
        <v/>
      </c>
      <c r="AJ6" s="30" t="str">
        <f>IF(ISERROR(FIND($A$2,Lines!AJ6))=TRUE,"",MID(Lines!AJ6,FIND($A$2,Lines!AJ6)+LEN($A$2)+1,FIND(",",_xlfn.CONCAT(Lines!AJ6,","),FIND($A$2,Lines!AJ6))-FIND($A$2,Lines!AJ6)-LEN($A$2)-1))</f>
        <v/>
      </c>
      <c r="AK6" s="30" t="str">
        <f>IF(ISERROR(FIND($A$2,Lines!AK6))=TRUE,"",MID(Lines!AK6,FIND($A$2,Lines!AK6)+LEN($A$2)+1,FIND(",",_xlfn.CONCAT(Lines!AK6,","),FIND($A$2,Lines!AK6))-FIND($A$2,Lines!AK6)-LEN($A$2)-1))</f>
        <v/>
      </c>
      <c r="AL6" s="30" t="str">
        <f>IF(ISERROR(FIND($A$2,Lines!AL6))=TRUE,"",MID(Lines!AL6,FIND($A$2,Lines!AL6)+LEN($A$2)+1,FIND(",",_xlfn.CONCAT(Lines!AL6,","),FIND($A$2,Lines!AL6))-FIND($A$2,Lines!AL6)-LEN($A$2)-1))</f>
        <v/>
      </c>
      <c r="AM6" s="30" t="str">
        <f>IF(ISERROR(FIND($A$2,Lines!AM6))=TRUE,"",MID(Lines!AM6,FIND($A$2,Lines!AM6)+LEN($A$2)+1,FIND(",",_xlfn.CONCAT(Lines!AM6,","),FIND($A$2,Lines!AM6))-FIND($A$2,Lines!AM6)-LEN($A$2)-1))</f>
        <v/>
      </c>
      <c r="AN6" s="30" t="str">
        <f>IF(ISERROR(FIND($A$2,Lines!AN6))=TRUE,"",MID(Lines!AN6,FIND($A$2,Lines!AN6)+LEN($A$2)+1,FIND(",",_xlfn.CONCAT(Lines!AN6,","),FIND($A$2,Lines!AN6))-FIND($A$2,Lines!AN6)-LEN($A$2)-1))</f>
        <v/>
      </c>
      <c r="AO6" s="30" t="str">
        <f>IF(ISERROR(FIND($A$2,Lines!AO6))=TRUE,"",MID(Lines!AO6,FIND($A$2,Lines!AO6)+LEN($A$2)+1,FIND(",",_xlfn.CONCAT(Lines!AO6,","),FIND($A$2,Lines!AO6))-FIND($A$2,Lines!AO6)-LEN($A$2)-1))</f>
        <v/>
      </c>
      <c r="AP6" s="30" t="str">
        <f>IF(ISERROR(FIND($A$2,Lines!AP6))=TRUE,"",MID(Lines!AP6,FIND($A$2,Lines!AP6)+LEN($A$2)+1,FIND(",",_xlfn.CONCAT(Lines!AP6,","),FIND($A$2,Lines!AP6))-FIND($A$2,Lines!AP6)-LEN($A$2)-1))</f>
        <v/>
      </c>
      <c r="AQ6" s="30" t="str">
        <f>IF(ISERROR(FIND($A$2,Lines!AQ6))=TRUE,"",MID(Lines!AQ6,FIND($A$2,Lines!AQ6)+LEN($A$2)+1,FIND(",",_xlfn.CONCAT(Lines!AQ6,","),FIND($A$2,Lines!AQ6))-FIND($A$2,Lines!AQ6)-LEN($A$2)-1))</f>
        <v/>
      </c>
      <c r="AR6" s="30" t="str">
        <f>IF(ISERROR(FIND($A$2,Lines!AR6))=TRUE,"",MID(Lines!AR6,FIND($A$2,Lines!AR6)+LEN($A$2)+1,FIND(",",_xlfn.CONCAT(Lines!AR6,","),FIND($A$2,Lines!AR6))-FIND($A$2,Lines!AR6)-LEN($A$2)-1))</f>
        <v/>
      </c>
      <c r="AS6" s="30" t="str">
        <f>IF(ISERROR(FIND($A$2,Lines!AS6))=TRUE,"",MID(Lines!AS6,FIND($A$2,Lines!AS6)+LEN($A$2)+1,FIND(",",_xlfn.CONCAT(Lines!AS6,","),FIND($A$2,Lines!AS6))-FIND($A$2,Lines!AS6)-LEN($A$2)-1))</f>
        <v/>
      </c>
      <c r="AT6" s="30" t="str">
        <f>IF(ISERROR(FIND($A$2,Lines!AT6))=TRUE,"",MID(Lines!AT6,FIND($A$2,Lines!AT6)+LEN($A$2)+1,FIND(",",_xlfn.CONCAT(Lines!AT6,","),FIND($A$2,Lines!AT6))-FIND($A$2,Lines!AT6)-LEN($A$2)-1))</f>
        <v/>
      </c>
    </row>
    <row r="7" spans="1:46" ht="20.25" customHeight="1">
      <c r="A7" s="2" t="s">
        <v>58</v>
      </c>
      <c r="B7" s="26" t="str">
        <f>IF(ISERROR(FIND($A$2,Lines!B7))=TRUE,"",MID(Lines!B7,FIND($A$2,Lines!B7)+LEN($A$2)+1,FIND(",",_xlfn.CONCAT(Lines!B7,","),FIND($A$2,Lines!B7))-FIND($A$2,Lines!B7)-LEN($A$2)-1))</f>
        <v/>
      </c>
      <c r="C7" s="26" t="str">
        <f>IF(ISERROR(FIND($A$2,Lines!C7))=TRUE,"",MID(Lines!C7,FIND($A$2,Lines!C7)+LEN($A$2)+1,FIND(",",_xlfn.CONCAT(Lines!C7,","),FIND($A$2,Lines!C7))-FIND($A$2,Lines!C7)-LEN($A$2)-1))</f>
        <v/>
      </c>
      <c r="D7" s="26" t="str">
        <f>IF(ISERROR(FIND($A$2,Lines!D7))=TRUE,"",MID(Lines!D7,FIND($A$2,Lines!D7)+LEN($A$2)+1,FIND(",",_xlfn.CONCAT(Lines!D7,","),FIND($A$2,Lines!D7))-FIND($A$2,Lines!D7)-LEN($A$2)-1))</f>
        <v/>
      </c>
      <c r="E7" s="63" t="str">
        <f>IF(ISERROR(FIND($A$2,Lines!E7))=TRUE,"",MID(Lines!E7,FIND($A$2,Lines!E7)+LEN($A$2)+1,FIND(",",_xlfn.CONCAT(Lines!E7,","),FIND($A$2,Lines!E7))-FIND($A$2,Lines!E7)-LEN($A$2)-1))</f>
        <v/>
      </c>
      <c r="F7" s="26" t="str">
        <f>IF(ISERROR(FIND($A$2,Lines!F7))=TRUE,"",MID(Lines!F7,FIND($A$2,Lines!F7)+LEN($A$2)+1,FIND(",",_xlfn.CONCAT(Lines!F7,","),FIND($A$2,Lines!F7))-FIND($A$2,Lines!F7)-LEN($A$2)-1))</f>
        <v/>
      </c>
      <c r="G7" s="26" t="str">
        <f>IF(ISERROR(FIND($A$2,Lines!G7))=TRUE,"",MID(Lines!G7,FIND($A$2,Lines!G7)+LEN($A$2)+1,FIND(",",_xlfn.CONCAT(Lines!G7,","),FIND($A$2,Lines!G7))-FIND($A$2,Lines!G7)-LEN($A$2)-1))</f>
        <v/>
      </c>
      <c r="H7" s="26" t="str">
        <f>IF(ISERROR(FIND($A$2,Lines!H7))=TRUE,"",MID(Lines!H7,FIND($A$2,Lines!H7)+LEN($A$2)+1,FIND(",",_xlfn.CONCAT(Lines!H7,","),FIND($A$2,Lines!H7))-FIND($A$2,Lines!H7)-LEN($A$2)-1))</f>
        <v/>
      </c>
      <c r="I7" s="26" t="str">
        <f>IF(ISERROR(FIND($A$2,Lines!I7))=TRUE,"",MID(Lines!I7,FIND($A$2,Lines!I7)+LEN($A$2)+1,FIND(",",_xlfn.CONCAT(Lines!I7,","),FIND($A$2,Lines!I7))-FIND($A$2,Lines!I7)-LEN($A$2)-1))</f>
        <v/>
      </c>
      <c r="J7" s="26" t="str">
        <f>IF(ISERROR(FIND($A$2,Lines!J7))=TRUE,"",MID(Lines!J7,FIND($A$2,Lines!J7)+LEN($A$2)+1,FIND(",",_xlfn.CONCAT(Lines!J7,","),FIND($A$2,Lines!J7))-FIND($A$2,Lines!J7)-LEN($A$2)-1))</f>
        <v/>
      </c>
      <c r="K7" s="26" t="str">
        <f>IF(ISERROR(FIND($A$2,Lines!K7))=TRUE,"",MID(Lines!K7,FIND($A$2,Lines!K7)+LEN($A$2)+1,FIND(",",_xlfn.CONCAT(Lines!K7,","),FIND($A$2,Lines!K7))-FIND($A$2,Lines!K7)-LEN($A$2)-1))</f>
        <v/>
      </c>
      <c r="L7" s="26" t="str">
        <f>IF(ISERROR(FIND($A$2,Lines!L7))=TRUE,"",MID(Lines!L7,FIND($A$2,Lines!L7)+LEN($A$2)+1,FIND(",",_xlfn.CONCAT(Lines!L7,","),FIND($A$2,Lines!L7))-FIND($A$2,Lines!L7)-LEN($A$2)-1))</f>
        <v/>
      </c>
      <c r="M7" s="27" t="str">
        <f>IF(ISERROR(FIND($A$2,Lines!M7))=TRUE,"",MID(Lines!M7,FIND($A$2,Lines!M7)+LEN($A$2)+1,FIND(",",_xlfn.CONCAT(Lines!M7,","),FIND($A$2,Lines!M7))-FIND($A$2,Lines!M7)-LEN($A$2)-1))</f>
        <v/>
      </c>
      <c r="N7" s="30" t="str">
        <f>IF(ISERROR(FIND($A$2,Lines!N7))=TRUE,"",MID(Lines!N7,FIND($A$2,Lines!N7)+LEN($A$2)+1,FIND(",",_xlfn.CONCAT(Lines!N7,","),FIND($A$2,Lines!N7))-FIND($A$2,Lines!N7)-LEN($A$2)-1))</f>
        <v/>
      </c>
      <c r="O7" s="30" t="str">
        <f>IF(ISERROR(FIND($A$2,Lines!O7))=TRUE,"",MID(Lines!O7,FIND($A$2,Lines!O7)+LEN($A$2)+1,FIND(",",_xlfn.CONCAT(Lines!O7,","),FIND($A$2,Lines!O7))-FIND($A$2,Lines!O7)-LEN($A$2)-1))</f>
        <v/>
      </c>
      <c r="P7" s="30" t="str">
        <f>IF(ISERROR(FIND($A$2,Lines!P7))=TRUE,"",MID(Lines!P7,FIND($A$2,Lines!P7)+LEN($A$2)+1,FIND(",",_xlfn.CONCAT(Lines!P7,","),FIND($A$2,Lines!P7))-FIND($A$2,Lines!P7)-LEN($A$2)-1))</f>
        <v/>
      </c>
      <c r="Q7" s="30" t="str">
        <f>IF(ISERROR(FIND($A$2,Lines!Q7))=TRUE,"",MID(Lines!Q7,FIND($A$2,Lines!Q7)+LEN($A$2)+1,FIND(",",_xlfn.CONCAT(Lines!Q7,","),FIND($A$2,Lines!Q7))-FIND($A$2,Lines!Q7)-LEN($A$2)-1))</f>
        <v/>
      </c>
      <c r="R7" s="30" t="str">
        <f>IF(ISERROR(FIND($A$2,Lines!R7))=TRUE,"",MID(Lines!R7,FIND($A$2,Lines!R7)+LEN($A$2)+1,FIND(",",_xlfn.CONCAT(Lines!R7,","),FIND($A$2,Lines!R7))-FIND($A$2,Lines!R7)-LEN($A$2)-1))</f>
        <v/>
      </c>
      <c r="S7" s="30" t="str">
        <f>IF(ISERROR(FIND($A$2,Lines!S7))=TRUE,"",MID(Lines!S7,FIND($A$2,Lines!S7)+LEN($A$2)+1,FIND(",",_xlfn.CONCAT(Lines!S7,","),FIND($A$2,Lines!S7))-FIND($A$2,Lines!S7)-LEN($A$2)-1))</f>
        <v/>
      </c>
      <c r="T7" s="30" t="str">
        <f>IF(ISERROR(FIND($A$2,Lines!T7))=TRUE,"",MID(Lines!T7,FIND($A$2,Lines!T7)+LEN($A$2)+1,FIND(",",_xlfn.CONCAT(Lines!T7,","),FIND($A$2,Lines!T7))-FIND($A$2,Lines!T7)-LEN($A$2)-1))</f>
        <v/>
      </c>
      <c r="U7" s="30" t="str">
        <f>IF(ISERROR(FIND($A$2,Lines!U7))=TRUE,"",MID(Lines!U7,FIND($A$2,Lines!U7)+LEN($A$2)+1,FIND(",",_xlfn.CONCAT(Lines!U7,","),FIND($A$2,Lines!U7))-FIND($A$2,Lines!U7)-LEN($A$2)-1))</f>
        <v/>
      </c>
      <c r="V7" s="30" t="str">
        <f>IF(ISERROR(FIND($A$2,Lines!V7))=TRUE,"",MID(Lines!V7,FIND($A$2,Lines!V7)+LEN($A$2)+1,FIND(",",_xlfn.CONCAT(Lines!V7,","),FIND($A$2,Lines!V7))-FIND($A$2,Lines!V7)-LEN($A$2)-1))</f>
        <v/>
      </c>
      <c r="W7" s="36" t="str">
        <f>IF(ISERROR(FIND($A$2,Lines!W7))=TRUE,"",MID(Lines!W7,FIND($A$2,Lines!W7)+LEN($A$2)+1,FIND(",",_xlfn.CONCAT(Lines!W7,","),FIND($A$2,Lines!W7))-FIND($A$2,Lines!W7)-LEN($A$2)-1))</f>
        <v/>
      </c>
      <c r="X7" s="30" t="str">
        <f>IF(ISERROR(FIND($A$2,Lines!X7))=TRUE,"",MID(Lines!X7,FIND($A$2,Lines!X7)+LEN($A$2)+1,FIND(",",_xlfn.CONCAT(Lines!X7,","),FIND($A$2,Lines!X7))-FIND($A$2,Lines!X7)-LEN($A$2)-1))</f>
        <v/>
      </c>
      <c r="Y7" s="30" t="str">
        <f>IF(ISERROR(FIND($A$2,Lines!Y7))=TRUE,"",MID(Lines!Y7,FIND($A$2,Lines!Y7)+LEN($A$2)+1,FIND(",",_xlfn.CONCAT(Lines!Y7,","),FIND($A$2,Lines!Y7))-FIND($A$2,Lines!Y7)-LEN($A$2)-1))</f>
        <v/>
      </c>
      <c r="Z7" s="30" t="str">
        <f>IF(ISERROR(FIND($A$2,Lines!Z7))=TRUE,"",MID(Lines!Z7,FIND($A$2,Lines!Z7)+LEN($A$2)+1,FIND(",",_xlfn.CONCAT(Lines!Z7,","),FIND($A$2,Lines!Z7))-FIND($A$2,Lines!Z7)-LEN($A$2)-1))</f>
        <v/>
      </c>
      <c r="AA7" s="30" t="str">
        <f>IF(ISERROR(FIND($A$2,Lines!AA7))=TRUE,"",MID(Lines!AA7,FIND($A$2,Lines!AA7)+LEN($A$2)+1,FIND(",",_xlfn.CONCAT(Lines!AA7,","),FIND($A$2,Lines!AA7))-FIND($A$2,Lines!AA7)-LEN($A$2)-1))</f>
        <v/>
      </c>
      <c r="AB7" s="30" t="str">
        <f>IF(ISERROR(FIND($A$2,Lines!AB7))=TRUE,"",MID(Lines!AB7,FIND($A$2,Lines!AB7)+LEN($A$2)+1,FIND(",",_xlfn.CONCAT(Lines!AB7,","),FIND($A$2,Lines!AB7))-FIND($A$2,Lines!AB7)-LEN($A$2)-1))</f>
        <v/>
      </c>
      <c r="AC7" s="30" t="str">
        <f>IF(ISERROR(FIND($A$2,Lines!AC7))=TRUE,"",MID(Lines!AC7,FIND($A$2,Lines!AC7)+LEN($A$2)+1,FIND(",",_xlfn.CONCAT(Lines!AC7,","),FIND($A$2,Lines!AC7))-FIND($A$2,Lines!AC7)-LEN($A$2)-1))</f>
        <v/>
      </c>
      <c r="AD7" s="30" t="str">
        <f>IF(ISERROR(FIND($A$2,Lines!AD7))=TRUE,"",MID(Lines!AD7,FIND($A$2,Lines!AD7)+LEN($A$2)+1,FIND(",",_xlfn.CONCAT(Lines!AD7,","),FIND($A$2,Lines!AD7))-FIND($A$2,Lines!AD7)-LEN($A$2)-1))</f>
        <v/>
      </c>
      <c r="AE7" s="30" t="str">
        <f>IF(ISERROR(FIND($A$2,Lines!AE7))=TRUE,"",MID(Lines!AE7,FIND($A$2,Lines!AE7)+LEN($A$2)+1,FIND(",",_xlfn.CONCAT(Lines!AE7,","),FIND($A$2,Lines!AE7))-FIND($A$2,Lines!AE7)-LEN($A$2)-1))</f>
        <v/>
      </c>
      <c r="AF7" s="30" t="str">
        <f>IF(ISERROR(FIND($A$2,Lines!AF7))=TRUE,"",MID(Lines!AF7,FIND($A$2,Lines!AF7)+LEN($A$2)+1,FIND(",",_xlfn.CONCAT(Lines!AF7,","),FIND($A$2,Lines!AF7))-FIND($A$2,Lines!AF7)-LEN($A$2)-1))</f>
        <v/>
      </c>
      <c r="AG7" s="30" t="str">
        <f>IF(ISERROR(FIND($A$2,Lines!AG7))=TRUE,"",MID(Lines!AG7,FIND($A$2,Lines!AG7)+LEN($A$2)+1,FIND(",",_xlfn.CONCAT(Lines!AG7,","),FIND($A$2,Lines!AG7))-FIND($A$2,Lines!AG7)-LEN($A$2)-1))</f>
        <v/>
      </c>
      <c r="AH7" s="30" t="str">
        <f>IF(ISERROR(FIND($A$2,Lines!AH7))=TRUE,"",MID(Lines!AH7,FIND($A$2,Lines!AH7)+LEN($A$2)+1,FIND(",",_xlfn.CONCAT(Lines!AH7,","),FIND($A$2,Lines!AH7))-FIND($A$2,Lines!AH7)-LEN($A$2)-1))</f>
        <v/>
      </c>
      <c r="AI7" s="30" t="str">
        <f>IF(ISERROR(FIND($A$2,Lines!AI7))=TRUE,"",MID(Lines!AI7,FIND($A$2,Lines!AI7)+LEN($A$2)+1,FIND(",",_xlfn.CONCAT(Lines!AI7,","),FIND($A$2,Lines!AI7))-FIND($A$2,Lines!AI7)-LEN($A$2)-1))</f>
        <v/>
      </c>
      <c r="AJ7" s="30" t="str">
        <f>IF(ISERROR(FIND($A$2,Lines!AJ7))=TRUE,"",MID(Lines!AJ7,FIND($A$2,Lines!AJ7)+LEN($A$2)+1,FIND(",",_xlfn.CONCAT(Lines!AJ7,","),FIND($A$2,Lines!AJ7))-FIND($A$2,Lines!AJ7)-LEN($A$2)-1))</f>
        <v/>
      </c>
      <c r="AK7" s="30" t="str">
        <f>IF(ISERROR(FIND($A$2,Lines!AK7))=TRUE,"",MID(Lines!AK7,FIND($A$2,Lines!AK7)+LEN($A$2)+1,FIND(",",_xlfn.CONCAT(Lines!AK7,","),FIND($A$2,Lines!AK7))-FIND($A$2,Lines!AK7)-LEN($A$2)-1))</f>
        <v/>
      </c>
      <c r="AL7" s="30" t="str">
        <f>IF(ISERROR(FIND($A$2,Lines!AL7))=TRUE,"",MID(Lines!AL7,FIND($A$2,Lines!AL7)+LEN($A$2)+1,FIND(",",_xlfn.CONCAT(Lines!AL7,","),FIND($A$2,Lines!AL7))-FIND($A$2,Lines!AL7)-LEN($A$2)-1))</f>
        <v/>
      </c>
      <c r="AM7" s="30" t="str">
        <f>IF(ISERROR(FIND($A$2,Lines!AM7))=TRUE,"",MID(Lines!AM7,FIND($A$2,Lines!AM7)+LEN($A$2)+1,FIND(",",_xlfn.CONCAT(Lines!AM7,","),FIND($A$2,Lines!AM7))-FIND($A$2,Lines!AM7)-LEN($A$2)-1))</f>
        <v/>
      </c>
      <c r="AN7" s="30" t="str">
        <f>IF(ISERROR(FIND($A$2,Lines!AN7))=TRUE,"",MID(Lines!AN7,FIND($A$2,Lines!AN7)+LEN($A$2)+1,FIND(",",_xlfn.CONCAT(Lines!AN7,","),FIND($A$2,Lines!AN7))-FIND($A$2,Lines!AN7)-LEN($A$2)-1))</f>
        <v/>
      </c>
      <c r="AO7" s="30" t="str">
        <f>IF(ISERROR(FIND($A$2,Lines!AO7))=TRUE,"",MID(Lines!AO7,FIND($A$2,Lines!AO7)+LEN($A$2)+1,FIND(",",_xlfn.CONCAT(Lines!AO7,","),FIND($A$2,Lines!AO7))-FIND($A$2,Lines!AO7)-LEN($A$2)-1))</f>
        <v/>
      </c>
      <c r="AP7" s="30" t="str">
        <f>IF(ISERROR(FIND($A$2,Lines!AP7))=TRUE,"",MID(Lines!AP7,FIND($A$2,Lines!AP7)+LEN($A$2)+1,FIND(",",_xlfn.CONCAT(Lines!AP7,","),FIND($A$2,Lines!AP7))-FIND($A$2,Lines!AP7)-LEN($A$2)-1))</f>
        <v/>
      </c>
      <c r="AQ7" s="30" t="str">
        <f>IF(ISERROR(FIND($A$2,Lines!AQ7))=TRUE,"",MID(Lines!AQ7,FIND($A$2,Lines!AQ7)+LEN($A$2)+1,FIND(",",_xlfn.CONCAT(Lines!AQ7,","),FIND($A$2,Lines!AQ7))-FIND($A$2,Lines!AQ7)-LEN($A$2)-1))</f>
        <v/>
      </c>
      <c r="AR7" s="30" t="str">
        <f>IF(ISERROR(FIND($A$2,Lines!AR7))=TRUE,"",MID(Lines!AR7,FIND($A$2,Lines!AR7)+LEN($A$2)+1,FIND(",",_xlfn.CONCAT(Lines!AR7,","),FIND($A$2,Lines!AR7))-FIND($A$2,Lines!AR7)-LEN($A$2)-1))</f>
        <v/>
      </c>
      <c r="AS7" s="30" t="str">
        <f>IF(ISERROR(FIND($A$2,Lines!AS7))=TRUE,"",MID(Lines!AS7,FIND($A$2,Lines!AS7)+LEN($A$2)+1,FIND(",",_xlfn.CONCAT(Lines!AS7,","),FIND($A$2,Lines!AS7))-FIND($A$2,Lines!AS7)-LEN($A$2)-1))</f>
        <v/>
      </c>
      <c r="AT7" s="30" t="str">
        <f>IF(ISERROR(FIND($A$2,Lines!AT7))=TRUE,"",MID(Lines!AT7,FIND($A$2,Lines!AT7)+LEN($A$2)+1,FIND(",",_xlfn.CONCAT(Lines!AT7,","),FIND($A$2,Lines!AT7))-FIND($A$2,Lines!AT7)-LEN($A$2)-1))</f>
        <v/>
      </c>
    </row>
    <row r="8" spans="1:46" ht="20.25" customHeight="1">
      <c r="A8" s="2" t="s">
        <v>59</v>
      </c>
      <c r="B8" s="26" t="str">
        <f>IF(ISERROR(FIND($A$2,Lines!B8))=TRUE,"",MID(Lines!B8,FIND($A$2,Lines!B8)+LEN($A$2)+1,FIND(",",_xlfn.CONCAT(Lines!B8,","),FIND($A$2,Lines!B8))-FIND($A$2,Lines!B8)-LEN($A$2)-1))</f>
        <v/>
      </c>
      <c r="C8" s="26" t="str">
        <f>IF(ISERROR(FIND($A$2,Lines!C8))=TRUE,"",MID(Lines!C8,FIND($A$2,Lines!C8)+LEN($A$2)+1,FIND(",",_xlfn.CONCAT(Lines!C8,","),FIND($A$2,Lines!C8))-FIND($A$2,Lines!C8)-LEN($A$2)-1))</f>
        <v/>
      </c>
      <c r="D8" s="26" t="str">
        <f>IF(ISERROR(FIND($A$2,Lines!D8))=TRUE,"",MID(Lines!D8,FIND($A$2,Lines!D8)+LEN($A$2)+1,FIND(",",_xlfn.CONCAT(Lines!D8,","),FIND($A$2,Lines!D8))-FIND($A$2,Lines!D8)-LEN($A$2)-1))</f>
        <v/>
      </c>
      <c r="E8" s="26" t="str">
        <f>IF(ISERROR(FIND($A$2,Lines!E8))=TRUE,"",MID(Lines!E8,FIND($A$2,Lines!E8)+LEN($A$2)+1,FIND(",",_xlfn.CONCAT(Lines!E8,","),FIND($A$2,Lines!E8))-FIND($A$2,Lines!E8)-LEN($A$2)-1))</f>
        <v/>
      </c>
      <c r="F8" s="63" t="str">
        <f>IF(ISERROR(FIND($A$2,Lines!F8))=TRUE,"",MID(Lines!F8,FIND($A$2,Lines!F8)+LEN($A$2)+1,FIND(",",_xlfn.CONCAT(Lines!F8,","),FIND($A$2,Lines!F8))-FIND($A$2,Lines!F8)-LEN($A$2)-1))</f>
        <v/>
      </c>
      <c r="G8" s="26" t="str">
        <f>IF(ISERROR(FIND($A$2,Lines!G8))=TRUE,"",MID(Lines!G8,FIND($A$2,Lines!G8)+LEN($A$2)+1,FIND(",",_xlfn.CONCAT(Lines!G8,","),FIND($A$2,Lines!G8))-FIND($A$2,Lines!G8)-LEN($A$2)-1))</f>
        <v/>
      </c>
      <c r="H8" s="26" t="str">
        <f>IF(ISERROR(FIND($A$2,Lines!H8))=TRUE,"",MID(Lines!H8,FIND($A$2,Lines!H8)+LEN($A$2)+1,FIND(",",_xlfn.CONCAT(Lines!H8,","),FIND($A$2,Lines!H8))-FIND($A$2,Lines!H8)-LEN($A$2)-1))</f>
        <v/>
      </c>
      <c r="I8" s="26" t="str">
        <f>IF(ISERROR(FIND($A$2,Lines!I8))=TRUE,"",MID(Lines!I8,FIND($A$2,Lines!I8)+LEN($A$2)+1,FIND(",",_xlfn.CONCAT(Lines!I8,","),FIND($A$2,Lines!I8))-FIND($A$2,Lines!I8)-LEN($A$2)-1))</f>
        <v/>
      </c>
      <c r="J8" s="26" t="str">
        <f>IF(ISERROR(FIND($A$2,Lines!J8))=TRUE,"",MID(Lines!J8,FIND($A$2,Lines!J8)+LEN($A$2)+1,FIND(",",_xlfn.CONCAT(Lines!J8,","),FIND($A$2,Lines!J8))-FIND($A$2,Lines!J8)-LEN($A$2)-1))</f>
        <v/>
      </c>
      <c r="K8" s="26" t="str">
        <f>IF(ISERROR(FIND($A$2,Lines!K8))=TRUE,"",MID(Lines!K8,FIND($A$2,Lines!K8)+LEN($A$2)+1,FIND(",",_xlfn.CONCAT(Lines!K8,","),FIND($A$2,Lines!K8))-FIND($A$2,Lines!K8)-LEN($A$2)-1))</f>
        <v/>
      </c>
      <c r="L8" s="26" t="str">
        <f>IF(ISERROR(FIND($A$2,Lines!L8))=TRUE,"",MID(Lines!L8,FIND($A$2,Lines!L8)+LEN($A$2)+1,FIND(",",_xlfn.CONCAT(Lines!L8,","),FIND($A$2,Lines!L8))-FIND($A$2,Lines!L8)-LEN($A$2)-1))</f>
        <v/>
      </c>
      <c r="M8" s="27" t="str">
        <f>IF(ISERROR(FIND($A$2,Lines!M8))=TRUE,"",MID(Lines!M8,FIND($A$2,Lines!M8)+LEN($A$2)+1,FIND(",",_xlfn.CONCAT(Lines!M8,","),FIND($A$2,Lines!M8))-FIND($A$2,Lines!M8)-LEN($A$2)-1))</f>
        <v/>
      </c>
      <c r="N8" s="30" t="str">
        <f>IF(ISERROR(FIND($A$2,Lines!N8))=TRUE,"",MID(Lines!N8,FIND($A$2,Lines!N8)+LEN($A$2)+1,FIND(",",_xlfn.CONCAT(Lines!N8,","),FIND($A$2,Lines!N8))-FIND($A$2,Lines!N8)-LEN($A$2)-1))</f>
        <v/>
      </c>
      <c r="O8" s="30" t="str">
        <f>IF(ISERROR(FIND($A$2,Lines!O8))=TRUE,"",MID(Lines!O8,FIND($A$2,Lines!O8)+LEN($A$2)+1,FIND(",",_xlfn.CONCAT(Lines!O8,","),FIND($A$2,Lines!O8))-FIND($A$2,Lines!O8)-LEN($A$2)-1))</f>
        <v/>
      </c>
      <c r="P8" s="30" t="str">
        <f>IF(ISERROR(FIND($A$2,Lines!P8))=TRUE,"",MID(Lines!P8,FIND($A$2,Lines!P8)+LEN($A$2)+1,FIND(",",_xlfn.CONCAT(Lines!P8,","),FIND($A$2,Lines!P8))-FIND($A$2,Lines!P8)-LEN($A$2)-1))</f>
        <v/>
      </c>
      <c r="Q8" s="30" t="str">
        <f>IF(ISERROR(FIND($A$2,Lines!Q8))=TRUE,"",MID(Lines!Q8,FIND($A$2,Lines!Q8)+LEN($A$2)+1,FIND(",",_xlfn.CONCAT(Lines!Q8,","),FIND($A$2,Lines!Q8))-FIND($A$2,Lines!Q8)-LEN($A$2)-1))</f>
        <v/>
      </c>
      <c r="R8" s="30" t="str">
        <f>IF(ISERROR(FIND($A$2,Lines!R8))=TRUE,"",MID(Lines!R8,FIND($A$2,Lines!R8)+LEN($A$2)+1,FIND(",",_xlfn.CONCAT(Lines!R8,","),FIND($A$2,Lines!R8))-FIND($A$2,Lines!R8)-LEN($A$2)-1))</f>
        <v/>
      </c>
      <c r="S8" s="30" t="str">
        <f>IF(ISERROR(FIND($A$2,Lines!S8))=TRUE,"",MID(Lines!S8,FIND($A$2,Lines!S8)+LEN($A$2)+1,FIND(",",_xlfn.CONCAT(Lines!S8,","),FIND($A$2,Lines!S8))-FIND($A$2,Lines!S8)-LEN($A$2)-1))</f>
        <v/>
      </c>
      <c r="T8" s="30" t="str">
        <f>IF(ISERROR(FIND($A$2,Lines!T8))=TRUE,"",MID(Lines!T8,FIND($A$2,Lines!T8)+LEN($A$2)+1,FIND(",",_xlfn.CONCAT(Lines!T8,","),FIND($A$2,Lines!T8))-FIND($A$2,Lines!T8)-LEN($A$2)-1))</f>
        <v/>
      </c>
      <c r="U8" s="30" t="str">
        <f>IF(ISERROR(FIND($A$2,Lines!U8))=TRUE,"",MID(Lines!U8,FIND($A$2,Lines!U8)+LEN($A$2)+1,FIND(",",_xlfn.CONCAT(Lines!U8,","),FIND($A$2,Lines!U8))-FIND($A$2,Lines!U8)-LEN($A$2)-1))</f>
        <v/>
      </c>
      <c r="V8" s="30" t="str">
        <f>IF(ISERROR(FIND($A$2,Lines!V8))=TRUE,"",MID(Lines!V8,FIND($A$2,Lines!V8)+LEN($A$2)+1,FIND(",",_xlfn.CONCAT(Lines!V8,","),FIND($A$2,Lines!V8))-FIND($A$2,Lines!V8)-LEN($A$2)-1))</f>
        <v/>
      </c>
      <c r="W8" s="36" t="str">
        <f>IF(ISERROR(FIND($A$2,Lines!W8))=TRUE,"",MID(Lines!W8,FIND($A$2,Lines!W8)+LEN($A$2)+1,FIND(",",_xlfn.CONCAT(Lines!W8,","),FIND($A$2,Lines!W8))-FIND($A$2,Lines!W8)-LEN($A$2)-1))</f>
        <v/>
      </c>
      <c r="X8" s="30" t="str">
        <f>IF(ISERROR(FIND($A$2,Lines!X8))=TRUE,"",MID(Lines!X8,FIND($A$2,Lines!X8)+LEN($A$2)+1,FIND(",",_xlfn.CONCAT(Lines!X8,","),FIND($A$2,Lines!X8))-FIND($A$2,Lines!X8)-LEN($A$2)-1))</f>
        <v/>
      </c>
      <c r="Y8" s="30" t="str">
        <f>IF(ISERROR(FIND($A$2,Lines!Y8))=TRUE,"",MID(Lines!Y8,FIND($A$2,Lines!Y8)+LEN($A$2)+1,FIND(",",_xlfn.CONCAT(Lines!Y8,","),FIND($A$2,Lines!Y8))-FIND($A$2,Lines!Y8)-LEN($A$2)-1))</f>
        <v/>
      </c>
      <c r="Z8" s="30" t="str">
        <f>IF(ISERROR(FIND($A$2,Lines!Z8))=TRUE,"",MID(Lines!Z8,FIND($A$2,Lines!Z8)+LEN($A$2)+1,FIND(",",_xlfn.CONCAT(Lines!Z8,","),FIND($A$2,Lines!Z8))-FIND($A$2,Lines!Z8)-LEN($A$2)-1))</f>
        <v/>
      </c>
      <c r="AA8" s="30" t="str">
        <f>IF(ISERROR(FIND($A$2,Lines!AA8))=TRUE,"",MID(Lines!AA8,FIND($A$2,Lines!AA8)+LEN($A$2)+1,FIND(",",_xlfn.CONCAT(Lines!AA8,","),FIND($A$2,Lines!AA8))-FIND($A$2,Lines!AA8)-LEN($A$2)-1))</f>
        <v/>
      </c>
      <c r="AB8" s="30" t="str">
        <f>IF(ISERROR(FIND($A$2,Lines!AB8))=TRUE,"",MID(Lines!AB8,FIND($A$2,Lines!AB8)+LEN($A$2)+1,FIND(",",_xlfn.CONCAT(Lines!AB8,","),FIND($A$2,Lines!AB8))-FIND($A$2,Lines!AB8)-LEN($A$2)-1))</f>
        <v/>
      </c>
      <c r="AC8" s="30" t="str">
        <f>IF(ISERROR(FIND($A$2,Lines!AC8))=TRUE,"",MID(Lines!AC8,FIND($A$2,Lines!AC8)+LEN($A$2)+1,FIND(",",_xlfn.CONCAT(Lines!AC8,","),FIND($A$2,Lines!AC8))-FIND($A$2,Lines!AC8)-LEN($A$2)-1))</f>
        <v/>
      </c>
      <c r="AD8" s="30" t="str">
        <f>IF(ISERROR(FIND($A$2,Lines!AD8))=TRUE,"",MID(Lines!AD8,FIND($A$2,Lines!AD8)+LEN($A$2)+1,FIND(",",_xlfn.CONCAT(Lines!AD8,","),FIND($A$2,Lines!AD8))-FIND($A$2,Lines!AD8)-LEN($A$2)-1))</f>
        <v/>
      </c>
      <c r="AE8" s="30" t="str">
        <f>IF(ISERROR(FIND($A$2,Lines!AE8))=TRUE,"",MID(Lines!AE8,FIND($A$2,Lines!AE8)+LEN($A$2)+1,FIND(",",_xlfn.CONCAT(Lines!AE8,","),FIND($A$2,Lines!AE8))-FIND($A$2,Lines!AE8)-LEN($A$2)-1))</f>
        <v/>
      </c>
      <c r="AF8" s="30" t="str">
        <f>IF(ISERROR(FIND($A$2,Lines!AF8))=TRUE,"",MID(Lines!AF8,FIND($A$2,Lines!AF8)+LEN($A$2)+1,FIND(",",_xlfn.CONCAT(Lines!AF8,","),FIND($A$2,Lines!AF8))-FIND($A$2,Lines!AF8)-LEN($A$2)-1))</f>
        <v/>
      </c>
      <c r="AG8" s="30" t="str">
        <f>IF(ISERROR(FIND($A$2,Lines!AG8))=TRUE,"",MID(Lines!AG8,FIND($A$2,Lines!AG8)+LEN($A$2)+1,FIND(",",_xlfn.CONCAT(Lines!AG8,","),FIND($A$2,Lines!AG8))-FIND($A$2,Lines!AG8)-LEN($A$2)-1))</f>
        <v/>
      </c>
      <c r="AH8" s="30" t="str">
        <f>IF(ISERROR(FIND($A$2,Lines!AH8))=TRUE,"",MID(Lines!AH8,FIND($A$2,Lines!AH8)+LEN($A$2)+1,FIND(",",_xlfn.CONCAT(Lines!AH8,","),FIND($A$2,Lines!AH8))-FIND($A$2,Lines!AH8)-LEN($A$2)-1))</f>
        <v/>
      </c>
      <c r="AI8" s="30" t="str">
        <f>IF(ISERROR(FIND($A$2,Lines!AI8))=TRUE,"",MID(Lines!AI8,FIND($A$2,Lines!AI8)+LEN($A$2)+1,FIND(",",_xlfn.CONCAT(Lines!AI8,","),FIND($A$2,Lines!AI8))-FIND($A$2,Lines!AI8)-LEN($A$2)-1))</f>
        <v/>
      </c>
      <c r="AJ8" s="30" t="str">
        <f>IF(ISERROR(FIND($A$2,Lines!AJ8))=TRUE,"",MID(Lines!AJ8,FIND($A$2,Lines!AJ8)+LEN($A$2)+1,FIND(",",_xlfn.CONCAT(Lines!AJ8,","),FIND($A$2,Lines!AJ8))-FIND($A$2,Lines!AJ8)-LEN($A$2)-1))</f>
        <v/>
      </c>
      <c r="AK8" s="30" t="str">
        <f>IF(ISERROR(FIND($A$2,Lines!AK8))=TRUE,"",MID(Lines!AK8,FIND($A$2,Lines!AK8)+LEN($A$2)+1,FIND(",",_xlfn.CONCAT(Lines!AK8,","),FIND($A$2,Lines!AK8))-FIND($A$2,Lines!AK8)-LEN($A$2)-1))</f>
        <v/>
      </c>
      <c r="AL8" s="30" t="str">
        <f>IF(ISERROR(FIND($A$2,Lines!AL8))=TRUE,"",MID(Lines!AL8,FIND($A$2,Lines!AL8)+LEN($A$2)+1,FIND(",",_xlfn.CONCAT(Lines!AL8,","),FIND($A$2,Lines!AL8))-FIND($A$2,Lines!AL8)-LEN($A$2)-1))</f>
        <v/>
      </c>
      <c r="AM8" s="30" t="str">
        <f>IF(ISERROR(FIND($A$2,Lines!AM8))=TRUE,"",MID(Lines!AM8,FIND($A$2,Lines!AM8)+LEN($A$2)+1,FIND(",",_xlfn.CONCAT(Lines!AM8,","),FIND($A$2,Lines!AM8))-FIND($A$2,Lines!AM8)-LEN($A$2)-1))</f>
        <v/>
      </c>
      <c r="AN8" s="30" t="str">
        <f>IF(ISERROR(FIND($A$2,Lines!AN8))=TRUE,"",MID(Lines!AN8,FIND($A$2,Lines!AN8)+LEN($A$2)+1,FIND(",",_xlfn.CONCAT(Lines!AN8,","),FIND($A$2,Lines!AN8))-FIND($A$2,Lines!AN8)-LEN($A$2)-1))</f>
        <v/>
      </c>
      <c r="AO8" s="30" t="str">
        <f>IF(ISERROR(FIND($A$2,Lines!AO8))=TRUE,"",MID(Lines!AO8,FIND($A$2,Lines!AO8)+LEN($A$2)+1,FIND(",",_xlfn.CONCAT(Lines!AO8,","),FIND($A$2,Lines!AO8))-FIND($A$2,Lines!AO8)-LEN($A$2)-1))</f>
        <v/>
      </c>
      <c r="AP8" s="30" t="str">
        <f>IF(ISERROR(FIND($A$2,Lines!AP8))=TRUE,"",MID(Lines!AP8,FIND($A$2,Lines!AP8)+LEN($A$2)+1,FIND(",",_xlfn.CONCAT(Lines!AP8,","),FIND($A$2,Lines!AP8))-FIND($A$2,Lines!AP8)-LEN($A$2)-1))</f>
        <v/>
      </c>
      <c r="AQ8" s="30" t="str">
        <f>IF(ISERROR(FIND($A$2,Lines!AQ8))=TRUE,"",MID(Lines!AQ8,FIND($A$2,Lines!AQ8)+LEN($A$2)+1,FIND(",",_xlfn.CONCAT(Lines!AQ8,","),FIND($A$2,Lines!AQ8))-FIND($A$2,Lines!AQ8)-LEN($A$2)-1))</f>
        <v/>
      </c>
      <c r="AR8" s="30" t="str">
        <f>IF(ISERROR(FIND($A$2,Lines!AR8))=TRUE,"",MID(Lines!AR8,FIND($A$2,Lines!AR8)+LEN($A$2)+1,FIND(",",_xlfn.CONCAT(Lines!AR8,","),FIND($A$2,Lines!AR8))-FIND($A$2,Lines!AR8)-LEN($A$2)-1))</f>
        <v/>
      </c>
      <c r="AS8" s="30" t="str">
        <f>IF(ISERROR(FIND($A$2,Lines!AS8))=TRUE,"",MID(Lines!AS8,FIND($A$2,Lines!AS8)+LEN($A$2)+1,FIND(",",_xlfn.CONCAT(Lines!AS8,","),FIND($A$2,Lines!AS8))-FIND($A$2,Lines!AS8)-LEN($A$2)-1))</f>
        <v/>
      </c>
      <c r="AT8" s="30" t="str">
        <f>IF(ISERROR(FIND($A$2,Lines!AT8))=TRUE,"",MID(Lines!AT8,FIND($A$2,Lines!AT8)+LEN($A$2)+1,FIND(",",_xlfn.CONCAT(Lines!AT8,","),FIND($A$2,Lines!AT8))-FIND($A$2,Lines!AT8)-LEN($A$2)-1))</f>
        <v/>
      </c>
    </row>
    <row r="9" spans="1:46" ht="20.25" customHeight="1">
      <c r="A9" s="2" t="s">
        <v>60</v>
      </c>
      <c r="B9" s="26" t="str">
        <f>IF(ISERROR(FIND($A$2,Lines!B9))=TRUE,"",MID(Lines!B9,FIND($A$2,Lines!B9)+LEN($A$2)+1,FIND(",",_xlfn.CONCAT(Lines!B9,","),FIND($A$2,Lines!B9))-FIND($A$2,Lines!B9)-LEN($A$2)-1))</f>
        <v/>
      </c>
      <c r="C9" s="26" t="str">
        <f>IF(ISERROR(FIND($A$2,Lines!C9))=TRUE,"",MID(Lines!C9,FIND($A$2,Lines!C9)+LEN($A$2)+1,FIND(",",_xlfn.CONCAT(Lines!C9,","),FIND($A$2,Lines!C9))-FIND($A$2,Lines!C9)-LEN($A$2)-1))</f>
        <v/>
      </c>
      <c r="D9" s="26" t="str">
        <f>IF(ISERROR(FIND($A$2,Lines!D9))=TRUE,"",MID(Lines!D9,FIND($A$2,Lines!D9)+LEN($A$2)+1,FIND(",",_xlfn.CONCAT(Lines!D9,","),FIND($A$2,Lines!D9))-FIND($A$2,Lines!D9)-LEN($A$2)-1))</f>
        <v/>
      </c>
      <c r="E9" s="26" t="str">
        <f>IF(ISERROR(FIND($A$2,Lines!E9))=TRUE,"",MID(Lines!E9,FIND($A$2,Lines!E9)+LEN($A$2)+1,FIND(",",_xlfn.CONCAT(Lines!E9,","),FIND($A$2,Lines!E9))-FIND($A$2,Lines!E9)-LEN($A$2)-1))</f>
        <v/>
      </c>
      <c r="F9" s="26" t="str">
        <f>IF(ISERROR(FIND($A$2,Lines!F9))=TRUE,"",MID(Lines!F9,FIND($A$2,Lines!F9)+LEN($A$2)+1,FIND(",",_xlfn.CONCAT(Lines!F9,","),FIND($A$2,Lines!F9))-FIND($A$2,Lines!F9)-LEN($A$2)-1))</f>
        <v/>
      </c>
      <c r="G9" s="63" t="str">
        <f>IF(ISERROR(FIND($A$2,Lines!G9))=TRUE,"",MID(Lines!G9,FIND($A$2,Lines!G9)+LEN($A$2)+1,FIND(",",_xlfn.CONCAT(Lines!G9,","),FIND($A$2,Lines!G9))-FIND($A$2,Lines!G9)-LEN($A$2)-1))</f>
        <v/>
      </c>
      <c r="H9" s="26" t="str">
        <f>IF(ISERROR(FIND($A$2,Lines!H9))=TRUE,"",MID(Lines!H9,FIND($A$2,Lines!H9)+LEN($A$2)+1,FIND(",",_xlfn.CONCAT(Lines!H9,","),FIND($A$2,Lines!H9))-FIND($A$2,Lines!H9)-LEN($A$2)-1))</f>
        <v/>
      </c>
      <c r="I9" s="26" t="str">
        <f>IF(ISERROR(FIND($A$2,Lines!I9))=TRUE,"",MID(Lines!I9,FIND($A$2,Lines!I9)+LEN($A$2)+1,FIND(",",_xlfn.CONCAT(Lines!I9,","),FIND($A$2,Lines!I9))-FIND($A$2,Lines!I9)-LEN($A$2)-1))</f>
        <v/>
      </c>
      <c r="J9" s="26" t="str">
        <f>IF(ISERROR(FIND($A$2,Lines!J9))=TRUE,"",MID(Lines!J9,FIND($A$2,Lines!J9)+LEN($A$2)+1,FIND(",",_xlfn.CONCAT(Lines!J9,","),FIND($A$2,Lines!J9))-FIND($A$2,Lines!J9)-LEN($A$2)-1))</f>
        <v/>
      </c>
      <c r="K9" s="26" t="str">
        <f>IF(ISERROR(FIND($A$2,Lines!K9))=TRUE,"",MID(Lines!K9,FIND($A$2,Lines!K9)+LEN($A$2)+1,FIND(",",_xlfn.CONCAT(Lines!K9,","),FIND($A$2,Lines!K9))-FIND($A$2,Lines!K9)-LEN($A$2)-1))</f>
        <v/>
      </c>
      <c r="L9" s="26" t="str">
        <f>IF(ISERROR(FIND($A$2,Lines!L9))=TRUE,"",MID(Lines!L9,FIND($A$2,Lines!L9)+LEN($A$2)+1,FIND(",",_xlfn.CONCAT(Lines!L9,","),FIND($A$2,Lines!L9))-FIND($A$2,Lines!L9)-LEN($A$2)-1))</f>
        <v/>
      </c>
      <c r="M9" s="27" t="str">
        <f>IF(ISERROR(FIND($A$2,Lines!M9))=TRUE,"",MID(Lines!M9,FIND($A$2,Lines!M9)+LEN($A$2)+1,FIND(",",_xlfn.CONCAT(Lines!M9,","),FIND($A$2,Lines!M9))-FIND($A$2,Lines!M9)-LEN($A$2)-1))</f>
        <v/>
      </c>
      <c r="N9" s="30" t="str">
        <f>IF(ISERROR(FIND($A$2,Lines!N9))=TRUE,"",MID(Lines!N9,FIND($A$2,Lines!N9)+LEN($A$2)+1,FIND(",",_xlfn.CONCAT(Lines!N9,","),FIND($A$2,Lines!N9))-FIND($A$2,Lines!N9)-LEN($A$2)-1))</f>
        <v/>
      </c>
      <c r="O9" s="30" t="str">
        <f>IF(ISERROR(FIND($A$2,Lines!O9))=TRUE,"",MID(Lines!O9,FIND($A$2,Lines!O9)+LEN($A$2)+1,FIND(",",_xlfn.CONCAT(Lines!O9,","),FIND($A$2,Lines!O9))-FIND($A$2,Lines!O9)-LEN($A$2)-1))</f>
        <v/>
      </c>
      <c r="P9" s="30" t="str">
        <f>IF(ISERROR(FIND($A$2,Lines!P9))=TRUE,"",MID(Lines!P9,FIND($A$2,Lines!P9)+LEN($A$2)+1,FIND(",",_xlfn.CONCAT(Lines!P9,","),FIND($A$2,Lines!P9))-FIND($A$2,Lines!P9)-LEN($A$2)-1))</f>
        <v/>
      </c>
      <c r="Q9" s="30" t="str">
        <f>IF(ISERROR(FIND($A$2,Lines!Q9))=TRUE,"",MID(Lines!Q9,FIND($A$2,Lines!Q9)+LEN($A$2)+1,FIND(",",_xlfn.CONCAT(Lines!Q9,","),FIND($A$2,Lines!Q9))-FIND($A$2,Lines!Q9)-LEN($A$2)-1))</f>
        <v/>
      </c>
      <c r="R9" s="30" t="str">
        <f>IF(ISERROR(FIND($A$2,Lines!R9))=TRUE,"",MID(Lines!R9,FIND($A$2,Lines!R9)+LEN($A$2)+1,FIND(",",_xlfn.CONCAT(Lines!R9,","),FIND($A$2,Lines!R9))-FIND($A$2,Lines!R9)-LEN($A$2)-1))</f>
        <v/>
      </c>
      <c r="S9" s="30" t="str">
        <f>IF(ISERROR(FIND($A$2,Lines!S9))=TRUE,"",MID(Lines!S9,FIND($A$2,Lines!S9)+LEN($A$2)+1,FIND(",",_xlfn.CONCAT(Lines!S9,","),FIND($A$2,Lines!S9))-FIND($A$2,Lines!S9)-LEN($A$2)-1))</f>
        <v/>
      </c>
      <c r="T9" s="30" t="str">
        <f>IF(ISERROR(FIND($A$2,Lines!T9))=TRUE,"",MID(Lines!T9,FIND($A$2,Lines!T9)+LEN($A$2)+1,FIND(",",_xlfn.CONCAT(Lines!T9,","),FIND($A$2,Lines!T9))-FIND($A$2,Lines!T9)-LEN($A$2)-1))</f>
        <v/>
      </c>
      <c r="U9" s="30" t="str">
        <f>IF(ISERROR(FIND($A$2,Lines!U9))=TRUE,"",MID(Lines!U9,FIND($A$2,Lines!U9)+LEN($A$2)+1,FIND(",",_xlfn.CONCAT(Lines!U9,","),FIND($A$2,Lines!U9))-FIND($A$2,Lines!U9)-LEN($A$2)-1))</f>
        <v/>
      </c>
      <c r="V9" s="30" t="str">
        <f>IF(ISERROR(FIND($A$2,Lines!V9))=TRUE,"",MID(Lines!V9,FIND($A$2,Lines!V9)+LEN($A$2)+1,FIND(",",_xlfn.CONCAT(Lines!V9,","),FIND($A$2,Lines!V9))-FIND($A$2,Lines!V9)-LEN($A$2)-1))</f>
        <v/>
      </c>
      <c r="W9" s="36" t="str">
        <f>IF(ISERROR(FIND($A$2,Lines!W9))=TRUE,"",MID(Lines!W9,FIND($A$2,Lines!W9)+LEN($A$2)+1,FIND(",",_xlfn.CONCAT(Lines!W9,","),FIND($A$2,Lines!W9))-FIND($A$2,Lines!W9)-LEN($A$2)-1))</f>
        <v/>
      </c>
      <c r="X9" s="30" t="str">
        <f>IF(ISERROR(FIND($A$2,Lines!X9))=TRUE,"",MID(Lines!X9,FIND($A$2,Lines!X9)+LEN($A$2)+1,FIND(",",_xlfn.CONCAT(Lines!X9,","),FIND($A$2,Lines!X9))-FIND($A$2,Lines!X9)-LEN($A$2)-1))</f>
        <v/>
      </c>
      <c r="Y9" s="30" t="str">
        <f>IF(ISERROR(FIND($A$2,Lines!Y9))=TRUE,"",MID(Lines!Y9,FIND($A$2,Lines!Y9)+LEN($A$2)+1,FIND(",",_xlfn.CONCAT(Lines!Y9,","),FIND($A$2,Lines!Y9))-FIND($A$2,Lines!Y9)-LEN($A$2)-1))</f>
        <v/>
      </c>
      <c r="Z9" s="30" t="str">
        <f>IF(ISERROR(FIND($A$2,Lines!Z9))=TRUE,"",MID(Lines!Z9,FIND($A$2,Lines!Z9)+LEN($A$2)+1,FIND(",",_xlfn.CONCAT(Lines!Z9,","),FIND($A$2,Lines!Z9))-FIND($A$2,Lines!Z9)-LEN($A$2)-1))</f>
        <v/>
      </c>
      <c r="AA9" s="30" t="str">
        <f>IF(ISERROR(FIND($A$2,Lines!AA9))=TRUE,"",MID(Lines!AA9,FIND($A$2,Lines!AA9)+LEN($A$2)+1,FIND(",",_xlfn.CONCAT(Lines!AA9,","),FIND($A$2,Lines!AA9))-FIND($A$2,Lines!AA9)-LEN($A$2)-1))</f>
        <v/>
      </c>
      <c r="AB9" s="30" t="str">
        <f>IF(ISERROR(FIND($A$2,Lines!AB9))=TRUE,"",MID(Lines!AB9,FIND($A$2,Lines!AB9)+LEN($A$2)+1,FIND(",",_xlfn.CONCAT(Lines!AB9,","),FIND($A$2,Lines!AB9))-FIND($A$2,Lines!AB9)-LEN($A$2)-1))</f>
        <v/>
      </c>
      <c r="AC9" s="30" t="str">
        <f>IF(ISERROR(FIND($A$2,Lines!AC9))=TRUE,"",MID(Lines!AC9,FIND($A$2,Lines!AC9)+LEN($A$2)+1,FIND(",",_xlfn.CONCAT(Lines!AC9,","),FIND($A$2,Lines!AC9))-FIND($A$2,Lines!AC9)-LEN($A$2)-1))</f>
        <v/>
      </c>
      <c r="AD9" s="30" t="str">
        <f>IF(ISERROR(FIND($A$2,Lines!AD9))=TRUE,"",MID(Lines!AD9,FIND($A$2,Lines!AD9)+LEN($A$2)+1,FIND(",",_xlfn.CONCAT(Lines!AD9,","),FIND($A$2,Lines!AD9))-FIND($A$2,Lines!AD9)-LEN($A$2)-1))</f>
        <v/>
      </c>
      <c r="AE9" s="30" t="str">
        <f>IF(ISERROR(FIND($A$2,Lines!AE9))=TRUE,"",MID(Lines!AE9,FIND($A$2,Lines!AE9)+LEN($A$2)+1,FIND(",",_xlfn.CONCAT(Lines!AE9,","),FIND($A$2,Lines!AE9))-FIND($A$2,Lines!AE9)-LEN($A$2)-1))</f>
        <v/>
      </c>
      <c r="AF9" s="30" t="str">
        <f>IF(ISERROR(FIND($A$2,Lines!AF9))=TRUE,"",MID(Lines!AF9,FIND($A$2,Lines!AF9)+LEN($A$2)+1,FIND(",",_xlfn.CONCAT(Lines!AF9,","),FIND($A$2,Lines!AF9))-FIND($A$2,Lines!AF9)-LEN($A$2)-1))</f>
        <v/>
      </c>
      <c r="AG9" s="30" t="str">
        <f>IF(ISERROR(FIND($A$2,Lines!AG9))=TRUE,"",MID(Lines!AG9,FIND($A$2,Lines!AG9)+LEN($A$2)+1,FIND(",",_xlfn.CONCAT(Lines!AG9,","),FIND($A$2,Lines!AG9))-FIND($A$2,Lines!AG9)-LEN($A$2)-1))</f>
        <v/>
      </c>
      <c r="AH9" s="30" t="str">
        <f>IF(ISERROR(FIND($A$2,Lines!AH9))=TRUE,"",MID(Lines!AH9,FIND($A$2,Lines!AH9)+LEN($A$2)+1,FIND(",",_xlfn.CONCAT(Lines!AH9,","),FIND($A$2,Lines!AH9))-FIND($A$2,Lines!AH9)-LEN($A$2)-1))</f>
        <v/>
      </c>
      <c r="AI9" s="30" t="str">
        <f>IF(ISERROR(FIND($A$2,Lines!AI9))=TRUE,"",MID(Lines!AI9,FIND($A$2,Lines!AI9)+LEN($A$2)+1,FIND(",",_xlfn.CONCAT(Lines!AI9,","),FIND($A$2,Lines!AI9))-FIND($A$2,Lines!AI9)-LEN($A$2)-1))</f>
        <v/>
      </c>
      <c r="AJ9" s="30" t="str">
        <f>IF(ISERROR(FIND($A$2,Lines!AJ9))=TRUE,"",MID(Lines!AJ9,FIND($A$2,Lines!AJ9)+LEN($A$2)+1,FIND(",",_xlfn.CONCAT(Lines!AJ9,","),FIND($A$2,Lines!AJ9))-FIND($A$2,Lines!AJ9)-LEN($A$2)-1))</f>
        <v/>
      </c>
      <c r="AK9" s="30" t="str">
        <f>IF(ISERROR(FIND($A$2,Lines!AK9))=TRUE,"",MID(Lines!AK9,FIND($A$2,Lines!AK9)+LEN($A$2)+1,FIND(",",_xlfn.CONCAT(Lines!AK9,","),FIND($A$2,Lines!AK9))-FIND($A$2,Lines!AK9)-LEN($A$2)-1))</f>
        <v/>
      </c>
      <c r="AL9" s="30" t="str">
        <f>IF(ISERROR(FIND($A$2,Lines!AL9))=TRUE,"",MID(Lines!AL9,FIND($A$2,Lines!AL9)+LEN($A$2)+1,FIND(",",_xlfn.CONCAT(Lines!AL9,","),FIND($A$2,Lines!AL9))-FIND($A$2,Lines!AL9)-LEN($A$2)-1))</f>
        <v/>
      </c>
      <c r="AM9" s="30" t="str">
        <f>IF(ISERROR(FIND($A$2,Lines!AM9))=TRUE,"",MID(Lines!AM9,FIND($A$2,Lines!AM9)+LEN($A$2)+1,FIND(",",_xlfn.CONCAT(Lines!AM9,","),FIND($A$2,Lines!AM9))-FIND($A$2,Lines!AM9)-LEN($A$2)-1))</f>
        <v/>
      </c>
      <c r="AN9" s="30" t="str">
        <f>IF(ISERROR(FIND($A$2,Lines!AN9))=TRUE,"",MID(Lines!AN9,FIND($A$2,Lines!AN9)+LEN($A$2)+1,FIND(",",_xlfn.CONCAT(Lines!AN9,","),FIND($A$2,Lines!AN9))-FIND($A$2,Lines!AN9)-LEN($A$2)-1))</f>
        <v/>
      </c>
      <c r="AO9" s="30" t="str">
        <f>IF(ISERROR(FIND($A$2,Lines!AO9))=TRUE,"",MID(Lines!AO9,FIND($A$2,Lines!AO9)+LEN($A$2)+1,FIND(",",_xlfn.CONCAT(Lines!AO9,","),FIND($A$2,Lines!AO9))-FIND($A$2,Lines!AO9)-LEN($A$2)-1))</f>
        <v/>
      </c>
      <c r="AP9" s="30" t="str">
        <f>IF(ISERROR(FIND($A$2,Lines!AP9))=TRUE,"",MID(Lines!AP9,FIND($A$2,Lines!AP9)+LEN($A$2)+1,FIND(",",_xlfn.CONCAT(Lines!AP9,","),FIND($A$2,Lines!AP9))-FIND($A$2,Lines!AP9)-LEN($A$2)-1))</f>
        <v/>
      </c>
      <c r="AQ9" s="30" t="str">
        <f>IF(ISERROR(FIND($A$2,Lines!AQ9))=TRUE,"",MID(Lines!AQ9,FIND($A$2,Lines!AQ9)+LEN($A$2)+1,FIND(",",_xlfn.CONCAT(Lines!AQ9,","),FIND($A$2,Lines!AQ9))-FIND($A$2,Lines!AQ9)-LEN($A$2)-1))</f>
        <v/>
      </c>
      <c r="AR9" s="30" t="str">
        <f>IF(ISERROR(FIND($A$2,Lines!AR9))=TRUE,"",MID(Lines!AR9,FIND($A$2,Lines!AR9)+LEN($A$2)+1,FIND(",",_xlfn.CONCAT(Lines!AR9,","),FIND($A$2,Lines!AR9))-FIND($A$2,Lines!AR9)-LEN($A$2)-1))</f>
        <v/>
      </c>
      <c r="AS9" s="30" t="str">
        <f>IF(ISERROR(FIND($A$2,Lines!AS9))=TRUE,"",MID(Lines!AS9,FIND($A$2,Lines!AS9)+LEN($A$2)+1,FIND(",",_xlfn.CONCAT(Lines!AS9,","),FIND($A$2,Lines!AS9))-FIND($A$2,Lines!AS9)-LEN($A$2)-1))</f>
        <v/>
      </c>
      <c r="AT9" s="30" t="str">
        <f>IF(ISERROR(FIND($A$2,Lines!AT9))=TRUE,"",MID(Lines!AT9,FIND($A$2,Lines!AT9)+LEN($A$2)+1,FIND(",",_xlfn.CONCAT(Lines!AT9,","),FIND($A$2,Lines!AT9))-FIND($A$2,Lines!AT9)-LEN($A$2)-1))</f>
        <v/>
      </c>
    </row>
    <row r="10" spans="1:46" ht="20.25" customHeight="1">
      <c r="A10" s="2" t="s">
        <v>61</v>
      </c>
      <c r="B10" s="26" t="str">
        <f>IF(ISERROR(FIND($A$2,Lines!B10))=TRUE,"",MID(Lines!B10,FIND($A$2,Lines!B10)+LEN($A$2)+1,FIND(",",_xlfn.CONCAT(Lines!B10,","),FIND($A$2,Lines!B10))-FIND($A$2,Lines!B10)-LEN($A$2)-1))</f>
        <v/>
      </c>
      <c r="C10" s="26" t="str">
        <f>IF(ISERROR(FIND($A$2,Lines!C10))=TRUE,"",MID(Lines!C10,FIND($A$2,Lines!C10)+LEN($A$2)+1,FIND(",",_xlfn.CONCAT(Lines!C10,","),FIND($A$2,Lines!C10))-FIND($A$2,Lines!C10)-LEN($A$2)-1))</f>
        <v/>
      </c>
      <c r="D10" s="26" t="str">
        <f>IF(ISERROR(FIND($A$2,Lines!D10))=TRUE,"",MID(Lines!D10,FIND($A$2,Lines!D10)+LEN($A$2)+1,FIND(",",_xlfn.CONCAT(Lines!D10,","),FIND($A$2,Lines!D10))-FIND($A$2,Lines!D10)-LEN($A$2)-1))</f>
        <v/>
      </c>
      <c r="E10" s="26" t="str">
        <f>IF(ISERROR(FIND($A$2,Lines!E10))=TRUE,"",MID(Lines!E10,FIND($A$2,Lines!E10)+LEN($A$2)+1,FIND(",",_xlfn.CONCAT(Lines!E10,","),FIND($A$2,Lines!E10))-FIND($A$2,Lines!E10)-LEN($A$2)-1))</f>
        <v/>
      </c>
      <c r="F10" s="26" t="str">
        <f>IF(ISERROR(FIND($A$2,Lines!F10))=TRUE,"",MID(Lines!F10,FIND($A$2,Lines!F10)+LEN($A$2)+1,FIND(",",_xlfn.CONCAT(Lines!F10,","),FIND($A$2,Lines!F10))-FIND($A$2,Lines!F10)-LEN($A$2)-1))</f>
        <v/>
      </c>
      <c r="G10" s="26" t="str">
        <f>IF(ISERROR(FIND($A$2,Lines!G10))=TRUE,"",MID(Lines!G10,FIND($A$2,Lines!G10)+LEN($A$2)+1,FIND(",",_xlfn.CONCAT(Lines!G10,","),FIND($A$2,Lines!G10))-FIND($A$2,Lines!G10)-LEN($A$2)-1))</f>
        <v/>
      </c>
      <c r="H10" s="63" t="str">
        <f>IF(ISERROR(FIND($A$2,Lines!H10))=TRUE,"",MID(Lines!H10,FIND($A$2,Lines!H10)+LEN($A$2)+1,FIND(",",_xlfn.CONCAT(Lines!H10,","),FIND($A$2,Lines!H10))-FIND($A$2,Lines!H10)-LEN($A$2)-1))</f>
        <v/>
      </c>
      <c r="I10" s="26" t="str">
        <f>IF(ISERROR(FIND($A$2,Lines!I10))=TRUE,"",MID(Lines!I10,FIND($A$2,Lines!I10)+LEN($A$2)+1,FIND(",",_xlfn.CONCAT(Lines!I10,","),FIND($A$2,Lines!I10))-FIND($A$2,Lines!I10)-LEN($A$2)-1))</f>
        <v/>
      </c>
      <c r="J10" s="26" t="str">
        <f>IF(ISERROR(FIND($A$2,Lines!J10))=TRUE,"",MID(Lines!J10,FIND($A$2,Lines!J10)+LEN($A$2)+1,FIND(",",_xlfn.CONCAT(Lines!J10,","),FIND($A$2,Lines!J10))-FIND($A$2,Lines!J10)-LEN($A$2)-1))</f>
        <v/>
      </c>
      <c r="K10" s="26" t="str">
        <f>IF(ISERROR(FIND($A$2,Lines!K10))=TRUE,"",MID(Lines!K10,FIND($A$2,Lines!K10)+LEN($A$2)+1,FIND(",",_xlfn.CONCAT(Lines!K10,","),FIND($A$2,Lines!K10))-FIND($A$2,Lines!K10)-LEN($A$2)-1))</f>
        <v/>
      </c>
      <c r="L10" s="26" t="str">
        <f>IF(ISERROR(FIND($A$2,Lines!L10))=TRUE,"",MID(Lines!L10,FIND($A$2,Lines!L10)+LEN($A$2)+1,FIND(",",_xlfn.CONCAT(Lines!L10,","),FIND($A$2,Lines!L10))-FIND($A$2,Lines!L10)-LEN($A$2)-1))</f>
        <v/>
      </c>
      <c r="M10" s="27" t="str">
        <f>IF(ISERROR(FIND($A$2,Lines!M10))=TRUE,"",MID(Lines!M10,FIND($A$2,Lines!M10)+LEN($A$2)+1,FIND(",",_xlfn.CONCAT(Lines!M10,","),FIND($A$2,Lines!M10))-FIND($A$2,Lines!M10)-LEN($A$2)-1))</f>
        <v/>
      </c>
      <c r="N10" s="30" t="str">
        <f>IF(ISERROR(FIND($A$2,Lines!N10))=TRUE,"",MID(Lines!N10,FIND($A$2,Lines!N10)+LEN($A$2)+1,FIND(",",_xlfn.CONCAT(Lines!N10,","),FIND($A$2,Lines!N10))-FIND($A$2,Lines!N10)-LEN($A$2)-1))</f>
        <v/>
      </c>
      <c r="O10" s="30" t="str">
        <f>IF(ISERROR(FIND($A$2,Lines!O10))=TRUE,"",MID(Lines!O10,FIND($A$2,Lines!O10)+LEN($A$2)+1,FIND(",",_xlfn.CONCAT(Lines!O10,","),FIND($A$2,Lines!O10))-FIND($A$2,Lines!O10)-LEN($A$2)-1))</f>
        <v/>
      </c>
      <c r="P10" s="30" t="str">
        <f>IF(ISERROR(FIND($A$2,Lines!P10))=TRUE,"",MID(Lines!P10,FIND($A$2,Lines!P10)+LEN($A$2)+1,FIND(",",_xlfn.CONCAT(Lines!P10,","),FIND($A$2,Lines!P10))-FIND($A$2,Lines!P10)-LEN($A$2)-1))</f>
        <v/>
      </c>
      <c r="Q10" s="30" t="str">
        <f>IF(ISERROR(FIND($A$2,Lines!Q10))=TRUE,"",MID(Lines!Q10,FIND($A$2,Lines!Q10)+LEN($A$2)+1,FIND(",",_xlfn.CONCAT(Lines!Q10,","),FIND($A$2,Lines!Q10))-FIND($A$2,Lines!Q10)-LEN($A$2)-1))</f>
        <v/>
      </c>
      <c r="R10" s="30" t="str">
        <f>IF(ISERROR(FIND($A$2,Lines!R10))=TRUE,"",MID(Lines!R10,FIND($A$2,Lines!R10)+LEN($A$2)+1,FIND(",",_xlfn.CONCAT(Lines!R10,","),FIND($A$2,Lines!R10))-FIND($A$2,Lines!R10)-LEN($A$2)-1))</f>
        <v/>
      </c>
      <c r="S10" s="30" t="str">
        <f>IF(ISERROR(FIND($A$2,Lines!S10))=TRUE,"",MID(Lines!S10,FIND($A$2,Lines!S10)+LEN($A$2)+1,FIND(",",_xlfn.CONCAT(Lines!S10,","),FIND($A$2,Lines!S10))-FIND($A$2,Lines!S10)-LEN($A$2)-1))</f>
        <v/>
      </c>
      <c r="T10" s="30" t="str">
        <f>IF(ISERROR(FIND($A$2,Lines!T10))=TRUE,"",MID(Lines!T10,FIND($A$2,Lines!T10)+LEN($A$2)+1,FIND(",",_xlfn.CONCAT(Lines!T10,","),FIND($A$2,Lines!T10))-FIND($A$2,Lines!T10)-LEN($A$2)-1))</f>
        <v/>
      </c>
      <c r="U10" s="30" t="str">
        <f>IF(ISERROR(FIND($A$2,Lines!U10))=TRUE,"",MID(Lines!U10,FIND($A$2,Lines!U10)+LEN($A$2)+1,FIND(",",_xlfn.CONCAT(Lines!U10,","),FIND($A$2,Lines!U10))-FIND($A$2,Lines!U10)-LEN($A$2)-1))</f>
        <v/>
      </c>
      <c r="V10" s="30" t="str">
        <f>IF(ISERROR(FIND($A$2,Lines!V10))=TRUE,"",MID(Lines!V10,FIND($A$2,Lines!V10)+LEN($A$2)+1,FIND(",",_xlfn.CONCAT(Lines!V10,","),FIND($A$2,Lines!V10))-FIND($A$2,Lines!V10)-LEN($A$2)-1))</f>
        <v/>
      </c>
      <c r="W10" s="36" t="str">
        <f>IF(ISERROR(FIND($A$2,Lines!W10))=TRUE,"",MID(Lines!W10,FIND($A$2,Lines!W10)+LEN($A$2)+1,FIND(",",_xlfn.CONCAT(Lines!W10,","),FIND($A$2,Lines!W10))-FIND($A$2,Lines!W10)-LEN($A$2)-1))</f>
        <v/>
      </c>
      <c r="X10" s="30" t="str">
        <f>IF(ISERROR(FIND($A$2,Lines!X10))=TRUE,"",MID(Lines!X10,FIND($A$2,Lines!X10)+LEN($A$2)+1,FIND(",",_xlfn.CONCAT(Lines!X10,","),FIND($A$2,Lines!X10))-FIND($A$2,Lines!X10)-LEN($A$2)-1))</f>
        <v/>
      </c>
      <c r="Y10" s="30" t="str">
        <f>IF(ISERROR(FIND($A$2,Lines!Y10))=TRUE,"",MID(Lines!Y10,FIND($A$2,Lines!Y10)+LEN($A$2)+1,FIND(",",_xlfn.CONCAT(Lines!Y10,","),FIND($A$2,Lines!Y10))-FIND($A$2,Lines!Y10)-LEN($A$2)-1))</f>
        <v/>
      </c>
      <c r="Z10" s="30" t="str">
        <f>IF(ISERROR(FIND($A$2,Lines!Z10))=TRUE,"",MID(Lines!Z10,FIND($A$2,Lines!Z10)+LEN($A$2)+1,FIND(",",_xlfn.CONCAT(Lines!Z10,","),FIND($A$2,Lines!Z10))-FIND($A$2,Lines!Z10)-LEN($A$2)-1))</f>
        <v/>
      </c>
      <c r="AA10" s="30" t="str">
        <f>IF(ISERROR(FIND($A$2,Lines!AA10))=TRUE,"",MID(Lines!AA10,FIND($A$2,Lines!AA10)+LEN($A$2)+1,FIND(",",_xlfn.CONCAT(Lines!AA10,","),FIND($A$2,Lines!AA10))-FIND($A$2,Lines!AA10)-LEN($A$2)-1))</f>
        <v/>
      </c>
      <c r="AB10" s="30" t="str">
        <f>IF(ISERROR(FIND($A$2,Lines!AB10))=TRUE,"",MID(Lines!AB10,FIND($A$2,Lines!AB10)+LEN($A$2)+1,FIND(",",_xlfn.CONCAT(Lines!AB10,","),FIND($A$2,Lines!AB10))-FIND($A$2,Lines!AB10)-LEN($A$2)-1))</f>
        <v/>
      </c>
      <c r="AC10" s="30" t="str">
        <f>IF(ISERROR(FIND($A$2,Lines!AC10))=TRUE,"",MID(Lines!AC10,FIND($A$2,Lines!AC10)+LEN($A$2)+1,FIND(",",_xlfn.CONCAT(Lines!AC10,","),FIND($A$2,Lines!AC10))-FIND($A$2,Lines!AC10)-LEN($A$2)-1))</f>
        <v/>
      </c>
      <c r="AD10" s="30" t="str">
        <f>IF(ISERROR(FIND($A$2,Lines!AD10))=TRUE,"",MID(Lines!AD10,FIND($A$2,Lines!AD10)+LEN($A$2)+1,FIND(",",_xlfn.CONCAT(Lines!AD10,","),FIND($A$2,Lines!AD10))-FIND($A$2,Lines!AD10)-LEN($A$2)-1))</f>
        <v/>
      </c>
      <c r="AE10" s="30" t="str">
        <f>IF(ISERROR(FIND($A$2,Lines!AE10))=TRUE,"",MID(Lines!AE10,FIND($A$2,Lines!AE10)+LEN($A$2)+1,FIND(",",_xlfn.CONCAT(Lines!AE10,","),FIND($A$2,Lines!AE10))-FIND($A$2,Lines!AE10)-LEN($A$2)-1))</f>
        <v/>
      </c>
      <c r="AF10" s="30" t="str">
        <f>IF(ISERROR(FIND($A$2,Lines!AF10))=TRUE,"",MID(Lines!AF10,FIND($A$2,Lines!AF10)+LEN($A$2)+1,FIND(",",_xlfn.CONCAT(Lines!AF10,","),FIND($A$2,Lines!AF10))-FIND($A$2,Lines!AF10)-LEN($A$2)-1))</f>
        <v/>
      </c>
      <c r="AG10" s="30" t="str">
        <f>IF(ISERROR(FIND($A$2,Lines!AG10))=TRUE,"",MID(Lines!AG10,FIND($A$2,Lines!AG10)+LEN($A$2)+1,FIND(",",_xlfn.CONCAT(Lines!AG10,","),FIND($A$2,Lines!AG10))-FIND($A$2,Lines!AG10)-LEN($A$2)-1))</f>
        <v/>
      </c>
      <c r="AH10" s="30" t="str">
        <f>IF(ISERROR(FIND($A$2,Lines!AH10))=TRUE,"",MID(Lines!AH10,FIND($A$2,Lines!AH10)+LEN($A$2)+1,FIND(",",_xlfn.CONCAT(Lines!AH10,","),FIND($A$2,Lines!AH10))-FIND($A$2,Lines!AH10)-LEN($A$2)-1))</f>
        <v/>
      </c>
      <c r="AI10" s="30" t="str">
        <f>IF(ISERROR(FIND($A$2,Lines!AI10))=TRUE,"",MID(Lines!AI10,FIND($A$2,Lines!AI10)+LEN($A$2)+1,FIND(",",_xlfn.CONCAT(Lines!AI10,","),FIND($A$2,Lines!AI10))-FIND($A$2,Lines!AI10)-LEN($A$2)-1))</f>
        <v/>
      </c>
      <c r="AJ10" s="30" t="str">
        <f>IF(ISERROR(FIND($A$2,Lines!AJ10))=TRUE,"",MID(Lines!AJ10,FIND($A$2,Lines!AJ10)+LEN($A$2)+1,FIND(",",_xlfn.CONCAT(Lines!AJ10,","),FIND($A$2,Lines!AJ10))-FIND($A$2,Lines!AJ10)-LEN($A$2)-1))</f>
        <v/>
      </c>
      <c r="AK10" s="30" t="str">
        <f>IF(ISERROR(FIND($A$2,Lines!AK10))=TRUE,"",MID(Lines!AK10,FIND($A$2,Lines!AK10)+LEN($A$2)+1,FIND(",",_xlfn.CONCAT(Lines!AK10,","),FIND($A$2,Lines!AK10))-FIND($A$2,Lines!AK10)-LEN($A$2)-1))</f>
        <v/>
      </c>
      <c r="AL10" s="30" t="str">
        <f>IF(ISERROR(FIND($A$2,Lines!AL10))=TRUE,"",MID(Lines!AL10,FIND($A$2,Lines!AL10)+LEN($A$2)+1,FIND(",",_xlfn.CONCAT(Lines!AL10,","),FIND($A$2,Lines!AL10))-FIND($A$2,Lines!AL10)-LEN($A$2)-1))</f>
        <v/>
      </c>
      <c r="AM10" s="30" t="str">
        <f>IF(ISERROR(FIND($A$2,Lines!AM10))=TRUE,"",MID(Lines!AM10,FIND($A$2,Lines!AM10)+LEN($A$2)+1,FIND(",",_xlfn.CONCAT(Lines!AM10,","),FIND($A$2,Lines!AM10))-FIND($A$2,Lines!AM10)-LEN($A$2)-1))</f>
        <v/>
      </c>
      <c r="AN10" s="30" t="str">
        <f>IF(ISERROR(FIND($A$2,Lines!AN10))=TRUE,"",MID(Lines!AN10,FIND($A$2,Lines!AN10)+LEN($A$2)+1,FIND(",",_xlfn.CONCAT(Lines!AN10,","),FIND($A$2,Lines!AN10))-FIND($A$2,Lines!AN10)-LEN($A$2)-1))</f>
        <v/>
      </c>
      <c r="AO10" s="30" t="str">
        <f>IF(ISERROR(FIND($A$2,Lines!AO10))=TRUE,"",MID(Lines!AO10,FIND($A$2,Lines!AO10)+LEN($A$2)+1,FIND(",",_xlfn.CONCAT(Lines!AO10,","),FIND($A$2,Lines!AO10))-FIND($A$2,Lines!AO10)-LEN($A$2)-1))</f>
        <v/>
      </c>
      <c r="AP10" s="30" t="str">
        <f>IF(ISERROR(FIND($A$2,Lines!AP10))=TRUE,"",MID(Lines!AP10,FIND($A$2,Lines!AP10)+LEN($A$2)+1,FIND(",",_xlfn.CONCAT(Lines!AP10,","),FIND($A$2,Lines!AP10))-FIND($A$2,Lines!AP10)-LEN($A$2)-1))</f>
        <v/>
      </c>
      <c r="AQ10" s="30" t="str">
        <f>IF(ISERROR(FIND($A$2,Lines!AQ10))=TRUE,"",MID(Lines!AQ10,FIND($A$2,Lines!AQ10)+LEN($A$2)+1,FIND(",",_xlfn.CONCAT(Lines!AQ10,","),FIND($A$2,Lines!AQ10))-FIND($A$2,Lines!AQ10)-LEN($A$2)-1))</f>
        <v/>
      </c>
      <c r="AR10" s="30" t="str">
        <f>IF(ISERROR(FIND($A$2,Lines!AR10))=TRUE,"",MID(Lines!AR10,FIND($A$2,Lines!AR10)+LEN($A$2)+1,FIND(",",_xlfn.CONCAT(Lines!AR10,","),FIND($A$2,Lines!AR10))-FIND($A$2,Lines!AR10)-LEN($A$2)-1))</f>
        <v/>
      </c>
      <c r="AS10" s="30" t="str">
        <f>IF(ISERROR(FIND($A$2,Lines!AS10))=TRUE,"",MID(Lines!AS10,FIND($A$2,Lines!AS10)+LEN($A$2)+1,FIND(",",_xlfn.CONCAT(Lines!AS10,","),FIND($A$2,Lines!AS10))-FIND($A$2,Lines!AS10)-LEN($A$2)-1))</f>
        <v/>
      </c>
      <c r="AT10" s="30" t="str">
        <f>IF(ISERROR(FIND($A$2,Lines!AT10))=TRUE,"",MID(Lines!AT10,FIND($A$2,Lines!AT10)+LEN($A$2)+1,FIND(",",_xlfn.CONCAT(Lines!AT10,","),FIND($A$2,Lines!AT10))-FIND($A$2,Lines!AT10)-LEN($A$2)-1))</f>
        <v/>
      </c>
    </row>
    <row r="11" spans="1:46" ht="20.25" customHeight="1">
      <c r="A11" s="2" t="s">
        <v>54</v>
      </c>
      <c r="B11" s="26" t="str">
        <f>IF(ISERROR(FIND($A$2,Lines!B11))=TRUE,"",MID(Lines!B11,FIND($A$2,Lines!B11)+LEN($A$2)+1,FIND(",",_xlfn.CONCAT(Lines!B11,","),FIND($A$2,Lines!B11))-FIND($A$2,Lines!B11)-LEN($A$2)-1))</f>
        <v/>
      </c>
      <c r="C11" s="26" t="str">
        <f>IF(ISERROR(FIND($A$2,Lines!C11))=TRUE,"",MID(Lines!C11,FIND($A$2,Lines!C11)+LEN($A$2)+1,FIND(",",_xlfn.CONCAT(Lines!C11,","),FIND($A$2,Lines!C11))-FIND($A$2,Lines!C11)-LEN($A$2)-1))</f>
        <v/>
      </c>
      <c r="D11" s="26" t="str">
        <f>IF(ISERROR(FIND($A$2,Lines!D11))=TRUE,"",MID(Lines!D11,FIND($A$2,Lines!D11)+LEN($A$2)+1,FIND(",",_xlfn.CONCAT(Lines!D11,","),FIND($A$2,Lines!D11))-FIND($A$2,Lines!D11)-LEN($A$2)-1))</f>
        <v/>
      </c>
      <c r="E11" s="26" t="str">
        <f>IF(ISERROR(FIND($A$2,Lines!E11))=TRUE,"",MID(Lines!E11,FIND($A$2,Lines!E11)+LEN($A$2)+1,FIND(",",_xlfn.CONCAT(Lines!E11,","),FIND($A$2,Lines!E11))-FIND($A$2,Lines!E11)-LEN($A$2)-1))</f>
        <v/>
      </c>
      <c r="F11" s="26" t="str">
        <f>IF(ISERROR(FIND($A$2,Lines!F11))=TRUE,"",MID(Lines!F11,FIND($A$2,Lines!F11)+LEN($A$2)+1,FIND(",",_xlfn.CONCAT(Lines!F11,","),FIND($A$2,Lines!F11))-FIND($A$2,Lines!F11)-LEN($A$2)-1))</f>
        <v/>
      </c>
      <c r="G11" s="26" t="str">
        <f>IF(ISERROR(FIND($A$2,Lines!G11))=TRUE,"",MID(Lines!G11,FIND($A$2,Lines!G11)+LEN($A$2)+1,FIND(",",_xlfn.CONCAT(Lines!G11,","),FIND($A$2,Lines!G11))-FIND($A$2,Lines!G11)-LEN($A$2)-1))</f>
        <v/>
      </c>
      <c r="H11" s="26" t="str">
        <f>IF(ISERROR(FIND($A$2,Lines!H11))=TRUE,"",MID(Lines!H11,FIND($A$2,Lines!H11)+LEN($A$2)+1,FIND(",",_xlfn.CONCAT(Lines!H11,","),FIND($A$2,Lines!H11))-FIND($A$2,Lines!H11)-LEN($A$2)-1))</f>
        <v/>
      </c>
      <c r="I11" s="63" t="str">
        <f>IF(ISERROR(FIND($A$2,Lines!I11))=TRUE,"",MID(Lines!I11,FIND($A$2,Lines!I11)+LEN($A$2)+1,FIND(",",_xlfn.CONCAT(Lines!I11,","),FIND($A$2,Lines!I11))-FIND($A$2,Lines!I11)-LEN($A$2)-1))</f>
        <v/>
      </c>
      <c r="J11" s="26" t="str">
        <f>IF(ISERROR(FIND($A$2,Lines!J11))=TRUE,"",MID(Lines!J11,FIND($A$2,Lines!J11)+LEN($A$2)+1,FIND(",",_xlfn.CONCAT(Lines!J11,","),FIND($A$2,Lines!J11))-FIND($A$2,Lines!J11)-LEN($A$2)-1))</f>
        <v/>
      </c>
      <c r="K11" s="26" t="str">
        <f>IF(ISERROR(FIND($A$2,Lines!K11))=TRUE,"",MID(Lines!K11,FIND($A$2,Lines!K11)+LEN($A$2)+1,FIND(",",_xlfn.CONCAT(Lines!K11,","),FIND($A$2,Lines!K11))-FIND($A$2,Lines!K11)-LEN($A$2)-1))</f>
        <v/>
      </c>
      <c r="L11" s="26" t="str">
        <f>IF(ISERROR(FIND($A$2,Lines!L11))=TRUE,"",MID(Lines!L11,FIND($A$2,Lines!L11)+LEN($A$2)+1,FIND(",",_xlfn.CONCAT(Lines!L11,","),FIND($A$2,Lines!L11))-FIND($A$2,Lines!L11)-LEN($A$2)-1))</f>
        <v/>
      </c>
      <c r="M11" s="27" t="str">
        <f>IF(ISERROR(FIND($A$2,Lines!M11))=TRUE,"",MID(Lines!M11,FIND($A$2,Lines!M11)+LEN($A$2)+1,FIND(",",_xlfn.CONCAT(Lines!M11,","),FIND($A$2,Lines!M11))-FIND($A$2,Lines!M11)-LEN($A$2)-1))</f>
        <v/>
      </c>
      <c r="N11" s="30" t="str">
        <f>IF(ISERROR(FIND($A$2,Lines!N11))=TRUE,"",MID(Lines!N11,FIND($A$2,Lines!N11)+LEN($A$2)+1,FIND(",",_xlfn.CONCAT(Lines!N11,","),FIND($A$2,Lines!N11))-FIND($A$2,Lines!N11)-LEN($A$2)-1))</f>
        <v/>
      </c>
      <c r="O11" s="30" t="str">
        <f>IF(ISERROR(FIND($A$2,Lines!O11))=TRUE,"",MID(Lines!O11,FIND($A$2,Lines!O11)+LEN($A$2)+1,FIND(",",_xlfn.CONCAT(Lines!O11,","),FIND($A$2,Lines!O11))-FIND($A$2,Lines!O11)-LEN($A$2)-1))</f>
        <v/>
      </c>
      <c r="P11" s="30" t="str">
        <f>IF(ISERROR(FIND($A$2,Lines!P11))=TRUE,"",MID(Lines!P11,FIND($A$2,Lines!P11)+LEN($A$2)+1,FIND(",",_xlfn.CONCAT(Lines!P11,","),FIND($A$2,Lines!P11))-FIND($A$2,Lines!P11)-LEN($A$2)-1))</f>
        <v/>
      </c>
      <c r="Q11" s="30" t="str">
        <f>IF(ISERROR(FIND($A$2,Lines!Q11))=TRUE,"",MID(Lines!Q11,FIND($A$2,Lines!Q11)+LEN($A$2)+1,FIND(",",_xlfn.CONCAT(Lines!Q11,","),FIND($A$2,Lines!Q11))-FIND($A$2,Lines!Q11)-LEN($A$2)-1))</f>
        <v/>
      </c>
      <c r="R11" s="30" t="str">
        <f>IF(ISERROR(FIND($A$2,Lines!R11))=TRUE,"",MID(Lines!R11,FIND($A$2,Lines!R11)+LEN($A$2)+1,FIND(",",_xlfn.CONCAT(Lines!R11,","),FIND($A$2,Lines!R11))-FIND($A$2,Lines!R11)-LEN($A$2)-1))</f>
        <v/>
      </c>
      <c r="S11" s="30" t="str">
        <f>IF(ISERROR(FIND($A$2,Lines!S11))=TRUE,"",MID(Lines!S11,FIND($A$2,Lines!S11)+LEN($A$2)+1,FIND(",",_xlfn.CONCAT(Lines!S11,","),FIND($A$2,Lines!S11))-FIND($A$2,Lines!S11)-LEN($A$2)-1))</f>
        <v/>
      </c>
      <c r="T11" s="30" t="str">
        <f>IF(ISERROR(FIND($A$2,Lines!T11))=TRUE,"",MID(Lines!T11,FIND($A$2,Lines!T11)+LEN($A$2)+1,FIND(",",_xlfn.CONCAT(Lines!T11,","),FIND($A$2,Lines!T11))-FIND($A$2,Lines!T11)-LEN($A$2)-1))</f>
        <v/>
      </c>
      <c r="U11" s="30" t="str">
        <f>IF(ISERROR(FIND($A$2,Lines!U11))=TRUE,"",MID(Lines!U11,FIND($A$2,Lines!U11)+LEN($A$2)+1,FIND(",",_xlfn.CONCAT(Lines!U11,","),FIND($A$2,Lines!U11))-FIND($A$2,Lines!U11)-LEN($A$2)-1))</f>
        <v/>
      </c>
      <c r="V11" s="30" t="str">
        <f>IF(ISERROR(FIND($A$2,Lines!V11))=TRUE,"",MID(Lines!V11,FIND($A$2,Lines!V11)+LEN($A$2)+1,FIND(",",_xlfn.CONCAT(Lines!V11,","),FIND($A$2,Lines!V11))-FIND($A$2,Lines!V11)-LEN($A$2)-1))</f>
        <v/>
      </c>
      <c r="W11" s="36" t="str">
        <f>IF(ISERROR(FIND($A$2,Lines!W11))=TRUE,"",MID(Lines!W11,FIND($A$2,Lines!W11)+LEN($A$2)+1,FIND(",",_xlfn.CONCAT(Lines!W11,","),FIND($A$2,Lines!W11))-FIND($A$2,Lines!W11)-LEN($A$2)-1))</f>
        <v/>
      </c>
      <c r="X11" s="30" t="str">
        <f>IF(ISERROR(FIND($A$2,Lines!X11))=TRUE,"",MID(Lines!X11,FIND($A$2,Lines!X11)+LEN($A$2)+1,FIND(",",_xlfn.CONCAT(Lines!X11,","),FIND($A$2,Lines!X11))-FIND($A$2,Lines!X11)-LEN($A$2)-1))</f>
        <v/>
      </c>
      <c r="Y11" s="30" t="str">
        <f>IF(ISERROR(FIND($A$2,Lines!Y11))=TRUE,"",MID(Lines!Y11,FIND($A$2,Lines!Y11)+LEN($A$2)+1,FIND(",",_xlfn.CONCAT(Lines!Y11,","),FIND($A$2,Lines!Y11))-FIND($A$2,Lines!Y11)-LEN($A$2)-1))</f>
        <v/>
      </c>
      <c r="Z11" s="30" t="str">
        <f>IF(ISERROR(FIND($A$2,Lines!Z11))=TRUE,"",MID(Lines!Z11,FIND($A$2,Lines!Z11)+LEN($A$2)+1,FIND(",",_xlfn.CONCAT(Lines!Z11,","),FIND($A$2,Lines!Z11))-FIND($A$2,Lines!Z11)-LEN($A$2)-1))</f>
        <v/>
      </c>
      <c r="AA11" s="30" t="str">
        <f>IF(ISERROR(FIND($A$2,Lines!AA11))=TRUE,"",MID(Lines!AA11,FIND($A$2,Lines!AA11)+LEN($A$2)+1,FIND(",",_xlfn.CONCAT(Lines!AA11,","),FIND($A$2,Lines!AA11))-FIND($A$2,Lines!AA11)-LEN($A$2)-1))</f>
        <v/>
      </c>
      <c r="AB11" s="30" t="str">
        <f>IF(ISERROR(FIND($A$2,Lines!AB11))=TRUE,"",MID(Lines!AB11,FIND($A$2,Lines!AB11)+LEN($A$2)+1,FIND(",",_xlfn.CONCAT(Lines!AB11,","),FIND($A$2,Lines!AB11))-FIND($A$2,Lines!AB11)-LEN($A$2)-1))</f>
        <v/>
      </c>
      <c r="AC11" s="30" t="str">
        <f>IF(ISERROR(FIND($A$2,Lines!AC11))=TRUE,"",MID(Lines!AC11,FIND($A$2,Lines!AC11)+LEN($A$2)+1,FIND(",",_xlfn.CONCAT(Lines!AC11,","),FIND($A$2,Lines!AC11))-FIND($A$2,Lines!AC11)-LEN($A$2)-1))</f>
        <v/>
      </c>
      <c r="AD11" s="30" t="str">
        <f>IF(ISERROR(FIND($A$2,Lines!AD11))=TRUE,"",MID(Lines!AD11,FIND($A$2,Lines!AD11)+LEN($A$2)+1,FIND(",",_xlfn.CONCAT(Lines!AD11,","),FIND($A$2,Lines!AD11))-FIND($A$2,Lines!AD11)-LEN($A$2)-1))</f>
        <v/>
      </c>
      <c r="AE11" s="30" t="str">
        <f>IF(ISERROR(FIND($A$2,Lines!AE11))=TRUE,"",MID(Lines!AE11,FIND($A$2,Lines!AE11)+LEN($A$2)+1,FIND(",",_xlfn.CONCAT(Lines!AE11,","),FIND($A$2,Lines!AE11))-FIND($A$2,Lines!AE11)-LEN($A$2)-1))</f>
        <v/>
      </c>
      <c r="AF11" s="30" t="str">
        <f>IF(ISERROR(FIND($A$2,Lines!AF11))=TRUE,"",MID(Lines!AF11,FIND($A$2,Lines!AF11)+LEN($A$2)+1,FIND(",",_xlfn.CONCAT(Lines!AF11,","),FIND($A$2,Lines!AF11))-FIND($A$2,Lines!AF11)-LEN($A$2)-1))</f>
        <v/>
      </c>
      <c r="AG11" s="30" t="str">
        <f>IF(ISERROR(FIND($A$2,Lines!AG11))=TRUE,"",MID(Lines!AG11,FIND($A$2,Lines!AG11)+LEN($A$2)+1,FIND(",",_xlfn.CONCAT(Lines!AG11,","),FIND($A$2,Lines!AG11))-FIND($A$2,Lines!AG11)-LEN($A$2)-1))</f>
        <v/>
      </c>
      <c r="AH11" s="30" t="str">
        <f>IF(ISERROR(FIND($A$2,Lines!AH11))=TRUE,"",MID(Lines!AH11,FIND($A$2,Lines!AH11)+LEN($A$2)+1,FIND(",",_xlfn.CONCAT(Lines!AH11,","),FIND($A$2,Lines!AH11))-FIND($A$2,Lines!AH11)-LEN($A$2)-1))</f>
        <v/>
      </c>
      <c r="AI11" s="30" t="str">
        <f>IF(ISERROR(FIND($A$2,Lines!AI11))=TRUE,"",MID(Lines!AI11,FIND($A$2,Lines!AI11)+LEN($A$2)+1,FIND(",",_xlfn.CONCAT(Lines!AI11,","),FIND($A$2,Lines!AI11))-FIND($A$2,Lines!AI11)-LEN($A$2)-1))</f>
        <v/>
      </c>
      <c r="AJ11" s="30" t="str">
        <f>IF(ISERROR(FIND($A$2,Lines!AJ11))=TRUE,"",MID(Lines!AJ11,FIND($A$2,Lines!AJ11)+LEN($A$2)+1,FIND(",",_xlfn.CONCAT(Lines!AJ11,","),FIND($A$2,Lines!AJ11))-FIND($A$2,Lines!AJ11)-LEN($A$2)-1))</f>
        <v/>
      </c>
      <c r="AK11" s="30" t="str">
        <f>IF(ISERROR(FIND($A$2,Lines!AK11))=TRUE,"",MID(Lines!AK11,FIND($A$2,Lines!AK11)+LEN($A$2)+1,FIND(",",_xlfn.CONCAT(Lines!AK11,","),FIND($A$2,Lines!AK11))-FIND($A$2,Lines!AK11)-LEN($A$2)-1))</f>
        <v/>
      </c>
      <c r="AL11" s="30" t="str">
        <f>IF(ISERROR(FIND($A$2,Lines!AL11))=TRUE,"",MID(Lines!AL11,FIND($A$2,Lines!AL11)+LEN($A$2)+1,FIND(",",_xlfn.CONCAT(Lines!AL11,","),FIND($A$2,Lines!AL11))-FIND($A$2,Lines!AL11)-LEN($A$2)-1))</f>
        <v/>
      </c>
      <c r="AM11" s="30" t="str">
        <f>IF(ISERROR(FIND($A$2,Lines!AM11))=TRUE,"",MID(Lines!AM11,FIND($A$2,Lines!AM11)+LEN($A$2)+1,FIND(",",_xlfn.CONCAT(Lines!AM11,","),FIND($A$2,Lines!AM11))-FIND($A$2,Lines!AM11)-LEN($A$2)-1))</f>
        <v/>
      </c>
      <c r="AN11" s="30" t="str">
        <f>IF(ISERROR(FIND($A$2,Lines!AN11))=TRUE,"",MID(Lines!AN11,FIND($A$2,Lines!AN11)+LEN($A$2)+1,FIND(",",_xlfn.CONCAT(Lines!AN11,","),FIND($A$2,Lines!AN11))-FIND($A$2,Lines!AN11)-LEN($A$2)-1))</f>
        <v/>
      </c>
      <c r="AO11" s="30" t="str">
        <f>IF(ISERROR(FIND($A$2,Lines!AO11))=TRUE,"",MID(Lines!AO11,FIND($A$2,Lines!AO11)+LEN($A$2)+1,FIND(",",_xlfn.CONCAT(Lines!AO11,","),FIND($A$2,Lines!AO11))-FIND($A$2,Lines!AO11)-LEN($A$2)-1))</f>
        <v/>
      </c>
      <c r="AP11" s="30" t="str">
        <f>IF(ISERROR(FIND($A$2,Lines!AP11))=TRUE,"",MID(Lines!AP11,FIND($A$2,Lines!AP11)+LEN($A$2)+1,FIND(",",_xlfn.CONCAT(Lines!AP11,","),FIND($A$2,Lines!AP11))-FIND($A$2,Lines!AP11)-LEN($A$2)-1))</f>
        <v/>
      </c>
      <c r="AQ11" s="30" t="str">
        <f>IF(ISERROR(FIND($A$2,Lines!AQ11))=TRUE,"",MID(Lines!AQ11,FIND($A$2,Lines!AQ11)+LEN($A$2)+1,FIND(",",_xlfn.CONCAT(Lines!AQ11,","),FIND($A$2,Lines!AQ11))-FIND($A$2,Lines!AQ11)-LEN($A$2)-1))</f>
        <v/>
      </c>
      <c r="AR11" s="30" t="str">
        <f>IF(ISERROR(FIND($A$2,Lines!AR11))=TRUE,"",MID(Lines!AR11,FIND($A$2,Lines!AR11)+LEN($A$2)+1,FIND(",",_xlfn.CONCAT(Lines!AR11,","),FIND($A$2,Lines!AR11))-FIND($A$2,Lines!AR11)-LEN($A$2)-1))</f>
        <v/>
      </c>
      <c r="AS11" s="30" t="str">
        <f>IF(ISERROR(FIND($A$2,Lines!AS11))=TRUE,"",MID(Lines!AS11,FIND($A$2,Lines!AS11)+LEN($A$2)+1,FIND(",",_xlfn.CONCAT(Lines!AS11,","),FIND($A$2,Lines!AS11))-FIND($A$2,Lines!AS11)-LEN($A$2)-1))</f>
        <v/>
      </c>
      <c r="AT11" s="30" t="str">
        <f>IF(ISERROR(FIND($A$2,Lines!AT11))=TRUE,"",MID(Lines!AT11,FIND($A$2,Lines!AT11)+LEN($A$2)+1,FIND(",",_xlfn.CONCAT(Lines!AT11,","),FIND($A$2,Lines!AT11))-FIND($A$2,Lines!AT11)-LEN($A$2)-1))</f>
        <v/>
      </c>
    </row>
    <row r="12" spans="1:46" ht="20.25" customHeight="1">
      <c r="A12" s="2" t="s">
        <v>62</v>
      </c>
      <c r="B12" s="26" t="str">
        <f>IF(ISERROR(FIND($A$2,Lines!B12))=TRUE,"",MID(Lines!B12,FIND($A$2,Lines!B12)+LEN($A$2)+1,FIND(",",_xlfn.CONCAT(Lines!B12,","),FIND($A$2,Lines!B12))-FIND($A$2,Lines!B12)-LEN($A$2)-1))</f>
        <v/>
      </c>
      <c r="C12" s="26" t="str">
        <f>IF(ISERROR(FIND($A$2,Lines!C12))=TRUE,"",MID(Lines!C12,FIND($A$2,Lines!C12)+LEN($A$2)+1,FIND(",",_xlfn.CONCAT(Lines!C12,","),FIND($A$2,Lines!C12))-FIND($A$2,Lines!C12)-LEN($A$2)-1))</f>
        <v/>
      </c>
      <c r="D12" s="26" t="str">
        <f>IF(ISERROR(FIND($A$2,Lines!D12))=TRUE,"",MID(Lines!D12,FIND($A$2,Lines!D12)+LEN($A$2)+1,FIND(",",_xlfn.CONCAT(Lines!D12,","),FIND($A$2,Lines!D12))-FIND($A$2,Lines!D12)-LEN($A$2)-1))</f>
        <v/>
      </c>
      <c r="E12" s="26" t="str">
        <f>IF(ISERROR(FIND($A$2,Lines!E12))=TRUE,"",MID(Lines!E12,FIND($A$2,Lines!E12)+LEN($A$2)+1,FIND(",",_xlfn.CONCAT(Lines!E12,","),FIND($A$2,Lines!E12))-FIND($A$2,Lines!E12)-LEN($A$2)-1))</f>
        <v/>
      </c>
      <c r="F12" s="26" t="str">
        <f>IF(ISERROR(FIND($A$2,Lines!F12))=TRUE,"",MID(Lines!F12,FIND($A$2,Lines!F12)+LEN($A$2)+1,FIND(",",_xlfn.CONCAT(Lines!F12,","),FIND($A$2,Lines!F12))-FIND($A$2,Lines!F12)-LEN($A$2)-1))</f>
        <v/>
      </c>
      <c r="G12" s="26" t="str">
        <f>IF(ISERROR(FIND($A$2,Lines!G12))=TRUE,"",MID(Lines!G12,FIND($A$2,Lines!G12)+LEN($A$2)+1,FIND(",",_xlfn.CONCAT(Lines!G12,","),FIND($A$2,Lines!G12))-FIND($A$2,Lines!G12)-LEN($A$2)-1))</f>
        <v/>
      </c>
      <c r="H12" s="26" t="str">
        <f>IF(ISERROR(FIND($A$2,Lines!H12))=TRUE,"",MID(Lines!H12,FIND($A$2,Lines!H12)+LEN($A$2)+1,FIND(",",_xlfn.CONCAT(Lines!H12,","),FIND($A$2,Lines!H12))-FIND($A$2,Lines!H12)-LEN($A$2)-1))</f>
        <v/>
      </c>
      <c r="I12" s="26" t="str">
        <f>IF(ISERROR(FIND($A$2,Lines!I12))=TRUE,"",MID(Lines!I12,FIND($A$2,Lines!I12)+LEN($A$2)+1,FIND(",",_xlfn.CONCAT(Lines!I12,","),FIND($A$2,Lines!I12))-FIND($A$2,Lines!I12)-LEN($A$2)-1))</f>
        <v/>
      </c>
      <c r="J12" s="63" t="str">
        <f>IF(ISERROR(FIND($A$2,Lines!J12))=TRUE,"",MID(Lines!J12,FIND($A$2,Lines!J12)+LEN($A$2)+1,FIND(",",_xlfn.CONCAT(Lines!J12,","),FIND($A$2,Lines!J12))-FIND($A$2,Lines!J12)-LEN($A$2)-1))</f>
        <v/>
      </c>
      <c r="K12" s="26" t="str">
        <f>IF(ISERROR(FIND($A$2,Lines!K12))=TRUE,"",MID(Lines!K12,FIND($A$2,Lines!K12)+LEN($A$2)+1,FIND(",",_xlfn.CONCAT(Lines!K12,","),FIND($A$2,Lines!K12))-FIND($A$2,Lines!K12)-LEN($A$2)-1))</f>
        <v/>
      </c>
      <c r="L12" s="26" t="str">
        <f>IF(ISERROR(FIND($A$2,Lines!L12))=TRUE,"",MID(Lines!L12,FIND($A$2,Lines!L12)+LEN($A$2)+1,FIND(",",_xlfn.CONCAT(Lines!L12,","),FIND($A$2,Lines!L12))-FIND($A$2,Lines!L12)-LEN($A$2)-1))</f>
        <v/>
      </c>
      <c r="M12" s="69" t="str">
        <f>IF(ISERROR(FIND($A$2,Lines!M12))=TRUE,"",MID(Lines!M12,FIND($A$2,Lines!M12)+LEN($A$2)+1,FIND(",",_xlfn.CONCAT(Lines!M12,","),FIND($A$2,Lines!M12))-FIND($A$2,Lines!M12)-LEN($A$2)-1))</f>
        <v/>
      </c>
      <c r="N12" s="30" t="str">
        <f>IF(ISERROR(FIND($A$2,Lines!N12))=TRUE,"",MID(Lines!N12,FIND($A$2,Lines!N12)+LEN($A$2)+1,FIND(",",_xlfn.CONCAT(Lines!N12,","),FIND($A$2,Lines!N12))-FIND($A$2,Lines!N12)-LEN($A$2)-1))</f>
        <v/>
      </c>
      <c r="O12" s="30" t="str">
        <f>IF(ISERROR(FIND($A$2,Lines!O12))=TRUE,"",MID(Lines!O12,FIND($A$2,Lines!O12)+LEN($A$2)+1,FIND(",",_xlfn.CONCAT(Lines!O12,","),FIND($A$2,Lines!O12))-FIND($A$2,Lines!O12)-LEN($A$2)-1))</f>
        <v/>
      </c>
      <c r="P12" s="30" t="str">
        <f>IF(ISERROR(FIND($A$2,Lines!P12))=TRUE,"",MID(Lines!P12,FIND($A$2,Lines!P12)+LEN($A$2)+1,FIND(",",_xlfn.CONCAT(Lines!P12,","),FIND($A$2,Lines!P12))-FIND($A$2,Lines!P12)-LEN($A$2)-1))</f>
        <v/>
      </c>
      <c r="Q12" s="30" t="str">
        <f>IF(ISERROR(FIND($A$2,Lines!Q12))=TRUE,"",MID(Lines!Q12,FIND($A$2,Lines!Q12)+LEN($A$2)+1,FIND(",",_xlfn.CONCAT(Lines!Q12,","),FIND($A$2,Lines!Q12))-FIND($A$2,Lines!Q12)-LEN($A$2)-1))</f>
        <v/>
      </c>
      <c r="R12" s="30" t="str">
        <f>IF(ISERROR(FIND($A$2,Lines!R12))=TRUE,"",MID(Lines!R12,FIND($A$2,Lines!R12)+LEN($A$2)+1,FIND(",",_xlfn.CONCAT(Lines!R12,","),FIND($A$2,Lines!R12))-FIND($A$2,Lines!R12)-LEN($A$2)-1))</f>
        <v/>
      </c>
      <c r="S12" s="30" t="str">
        <f>IF(ISERROR(FIND($A$2,Lines!S12))=TRUE,"",MID(Lines!S12,FIND($A$2,Lines!S12)+LEN($A$2)+1,FIND(",",_xlfn.CONCAT(Lines!S12,","),FIND($A$2,Lines!S12))-FIND($A$2,Lines!S12)-LEN($A$2)-1))</f>
        <v/>
      </c>
      <c r="T12" s="30" t="str">
        <f>IF(ISERROR(FIND($A$2,Lines!T12))=TRUE,"",MID(Lines!T12,FIND($A$2,Lines!T12)+LEN($A$2)+1,FIND(",",_xlfn.CONCAT(Lines!T12,","),FIND($A$2,Lines!T12))-FIND($A$2,Lines!T12)-LEN($A$2)-1))</f>
        <v/>
      </c>
      <c r="U12" s="30" t="str">
        <f>IF(ISERROR(FIND($A$2,Lines!U12))=TRUE,"",MID(Lines!U12,FIND($A$2,Lines!U12)+LEN($A$2)+1,FIND(",",_xlfn.CONCAT(Lines!U12,","),FIND($A$2,Lines!U12))-FIND($A$2,Lines!U12)-LEN($A$2)-1))</f>
        <v/>
      </c>
      <c r="V12" s="30" t="str">
        <f>IF(ISERROR(FIND($A$2,Lines!V12))=TRUE,"",MID(Lines!V12,FIND($A$2,Lines!V12)+LEN($A$2)+1,FIND(",",_xlfn.CONCAT(Lines!V12,","),FIND($A$2,Lines!V12))-FIND($A$2,Lines!V12)-LEN($A$2)-1))</f>
        <v/>
      </c>
      <c r="W12" s="36" t="str">
        <f>IF(ISERROR(FIND($A$2,Lines!W12))=TRUE,"",MID(Lines!W12,FIND($A$2,Lines!W12)+LEN($A$2)+1,FIND(",",_xlfn.CONCAT(Lines!W12,","),FIND($A$2,Lines!W12))-FIND($A$2,Lines!W12)-LEN($A$2)-1))</f>
        <v/>
      </c>
      <c r="X12" s="30" t="str">
        <f>IF(ISERROR(FIND($A$2,Lines!X12))=TRUE,"",MID(Lines!X12,FIND($A$2,Lines!X12)+LEN($A$2)+1,FIND(",",_xlfn.CONCAT(Lines!X12,","),FIND($A$2,Lines!X12))-FIND($A$2,Lines!X12)-LEN($A$2)-1))</f>
        <v/>
      </c>
      <c r="Y12" s="30" t="str">
        <f>IF(ISERROR(FIND($A$2,Lines!Y12))=TRUE,"",MID(Lines!Y12,FIND($A$2,Lines!Y12)+LEN($A$2)+1,FIND(",",_xlfn.CONCAT(Lines!Y12,","),FIND($A$2,Lines!Y12))-FIND($A$2,Lines!Y12)-LEN($A$2)-1))</f>
        <v/>
      </c>
      <c r="Z12" s="30" t="str">
        <f>IF(ISERROR(FIND($A$2,Lines!Z12))=TRUE,"",MID(Lines!Z12,FIND($A$2,Lines!Z12)+LEN($A$2)+1,FIND(",",_xlfn.CONCAT(Lines!Z12,","),FIND($A$2,Lines!Z12))-FIND($A$2,Lines!Z12)-LEN($A$2)-1))</f>
        <v/>
      </c>
      <c r="AA12" s="30" t="str">
        <f>IF(ISERROR(FIND($A$2,Lines!AA12))=TRUE,"",MID(Lines!AA12,FIND($A$2,Lines!AA12)+LEN($A$2)+1,FIND(",",_xlfn.CONCAT(Lines!AA12,","),FIND($A$2,Lines!AA12))-FIND($A$2,Lines!AA12)-LEN($A$2)-1))</f>
        <v/>
      </c>
      <c r="AB12" s="30" t="str">
        <f>IF(ISERROR(FIND($A$2,Lines!AB12))=TRUE,"",MID(Lines!AB12,FIND($A$2,Lines!AB12)+LEN($A$2)+1,FIND(",",_xlfn.CONCAT(Lines!AB12,","),FIND($A$2,Lines!AB12))-FIND($A$2,Lines!AB12)-LEN($A$2)-1))</f>
        <v/>
      </c>
      <c r="AC12" s="30" t="str">
        <f>IF(ISERROR(FIND($A$2,Lines!AC12))=TRUE,"",MID(Lines!AC12,FIND($A$2,Lines!AC12)+LEN($A$2)+1,FIND(",",_xlfn.CONCAT(Lines!AC12,","),FIND($A$2,Lines!AC12))-FIND($A$2,Lines!AC12)-LEN($A$2)-1))</f>
        <v/>
      </c>
      <c r="AD12" s="30" t="str">
        <f>IF(ISERROR(FIND($A$2,Lines!AD12))=TRUE,"",MID(Lines!AD12,FIND($A$2,Lines!AD12)+LEN($A$2)+1,FIND(",",_xlfn.CONCAT(Lines!AD12,","),FIND($A$2,Lines!AD12))-FIND($A$2,Lines!AD12)-LEN($A$2)-1))</f>
        <v/>
      </c>
      <c r="AE12" s="30" t="str">
        <f>IF(ISERROR(FIND($A$2,Lines!AE12))=TRUE,"",MID(Lines!AE12,FIND($A$2,Lines!AE12)+LEN($A$2)+1,FIND(",",_xlfn.CONCAT(Lines!AE12,","),FIND($A$2,Lines!AE12))-FIND($A$2,Lines!AE12)-LEN($A$2)-1))</f>
        <v/>
      </c>
      <c r="AF12" s="30" t="str">
        <f>IF(ISERROR(FIND($A$2,Lines!AF12))=TRUE,"",MID(Lines!AF12,FIND($A$2,Lines!AF12)+LEN($A$2)+1,FIND(",",_xlfn.CONCAT(Lines!AF12,","),FIND($A$2,Lines!AF12))-FIND($A$2,Lines!AF12)-LEN($A$2)-1))</f>
        <v/>
      </c>
      <c r="AG12" s="30" t="str">
        <f>IF(ISERROR(FIND($A$2,Lines!AG12))=TRUE,"",MID(Lines!AG12,FIND($A$2,Lines!AG12)+LEN($A$2)+1,FIND(",",_xlfn.CONCAT(Lines!AG12,","),FIND($A$2,Lines!AG12))-FIND($A$2,Lines!AG12)-LEN($A$2)-1))</f>
        <v/>
      </c>
      <c r="AH12" s="30" t="str">
        <f>IF(ISERROR(FIND($A$2,Lines!AH12))=TRUE,"",MID(Lines!AH12,FIND($A$2,Lines!AH12)+LEN($A$2)+1,FIND(",",_xlfn.CONCAT(Lines!AH12,","),FIND($A$2,Lines!AH12))-FIND($A$2,Lines!AH12)-LEN($A$2)-1))</f>
        <v/>
      </c>
      <c r="AI12" s="30" t="str">
        <f>IF(ISERROR(FIND($A$2,Lines!AI12))=TRUE,"",MID(Lines!AI12,FIND($A$2,Lines!AI12)+LEN($A$2)+1,FIND(",",_xlfn.CONCAT(Lines!AI12,","),FIND($A$2,Lines!AI12))-FIND($A$2,Lines!AI12)-LEN($A$2)-1))</f>
        <v/>
      </c>
      <c r="AJ12" s="30" t="str">
        <f>IF(ISERROR(FIND($A$2,Lines!AJ12))=TRUE,"",MID(Lines!AJ12,FIND($A$2,Lines!AJ12)+LEN($A$2)+1,FIND(",",_xlfn.CONCAT(Lines!AJ12,","),FIND($A$2,Lines!AJ12))-FIND($A$2,Lines!AJ12)-LEN($A$2)-1))</f>
        <v/>
      </c>
      <c r="AK12" s="30" t="str">
        <f>IF(ISERROR(FIND($A$2,Lines!AK12))=TRUE,"",MID(Lines!AK12,FIND($A$2,Lines!AK12)+LEN($A$2)+1,FIND(",",_xlfn.CONCAT(Lines!AK12,","),FIND($A$2,Lines!AK12))-FIND($A$2,Lines!AK12)-LEN($A$2)-1))</f>
        <v/>
      </c>
      <c r="AL12" s="30" t="str">
        <f>IF(ISERROR(FIND($A$2,Lines!AL12))=TRUE,"",MID(Lines!AL12,FIND($A$2,Lines!AL12)+LEN($A$2)+1,FIND(",",_xlfn.CONCAT(Lines!AL12,","),FIND($A$2,Lines!AL12))-FIND($A$2,Lines!AL12)-LEN($A$2)-1))</f>
        <v/>
      </c>
      <c r="AM12" s="30" t="str">
        <f>IF(ISERROR(FIND($A$2,Lines!AM12))=TRUE,"",MID(Lines!AM12,FIND($A$2,Lines!AM12)+LEN($A$2)+1,FIND(",",_xlfn.CONCAT(Lines!AM12,","),FIND($A$2,Lines!AM12))-FIND($A$2,Lines!AM12)-LEN($A$2)-1))</f>
        <v/>
      </c>
      <c r="AN12" s="30" t="str">
        <f>IF(ISERROR(FIND($A$2,Lines!AN12))=TRUE,"",MID(Lines!AN12,FIND($A$2,Lines!AN12)+LEN($A$2)+1,FIND(",",_xlfn.CONCAT(Lines!AN12,","),FIND($A$2,Lines!AN12))-FIND($A$2,Lines!AN12)-LEN($A$2)-1))</f>
        <v/>
      </c>
      <c r="AO12" s="30" t="str">
        <f>IF(ISERROR(FIND($A$2,Lines!AO12))=TRUE,"",MID(Lines!AO12,FIND($A$2,Lines!AO12)+LEN($A$2)+1,FIND(",",_xlfn.CONCAT(Lines!AO12,","),FIND($A$2,Lines!AO12))-FIND($A$2,Lines!AO12)-LEN($A$2)-1))</f>
        <v/>
      </c>
      <c r="AP12" s="30" t="str">
        <f>IF(ISERROR(FIND($A$2,Lines!AP12))=TRUE,"",MID(Lines!AP12,FIND($A$2,Lines!AP12)+LEN($A$2)+1,FIND(",",_xlfn.CONCAT(Lines!AP12,","),FIND($A$2,Lines!AP12))-FIND($A$2,Lines!AP12)-LEN($A$2)-1))</f>
        <v/>
      </c>
      <c r="AQ12" s="30" t="str">
        <f>IF(ISERROR(FIND($A$2,Lines!AQ12))=TRUE,"",MID(Lines!AQ12,FIND($A$2,Lines!AQ12)+LEN($A$2)+1,FIND(",",_xlfn.CONCAT(Lines!AQ12,","),FIND($A$2,Lines!AQ12))-FIND($A$2,Lines!AQ12)-LEN($A$2)-1))</f>
        <v/>
      </c>
      <c r="AR12" s="30" t="str">
        <f>IF(ISERROR(FIND($A$2,Lines!AR12))=TRUE,"",MID(Lines!AR12,FIND($A$2,Lines!AR12)+LEN($A$2)+1,FIND(",",_xlfn.CONCAT(Lines!AR12,","),FIND($A$2,Lines!AR12))-FIND($A$2,Lines!AR12)-LEN($A$2)-1))</f>
        <v/>
      </c>
      <c r="AS12" s="30" t="str">
        <f>IF(ISERROR(FIND($A$2,Lines!AS12))=TRUE,"",MID(Lines!AS12,FIND($A$2,Lines!AS12)+LEN($A$2)+1,FIND(",",_xlfn.CONCAT(Lines!AS12,","),FIND($A$2,Lines!AS12))-FIND($A$2,Lines!AS12)-LEN($A$2)-1))</f>
        <v/>
      </c>
      <c r="AT12" s="30" t="str">
        <f>IF(ISERROR(FIND($A$2,Lines!AT12))=TRUE,"",MID(Lines!AT12,FIND($A$2,Lines!AT12)+LEN($A$2)+1,FIND(",",_xlfn.CONCAT(Lines!AT12,","),FIND($A$2,Lines!AT12))-FIND($A$2,Lines!AT12)-LEN($A$2)-1))</f>
        <v/>
      </c>
    </row>
    <row r="13" spans="1:46" ht="20.25" customHeight="1">
      <c r="A13" s="2" t="s">
        <v>63</v>
      </c>
      <c r="B13" s="26" t="str">
        <f>IF(ISERROR(FIND($A$2,Lines!B13))=TRUE,"",MID(Lines!B13,FIND($A$2,Lines!B13)+LEN($A$2)+1,FIND(",",_xlfn.CONCAT(Lines!B13,","),FIND($A$2,Lines!B13))-FIND($A$2,Lines!B13)-LEN($A$2)-1))</f>
        <v/>
      </c>
      <c r="C13" s="26" t="str">
        <f>IF(ISERROR(FIND($A$2,Lines!C13))=TRUE,"",MID(Lines!C13,FIND($A$2,Lines!C13)+LEN($A$2)+1,FIND(",",_xlfn.CONCAT(Lines!C13,","),FIND($A$2,Lines!C13))-FIND($A$2,Lines!C13)-LEN($A$2)-1))</f>
        <v/>
      </c>
      <c r="D13" s="26" t="str">
        <f>IF(ISERROR(FIND($A$2,Lines!D13))=TRUE,"",MID(Lines!D13,FIND($A$2,Lines!D13)+LEN($A$2)+1,FIND(",",_xlfn.CONCAT(Lines!D13,","),FIND($A$2,Lines!D13))-FIND($A$2,Lines!D13)-LEN($A$2)-1))</f>
        <v/>
      </c>
      <c r="E13" s="26" t="str">
        <f>IF(ISERROR(FIND($A$2,Lines!E13))=TRUE,"",MID(Lines!E13,FIND($A$2,Lines!E13)+LEN($A$2)+1,FIND(",",_xlfn.CONCAT(Lines!E13,","),FIND($A$2,Lines!E13))-FIND($A$2,Lines!E13)-LEN($A$2)-1))</f>
        <v/>
      </c>
      <c r="F13" s="26" t="str">
        <f>IF(ISERROR(FIND($A$2,Lines!F13))=TRUE,"",MID(Lines!F13,FIND($A$2,Lines!F13)+LEN($A$2)+1,FIND(",",_xlfn.CONCAT(Lines!F13,","),FIND($A$2,Lines!F13))-FIND($A$2,Lines!F13)-LEN($A$2)-1))</f>
        <v/>
      </c>
      <c r="G13" s="26" t="str">
        <f>IF(ISERROR(FIND($A$2,Lines!G13))=TRUE,"",MID(Lines!G13,FIND($A$2,Lines!G13)+LEN($A$2)+1,FIND(",",_xlfn.CONCAT(Lines!G13,","),FIND($A$2,Lines!G13))-FIND($A$2,Lines!G13)-LEN($A$2)-1))</f>
        <v/>
      </c>
      <c r="H13" s="26" t="str">
        <f>IF(ISERROR(FIND($A$2,Lines!H13))=TRUE,"",MID(Lines!H13,FIND($A$2,Lines!H13)+LEN($A$2)+1,FIND(",",_xlfn.CONCAT(Lines!H13,","),FIND($A$2,Lines!H13))-FIND($A$2,Lines!H13)-LEN($A$2)-1))</f>
        <v/>
      </c>
      <c r="I13" s="26" t="str">
        <f>IF(ISERROR(FIND($A$2,Lines!I13))=TRUE,"",MID(Lines!I13,FIND($A$2,Lines!I13)+LEN($A$2)+1,FIND(",",_xlfn.CONCAT(Lines!I13,","),FIND($A$2,Lines!I13))-FIND($A$2,Lines!I13)-LEN($A$2)-1))</f>
        <v/>
      </c>
      <c r="J13" s="26" t="str">
        <f>IF(ISERROR(FIND($A$2,Lines!J13))=TRUE,"",MID(Lines!J13,FIND($A$2,Lines!J13)+LEN($A$2)+1,FIND(",",_xlfn.CONCAT(Lines!J13,","),FIND($A$2,Lines!J13))-FIND($A$2,Lines!J13)-LEN($A$2)-1))</f>
        <v/>
      </c>
      <c r="K13" s="63" t="str">
        <f>IF(ISERROR(FIND($A$2,Lines!K13))=TRUE,"",MID(Lines!K13,FIND($A$2,Lines!K13)+LEN($A$2)+1,FIND(",",_xlfn.CONCAT(Lines!K13,","),FIND($A$2,Lines!K13))-FIND($A$2,Lines!K13)-LEN($A$2)-1))</f>
        <v/>
      </c>
      <c r="L13" s="26" t="str">
        <f>IF(ISERROR(FIND($A$2,Lines!L13))=TRUE,"",MID(Lines!L13,FIND($A$2,Lines!L13)+LEN($A$2)+1,FIND(",",_xlfn.CONCAT(Lines!L13,","),FIND($A$2,Lines!L13))-FIND($A$2,Lines!L13)-LEN($A$2)-1))</f>
        <v/>
      </c>
      <c r="M13" s="27" t="str">
        <f>IF(ISERROR(FIND($A$2,Lines!M13))=TRUE,"",MID(Lines!M13,FIND($A$2,Lines!M13)+LEN($A$2)+1,FIND(",",_xlfn.CONCAT(Lines!M13,","),FIND($A$2,Lines!M13))-FIND($A$2,Lines!M13)-LEN($A$2)-1))</f>
        <v/>
      </c>
      <c r="N13" s="30" t="str">
        <f>IF(ISERROR(FIND($A$2,Lines!N13))=TRUE,"",MID(Lines!N13,FIND($A$2,Lines!N13)+LEN($A$2)+1,FIND(",",_xlfn.CONCAT(Lines!N13,","),FIND($A$2,Lines!N13))-FIND($A$2,Lines!N13)-LEN($A$2)-1))</f>
        <v/>
      </c>
      <c r="O13" s="30" t="str">
        <f>IF(ISERROR(FIND($A$2,Lines!O13))=TRUE,"",MID(Lines!O13,FIND($A$2,Lines!O13)+LEN($A$2)+1,FIND(",",_xlfn.CONCAT(Lines!O13,","),FIND($A$2,Lines!O13))-FIND($A$2,Lines!O13)-LEN($A$2)-1))</f>
        <v/>
      </c>
      <c r="P13" s="30" t="str">
        <f>IF(ISERROR(FIND($A$2,Lines!P13))=TRUE,"",MID(Lines!P13,FIND($A$2,Lines!P13)+LEN($A$2)+1,FIND(",",_xlfn.CONCAT(Lines!P13,","),FIND($A$2,Lines!P13))-FIND($A$2,Lines!P13)-LEN($A$2)-1))</f>
        <v/>
      </c>
      <c r="Q13" s="30" t="str">
        <f>IF(ISERROR(FIND($A$2,Lines!Q13))=TRUE,"",MID(Lines!Q13,FIND($A$2,Lines!Q13)+LEN($A$2)+1,FIND(",",_xlfn.CONCAT(Lines!Q13,","),FIND($A$2,Lines!Q13))-FIND($A$2,Lines!Q13)-LEN($A$2)-1))</f>
        <v/>
      </c>
      <c r="R13" s="30" t="str">
        <f>IF(ISERROR(FIND($A$2,Lines!R13))=TRUE,"",MID(Lines!R13,FIND($A$2,Lines!R13)+LEN($A$2)+1,FIND(",",_xlfn.CONCAT(Lines!R13,","),FIND($A$2,Lines!R13))-FIND($A$2,Lines!R13)-LEN($A$2)-1))</f>
        <v/>
      </c>
      <c r="S13" s="30" t="str">
        <f>IF(ISERROR(FIND($A$2,Lines!S13))=TRUE,"",MID(Lines!S13,FIND($A$2,Lines!S13)+LEN($A$2)+1,FIND(",",_xlfn.CONCAT(Lines!S13,","),FIND($A$2,Lines!S13))-FIND($A$2,Lines!S13)-LEN($A$2)-1))</f>
        <v/>
      </c>
      <c r="T13" s="30" t="str">
        <f>IF(ISERROR(FIND($A$2,Lines!T13))=TRUE,"",MID(Lines!T13,FIND($A$2,Lines!T13)+LEN($A$2)+1,FIND(",",_xlfn.CONCAT(Lines!T13,","),FIND($A$2,Lines!T13))-FIND($A$2,Lines!T13)-LEN($A$2)-1))</f>
        <v/>
      </c>
      <c r="U13" s="30" t="str">
        <f>IF(ISERROR(FIND($A$2,Lines!U13))=TRUE,"",MID(Lines!U13,FIND($A$2,Lines!U13)+LEN($A$2)+1,FIND(",",_xlfn.CONCAT(Lines!U13,","),FIND($A$2,Lines!U13))-FIND($A$2,Lines!U13)-LEN($A$2)-1))</f>
        <v/>
      </c>
      <c r="V13" s="30" t="str">
        <f>IF(ISERROR(FIND($A$2,Lines!V13))=TRUE,"",MID(Lines!V13,FIND($A$2,Lines!V13)+LEN($A$2)+1,FIND(",",_xlfn.CONCAT(Lines!V13,","),FIND($A$2,Lines!V13))-FIND($A$2,Lines!V13)-LEN($A$2)-1))</f>
        <v/>
      </c>
      <c r="W13" s="36" t="str">
        <f>IF(ISERROR(FIND($A$2,Lines!W13))=TRUE,"",MID(Lines!W13,FIND($A$2,Lines!W13)+LEN($A$2)+1,FIND(",",_xlfn.CONCAT(Lines!W13,","),FIND($A$2,Lines!W13))-FIND($A$2,Lines!W13)-LEN($A$2)-1))</f>
        <v/>
      </c>
      <c r="X13" s="30" t="str">
        <f>IF(ISERROR(FIND($A$2,Lines!X13))=TRUE,"",MID(Lines!X13,FIND($A$2,Lines!X13)+LEN($A$2)+1,FIND(",",_xlfn.CONCAT(Lines!X13,","),FIND($A$2,Lines!X13))-FIND($A$2,Lines!X13)-LEN($A$2)-1))</f>
        <v/>
      </c>
      <c r="Y13" s="30" t="str">
        <f>IF(ISERROR(FIND($A$2,Lines!Y13))=TRUE,"",MID(Lines!Y13,FIND($A$2,Lines!Y13)+LEN($A$2)+1,FIND(",",_xlfn.CONCAT(Lines!Y13,","),FIND($A$2,Lines!Y13))-FIND($A$2,Lines!Y13)-LEN($A$2)-1))</f>
        <v/>
      </c>
      <c r="Z13" s="30" t="str">
        <f>IF(ISERROR(FIND($A$2,Lines!Z13))=TRUE,"",MID(Lines!Z13,FIND($A$2,Lines!Z13)+LEN($A$2)+1,FIND(",",_xlfn.CONCAT(Lines!Z13,","),FIND($A$2,Lines!Z13))-FIND($A$2,Lines!Z13)-LEN($A$2)-1))</f>
        <v/>
      </c>
      <c r="AA13" s="30" t="str">
        <f>IF(ISERROR(FIND($A$2,Lines!AA13))=TRUE,"",MID(Lines!AA13,FIND($A$2,Lines!AA13)+LEN($A$2)+1,FIND(",",_xlfn.CONCAT(Lines!AA13,","),FIND($A$2,Lines!AA13))-FIND($A$2,Lines!AA13)-LEN($A$2)-1))</f>
        <v/>
      </c>
      <c r="AB13" s="30" t="str">
        <f>IF(ISERROR(FIND($A$2,Lines!AB13))=TRUE,"",MID(Lines!AB13,FIND($A$2,Lines!AB13)+LEN($A$2)+1,FIND(",",_xlfn.CONCAT(Lines!AB13,","),FIND($A$2,Lines!AB13))-FIND($A$2,Lines!AB13)-LEN($A$2)-1))</f>
        <v/>
      </c>
      <c r="AC13" s="30" t="str">
        <f>IF(ISERROR(FIND($A$2,Lines!AC13))=TRUE,"",MID(Lines!AC13,FIND($A$2,Lines!AC13)+LEN($A$2)+1,FIND(",",_xlfn.CONCAT(Lines!AC13,","),FIND($A$2,Lines!AC13))-FIND($A$2,Lines!AC13)-LEN($A$2)-1))</f>
        <v/>
      </c>
      <c r="AD13" s="30" t="str">
        <f>IF(ISERROR(FIND($A$2,Lines!AD13))=TRUE,"",MID(Lines!AD13,FIND($A$2,Lines!AD13)+LEN($A$2)+1,FIND(",",_xlfn.CONCAT(Lines!AD13,","),FIND($A$2,Lines!AD13))-FIND($A$2,Lines!AD13)-LEN($A$2)-1))</f>
        <v/>
      </c>
      <c r="AE13" s="30" t="str">
        <f>IF(ISERROR(FIND($A$2,Lines!AE13))=TRUE,"",MID(Lines!AE13,FIND($A$2,Lines!AE13)+LEN($A$2)+1,FIND(",",_xlfn.CONCAT(Lines!AE13,","),FIND($A$2,Lines!AE13))-FIND($A$2,Lines!AE13)-LEN($A$2)-1))</f>
        <v/>
      </c>
      <c r="AF13" s="30" t="str">
        <f>IF(ISERROR(FIND($A$2,Lines!AF13))=TRUE,"",MID(Lines!AF13,FIND($A$2,Lines!AF13)+LEN($A$2)+1,FIND(",",_xlfn.CONCAT(Lines!AF13,","),FIND($A$2,Lines!AF13))-FIND($A$2,Lines!AF13)-LEN($A$2)-1))</f>
        <v/>
      </c>
      <c r="AG13" s="30" t="str">
        <f>IF(ISERROR(FIND($A$2,Lines!AG13))=TRUE,"",MID(Lines!AG13,FIND($A$2,Lines!AG13)+LEN($A$2)+1,FIND(",",_xlfn.CONCAT(Lines!AG13,","),FIND($A$2,Lines!AG13))-FIND($A$2,Lines!AG13)-LEN($A$2)-1))</f>
        <v/>
      </c>
      <c r="AH13" s="30" t="str">
        <f>IF(ISERROR(FIND($A$2,Lines!AH13))=TRUE,"",MID(Lines!AH13,FIND($A$2,Lines!AH13)+LEN($A$2)+1,FIND(",",_xlfn.CONCAT(Lines!AH13,","),FIND($A$2,Lines!AH13))-FIND($A$2,Lines!AH13)-LEN($A$2)-1))</f>
        <v/>
      </c>
      <c r="AI13" s="30" t="str">
        <f>IF(ISERROR(FIND($A$2,Lines!AI13))=TRUE,"",MID(Lines!AI13,FIND($A$2,Lines!AI13)+LEN($A$2)+1,FIND(",",_xlfn.CONCAT(Lines!AI13,","),FIND($A$2,Lines!AI13))-FIND($A$2,Lines!AI13)-LEN($A$2)-1))</f>
        <v/>
      </c>
      <c r="AJ13" s="30" t="str">
        <f>IF(ISERROR(FIND($A$2,Lines!AJ13))=TRUE,"",MID(Lines!AJ13,FIND($A$2,Lines!AJ13)+LEN($A$2)+1,FIND(",",_xlfn.CONCAT(Lines!AJ13,","),FIND($A$2,Lines!AJ13))-FIND($A$2,Lines!AJ13)-LEN($A$2)-1))</f>
        <v/>
      </c>
      <c r="AK13" s="30" t="str">
        <f>IF(ISERROR(FIND($A$2,Lines!AK13))=TRUE,"",MID(Lines!AK13,FIND($A$2,Lines!AK13)+LEN($A$2)+1,FIND(",",_xlfn.CONCAT(Lines!AK13,","),FIND($A$2,Lines!AK13))-FIND($A$2,Lines!AK13)-LEN($A$2)-1))</f>
        <v/>
      </c>
      <c r="AL13" s="30" t="str">
        <f>IF(ISERROR(FIND($A$2,Lines!AL13))=TRUE,"",MID(Lines!AL13,FIND($A$2,Lines!AL13)+LEN($A$2)+1,FIND(",",_xlfn.CONCAT(Lines!AL13,","),FIND($A$2,Lines!AL13))-FIND($A$2,Lines!AL13)-LEN($A$2)-1))</f>
        <v/>
      </c>
      <c r="AM13" s="30" t="str">
        <f>IF(ISERROR(FIND($A$2,Lines!AM13))=TRUE,"",MID(Lines!AM13,FIND($A$2,Lines!AM13)+LEN($A$2)+1,FIND(",",_xlfn.CONCAT(Lines!AM13,","),FIND($A$2,Lines!AM13))-FIND($A$2,Lines!AM13)-LEN($A$2)-1))</f>
        <v/>
      </c>
      <c r="AN13" s="30" t="str">
        <f>IF(ISERROR(FIND($A$2,Lines!AN13))=TRUE,"",MID(Lines!AN13,FIND($A$2,Lines!AN13)+LEN($A$2)+1,FIND(",",_xlfn.CONCAT(Lines!AN13,","),FIND($A$2,Lines!AN13))-FIND($A$2,Lines!AN13)-LEN($A$2)-1))</f>
        <v/>
      </c>
      <c r="AO13" s="30" t="str">
        <f>IF(ISERROR(FIND($A$2,Lines!AO13))=TRUE,"",MID(Lines!AO13,FIND($A$2,Lines!AO13)+LEN($A$2)+1,FIND(",",_xlfn.CONCAT(Lines!AO13,","),FIND($A$2,Lines!AO13))-FIND($A$2,Lines!AO13)-LEN($A$2)-1))</f>
        <v/>
      </c>
      <c r="AP13" s="30" t="str">
        <f>IF(ISERROR(FIND($A$2,Lines!AP13))=TRUE,"",MID(Lines!AP13,FIND($A$2,Lines!AP13)+LEN($A$2)+1,FIND(",",_xlfn.CONCAT(Lines!AP13,","),FIND($A$2,Lines!AP13))-FIND($A$2,Lines!AP13)-LEN($A$2)-1))</f>
        <v/>
      </c>
      <c r="AQ13" s="30" t="str">
        <f>IF(ISERROR(FIND($A$2,Lines!AQ13))=TRUE,"",MID(Lines!AQ13,FIND($A$2,Lines!AQ13)+LEN($A$2)+1,FIND(",",_xlfn.CONCAT(Lines!AQ13,","),FIND($A$2,Lines!AQ13))-FIND($A$2,Lines!AQ13)-LEN($A$2)-1))</f>
        <v/>
      </c>
      <c r="AR13" s="30" t="str">
        <f>IF(ISERROR(FIND($A$2,Lines!AR13))=TRUE,"",MID(Lines!AR13,FIND($A$2,Lines!AR13)+LEN($A$2)+1,FIND(",",_xlfn.CONCAT(Lines!AR13,","),FIND($A$2,Lines!AR13))-FIND($A$2,Lines!AR13)-LEN($A$2)-1))</f>
        <v/>
      </c>
      <c r="AS13" s="30" t="str">
        <f>IF(ISERROR(FIND($A$2,Lines!AS13))=TRUE,"",MID(Lines!AS13,FIND($A$2,Lines!AS13)+LEN($A$2)+1,FIND(",",_xlfn.CONCAT(Lines!AS13,","),FIND($A$2,Lines!AS13))-FIND($A$2,Lines!AS13)-LEN($A$2)-1))</f>
        <v/>
      </c>
      <c r="AT13" s="30" t="str">
        <f>IF(ISERROR(FIND($A$2,Lines!AT13))=TRUE,"",MID(Lines!AT13,FIND($A$2,Lines!AT13)+LEN($A$2)+1,FIND(",",_xlfn.CONCAT(Lines!AT13,","),FIND($A$2,Lines!AT13))-FIND($A$2,Lines!AT13)-LEN($A$2)-1))</f>
        <v/>
      </c>
    </row>
    <row r="14" spans="1:46" ht="20.25" customHeight="1">
      <c r="A14" s="2" t="s">
        <v>64</v>
      </c>
      <c r="B14" s="26" t="str">
        <f>IF(ISERROR(FIND($A$2,Lines!B14))=TRUE,"",MID(Lines!B14,FIND($A$2,Lines!B14)+LEN($A$2)+1,FIND(",",_xlfn.CONCAT(Lines!B14,","),FIND($A$2,Lines!B14))-FIND($A$2,Lines!B14)-LEN($A$2)-1))</f>
        <v/>
      </c>
      <c r="C14" s="26" t="str">
        <f>IF(ISERROR(FIND($A$2,Lines!C14))=TRUE,"",MID(Lines!C14,FIND($A$2,Lines!C14)+LEN($A$2)+1,FIND(",",_xlfn.CONCAT(Lines!C14,","),FIND($A$2,Lines!C14))-FIND($A$2,Lines!C14)-LEN($A$2)-1))</f>
        <v/>
      </c>
      <c r="D14" s="26" t="str">
        <f>IF(ISERROR(FIND($A$2,Lines!D14))=TRUE,"",MID(Lines!D14,FIND($A$2,Lines!D14)+LEN($A$2)+1,FIND(",",_xlfn.CONCAT(Lines!D14,","),FIND($A$2,Lines!D14))-FIND($A$2,Lines!D14)-LEN($A$2)-1))</f>
        <v/>
      </c>
      <c r="E14" s="26" t="str">
        <f>IF(ISERROR(FIND($A$2,Lines!E14))=TRUE,"",MID(Lines!E14,FIND($A$2,Lines!E14)+LEN($A$2)+1,FIND(",",_xlfn.CONCAT(Lines!E14,","),FIND($A$2,Lines!E14))-FIND($A$2,Lines!E14)-LEN($A$2)-1))</f>
        <v/>
      </c>
      <c r="F14" s="26" t="str">
        <f>IF(ISERROR(FIND($A$2,Lines!F14))=TRUE,"",MID(Lines!F14,FIND($A$2,Lines!F14)+LEN($A$2)+1,FIND(",",_xlfn.CONCAT(Lines!F14,","),FIND($A$2,Lines!F14))-FIND($A$2,Lines!F14)-LEN($A$2)-1))</f>
        <v/>
      </c>
      <c r="G14" s="26" t="str">
        <f>IF(ISERROR(FIND($A$2,Lines!G14))=TRUE,"",MID(Lines!G14,FIND($A$2,Lines!G14)+LEN($A$2)+1,FIND(",",_xlfn.CONCAT(Lines!G14,","),FIND($A$2,Lines!G14))-FIND($A$2,Lines!G14)-LEN($A$2)-1))</f>
        <v/>
      </c>
      <c r="H14" s="26" t="str">
        <f>IF(ISERROR(FIND($A$2,Lines!H14))=TRUE,"",MID(Lines!H14,FIND($A$2,Lines!H14)+LEN($A$2)+1,FIND(",",_xlfn.CONCAT(Lines!H14,","),FIND($A$2,Lines!H14))-FIND($A$2,Lines!H14)-LEN($A$2)-1))</f>
        <v/>
      </c>
      <c r="I14" s="26" t="str">
        <f>IF(ISERROR(FIND($A$2,Lines!I14))=TRUE,"",MID(Lines!I14,FIND($A$2,Lines!I14)+LEN($A$2)+1,FIND(",",_xlfn.CONCAT(Lines!I14,","),FIND($A$2,Lines!I14))-FIND($A$2,Lines!I14)-LEN($A$2)-1))</f>
        <v/>
      </c>
      <c r="J14" s="26" t="str">
        <f>IF(ISERROR(FIND($A$2,Lines!J14))=TRUE,"",MID(Lines!J14,FIND($A$2,Lines!J14)+LEN($A$2)+1,FIND(",",_xlfn.CONCAT(Lines!J14,","),FIND($A$2,Lines!J14))-FIND($A$2,Lines!J14)-LEN($A$2)-1))</f>
        <v/>
      </c>
      <c r="K14" s="26" t="str">
        <f>IF(ISERROR(FIND($A$2,Lines!K14))=TRUE,"",MID(Lines!K14,FIND($A$2,Lines!K14)+LEN($A$2)+1,FIND(",",_xlfn.CONCAT(Lines!K14,","),FIND($A$2,Lines!K14))-FIND($A$2,Lines!K14)-LEN($A$2)-1))</f>
        <v/>
      </c>
      <c r="L14" s="63" t="str">
        <f>IF(ISERROR(FIND($A$2,Lines!L14))=TRUE,"",MID(Lines!L14,FIND($A$2,Lines!L14)+LEN($A$2)+1,FIND(",",_xlfn.CONCAT(Lines!L14,","),FIND($A$2,Lines!L14))-FIND($A$2,Lines!L14)-LEN($A$2)-1))</f>
        <v/>
      </c>
      <c r="M14" s="27" t="str">
        <f>IF(ISERROR(FIND($A$2,Lines!M14))=TRUE,"",MID(Lines!M14,FIND($A$2,Lines!M14)+LEN($A$2)+1,FIND(",",_xlfn.CONCAT(Lines!M14,","),FIND($A$2,Lines!M14))-FIND($A$2,Lines!M14)-LEN($A$2)-1))</f>
        <v/>
      </c>
      <c r="N14" s="30" t="str">
        <f>IF(ISERROR(FIND($A$2,Lines!N14))=TRUE,"",MID(Lines!N14,FIND($A$2,Lines!N14)+LEN($A$2)+1,FIND(",",_xlfn.CONCAT(Lines!N14,","),FIND($A$2,Lines!N14))-FIND($A$2,Lines!N14)-LEN($A$2)-1))</f>
        <v/>
      </c>
      <c r="O14" s="30" t="str">
        <f>IF(ISERROR(FIND($A$2,Lines!O14))=TRUE,"",MID(Lines!O14,FIND($A$2,Lines!O14)+LEN($A$2)+1,FIND(",",_xlfn.CONCAT(Lines!O14,","),FIND($A$2,Lines!O14))-FIND($A$2,Lines!O14)-LEN($A$2)-1))</f>
        <v/>
      </c>
      <c r="P14" s="30" t="str">
        <f>IF(ISERROR(FIND($A$2,Lines!P14))=TRUE,"",MID(Lines!P14,FIND($A$2,Lines!P14)+LEN($A$2)+1,FIND(",",_xlfn.CONCAT(Lines!P14,","),FIND($A$2,Lines!P14))-FIND($A$2,Lines!P14)-LEN($A$2)-1))</f>
        <v/>
      </c>
      <c r="Q14" s="30" t="str">
        <f>IF(ISERROR(FIND($A$2,Lines!Q14))=TRUE,"",MID(Lines!Q14,FIND($A$2,Lines!Q14)+LEN($A$2)+1,FIND(",",_xlfn.CONCAT(Lines!Q14,","),FIND($A$2,Lines!Q14))-FIND($A$2,Lines!Q14)-LEN($A$2)-1))</f>
        <v/>
      </c>
      <c r="R14" s="30" t="str">
        <f>IF(ISERROR(FIND($A$2,Lines!R14))=TRUE,"",MID(Lines!R14,FIND($A$2,Lines!R14)+LEN($A$2)+1,FIND(",",_xlfn.CONCAT(Lines!R14,","),FIND($A$2,Lines!R14))-FIND($A$2,Lines!R14)-LEN($A$2)-1))</f>
        <v/>
      </c>
      <c r="S14" s="30" t="str">
        <f>IF(ISERROR(FIND($A$2,Lines!S14))=TRUE,"",MID(Lines!S14,FIND($A$2,Lines!S14)+LEN($A$2)+1,FIND(",",_xlfn.CONCAT(Lines!S14,","),FIND($A$2,Lines!S14))-FIND($A$2,Lines!S14)-LEN($A$2)-1))</f>
        <v/>
      </c>
      <c r="T14" s="30" t="str">
        <f>IF(ISERROR(FIND($A$2,Lines!T14))=TRUE,"",MID(Lines!T14,FIND($A$2,Lines!T14)+LEN($A$2)+1,FIND(",",_xlfn.CONCAT(Lines!T14,","),FIND($A$2,Lines!T14))-FIND($A$2,Lines!T14)-LEN($A$2)-1))</f>
        <v/>
      </c>
      <c r="U14" s="30" t="str">
        <f>IF(ISERROR(FIND($A$2,Lines!U14))=TRUE,"",MID(Lines!U14,FIND($A$2,Lines!U14)+LEN($A$2)+1,FIND(",",_xlfn.CONCAT(Lines!U14,","),FIND($A$2,Lines!U14))-FIND($A$2,Lines!U14)-LEN($A$2)-1))</f>
        <v/>
      </c>
      <c r="V14" s="30" t="str">
        <f>IF(ISERROR(FIND($A$2,Lines!V14))=TRUE,"",MID(Lines!V14,FIND($A$2,Lines!V14)+LEN($A$2)+1,FIND(",",_xlfn.CONCAT(Lines!V14,","),FIND($A$2,Lines!V14))-FIND($A$2,Lines!V14)-LEN($A$2)-1))</f>
        <v/>
      </c>
      <c r="W14" s="36" t="str">
        <f>IF(ISERROR(FIND($A$2,Lines!W14))=TRUE,"",MID(Lines!W14,FIND($A$2,Lines!W14)+LEN($A$2)+1,FIND(",",_xlfn.CONCAT(Lines!W14,","),FIND($A$2,Lines!W14))-FIND($A$2,Lines!W14)-LEN($A$2)-1))</f>
        <v/>
      </c>
      <c r="X14" s="30" t="str">
        <f>IF(ISERROR(FIND($A$2,Lines!X14))=TRUE,"",MID(Lines!X14,FIND($A$2,Lines!X14)+LEN($A$2)+1,FIND(",",_xlfn.CONCAT(Lines!X14,","),FIND($A$2,Lines!X14))-FIND($A$2,Lines!X14)-LEN($A$2)-1))</f>
        <v/>
      </c>
      <c r="Y14" s="30" t="str">
        <f>IF(ISERROR(FIND($A$2,Lines!Y14))=TRUE,"",MID(Lines!Y14,FIND($A$2,Lines!Y14)+LEN($A$2)+1,FIND(",",_xlfn.CONCAT(Lines!Y14,","),FIND($A$2,Lines!Y14))-FIND($A$2,Lines!Y14)-LEN($A$2)-1))</f>
        <v/>
      </c>
      <c r="Z14" s="30" t="str">
        <f>IF(ISERROR(FIND($A$2,Lines!Z14))=TRUE,"",MID(Lines!Z14,FIND($A$2,Lines!Z14)+LEN($A$2)+1,FIND(",",_xlfn.CONCAT(Lines!Z14,","),FIND($A$2,Lines!Z14))-FIND($A$2,Lines!Z14)-LEN($A$2)-1))</f>
        <v/>
      </c>
      <c r="AA14" s="30" t="str">
        <f>IF(ISERROR(FIND($A$2,Lines!AA14))=TRUE,"",MID(Lines!AA14,FIND($A$2,Lines!AA14)+LEN($A$2)+1,FIND(",",_xlfn.CONCAT(Lines!AA14,","),FIND($A$2,Lines!AA14))-FIND($A$2,Lines!AA14)-LEN($A$2)-1))</f>
        <v/>
      </c>
      <c r="AB14" s="30" t="str">
        <f>IF(ISERROR(FIND($A$2,Lines!AB14))=TRUE,"",MID(Lines!AB14,FIND($A$2,Lines!AB14)+LEN($A$2)+1,FIND(",",_xlfn.CONCAT(Lines!AB14,","),FIND($A$2,Lines!AB14))-FIND($A$2,Lines!AB14)-LEN($A$2)-1))</f>
        <v/>
      </c>
      <c r="AC14" s="30" t="str">
        <f>IF(ISERROR(FIND($A$2,Lines!AC14))=TRUE,"",MID(Lines!AC14,FIND($A$2,Lines!AC14)+LEN($A$2)+1,FIND(",",_xlfn.CONCAT(Lines!AC14,","),FIND($A$2,Lines!AC14))-FIND($A$2,Lines!AC14)-LEN($A$2)-1))</f>
        <v/>
      </c>
      <c r="AD14" s="30" t="str">
        <f>IF(ISERROR(FIND($A$2,Lines!AD14))=TRUE,"",MID(Lines!AD14,FIND($A$2,Lines!AD14)+LEN($A$2)+1,FIND(",",_xlfn.CONCAT(Lines!AD14,","),FIND($A$2,Lines!AD14))-FIND($A$2,Lines!AD14)-LEN($A$2)-1))</f>
        <v/>
      </c>
      <c r="AE14" s="30" t="str">
        <f>IF(ISERROR(FIND($A$2,Lines!AE14))=TRUE,"",MID(Lines!AE14,FIND($A$2,Lines!AE14)+LEN($A$2)+1,FIND(",",_xlfn.CONCAT(Lines!AE14,","),FIND($A$2,Lines!AE14))-FIND($A$2,Lines!AE14)-LEN($A$2)-1))</f>
        <v/>
      </c>
      <c r="AF14" s="30" t="str">
        <f>IF(ISERROR(FIND($A$2,Lines!AF14))=TRUE,"",MID(Lines!AF14,FIND($A$2,Lines!AF14)+LEN($A$2)+1,FIND(",",_xlfn.CONCAT(Lines!AF14,","),FIND($A$2,Lines!AF14))-FIND($A$2,Lines!AF14)-LEN($A$2)-1))</f>
        <v/>
      </c>
      <c r="AG14" s="30" t="str">
        <f>IF(ISERROR(FIND($A$2,Lines!AG14))=TRUE,"",MID(Lines!AG14,FIND($A$2,Lines!AG14)+LEN($A$2)+1,FIND(",",_xlfn.CONCAT(Lines!AG14,","),FIND($A$2,Lines!AG14))-FIND($A$2,Lines!AG14)-LEN($A$2)-1))</f>
        <v/>
      </c>
      <c r="AH14" s="30" t="str">
        <f>IF(ISERROR(FIND($A$2,Lines!AH14))=TRUE,"",MID(Lines!AH14,FIND($A$2,Lines!AH14)+LEN($A$2)+1,FIND(",",_xlfn.CONCAT(Lines!AH14,","),FIND($A$2,Lines!AH14))-FIND($A$2,Lines!AH14)-LEN($A$2)-1))</f>
        <v/>
      </c>
      <c r="AI14" s="30" t="str">
        <f>IF(ISERROR(FIND($A$2,Lines!AI14))=TRUE,"",MID(Lines!AI14,FIND($A$2,Lines!AI14)+LEN($A$2)+1,FIND(",",_xlfn.CONCAT(Lines!AI14,","),FIND($A$2,Lines!AI14))-FIND($A$2,Lines!AI14)-LEN($A$2)-1))</f>
        <v/>
      </c>
      <c r="AJ14" s="30" t="str">
        <f>IF(ISERROR(FIND($A$2,Lines!AJ14))=TRUE,"",MID(Lines!AJ14,FIND($A$2,Lines!AJ14)+LEN($A$2)+1,FIND(",",_xlfn.CONCAT(Lines!AJ14,","),FIND($A$2,Lines!AJ14))-FIND($A$2,Lines!AJ14)-LEN($A$2)-1))</f>
        <v/>
      </c>
      <c r="AK14" s="30" t="str">
        <f>IF(ISERROR(FIND($A$2,Lines!AK14))=TRUE,"",MID(Lines!AK14,FIND($A$2,Lines!AK14)+LEN($A$2)+1,FIND(",",_xlfn.CONCAT(Lines!AK14,","),FIND($A$2,Lines!AK14))-FIND($A$2,Lines!AK14)-LEN($A$2)-1))</f>
        <v/>
      </c>
      <c r="AL14" s="30" t="str">
        <f>IF(ISERROR(FIND($A$2,Lines!AL14))=TRUE,"",MID(Lines!AL14,FIND($A$2,Lines!AL14)+LEN($A$2)+1,FIND(",",_xlfn.CONCAT(Lines!AL14,","),FIND($A$2,Lines!AL14))-FIND($A$2,Lines!AL14)-LEN($A$2)-1))</f>
        <v/>
      </c>
      <c r="AM14" s="30" t="str">
        <f>IF(ISERROR(FIND($A$2,Lines!AM14))=TRUE,"",MID(Lines!AM14,FIND($A$2,Lines!AM14)+LEN($A$2)+1,FIND(",",_xlfn.CONCAT(Lines!AM14,","),FIND($A$2,Lines!AM14))-FIND($A$2,Lines!AM14)-LEN($A$2)-1))</f>
        <v/>
      </c>
      <c r="AN14" s="30" t="str">
        <f>IF(ISERROR(FIND($A$2,Lines!AN14))=TRUE,"",MID(Lines!AN14,FIND($A$2,Lines!AN14)+LEN($A$2)+1,FIND(",",_xlfn.CONCAT(Lines!AN14,","),FIND($A$2,Lines!AN14))-FIND($A$2,Lines!AN14)-LEN($A$2)-1))</f>
        <v/>
      </c>
      <c r="AO14" s="30" t="str">
        <f>IF(ISERROR(FIND($A$2,Lines!AO14))=TRUE,"",MID(Lines!AO14,FIND($A$2,Lines!AO14)+LEN($A$2)+1,FIND(",",_xlfn.CONCAT(Lines!AO14,","),FIND($A$2,Lines!AO14))-FIND($A$2,Lines!AO14)-LEN($A$2)-1))</f>
        <v/>
      </c>
      <c r="AP14" s="30" t="str">
        <f>IF(ISERROR(FIND($A$2,Lines!AP14))=TRUE,"",MID(Lines!AP14,FIND($A$2,Lines!AP14)+LEN($A$2)+1,FIND(",",_xlfn.CONCAT(Lines!AP14,","),FIND($A$2,Lines!AP14))-FIND($A$2,Lines!AP14)-LEN($A$2)-1))</f>
        <v/>
      </c>
      <c r="AQ14" s="30" t="str">
        <f>IF(ISERROR(FIND($A$2,Lines!AQ14))=TRUE,"",MID(Lines!AQ14,FIND($A$2,Lines!AQ14)+LEN($A$2)+1,FIND(",",_xlfn.CONCAT(Lines!AQ14,","),FIND($A$2,Lines!AQ14))-FIND($A$2,Lines!AQ14)-LEN($A$2)-1))</f>
        <v/>
      </c>
      <c r="AR14" s="30" t="str">
        <f>IF(ISERROR(FIND($A$2,Lines!AR14))=TRUE,"",MID(Lines!AR14,FIND($A$2,Lines!AR14)+LEN($A$2)+1,FIND(",",_xlfn.CONCAT(Lines!AR14,","),FIND($A$2,Lines!AR14))-FIND($A$2,Lines!AR14)-LEN($A$2)-1))</f>
        <v/>
      </c>
      <c r="AS14" s="30" t="str">
        <f>IF(ISERROR(FIND($A$2,Lines!AS14))=TRUE,"",MID(Lines!AS14,FIND($A$2,Lines!AS14)+LEN($A$2)+1,FIND(",",_xlfn.CONCAT(Lines!AS14,","),FIND($A$2,Lines!AS14))-FIND($A$2,Lines!AS14)-LEN($A$2)-1))</f>
        <v/>
      </c>
      <c r="AT14" s="30" t="str">
        <f>IF(ISERROR(FIND($A$2,Lines!AT14))=TRUE,"",MID(Lines!AT14,FIND($A$2,Lines!AT14)+LEN($A$2)+1,FIND(",",_xlfn.CONCAT(Lines!AT14,","),FIND($A$2,Lines!AT14))-FIND($A$2,Lines!AT14)-LEN($A$2)-1))</f>
        <v/>
      </c>
    </row>
    <row r="15" spans="1:46" ht="20.25" customHeight="1">
      <c r="A15" s="2" t="s">
        <v>65</v>
      </c>
      <c r="B15" s="33" t="str">
        <f>IF(ISERROR(FIND($A$2,Lines!B15))=TRUE,"",MID(Lines!B15,FIND($A$2,Lines!B15)+LEN($A$2)+1,FIND(",",_xlfn.CONCAT(Lines!B15,","),FIND($A$2,Lines!B15))-FIND($A$2,Lines!B15)-LEN($A$2)-1))</f>
        <v/>
      </c>
      <c r="C15" s="33" t="str">
        <f>IF(ISERROR(FIND($A$2,Lines!C15))=TRUE,"",MID(Lines!C15,FIND($A$2,Lines!C15)+LEN($A$2)+1,FIND(",",_xlfn.CONCAT(Lines!C15,","),FIND($A$2,Lines!C15))-FIND($A$2,Lines!C15)-LEN($A$2)-1))</f>
        <v/>
      </c>
      <c r="D15" s="33" t="str">
        <f>IF(ISERROR(FIND($A$2,Lines!D15))=TRUE,"",MID(Lines!D15,FIND($A$2,Lines!D15)+LEN($A$2)+1,FIND(",",_xlfn.CONCAT(Lines!D15,","),FIND($A$2,Lines!D15))-FIND($A$2,Lines!D15)-LEN($A$2)-1))</f>
        <v/>
      </c>
      <c r="E15" s="33" t="str">
        <f>IF(ISERROR(FIND($A$2,Lines!E15))=TRUE,"",MID(Lines!E15,FIND($A$2,Lines!E15)+LEN($A$2)+1,FIND(",",_xlfn.CONCAT(Lines!E15,","),FIND($A$2,Lines!E15))-FIND($A$2,Lines!E15)-LEN($A$2)-1))</f>
        <v/>
      </c>
      <c r="F15" s="33" t="str">
        <f>IF(ISERROR(FIND($A$2,Lines!F15))=TRUE,"",MID(Lines!F15,FIND($A$2,Lines!F15)+LEN($A$2)+1,FIND(",",_xlfn.CONCAT(Lines!F15,","),FIND($A$2,Lines!F15))-FIND($A$2,Lines!F15)-LEN($A$2)-1))</f>
        <v/>
      </c>
      <c r="G15" s="33" t="str">
        <f>IF(ISERROR(FIND($A$2,Lines!G15))=TRUE,"",MID(Lines!G15,FIND($A$2,Lines!G15)+LEN($A$2)+1,FIND(",",_xlfn.CONCAT(Lines!G15,","),FIND($A$2,Lines!G15))-FIND($A$2,Lines!G15)-LEN($A$2)-1))</f>
        <v/>
      </c>
      <c r="H15" s="33" t="str">
        <f>IF(ISERROR(FIND($A$2,Lines!H15))=TRUE,"",MID(Lines!H15,FIND($A$2,Lines!H15)+LEN($A$2)+1,FIND(",",_xlfn.CONCAT(Lines!H15,","),FIND($A$2,Lines!H15))-FIND($A$2,Lines!H15)-LEN($A$2)-1))</f>
        <v/>
      </c>
      <c r="I15" s="33" t="str">
        <f>IF(ISERROR(FIND($A$2,Lines!I15))=TRUE,"",MID(Lines!I15,FIND($A$2,Lines!I15)+LEN($A$2)+1,FIND(",",_xlfn.CONCAT(Lines!I15,","),FIND($A$2,Lines!I15))-FIND($A$2,Lines!I15)-LEN($A$2)-1))</f>
        <v/>
      </c>
      <c r="J15" s="68" t="str">
        <f>IF(ISERROR(FIND($A$2,Lines!J15))=TRUE,"",MID(Lines!J15,FIND($A$2,Lines!J15)+LEN($A$2)+1,FIND(",",_xlfn.CONCAT(Lines!J15,","),FIND($A$2,Lines!J15))-FIND($A$2,Lines!J15)-LEN($A$2)-1))</f>
        <v/>
      </c>
      <c r="K15" s="33" t="str">
        <f>IF(ISERROR(FIND($A$2,Lines!K15))=TRUE,"",MID(Lines!K15,FIND($A$2,Lines!K15)+LEN($A$2)+1,FIND(",",_xlfn.CONCAT(Lines!K15,","),FIND($A$2,Lines!K15))-FIND($A$2,Lines!K15)-LEN($A$2)-1))</f>
        <v/>
      </c>
      <c r="L15" s="33" t="str">
        <f>IF(ISERROR(FIND($A$2,Lines!L15))=TRUE,"",MID(Lines!L15,FIND($A$2,Lines!L15)+LEN($A$2)+1,FIND(",",_xlfn.CONCAT(Lines!L15,","),FIND($A$2,Lines!L15))-FIND($A$2,Lines!L15)-LEN($A$2)-1))</f>
        <v/>
      </c>
      <c r="M15" s="64" t="str">
        <f>IF(ISERROR(FIND($A$2,Lines!M15))=TRUE,"",MID(Lines!M15,FIND($A$2,Lines!M15)+LEN($A$2)+1,FIND(",",_xlfn.CONCAT(Lines!M15,","),FIND($A$2,Lines!M15))-FIND($A$2,Lines!M15)-LEN($A$2)-1))</f>
        <v/>
      </c>
      <c r="N15" s="30" t="str">
        <f>IF(ISERROR(FIND($A$2,Lines!N15))=TRUE,"",MID(Lines!N15,FIND($A$2,Lines!N15)+LEN($A$2)+1,FIND(",",_xlfn.CONCAT(Lines!N15,","),FIND($A$2,Lines!N15))-FIND($A$2,Lines!N15)-LEN($A$2)-1))</f>
        <v/>
      </c>
      <c r="O15" s="30" t="str">
        <f>IF(ISERROR(FIND($A$2,Lines!O15))=TRUE,"",MID(Lines!O15,FIND($A$2,Lines!O15)+LEN($A$2)+1,FIND(",",_xlfn.CONCAT(Lines!O15,","),FIND($A$2,Lines!O15))-FIND($A$2,Lines!O15)-LEN($A$2)-1))</f>
        <v/>
      </c>
      <c r="P15" s="30" t="str">
        <f>IF(ISERROR(FIND($A$2,Lines!P15))=TRUE,"",MID(Lines!P15,FIND($A$2,Lines!P15)+LEN($A$2)+1,FIND(",",_xlfn.CONCAT(Lines!P15,","),FIND($A$2,Lines!P15))-FIND($A$2,Lines!P15)-LEN($A$2)-1))</f>
        <v/>
      </c>
      <c r="Q15" s="30" t="str">
        <f>IF(ISERROR(FIND($A$2,Lines!Q15))=TRUE,"",MID(Lines!Q15,FIND($A$2,Lines!Q15)+LEN($A$2)+1,FIND(",",_xlfn.CONCAT(Lines!Q15,","),FIND($A$2,Lines!Q15))-FIND($A$2,Lines!Q15)-LEN($A$2)-1))</f>
        <v/>
      </c>
      <c r="R15" s="30" t="str">
        <f>IF(ISERROR(FIND($A$2,Lines!R15))=TRUE,"",MID(Lines!R15,FIND($A$2,Lines!R15)+LEN($A$2)+1,FIND(",",_xlfn.CONCAT(Lines!R15,","),FIND($A$2,Lines!R15))-FIND($A$2,Lines!R15)-LEN($A$2)-1))</f>
        <v/>
      </c>
      <c r="S15" s="30" t="str">
        <f>IF(ISERROR(FIND($A$2,Lines!S15))=TRUE,"",MID(Lines!S15,FIND($A$2,Lines!S15)+LEN($A$2)+1,FIND(",",_xlfn.CONCAT(Lines!S15,","),FIND($A$2,Lines!S15))-FIND($A$2,Lines!S15)-LEN($A$2)-1))</f>
        <v/>
      </c>
      <c r="T15" s="30" t="str">
        <f>IF(ISERROR(FIND($A$2,Lines!T15))=TRUE,"",MID(Lines!T15,FIND($A$2,Lines!T15)+LEN($A$2)+1,FIND(",",_xlfn.CONCAT(Lines!T15,","),FIND($A$2,Lines!T15))-FIND($A$2,Lines!T15)-LEN($A$2)-1))</f>
        <v/>
      </c>
      <c r="U15" s="30" t="str">
        <f>IF(ISERROR(FIND($A$2,Lines!U15))=TRUE,"",MID(Lines!U15,FIND($A$2,Lines!U15)+LEN($A$2)+1,FIND(",",_xlfn.CONCAT(Lines!U15,","),FIND($A$2,Lines!U15))-FIND($A$2,Lines!U15)-LEN($A$2)-1))</f>
        <v/>
      </c>
      <c r="V15" s="30" t="str">
        <f>IF(ISERROR(FIND($A$2,Lines!V15))=TRUE,"",MID(Lines!V15,FIND($A$2,Lines!V15)+LEN($A$2)+1,FIND(",",_xlfn.CONCAT(Lines!V15,","),FIND($A$2,Lines!V15))-FIND($A$2,Lines!V15)-LEN($A$2)-1))</f>
        <v/>
      </c>
      <c r="W15" s="36" t="str">
        <f>IF(ISERROR(FIND($A$2,Lines!W15))=TRUE,"",MID(Lines!W15,FIND($A$2,Lines!W15)+LEN($A$2)+1,FIND(",",_xlfn.CONCAT(Lines!W15,","),FIND($A$2,Lines!W15))-FIND($A$2,Lines!W15)-LEN($A$2)-1))</f>
        <v/>
      </c>
      <c r="X15" s="30" t="str">
        <f>IF(ISERROR(FIND($A$2,Lines!X15))=TRUE,"",MID(Lines!X15,FIND($A$2,Lines!X15)+LEN($A$2)+1,FIND(",",_xlfn.CONCAT(Lines!X15,","),FIND($A$2,Lines!X15))-FIND($A$2,Lines!X15)-LEN($A$2)-1))</f>
        <v/>
      </c>
      <c r="Y15" s="30" t="str">
        <f>IF(ISERROR(FIND($A$2,Lines!Y15))=TRUE,"",MID(Lines!Y15,FIND($A$2,Lines!Y15)+LEN($A$2)+1,FIND(",",_xlfn.CONCAT(Lines!Y15,","),FIND($A$2,Lines!Y15))-FIND($A$2,Lines!Y15)-LEN($A$2)-1))</f>
        <v/>
      </c>
      <c r="Z15" s="30" t="str">
        <f>IF(ISERROR(FIND($A$2,Lines!Z15))=TRUE,"",MID(Lines!Z15,FIND($A$2,Lines!Z15)+LEN($A$2)+1,FIND(",",_xlfn.CONCAT(Lines!Z15,","),FIND($A$2,Lines!Z15))-FIND($A$2,Lines!Z15)-LEN($A$2)-1))</f>
        <v/>
      </c>
      <c r="AA15" s="30" t="str">
        <f>IF(ISERROR(FIND($A$2,Lines!AA15))=TRUE,"",MID(Lines!AA15,FIND($A$2,Lines!AA15)+LEN($A$2)+1,FIND(",",_xlfn.CONCAT(Lines!AA15,","),FIND($A$2,Lines!AA15))-FIND($A$2,Lines!AA15)-LEN($A$2)-1))</f>
        <v/>
      </c>
      <c r="AB15" s="30" t="str">
        <f>IF(ISERROR(FIND($A$2,Lines!AB15))=TRUE,"",MID(Lines!AB15,FIND($A$2,Lines!AB15)+LEN($A$2)+1,FIND(",",_xlfn.CONCAT(Lines!AB15,","),FIND($A$2,Lines!AB15))-FIND($A$2,Lines!AB15)-LEN($A$2)-1))</f>
        <v/>
      </c>
      <c r="AC15" s="30" t="str">
        <f>IF(ISERROR(FIND($A$2,Lines!AC15))=TRUE,"",MID(Lines!AC15,FIND($A$2,Lines!AC15)+LEN($A$2)+1,FIND(",",_xlfn.CONCAT(Lines!AC15,","),FIND($A$2,Lines!AC15))-FIND($A$2,Lines!AC15)-LEN($A$2)-1))</f>
        <v/>
      </c>
      <c r="AD15" s="30" t="str">
        <f>IF(ISERROR(FIND($A$2,Lines!AD15))=TRUE,"",MID(Lines!AD15,FIND($A$2,Lines!AD15)+LEN($A$2)+1,FIND(",",_xlfn.CONCAT(Lines!AD15,","),FIND($A$2,Lines!AD15))-FIND($A$2,Lines!AD15)-LEN($A$2)-1))</f>
        <v/>
      </c>
      <c r="AE15" s="30" t="str">
        <f>IF(ISERROR(FIND($A$2,Lines!AE15))=TRUE,"",MID(Lines!AE15,FIND($A$2,Lines!AE15)+LEN($A$2)+1,FIND(",",_xlfn.CONCAT(Lines!AE15,","),FIND($A$2,Lines!AE15))-FIND($A$2,Lines!AE15)-LEN($A$2)-1))</f>
        <v/>
      </c>
      <c r="AF15" s="30" t="str">
        <f>IF(ISERROR(FIND($A$2,Lines!AF15))=TRUE,"",MID(Lines!AF15,FIND($A$2,Lines!AF15)+LEN($A$2)+1,FIND(",",_xlfn.CONCAT(Lines!AF15,","),FIND($A$2,Lines!AF15))-FIND($A$2,Lines!AF15)-LEN($A$2)-1))</f>
        <v/>
      </c>
      <c r="AG15" s="30" t="str">
        <f>IF(ISERROR(FIND($A$2,Lines!AG15))=TRUE,"",MID(Lines!AG15,FIND($A$2,Lines!AG15)+LEN($A$2)+1,FIND(",",_xlfn.CONCAT(Lines!AG15,","),FIND($A$2,Lines!AG15))-FIND($A$2,Lines!AG15)-LEN($A$2)-1))</f>
        <v/>
      </c>
      <c r="AH15" s="30" t="str">
        <f>IF(ISERROR(FIND($A$2,Lines!AH15))=TRUE,"",MID(Lines!AH15,FIND($A$2,Lines!AH15)+LEN($A$2)+1,FIND(",",_xlfn.CONCAT(Lines!AH15,","),FIND($A$2,Lines!AH15))-FIND($A$2,Lines!AH15)-LEN($A$2)-1))</f>
        <v/>
      </c>
      <c r="AI15" s="30" t="str">
        <f>IF(ISERROR(FIND($A$2,Lines!AI15))=TRUE,"",MID(Lines!AI15,FIND($A$2,Lines!AI15)+LEN($A$2)+1,FIND(",",_xlfn.CONCAT(Lines!AI15,","),FIND($A$2,Lines!AI15))-FIND($A$2,Lines!AI15)-LEN($A$2)-1))</f>
        <v/>
      </c>
      <c r="AJ15" s="30" t="str">
        <f>IF(ISERROR(FIND($A$2,Lines!AJ15))=TRUE,"",MID(Lines!AJ15,FIND($A$2,Lines!AJ15)+LEN($A$2)+1,FIND(",",_xlfn.CONCAT(Lines!AJ15,","),FIND($A$2,Lines!AJ15))-FIND($A$2,Lines!AJ15)-LEN($A$2)-1))</f>
        <v/>
      </c>
      <c r="AK15" s="30" t="str">
        <f>IF(ISERROR(FIND($A$2,Lines!AK15))=TRUE,"",MID(Lines!AK15,FIND($A$2,Lines!AK15)+LEN($A$2)+1,FIND(",",_xlfn.CONCAT(Lines!AK15,","),FIND($A$2,Lines!AK15))-FIND($A$2,Lines!AK15)-LEN($A$2)-1))</f>
        <v/>
      </c>
      <c r="AL15" s="30" t="str">
        <f>IF(ISERROR(FIND($A$2,Lines!AL15))=TRUE,"",MID(Lines!AL15,FIND($A$2,Lines!AL15)+LEN($A$2)+1,FIND(",",_xlfn.CONCAT(Lines!AL15,","),FIND($A$2,Lines!AL15))-FIND($A$2,Lines!AL15)-LEN($A$2)-1))</f>
        <v/>
      </c>
      <c r="AM15" s="30" t="str">
        <f>IF(ISERROR(FIND($A$2,Lines!AM15))=TRUE,"",MID(Lines!AM15,FIND($A$2,Lines!AM15)+LEN($A$2)+1,FIND(",",_xlfn.CONCAT(Lines!AM15,","),FIND($A$2,Lines!AM15))-FIND($A$2,Lines!AM15)-LEN($A$2)-1))</f>
        <v/>
      </c>
      <c r="AN15" s="30" t="str">
        <f>IF(ISERROR(FIND($A$2,Lines!AN15))=TRUE,"",MID(Lines!AN15,FIND($A$2,Lines!AN15)+LEN($A$2)+1,FIND(",",_xlfn.CONCAT(Lines!AN15,","),FIND($A$2,Lines!AN15))-FIND($A$2,Lines!AN15)-LEN($A$2)-1))</f>
        <v/>
      </c>
      <c r="AO15" s="30" t="str">
        <f>IF(ISERROR(FIND($A$2,Lines!AO15))=TRUE,"",MID(Lines!AO15,FIND($A$2,Lines!AO15)+LEN($A$2)+1,FIND(",",_xlfn.CONCAT(Lines!AO15,","),FIND($A$2,Lines!AO15))-FIND($A$2,Lines!AO15)-LEN($A$2)-1))</f>
        <v/>
      </c>
      <c r="AP15" s="30" t="str">
        <f>IF(ISERROR(FIND($A$2,Lines!AP15))=TRUE,"",MID(Lines!AP15,FIND($A$2,Lines!AP15)+LEN($A$2)+1,FIND(",",_xlfn.CONCAT(Lines!AP15,","),FIND($A$2,Lines!AP15))-FIND($A$2,Lines!AP15)-LEN($A$2)-1))</f>
        <v/>
      </c>
      <c r="AQ15" s="30" t="str">
        <f>IF(ISERROR(FIND($A$2,Lines!AQ15))=TRUE,"",MID(Lines!AQ15,FIND($A$2,Lines!AQ15)+LEN($A$2)+1,FIND(",",_xlfn.CONCAT(Lines!AQ15,","),FIND($A$2,Lines!AQ15))-FIND($A$2,Lines!AQ15)-LEN($A$2)-1))</f>
        <v/>
      </c>
      <c r="AR15" s="30" t="str">
        <f>IF(ISERROR(FIND($A$2,Lines!AR15))=TRUE,"",MID(Lines!AR15,FIND($A$2,Lines!AR15)+LEN($A$2)+1,FIND(",",_xlfn.CONCAT(Lines!AR15,","),FIND($A$2,Lines!AR15))-FIND($A$2,Lines!AR15)-LEN($A$2)-1))</f>
        <v/>
      </c>
      <c r="AS15" s="30" t="str">
        <f>IF(ISERROR(FIND($A$2,Lines!AS15))=TRUE,"",MID(Lines!AS15,FIND($A$2,Lines!AS15)+LEN($A$2)+1,FIND(",",_xlfn.CONCAT(Lines!AS15,","),FIND($A$2,Lines!AS15))-FIND($A$2,Lines!AS15)-LEN($A$2)-1))</f>
        <v/>
      </c>
      <c r="AT15" s="30" t="str">
        <f>IF(ISERROR(FIND($A$2,Lines!AT15))=TRUE,"",MID(Lines!AT15,FIND($A$2,Lines!AT15)+LEN($A$2)+1,FIND(",",_xlfn.CONCAT(Lines!AT15,","),FIND($A$2,Lines!AT15))-FIND($A$2,Lines!AT15)-LEN($A$2)-1))</f>
        <v/>
      </c>
    </row>
    <row r="16" spans="1:46" ht="20.25" customHeight="1">
      <c r="A16" s="2" t="s">
        <v>12</v>
      </c>
      <c r="B16" s="30" t="str">
        <f>IF(ISERROR(FIND($A$2,Lines!B16))=TRUE,"",MID(Lines!B16,FIND($A$2,Lines!B16)+LEN($A$2)+1,FIND(",",_xlfn.CONCAT(Lines!B16,","),FIND($A$2,Lines!B16))-FIND($A$2,Lines!B16)-LEN($A$2)-1))</f>
        <v/>
      </c>
      <c r="C16" s="30" t="str">
        <f>IF(ISERROR(FIND($A$2,Lines!C16))=TRUE,"",MID(Lines!C16,FIND($A$2,Lines!C16)+LEN($A$2)+1,FIND(",",_xlfn.CONCAT(Lines!C16,","),FIND($A$2,Lines!C16))-FIND($A$2,Lines!C16)-LEN($A$2)-1))</f>
        <v/>
      </c>
      <c r="D16" s="30" t="str">
        <f>IF(ISERROR(FIND($A$2,Lines!D16))=TRUE,"",MID(Lines!D16,FIND($A$2,Lines!D16)+LEN($A$2)+1,FIND(",",_xlfn.CONCAT(Lines!D16,","),FIND($A$2,Lines!D16))-FIND($A$2,Lines!D16)-LEN($A$2)-1))</f>
        <v/>
      </c>
      <c r="E16" s="30" t="str">
        <f>IF(ISERROR(FIND($A$2,Lines!E16))=TRUE,"",MID(Lines!E16,FIND($A$2,Lines!E16)+LEN($A$2)+1,FIND(",",_xlfn.CONCAT(Lines!E16,","),FIND($A$2,Lines!E16))-FIND($A$2,Lines!E16)-LEN($A$2)-1))</f>
        <v/>
      </c>
      <c r="F16" s="30" t="str">
        <f>IF(ISERROR(FIND($A$2,Lines!F16))=TRUE,"",MID(Lines!F16,FIND($A$2,Lines!F16)+LEN($A$2)+1,FIND(",",_xlfn.CONCAT(Lines!F16,","),FIND($A$2,Lines!F16))-FIND($A$2,Lines!F16)-LEN($A$2)-1))</f>
        <v/>
      </c>
      <c r="G16" s="30" t="str">
        <f>IF(ISERROR(FIND($A$2,Lines!G16))=TRUE,"",MID(Lines!G16,FIND($A$2,Lines!G16)+LEN($A$2)+1,FIND(",",_xlfn.CONCAT(Lines!G16,","),FIND($A$2,Lines!G16))-FIND($A$2,Lines!G16)-LEN($A$2)-1))</f>
        <v/>
      </c>
      <c r="H16" s="30" t="str">
        <f>IF(ISERROR(FIND($A$2,Lines!H16))=TRUE,"",MID(Lines!H16,FIND($A$2,Lines!H16)+LEN($A$2)+1,FIND(",",_xlfn.CONCAT(Lines!H16,","),FIND($A$2,Lines!H16))-FIND($A$2,Lines!H16)-LEN($A$2)-1))</f>
        <v/>
      </c>
      <c r="I16" s="30" t="str">
        <f>IF(ISERROR(FIND($A$2,Lines!I16))=TRUE,"",MID(Lines!I16,FIND($A$2,Lines!I16)+LEN($A$2)+1,FIND(",",_xlfn.CONCAT(Lines!I16,","),FIND($A$2,Lines!I16))-FIND($A$2,Lines!I16)-LEN($A$2)-1))</f>
        <v/>
      </c>
      <c r="J16" s="30" t="str">
        <f>IF(ISERROR(FIND($A$2,Lines!J16))=TRUE,"",MID(Lines!J16,FIND($A$2,Lines!J16)+LEN($A$2)+1,FIND(",",_xlfn.CONCAT(Lines!J16,","),FIND($A$2,Lines!J16))-FIND($A$2,Lines!J16)-LEN($A$2)-1))</f>
        <v/>
      </c>
      <c r="K16" s="30" t="str">
        <f>IF(ISERROR(FIND($A$2,Lines!K16))=TRUE,"",MID(Lines!K16,FIND($A$2,Lines!K16)+LEN($A$2)+1,FIND(",",_xlfn.CONCAT(Lines!K16,","),FIND($A$2,Lines!K16))-FIND($A$2,Lines!K16)-LEN($A$2)-1))</f>
        <v/>
      </c>
      <c r="L16" s="30" t="str">
        <f>IF(ISERROR(FIND($A$2,Lines!L16))=TRUE,"",MID(Lines!L16,FIND($A$2,Lines!L16)+LEN($A$2)+1,FIND(",",_xlfn.CONCAT(Lines!L16,","),FIND($A$2,Lines!L16))-FIND($A$2,Lines!L16)-LEN($A$2)-1))</f>
        <v/>
      </c>
      <c r="M16" s="30" t="str">
        <f>IF(ISERROR(FIND($A$2,Lines!M16))=TRUE,"",MID(Lines!M16,FIND($A$2,Lines!M16)+LEN($A$2)+1,FIND(",",_xlfn.CONCAT(Lines!M16,","),FIND($A$2,Lines!M16))-FIND($A$2,Lines!M16)-LEN($A$2)-1))</f>
        <v/>
      </c>
      <c r="N16" s="65" t="str">
        <f>IF(ISERROR(FIND($A$2,Lines!N16))=TRUE,"",MID(Lines!N16,FIND($A$2,Lines!N16)+LEN($A$2)+1,FIND(",",_xlfn.CONCAT(Lines!N16,","),FIND($A$2,Lines!N16))-FIND($A$2,Lines!N16)-LEN($A$2)-1))</f>
        <v/>
      </c>
      <c r="O16" s="32" t="str">
        <f>IF(ISERROR(FIND($A$2,Lines!O16))=TRUE,"",MID(Lines!O16,FIND($A$2,Lines!O16)+LEN($A$2)+1,FIND(",",_xlfn.CONCAT(Lines!O16,","),FIND($A$2,Lines!O16))-FIND($A$2,Lines!O16)-LEN($A$2)-1))</f>
        <v>2</v>
      </c>
      <c r="P16" s="29" t="str">
        <f>IF(ISERROR(FIND($A$2,Lines!P16))=TRUE,"",MID(Lines!P16,FIND($A$2,Lines!P16)+LEN($A$2)+1,FIND(",",_xlfn.CONCAT(Lines!P16,","),FIND($A$2,Lines!P16))-FIND($A$2,Lines!P16)-LEN($A$2)-1))</f>
        <v/>
      </c>
      <c r="Q16" s="29" t="str">
        <f>IF(ISERROR(FIND($A$2,Lines!Q16))=TRUE,"",MID(Lines!Q16,FIND($A$2,Lines!Q16)+LEN($A$2)+1,FIND(",",_xlfn.CONCAT(Lines!Q16,","),FIND($A$2,Lines!Q16))-FIND($A$2,Lines!Q16)-LEN($A$2)-1))</f>
        <v/>
      </c>
      <c r="R16" s="29" t="str">
        <f>IF(ISERROR(FIND($A$2,Lines!R16))=TRUE,"",MID(Lines!R16,FIND($A$2,Lines!R16)+LEN($A$2)+1,FIND(",",_xlfn.CONCAT(Lines!R16,","),FIND($A$2,Lines!R16))-FIND($A$2,Lines!R16)-LEN($A$2)-1))</f>
        <v/>
      </c>
      <c r="S16" s="29" t="str">
        <f>IF(ISERROR(FIND($A$2,Lines!S16))=TRUE,"",MID(Lines!S16,FIND($A$2,Lines!S16)+LEN($A$2)+1,FIND(",",_xlfn.CONCAT(Lines!S16,","),FIND($A$2,Lines!S16))-FIND($A$2,Lines!S16)-LEN($A$2)-1))</f>
        <v/>
      </c>
      <c r="T16" s="29" t="str">
        <f>IF(ISERROR(FIND($A$2,Lines!T16))=TRUE,"",MID(Lines!T16,FIND($A$2,Lines!T16)+LEN($A$2)+1,FIND(",",_xlfn.CONCAT(Lines!T16,","),FIND($A$2,Lines!T16))-FIND($A$2,Lines!T16)-LEN($A$2)-1))</f>
        <v/>
      </c>
      <c r="U16" s="29" t="str">
        <f>IF(ISERROR(FIND($A$2,Lines!U16))=TRUE,"",MID(Lines!U16,FIND($A$2,Lines!U16)+LEN($A$2)+1,FIND(",",_xlfn.CONCAT(Lines!U16,","),FIND($A$2,Lines!U16))-FIND($A$2,Lines!U16)-LEN($A$2)-1))</f>
        <v/>
      </c>
      <c r="V16" s="34" t="str">
        <f>IF(ISERROR(FIND($A$2,Lines!V16))=TRUE,"",MID(Lines!V16,FIND($A$2,Lines!V16)+LEN($A$2)+1,FIND(",",_xlfn.CONCAT(Lines!V16,","),FIND($A$2,Lines!V16))-FIND($A$2,Lines!V16)-LEN($A$2)-1))</f>
        <v/>
      </c>
      <c r="W16" s="36" t="str">
        <f>IF(ISERROR(FIND($A$2,Lines!W16))=TRUE,"",MID(Lines!W16,FIND($A$2,Lines!W16)+LEN($A$2)+1,FIND(",",_xlfn.CONCAT(Lines!W16,","),FIND($A$2,Lines!W16))-FIND($A$2,Lines!W16)-LEN($A$2)-1))</f>
        <v/>
      </c>
      <c r="X16" s="30" t="str">
        <f>IF(ISERROR(FIND($A$2,Lines!X16))=TRUE,"",MID(Lines!X16,FIND($A$2,Lines!X16)+LEN($A$2)+1,FIND(",",_xlfn.CONCAT(Lines!X16,","),FIND($A$2,Lines!X16))-FIND($A$2,Lines!X16)-LEN($A$2)-1))</f>
        <v/>
      </c>
      <c r="Y16" s="30" t="str">
        <f>IF(ISERROR(FIND($A$2,Lines!Y16))=TRUE,"",MID(Lines!Y16,FIND($A$2,Lines!Y16)+LEN($A$2)+1,FIND(",",_xlfn.CONCAT(Lines!Y16,","),FIND($A$2,Lines!Y16))-FIND($A$2,Lines!Y16)-LEN($A$2)-1))</f>
        <v/>
      </c>
      <c r="Z16" s="30" t="str">
        <f>IF(ISERROR(FIND($A$2,Lines!Z16))=TRUE,"",MID(Lines!Z16,FIND($A$2,Lines!Z16)+LEN($A$2)+1,FIND(",",_xlfn.CONCAT(Lines!Z16,","),FIND($A$2,Lines!Z16))-FIND($A$2,Lines!Z16)-LEN($A$2)-1))</f>
        <v/>
      </c>
      <c r="AA16" s="30" t="str">
        <f>IF(ISERROR(FIND($A$2,Lines!AA16))=TRUE,"",MID(Lines!AA16,FIND($A$2,Lines!AA16)+LEN($A$2)+1,FIND(",",_xlfn.CONCAT(Lines!AA16,","),FIND($A$2,Lines!AA16))-FIND($A$2,Lines!AA16)-LEN($A$2)-1))</f>
        <v/>
      </c>
      <c r="AB16" s="30" t="str">
        <f>IF(ISERROR(FIND($A$2,Lines!#REF!))=TRUE,"",MID(Lines!#REF!,FIND($A$2,Lines!#REF!)+LEN($A$2)+1,FIND(",",_xlfn.CONCAT(Lines!#REF!,","),FIND($A$2,Lines!#REF!))-FIND($A$2,Lines!#REF!)-LEN($A$2)-1))</f>
        <v/>
      </c>
      <c r="AC16" s="30" t="str">
        <f>IF(ISERROR(FIND($A$2,Lines!AC16))=TRUE,"",MID(Lines!AC16,FIND($A$2,Lines!AC16)+LEN($A$2)+1,FIND(",",_xlfn.CONCAT(Lines!AC16,","),FIND($A$2,Lines!AC16))-FIND($A$2,Lines!AC16)-LEN($A$2)-1))</f>
        <v/>
      </c>
      <c r="AD16" s="30" t="str">
        <f>IF(ISERROR(FIND($A$2,Lines!AD16))=TRUE,"",MID(Lines!AD16,FIND($A$2,Lines!AD16)+LEN($A$2)+1,FIND(",",_xlfn.CONCAT(Lines!AD16,","),FIND($A$2,Lines!AD16))-FIND($A$2,Lines!AD16)-LEN($A$2)-1))</f>
        <v/>
      </c>
      <c r="AE16" s="30" t="str">
        <f>IF(ISERROR(FIND($A$2,Lines!AE16))=TRUE,"",MID(Lines!AE16,FIND($A$2,Lines!AE16)+LEN($A$2)+1,FIND(",",_xlfn.CONCAT(Lines!AE16,","),FIND($A$2,Lines!AE16))-FIND($A$2,Lines!AE16)-LEN($A$2)-1))</f>
        <v/>
      </c>
      <c r="AF16" s="30" t="str">
        <f>IF(ISERROR(FIND($A$2,Lines!AF16))=TRUE,"",MID(Lines!AF16,FIND($A$2,Lines!AF16)+LEN($A$2)+1,FIND(",",_xlfn.CONCAT(Lines!AF16,","),FIND($A$2,Lines!AF16))-FIND($A$2,Lines!AF16)-LEN($A$2)-1))</f>
        <v/>
      </c>
      <c r="AG16" s="30" t="str">
        <f>IF(ISERROR(FIND($A$2,Lines!AG16))=TRUE,"",MID(Lines!AG16,FIND($A$2,Lines!AG16)+LEN($A$2)+1,FIND(",",_xlfn.CONCAT(Lines!AG16,","),FIND($A$2,Lines!AG16))-FIND($A$2,Lines!AG16)-LEN($A$2)-1))</f>
        <v/>
      </c>
      <c r="AH16" s="30" t="str">
        <f>IF(ISERROR(FIND($A$2,Lines!AH16))=TRUE,"",MID(Lines!AH16,FIND($A$2,Lines!AH16)+LEN($A$2)+1,FIND(",",_xlfn.CONCAT(Lines!AH16,","),FIND($A$2,Lines!AH16))-FIND($A$2,Lines!AH16)-LEN($A$2)-1))</f>
        <v/>
      </c>
      <c r="AI16" s="30" t="str">
        <f>IF(ISERROR(FIND($A$2,Lines!AI16))=TRUE,"",MID(Lines!AI16,FIND($A$2,Lines!AI16)+LEN($A$2)+1,FIND(",",_xlfn.CONCAT(Lines!AI16,","),FIND($A$2,Lines!AI16))-FIND($A$2,Lines!AI16)-LEN($A$2)-1))</f>
        <v/>
      </c>
      <c r="AJ16" s="30" t="str">
        <f>IF(ISERROR(FIND($A$2,Lines!AJ16))=TRUE,"",MID(Lines!AJ16,FIND($A$2,Lines!AJ16)+LEN($A$2)+1,FIND(",",_xlfn.CONCAT(Lines!AJ16,","),FIND($A$2,Lines!AJ16))-FIND($A$2,Lines!AJ16)-LEN($A$2)-1))</f>
        <v/>
      </c>
      <c r="AK16" s="30" t="str">
        <f>IF(ISERROR(FIND($A$2,Lines!AK16))=TRUE,"",MID(Lines!AK16,FIND($A$2,Lines!AK16)+LEN($A$2)+1,FIND(",",_xlfn.CONCAT(Lines!AK16,","),FIND($A$2,Lines!AK16))-FIND($A$2,Lines!AK16)-LEN($A$2)-1))</f>
        <v/>
      </c>
      <c r="AL16" s="30" t="str">
        <f>IF(ISERROR(FIND($A$2,Lines!AL16))=TRUE,"",MID(Lines!AL16,FIND($A$2,Lines!AL16)+LEN($A$2)+1,FIND(",",_xlfn.CONCAT(Lines!AL16,","),FIND($A$2,Lines!AL16))-FIND($A$2,Lines!AL16)-LEN($A$2)-1))</f>
        <v/>
      </c>
      <c r="AM16" s="30" t="str">
        <f>IF(ISERROR(FIND($A$2,Lines!AM16))=TRUE,"",MID(Lines!AM16,FIND($A$2,Lines!AM16)+LEN($A$2)+1,FIND(",",_xlfn.CONCAT(Lines!AM16,","),FIND($A$2,Lines!AM16))-FIND($A$2,Lines!AM16)-LEN($A$2)-1))</f>
        <v/>
      </c>
      <c r="AN16" s="30" t="str">
        <f>IF(ISERROR(FIND($A$2,Lines!AN16))=TRUE,"",MID(Lines!AN16,FIND($A$2,Lines!AN16)+LEN($A$2)+1,FIND(",",_xlfn.CONCAT(Lines!AN16,","),FIND($A$2,Lines!AN16))-FIND($A$2,Lines!AN16)-LEN($A$2)-1))</f>
        <v/>
      </c>
      <c r="AO16" s="30" t="str">
        <f>IF(ISERROR(FIND($A$2,Lines!AO16))=TRUE,"",MID(Lines!AO16,FIND($A$2,Lines!AO16)+LEN($A$2)+1,FIND(",",_xlfn.CONCAT(Lines!AO16,","),FIND($A$2,Lines!AO16))-FIND($A$2,Lines!AO16)-LEN($A$2)-1))</f>
        <v/>
      </c>
      <c r="AP16" s="30" t="str">
        <f>IF(ISERROR(FIND($A$2,Lines!AP16))=TRUE,"",MID(Lines!AP16,FIND($A$2,Lines!AP16)+LEN($A$2)+1,FIND(",",_xlfn.CONCAT(Lines!AP16,","),FIND($A$2,Lines!AP16))-FIND($A$2,Lines!AP16)-LEN($A$2)-1))</f>
        <v/>
      </c>
      <c r="AQ16" s="30" t="str">
        <f>IF(ISERROR(FIND($A$2,Lines!AQ16))=TRUE,"",MID(Lines!AQ16,FIND($A$2,Lines!AQ16)+LEN($A$2)+1,FIND(",",_xlfn.CONCAT(Lines!AQ16,","),FIND($A$2,Lines!AQ16))-FIND($A$2,Lines!AQ16)-LEN($A$2)-1))</f>
        <v/>
      </c>
      <c r="AR16" s="30" t="str">
        <f>IF(ISERROR(FIND($A$2,Lines!AR16))=TRUE,"",MID(Lines!AR16,FIND($A$2,Lines!AR16)+LEN($A$2)+1,FIND(",",_xlfn.CONCAT(Lines!AR16,","),FIND($A$2,Lines!AR16))-FIND($A$2,Lines!AR16)-LEN($A$2)-1))</f>
        <v/>
      </c>
      <c r="AS16" s="30" t="str">
        <f>IF(ISERROR(FIND($A$2,Lines!AS16))=TRUE,"",MID(Lines!AS16,FIND($A$2,Lines!AS16)+LEN($A$2)+1,FIND(",",_xlfn.CONCAT(Lines!AS16,","),FIND($A$2,Lines!AS16))-FIND($A$2,Lines!AS16)-LEN($A$2)-1))</f>
        <v/>
      </c>
      <c r="AT16" s="30" t="str">
        <f>IF(ISERROR(FIND($A$2,Lines!AT16))=TRUE,"",MID(Lines!AT16,FIND($A$2,Lines!AT16)+LEN($A$2)+1,FIND(",",_xlfn.CONCAT(Lines!AT16,","),FIND($A$2,Lines!AT16))-FIND($A$2,Lines!AT16)-LEN($A$2)-1))</f>
        <v/>
      </c>
    </row>
    <row r="17" spans="1:46" ht="20.25" customHeight="1">
      <c r="A17" s="2" t="s">
        <v>13</v>
      </c>
      <c r="B17" s="30" t="str">
        <f>IF(ISERROR(FIND($A$2,Lines!B17))=TRUE,"",MID(Lines!B17,FIND($A$2,Lines!B17)+LEN($A$2)+1,FIND(",",_xlfn.CONCAT(Lines!B17,","),FIND($A$2,Lines!B17))-FIND($A$2,Lines!B17)-LEN($A$2)-1))</f>
        <v/>
      </c>
      <c r="C17" s="30" t="str">
        <f>IF(ISERROR(FIND($A$2,Lines!C17))=TRUE,"",MID(Lines!C17,FIND($A$2,Lines!C17)+LEN($A$2)+1,FIND(",",_xlfn.CONCAT(Lines!C17,","),FIND($A$2,Lines!C17))-FIND($A$2,Lines!C17)-LEN($A$2)-1))</f>
        <v/>
      </c>
      <c r="D17" s="30" t="str">
        <f>IF(ISERROR(FIND($A$2,Lines!D17))=TRUE,"",MID(Lines!D17,FIND($A$2,Lines!D17)+LEN($A$2)+1,FIND(",",_xlfn.CONCAT(Lines!D17,","),FIND($A$2,Lines!D17))-FIND($A$2,Lines!D17)-LEN($A$2)-1))</f>
        <v/>
      </c>
      <c r="E17" s="30" t="str">
        <f>IF(ISERROR(FIND($A$2,Lines!E17))=TRUE,"",MID(Lines!E17,FIND($A$2,Lines!E17)+LEN($A$2)+1,FIND(",",_xlfn.CONCAT(Lines!E17,","),FIND($A$2,Lines!E17))-FIND($A$2,Lines!E17)-LEN($A$2)-1))</f>
        <v/>
      </c>
      <c r="F17" s="30" t="str">
        <f>IF(ISERROR(FIND($A$2,Lines!F17))=TRUE,"",MID(Lines!F17,FIND($A$2,Lines!F17)+LEN($A$2)+1,FIND(",",_xlfn.CONCAT(Lines!F17,","),FIND($A$2,Lines!F17))-FIND($A$2,Lines!F17)-LEN($A$2)-1))</f>
        <v/>
      </c>
      <c r="G17" s="30" t="str">
        <f>IF(ISERROR(FIND($A$2,Lines!G17))=TRUE,"",MID(Lines!G17,FIND($A$2,Lines!G17)+LEN($A$2)+1,FIND(",",_xlfn.CONCAT(Lines!G17,","),FIND($A$2,Lines!G17))-FIND($A$2,Lines!G17)-LEN($A$2)-1))</f>
        <v/>
      </c>
      <c r="H17" s="30" t="str">
        <f>IF(ISERROR(FIND($A$2,Lines!H17))=TRUE,"",MID(Lines!H17,FIND($A$2,Lines!H17)+LEN($A$2)+1,FIND(",",_xlfn.CONCAT(Lines!H17,","),FIND($A$2,Lines!H17))-FIND($A$2,Lines!H17)-LEN($A$2)-1))</f>
        <v/>
      </c>
      <c r="I17" s="30" t="str">
        <f>IF(ISERROR(FIND($A$2,Lines!I17))=TRUE,"",MID(Lines!I17,FIND($A$2,Lines!I17)+LEN($A$2)+1,FIND(",",_xlfn.CONCAT(Lines!I17,","),FIND($A$2,Lines!I17))-FIND($A$2,Lines!I17)-LEN($A$2)-1))</f>
        <v/>
      </c>
      <c r="J17" s="30" t="str">
        <f>IF(ISERROR(FIND($A$2,Lines!J17))=TRUE,"",MID(Lines!J17,FIND($A$2,Lines!J17)+LEN($A$2)+1,FIND(",",_xlfn.CONCAT(Lines!J17,","),FIND($A$2,Lines!J17))-FIND($A$2,Lines!J17)-LEN($A$2)-1))</f>
        <v/>
      </c>
      <c r="K17" s="30" t="str">
        <f>IF(ISERROR(FIND($A$2,Lines!K17))=TRUE,"",MID(Lines!K17,FIND($A$2,Lines!K17)+LEN($A$2)+1,FIND(",",_xlfn.CONCAT(Lines!K17,","),FIND($A$2,Lines!K17))-FIND($A$2,Lines!K17)-LEN($A$2)-1))</f>
        <v/>
      </c>
      <c r="L17" s="30" t="str">
        <f>IF(ISERROR(FIND($A$2,Lines!L17))=TRUE,"",MID(Lines!L17,FIND($A$2,Lines!L17)+LEN($A$2)+1,FIND(",",_xlfn.CONCAT(Lines!L17,","),FIND($A$2,Lines!L17))-FIND($A$2,Lines!L17)-LEN($A$2)-1))</f>
        <v/>
      </c>
      <c r="M17" s="30" t="str">
        <f>IF(ISERROR(FIND($A$2,Lines!M17))=TRUE,"",MID(Lines!M17,FIND($A$2,Lines!M17)+LEN($A$2)+1,FIND(",",_xlfn.CONCAT(Lines!M17,","),FIND($A$2,Lines!M17))-FIND($A$2,Lines!M17)-LEN($A$2)-1))</f>
        <v/>
      </c>
      <c r="N17" s="32" t="str">
        <f>IF(ISERROR(FIND($A$2,Lines!N17))=TRUE,"",MID(Lines!N17,FIND($A$2,Lines!N17)+LEN($A$2)+1,FIND(",",_xlfn.CONCAT(Lines!N17,","),FIND($A$2,Lines!N17))-FIND($A$2,Lines!N17)-LEN($A$2)-1))</f>
        <v>2</v>
      </c>
      <c r="O17" s="66" t="str">
        <f>IF(ISERROR(FIND($A$2,Lines!O17))=TRUE,"",MID(Lines!O17,FIND($A$2,Lines!O17)+LEN($A$2)+1,FIND(",",_xlfn.CONCAT(Lines!O17,","),FIND($A$2,Lines!O17))-FIND($A$2,Lines!O17)-LEN($A$2)-1))</f>
        <v/>
      </c>
      <c r="P17" s="25" t="str">
        <f>IF(ISERROR(FIND($A$2,Lines!P17))=TRUE,"",MID(Lines!P17,FIND($A$2,Lines!P17)+LEN($A$2)+1,FIND(",",_xlfn.CONCAT(Lines!P17,","),FIND($A$2,Lines!P17))-FIND($A$2,Lines!P17)-LEN($A$2)-1))</f>
        <v/>
      </c>
      <c r="Q17" s="25" t="str">
        <f>IF(ISERROR(FIND($A$2,Lines!Q17))=TRUE,"",MID(Lines!Q17,FIND($A$2,Lines!Q17)+LEN($A$2)+1,FIND(",",_xlfn.CONCAT(Lines!Q17,","),FIND($A$2,Lines!Q17))-FIND($A$2,Lines!Q17)-LEN($A$2)-1))</f>
        <v/>
      </c>
      <c r="R17" s="25" t="str">
        <f>IF(ISERROR(FIND($A$2,Lines!R17))=TRUE,"",MID(Lines!R17,FIND($A$2,Lines!R17)+LEN($A$2)+1,FIND(",",_xlfn.CONCAT(Lines!R17,","),FIND($A$2,Lines!R17))-FIND($A$2,Lines!R17)-LEN($A$2)-1))</f>
        <v>2</v>
      </c>
      <c r="S17" s="25" t="str">
        <f>IF(ISERROR(FIND($A$2,Lines!S17))=TRUE,"",MID(Lines!S17,FIND($A$2,Lines!S17)+LEN($A$2)+1,FIND(",",_xlfn.CONCAT(Lines!S17,","),FIND($A$2,Lines!S17))-FIND($A$2,Lines!S17)-LEN($A$2)-1))</f>
        <v/>
      </c>
      <c r="T17" s="25" t="str">
        <f>IF(ISERROR(FIND($A$2,Lines!T17))=TRUE,"",MID(Lines!T17,FIND($A$2,Lines!T17)+LEN($A$2)+1,FIND(",",_xlfn.CONCAT(Lines!T17,","),FIND($A$2,Lines!T17))-FIND($A$2,Lines!T17)-LEN($A$2)-1))</f>
        <v/>
      </c>
      <c r="U17" s="25" t="str">
        <f>IF(ISERROR(FIND($A$2,Lines!U17))=TRUE,"",MID(Lines!U17,FIND($A$2,Lines!U17)+LEN($A$2)+1,FIND(",",_xlfn.CONCAT(Lines!U17,","),FIND($A$2,Lines!U17))-FIND($A$2,Lines!U17)-LEN($A$2)-1))</f>
        <v/>
      </c>
      <c r="V17" s="35" t="str">
        <f>IF(ISERROR(FIND($A$2,Lines!V17))=TRUE,"",MID(Lines!V17,FIND($A$2,Lines!V17)+LEN($A$2)+1,FIND(",",_xlfn.CONCAT(Lines!V17,","),FIND($A$2,Lines!V17))-FIND($A$2,Lines!V17)-LEN($A$2)-1))</f>
        <v/>
      </c>
      <c r="W17" s="36" t="str">
        <f>IF(ISERROR(FIND($A$2,Lines!W17))=TRUE,"",MID(Lines!W17,FIND($A$2,Lines!W17)+LEN($A$2)+1,FIND(",",_xlfn.CONCAT(Lines!W17,","),FIND($A$2,Lines!W17))-FIND($A$2,Lines!W17)-LEN($A$2)-1))</f>
        <v/>
      </c>
      <c r="X17" s="30" t="str">
        <f>IF(ISERROR(FIND($A$2,Lines!X17))=TRUE,"",MID(Lines!X17,FIND($A$2,Lines!X17)+LEN($A$2)+1,FIND(",",_xlfn.CONCAT(Lines!X17,","),FIND($A$2,Lines!X17))-FIND($A$2,Lines!X17)-LEN($A$2)-1))</f>
        <v/>
      </c>
      <c r="Y17" s="30" t="str">
        <f>IF(ISERROR(FIND($A$2,Lines!Y17))=TRUE,"",MID(Lines!Y17,FIND($A$2,Lines!Y17)+LEN($A$2)+1,FIND(",",_xlfn.CONCAT(Lines!Y17,","),FIND($A$2,Lines!Y17))-FIND($A$2,Lines!Y17)-LEN($A$2)-1))</f>
        <v/>
      </c>
      <c r="Z17" s="30" t="str">
        <f>IF(ISERROR(FIND($A$2,Lines!Z17))=TRUE,"",MID(Lines!Z17,FIND($A$2,Lines!Z17)+LEN($A$2)+1,FIND(",",_xlfn.CONCAT(Lines!Z17,","),FIND($A$2,Lines!Z17))-FIND($A$2,Lines!Z17)-LEN($A$2)-1))</f>
        <v/>
      </c>
      <c r="AA17" s="30" t="str">
        <f>IF(ISERROR(FIND($A$2,Lines!AB16))=TRUE,"",MID(Lines!AB16,FIND($A$2,Lines!AB16)+LEN($A$2)+1,FIND(",",_xlfn.CONCAT(Lines!AB16,","),FIND($A$2,Lines!AB16))-FIND($A$2,Lines!AB16)-LEN($A$2)-1))</f>
        <v/>
      </c>
      <c r="AB17" s="30" t="str">
        <f>IF(ISERROR(FIND($A$2,Lines!AB17))=TRUE,"",MID(Lines!AB17,FIND($A$2,Lines!AB17)+LEN($A$2)+1,FIND(",",_xlfn.CONCAT(Lines!AB17,","),FIND($A$2,Lines!AB17))-FIND($A$2,Lines!AB17)-LEN($A$2)-1))</f>
        <v/>
      </c>
      <c r="AC17" s="30" t="str">
        <f>IF(ISERROR(FIND($A$2,Lines!AC17))=TRUE,"",MID(Lines!AC17,FIND($A$2,Lines!AC17)+LEN($A$2)+1,FIND(",",_xlfn.CONCAT(Lines!AC17,","),FIND($A$2,Lines!AC17))-FIND($A$2,Lines!AC17)-LEN($A$2)-1))</f>
        <v/>
      </c>
      <c r="AD17" s="30" t="str">
        <f>IF(ISERROR(FIND($A$2,Lines!AD17))=TRUE,"",MID(Lines!AD17,FIND($A$2,Lines!AD17)+LEN($A$2)+1,FIND(",",_xlfn.CONCAT(Lines!AD17,","),FIND($A$2,Lines!AD17))-FIND($A$2,Lines!AD17)-LEN($A$2)-1))</f>
        <v/>
      </c>
      <c r="AE17" s="30" t="str">
        <f>IF(ISERROR(FIND($A$2,Lines!AE17))=TRUE,"",MID(Lines!AE17,FIND($A$2,Lines!AE17)+LEN($A$2)+1,FIND(",",_xlfn.CONCAT(Lines!AE17,","),FIND($A$2,Lines!AE17))-FIND($A$2,Lines!AE17)-LEN($A$2)-1))</f>
        <v/>
      </c>
      <c r="AF17" s="30" t="str">
        <f>IF(ISERROR(FIND($A$2,Lines!AF17))=TRUE,"",MID(Lines!AF17,FIND($A$2,Lines!AF17)+LEN($A$2)+1,FIND(",",_xlfn.CONCAT(Lines!AF17,","),FIND($A$2,Lines!AF17))-FIND($A$2,Lines!AF17)-LEN($A$2)-1))</f>
        <v/>
      </c>
      <c r="AG17" s="30" t="str">
        <f>IF(ISERROR(FIND($A$2,Lines!AG17))=TRUE,"",MID(Lines!AG17,FIND($A$2,Lines!AG17)+LEN($A$2)+1,FIND(",",_xlfn.CONCAT(Lines!AG17,","),FIND($A$2,Lines!AG17))-FIND($A$2,Lines!AG17)-LEN($A$2)-1))</f>
        <v/>
      </c>
      <c r="AH17" s="30" t="str">
        <f>IF(ISERROR(FIND($A$2,Lines!AH17))=TRUE,"",MID(Lines!AH17,FIND($A$2,Lines!AH17)+LEN($A$2)+1,FIND(",",_xlfn.CONCAT(Lines!AH17,","),FIND($A$2,Lines!AH17))-FIND($A$2,Lines!AH17)-LEN($A$2)-1))</f>
        <v/>
      </c>
      <c r="AI17" s="30" t="str">
        <f>IF(ISERROR(FIND($A$2,Lines!AI17))=TRUE,"",MID(Lines!AI17,FIND($A$2,Lines!AI17)+LEN($A$2)+1,FIND(",",_xlfn.CONCAT(Lines!AI17,","),FIND($A$2,Lines!AI17))-FIND($A$2,Lines!AI17)-LEN($A$2)-1))</f>
        <v/>
      </c>
      <c r="AJ17" s="45" t="str">
        <f>IF(ISERROR(FIND($A$2,Lines!AJ17))=TRUE,"",MID(Lines!AJ17,FIND($A$2,Lines!AJ17)+LEN($A$2)+1,FIND(",",_xlfn.CONCAT(Lines!AJ17,","),FIND($A$2,Lines!AJ17))-FIND($A$2,Lines!AJ17)-LEN($A$2)-1))</f>
        <v/>
      </c>
      <c r="AK17" s="30" t="str">
        <f>IF(ISERROR(FIND($A$2,Lines!AK17))=TRUE,"",MID(Lines!AK17,FIND($A$2,Lines!AK17)+LEN($A$2)+1,FIND(",",_xlfn.CONCAT(Lines!AK17,","),FIND($A$2,Lines!AK17))-FIND($A$2,Lines!AK17)-LEN($A$2)-1))</f>
        <v/>
      </c>
      <c r="AL17" s="30" t="str">
        <f>IF(ISERROR(FIND($A$2,Lines!AL17))=TRUE,"",MID(Lines!AL17,FIND($A$2,Lines!AL17)+LEN($A$2)+1,FIND(",",_xlfn.CONCAT(Lines!AL17,","),FIND($A$2,Lines!AL17))-FIND($A$2,Lines!AL17)-LEN($A$2)-1))</f>
        <v/>
      </c>
      <c r="AM17" s="30" t="str">
        <f>IF(ISERROR(FIND($A$2,Lines!AM17))=TRUE,"",MID(Lines!AM17,FIND($A$2,Lines!AM17)+LEN($A$2)+1,FIND(",",_xlfn.CONCAT(Lines!AM17,","),FIND($A$2,Lines!AM17))-FIND($A$2,Lines!AM17)-LEN($A$2)-1))</f>
        <v/>
      </c>
      <c r="AN17" s="30" t="str">
        <f>IF(ISERROR(FIND($A$2,Lines!AN17))=TRUE,"",MID(Lines!AN17,FIND($A$2,Lines!AN17)+LEN($A$2)+1,FIND(",",_xlfn.CONCAT(Lines!AN17,","),FIND($A$2,Lines!AN17))-FIND($A$2,Lines!AN17)-LEN($A$2)-1))</f>
        <v/>
      </c>
      <c r="AO17" s="30" t="str">
        <f>IF(ISERROR(FIND($A$2,Lines!AO17))=TRUE,"",MID(Lines!AO17,FIND($A$2,Lines!AO17)+LEN($A$2)+1,FIND(",",_xlfn.CONCAT(Lines!AO17,","),FIND($A$2,Lines!AO17))-FIND($A$2,Lines!AO17)-LEN($A$2)-1))</f>
        <v/>
      </c>
      <c r="AP17" s="30" t="str">
        <f>IF(ISERROR(FIND($A$2,Lines!AP17))=TRUE,"",MID(Lines!AP17,FIND($A$2,Lines!AP17)+LEN($A$2)+1,FIND(",",_xlfn.CONCAT(Lines!AP17,","),FIND($A$2,Lines!AP17))-FIND($A$2,Lines!AP17)-LEN($A$2)-1))</f>
        <v/>
      </c>
      <c r="AQ17" s="30" t="str">
        <f>IF(ISERROR(FIND($A$2,Lines!AQ17))=TRUE,"",MID(Lines!AQ17,FIND($A$2,Lines!AQ17)+LEN($A$2)+1,FIND(",",_xlfn.CONCAT(Lines!AQ17,","),FIND($A$2,Lines!AQ17))-FIND($A$2,Lines!AQ17)-LEN($A$2)-1))</f>
        <v/>
      </c>
      <c r="AR17" s="30" t="str">
        <f>IF(ISERROR(FIND($A$2,Lines!AR17))=TRUE,"",MID(Lines!AR17,FIND($A$2,Lines!AR17)+LEN($A$2)+1,FIND(",",_xlfn.CONCAT(Lines!AR17,","),FIND($A$2,Lines!AR17))-FIND($A$2,Lines!AR17)-LEN($A$2)-1))</f>
        <v/>
      </c>
      <c r="AS17" s="30" t="str">
        <f>IF(ISERROR(FIND($A$2,Lines!AS17))=TRUE,"",MID(Lines!AS17,FIND($A$2,Lines!AS17)+LEN($A$2)+1,FIND(",",_xlfn.CONCAT(Lines!AS17,","),FIND($A$2,Lines!AS17))-FIND($A$2,Lines!AS17)-LEN($A$2)-1))</f>
        <v/>
      </c>
      <c r="AT17" s="30" t="str">
        <f>IF(ISERROR(FIND($A$2,Lines!AT17))=TRUE,"",MID(Lines!AT17,FIND($A$2,Lines!AT17)+LEN($A$2)+1,FIND(",",_xlfn.CONCAT(Lines!AT17,","),FIND($A$2,Lines!AT17))-FIND($A$2,Lines!AT17)-LEN($A$2)-1))</f>
        <v/>
      </c>
    </row>
    <row r="18" spans="1:46" ht="20.25" customHeight="1">
      <c r="A18" s="2" t="s">
        <v>66</v>
      </c>
      <c r="B18" s="30" t="str">
        <f>IF(ISERROR(FIND($A$2,Lines!B18))=TRUE,"",MID(Lines!B18,FIND($A$2,Lines!B18)+LEN($A$2)+1,FIND(",",_xlfn.CONCAT(Lines!B18,","),FIND($A$2,Lines!B18))-FIND($A$2,Lines!B18)-LEN($A$2)-1))</f>
        <v/>
      </c>
      <c r="C18" s="30" t="str">
        <f>IF(ISERROR(FIND($A$2,Lines!C18))=TRUE,"",MID(Lines!C18,FIND($A$2,Lines!C18)+LEN($A$2)+1,FIND(",",_xlfn.CONCAT(Lines!C18,","),FIND($A$2,Lines!C18))-FIND($A$2,Lines!C18)-LEN($A$2)-1))</f>
        <v/>
      </c>
      <c r="D18" s="30" t="str">
        <f>IF(ISERROR(FIND($A$2,Lines!D18))=TRUE,"",MID(Lines!D18,FIND($A$2,Lines!D18)+LEN($A$2)+1,FIND(",",_xlfn.CONCAT(Lines!D18,","),FIND($A$2,Lines!D18))-FIND($A$2,Lines!D18)-LEN($A$2)-1))</f>
        <v/>
      </c>
      <c r="E18" s="30" t="str">
        <f>IF(ISERROR(FIND($A$2,Lines!E18))=TRUE,"",MID(Lines!E18,FIND($A$2,Lines!E18)+LEN($A$2)+1,FIND(",",_xlfn.CONCAT(Lines!E18,","),FIND($A$2,Lines!E18))-FIND($A$2,Lines!E18)-LEN($A$2)-1))</f>
        <v/>
      </c>
      <c r="F18" s="30" t="str">
        <f>IF(ISERROR(FIND($A$2,Lines!F18))=TRUE,"",MID(Lines!F18,FIND($A$2,Lines!F18)+LEN($A$2)+1,FIND(",",_xlfn.CONCAT(Lines!F18,","),FIND($A$2,Lines!F18))-FIND($A$2,Lines!F18)-LEN($A$2)-1))</f>
        <v/>
      </c>
      <c r="G18" s="30" t="str">
        <f>IF(ISERROR(FIND($A$2,Lines!G18))=TRUE,"",MID(Lines!G18,FIND($A$2,Lines!G18)+LEN($A$2)+1,FIND(",",_xlfn.CONCAT(Lines!G18,","),FIND($A$2,Lines!G18))-FIND($A$2,Lines!G18)-LEN($A$2)-1))</f>
        <v/>
      </c>
      <c r="H18" s="30" t="str">
        <f>IF(ISERROR(FIND($A$2,Lines!H18))=TRUE,"",MID(Lines!H18,FIND($A$2,Lines!H18)+LEN($A$2)+1,FIND(",",_xlfn.CONCAT(Lines!H18,","),FIND($A$2,Lines!H18))-FIND($A$2,Lines!H18)-LEN($A$2)-1))</f>
        <v/>
      </c>
      <c r="I18" s="30" t="str">
        <f>IF(ISERROR(FIND($A$2,Lines!I18))=TRUE,"",MID(Lines!I18,FIND($A$2,Lines!I18)+LEN($A$2)+1,FIND(",",_xlfn.CONCAT(Lines!I18,","),FIND($A$2,Lines!I18))-FIND($A$2,Lines!I18)-LEN($A$2)-1))</f>
        <v/>
      </c>
      <c r="J18" s="30" t="str">
        <f>IF(ISERROR(FIND($A$2,Lines!J18))=TRUE,"",MID(Lines!J18,FIND($A$2,Lines!J18)+LEN($A$2)+1,FIND(",",_xlfn.CONCAT(Lines!J18,","),FIND($A$2,Lines!J18))-FIND($A$2,Lines!J18)-LEN($A$2)-1))</f>
        <v/>
      </c>
      <c r="K18" s="30" t="str">
        <f>IF(ISERROR(FIND($A$2,Lines!K18))=TRUE,"",MID(Lines!K18,FIND($A$2,Lines!K18)+LEN($A$2)+1,FIND(",",_xlfn.CONCAT(Lines!K18,","),FIND($A$2,Lines!K18))-FIND($A$2,Lines!K18)-LEN($A$2)-1))</f>
        <v/>
      </c>
      <c r="L18" s="30" t="str">
        <f>IF(ISERROR(FIND($A$2,Lines!L18))=TRUE,"",MID(Lines!L18,FIND($A$2,Lines!L18)+LEN($A$2)+1,FIND(",",_xlfn.CONCAT(Lines!L18,","),FIND($A$2,Lines!L18))-FIND($A$2,Lines!L18)-LEN($A$2)-1))</f>
        <v/>
      </c>
      <c r="M18" s="30" t="str">
        <f>IF(ISERROR(FIND($A$2,Lines!M18))=TRUE,"",MID(Lines!M18,FIND($A$2,Lines!M18)+LEN($A$2)+1,FIND(",",_xlfn.CONCAT(Lines!M18,","),FIND($A$2,Lines!M18))-FIND($A$2,Lines!M18)-LEN($A$2)-1))</f>
        <v/>
      </c>
      <c r="N18" s="32" t="str">
        <f>IF(ISERROR(FIND($A$2,Lines!N18))=TRUE,"",MID(Lines!N18,FIND($A$2,Lines!N18)+LEN($A$2)+1,FIND(",",_xlfn.CONCAT(Lines!N18,","),FIND($A$2,Lines!N18))-FIND($A$2,Lines!N18)-LEN($A$2)-1))</f>
        <v/>
      </c>
      <c r="O18" s="25" t="str">
        <f>IF(ISERROR(FIND($A$2,Lines!O18))=TRUE,"",MID(Lines!O18,FIND($A$2,Lines!O18)+LEN($A$2)+1,FIND(",",_xlfn.CONCAT(Lines!O18,","),FIND($A$2,Lines!O18))-FIND($A$2,Lines!O18)-LEN($A$2)-1))</f>
        <v/>
      </c>
      <c r="P18" s="66" t="str">
        <f>IF(ISERROR(FIND($A$2,Lines!P18))=TRUE,"",MID(Lines!P18,FIND($A$2,Lines!P18)+LEN($A$2)+1,FIND(",",_xlfn.CONCAT(Lines!P18,","),FIND($A$2,Lines!P18))-FIND($A$2,Lines!P18)-LEN($A$2)-1))</f>
        <v/>
      </c>
      <c r="Q18" s="25" t="str">
        <f>IF(ISERROR(FIND($A$2,Lines!Q18))=TRUE,"",MID(Lines!Q18,FIND($A$2,Lines!Q18)+LEN($A$2)+1,FIND(",",_xlfn.CONCAT(Lines!Q18,","),FIND($A$2,Lines!Q18))-FIND($A$2,Lines!Q18)-LEN($A$2)-1))</f>
        <v>2</v>
      </c>
      <c r="R18" s="25" t="str">
        <f>IF(ISERROR(FIND($A$2,Lines!R18))=TRUE,"",MID(Lines!R18,FIND($A$2,Lines!R18)+LEN($A$2)+1,FIND(",",_xlfn.CONCAT(Lines!R18,","),FIND($A$2,Lines!R18))-FIND($A$2,Lines!R18)-LEN($A$2)-1))</f>
        <v/>
      </c>
      <c r="S18" s="25" t="str">
        <f>IF(ISERROR(FIND($A$2,Lines!S18))=TRUE,"",MID(Lines!S18,FIND($A$2,Lines!S18)+LEN($A$2)+1,FIND(",",_xlfn.CONCAT(Lines!S18,","),FIND($A$2,Lines!S18))-FIND($A$2,Lines!S18)-LEN($A$2)-1))</f>
        <v>2</v>
      </c>
      <c r="T18" s="25" t="str">
        <f>IF(ISERROR(FIND($A$2,Lines!T18))=TRUE,"",MID(Lines!T18,FIND($A$2,Lines!T18)+LEN($A$2)+1,FIND(",",_xlfn.CONCAT(Lines!T18,","),FIND($A$2,Lines!T18))-FIND($A$2,Lines!T18)-LEN($A$2)-1))</f>
        <v/>
      </c>
      <c r="U18" s="25" t="str">
        <f>IF(ISERROR(FIND($A$2,Lines!U18))=TRUE,"",MID(Lines!U18,FIND($A$2,Lines!U18)+LEN($A$2)+1,FIND(",",_xlfn.CONCAT(Lines!U18,","),FIND($A$2,Lines!U18))-FIND($A$2,Lines!U18)-LEN($A$2)-1))</f>
        <v>4</v>
      </c>
      <c r="V18" s="35" t="str">
        <f>IF(ISERROR(FIND($A$2,Lines!V18))=TRUE,"",MID(Lines!V18,FIND($A$2,Lines!V18)+LEN($A$2)+1,FIND(",",_xlfn.CONCAT(Lines!V18,","),FIND($A$2,Lines!V18))-FIND($A$2,Lines!V18)-LEN($A$2)-1))</f>
        <v/>
      </c>
      <c r="W18" s="36" t="str">
        <f>IF(ISERROR(FIND($A$2,Lines!W18))=TRUE,"",MID(Lines!W18,FIND($A$2,Lines!W18)+LEN($A$2)+1,FIND(",",_xlfn.CONCAT(Lines!W18,","),FIND($A$2,Lines!W18))-FIND($A$2,Lines!W18)-LEN($A$2)-1))</f>
        <v/>
      </c>
      <c r="X18" s="30" t="str">
        <f>IF(ISERROR(FIND($A$2,Lines!X18))=TRUE,"",MID(Lines!X18,FIND($A$2,Lines!X18)+LEN($A$2)+1,FIND(",",_xlfn.CONCAT(Lines!X18,","),FIND($A$2,Lines!X18))-FIND($A$2,Lines!X18)-LEN($A$2)-1))</f>
        <v/>
      </c>
      <c r="Y18" s="30" t="str">
        <f>IF(ISERROR(FIND($A$2,Lines!Y18))=TRUE,"",MID(Lines!Y18,FIND($A$2,Lines!Y18)+LEN($A$2)+1,FIND(",",_xlfn.CONCAT(Lines!Y18,","),FIND($A$2,Lines!Y18))-FIND($A$2,Lines!Y18)-LEN($A$2)-1))</f>
        <v/>
      </c>
      <c r="Z18" s="30" t="str">
        <f>IF(ISERROR(FIND($A$2,Lines!Z18))=TRUE,"",MID(Lines!Z18,FIND($A$2,Lines!Z18)+LEN($A$2)+1,FIND(",",_xlfn.CONCAT(Lines!Z18,","),FIND($A$2,Lines!Z18))-FIND($A$2,Lines!Z18)-LEN($A$2)-1))</f>
        <v/>
      </c>
      <c r="AA18" s="30" t="str">
        <f>IF(ISERROR(FIND($A$2,Lines!AA18))=TRUE,"",MID(Lines!AA18,FIND($A$2,Lines!AA18)+LEN($A$2)+1,FIND(",",_xlfn.CONCAT(Lines!AA18,","),FIND($A$2,Lines!AA18))-FIND($A$2,Lines!AA18)-LEN($A$2)-1))</f>
        <v/>
      </c>
      <c r="AB18" s="30" t="str">
        <f>IF(ISERROR(FIND($A$2,Lines!AB18))=TRUE,"",MID(Lines!AB18,FIND($A$2,Lines!AB18)+LEN($A$2)+1,FIND(",",_xlfn.CONCAT(Lines!AB18,","),FIND($A$2,Lines!AB18))-FIND($A$2,Lines!AB18)-LEN($A$2)-1))</f>
        <v/>
      </c>
      <c r="AC18" s="30" t="str">
        <f>IF(ISERROR(FIND($A$2,Lines!AC18))=TRUE,"",MID(Lines!AC18,FIND($A$2,Lines!AC18)+LEN($A$2)+1,FIND(",",_xlfn.CONCAT(Lines!AC18,","),FIND($A$2,Lines!AC18))-FIND($A$2,Lines!AC18)-LEN($A$2)-1))</f>
        <v/>
      </c>
      <c r="AD18" s="30" t="str">
        <f>IF(ISERROR(FIND($A$2,Lines!AD18))=TRUE,"",MID(Lines!AD18,FIND($A$2,Lines!AD18)+LEN($A$2)+1,FIND(",",_xlfn.CONCAT(Lines!AD18,","),FIND($A$2,Lines!AD18))-FIND($A$2,Lines!AD18)-LEN($A$2)-1))</f>
        <v/>
      </c>
      <c r="AE18" s="30" t="str">
        <f>IF(ISERROR(FIND($A$2,Lines!AE18))=TRUE,"",MID(Lines!AE18,FIND($A$2,Lines!AE18)+LEN($A$2)+1,FIND(",",_xlfn.CONCAT(Lines!AE18,","),FIND($A$2,Lines!AE18))-FIND($A$2,Lines!AE18)-LEN($A$2)-1))</f>
        <v/>
      </c>
      <c r="AF18" s="30" t="str">
        <f>IF(ISERROR(FIND($A$2,Lines!AF18))=TRUE,"",MID(Lines!AF18,FIND($A$2,Lines!AF18)+LEN($A$2)+1,FIND(",",_xlfn.CONCAT(Lines!AF18,","),FIND($A$2,Lines!AF18))-FIND($A$2,Lines!AF18)-LEN($A$2)-1))</f>
        <v/>
      </c>
      <c r="AG18" s="30" t="str">
        <f>IF(ISERROR(FIND($A$2,Lines!AG18))=TRUE,"",MID(Lines!AG18,FIND($A$2,Lines!AG18)+LEN($A$2)+1,FIND(",",_xlfn.CONCAT(Lines!AG18,","),FIND($A$2,Lines!AG18))-FIND($A$2,Lines!AG18)-LEN($A$2)-1))</f>
        <v/>
      </c>
      <c r="AH18" s="30" t="str">
        <f>IF(ISERROR(FIND($A$2,Lines!AH18))=TRUE,"",MID(Lines!AH18,FIND($A$2,Lines!AH18)+LEN($A$2)+1,FIND(",",_xlfn.CONCAT(Lines!AH18,","),FIND($A$2,Lines!AH18))-FIND($A$2,Lines!AH18)-LEN($A$2)-1))</f>
        <v/>
      </c>
      <c r="AI18" s="30" t="str">
        <f>IF(ISERROR(FIND($A$2,Lines!AI18))=TRUE,"",MID(Lines!AI18,FIND($A$2,Lines!AI18)+LEN($A$2)+1,FIND(",",_xlfn.CONCAT(Lines!AI18,","),FIND($A$2,Lines!AI18))-FIND($A$2,Lines!AI18)-LEN($A$2)-1))</f>
        <v/>
      </c>
      <c r="AJ18" s="30" t="str">
        <f>IF(ISERROR(FIND($A$2,Lines!AJ18))=TRUE,"",MID(Lines!AJ18,FIND($A$2,Lines!AJ18)+LEN($A$2)+1,FIND(",",_xlfn.CONCAT(Lines!AJ18,","),FIND($A$2,Lines!AJ18))-FIND($A$2,Lines!AJ18)-LEN($A$2)-1))</f>
        <v/>
      </c>
      <c r="AK18" s="30" t="str">
        <f>IF(ISERROR(FIND($A$2,Lines!AK18))=TRUE,"",MID(Lines!AK18,FIND($A$2,Lines!AK18)+LEN($A$2)+1,FIND(",",_xlfn.CONCAT(Lines!AK18,","),FIND($A$2,Lines!AK18))-FIND($A$2,Lines!AK18)-LEN($A$2)-1))</f>
        <v/>
      </c>
      <c r="AL18" s="30" t="str">
        <f>IF(ISERROR(FIND($A$2,Lines!AL18))=TRUE,"",MID(Lines!AL18,FIND($A$2,Lines!AL18)+LEN($A$2)+1,FIND(",",_xlfn.CONCAT(Lines!AL18,","),FIND($A$2,Lines!AL18))-FIND($A$2,Lines!AL18)-LEN($A$2)-1))</f>
        <v/>
      </c>
      <c r="AM18" s="30" t="str">
        <f>IF(ISERROR(FIND($A$2,Lines!AM18))=TRUE,"",MID(Lines!AM18,FIND($A$2,Lines!AM18)+LEN($A$2)+1,FIND(",",_xlfn.CONCAT(Lines!AM18,","),FIND($A$2,Lines!AM18))-FIND($A$2,Lines!AM18)-LEN($A$2)-1))</f>
        <v/>
      </c>
      <c r="AN18" s="30" t="str">
        <f>IF(ISERROR(FIND($A$2,Lines!AN18))=TRUE,"",MID(Lines!AN18,FIND($A$2,Lines!AN18)+LEN($A$2)+1,FIND(",",_xlfn.CONCAT(Lines!AN18,","),FIND($A$2,Lines!AN18))-FIND($A$2,Lines!AN18)-LEN($A$2)-1))</f>
        <v/>
      </c>
      <c r="AO18" s="30" t="str">
        <f>IF(ISERROR(FIND($A$2,Lines!AO18))=TRUE,"",MID(Lines!AO18,FIND($A$2,Lines!AO18)+LEN($A$2)+1,FIND(",",_xlfn.CONCAT(Lines!AO18,","),FIND($A$2,Lines!AO18))-FIND($A$2,Lines!AO18)-LEN($A$2)-1))</f>
        <v/>
      </c>
      <c r="AP18" s="30" t="str">
        <f>IF(ISERROR(FIND($A$2,Lines!AP18))=TRUE,"",MID(Lines!AP18,FIND($A$2,Lines!AP18)+LEN($A$2)+1,FIND(",",_xlfn.CONCAT(Lines!AP18,","),FIND($A$2,Lines!AP18))-FIND($A$2,Lines!AP18)-LEN($A$2)-1))</f>
        <v/>
      </c>
      <c r="AQ18" s="30" t="str">
        <f>IF(ISERROR(FIND($A$2,Lines!AQ18))=TRUE,"",MID(Lines!AQ18,FIND($A$2,Lines!AQ18)+LEN($A$2)+1,FIND(",",_xlfn.CONCAT(Lines!AQ18,","),FIND($A$2,Lines!AQ18))-FIND($A$2,Lines!AQ18)-LEN($A$2)-1))</f>
        <v/>
      </c>
      <c r="AR18" s="30" t="str">
        <f>IF(ISERROR(FIND($A$2,Lines!AR18))=TRUE,"",MID(Lines!AR18,FIND($A$2,Lines!AR18)+LEN($A$2)+1,FIND(",",_xlfn.CONCAT(Lines!AR18,","),FIND($A$2,Lines!AR18))-FIND($A$2,Lines!AR18)-LEN($A$2)-1))</f>
        <v/>
      </c>
      <c r="AS18" s="30" t="str">
        <f>IF(ISERROR(FIND($A$2,Lines!AS18))=TRUE,"",MID(Lines!AS18,FIND($A$2,Lines!AS18)+LEN($A$2)+1,FIND(",",_xlfn.CONCAT(Lines!AS18,","),FIND($A$2,Lines!AS18))-FIND($A$2,Lines!AS18)-LEN($A$2)-1))</f>
        <v/>
      </c>
      <c r="AT18" s="30" t="str">
        <f>IF(ISERROR(FIND($A$2,Lines!AT18))=TRUE,"",MID(Lines!AT18,FIND($A$2,Lines!AT18)+LEN($A$2)+1,FIND(",",_xlfn.CONCAT(Lines!AT18,","),FIND($A$2,Lines!AT18))-FIND($A$2,Lines!AT18)-LEN($A$2)-1))</f>
        <v/>
      </c>
    </row>
    <row r="19" spans="1:46" ht="20.25" customHeight="1">
      <c r="A19" s="2" t="s">
        <v>67</v>
      </c>
      <c r="B19" s="30" t="str">
        <f>IF(ISERROR(FIND($A$2,Lines!B19))=TRUE,"",MID(Lines!B19,FIND($A$2,Lines!B19)+LEN($A$2)+1,FIND(",",_xlfn.CONCAT(Lines!B19,","),FIND($A$2,Lines!B19))-FIND($A$2,Lines!B19)-LEN($A$2)-1))</f>
        <v/>
      </c>
      <c r="C19" s="30" t="str">
        <f>IF(ISERROR(FIND($A$2,Lines!C19))=TRUE,"",MID(Lines!C19,FIND($A$2,Lines!C19)+LEN($A$2)+1,FIND(",",_xlfn.CONCAT(Lines!C19,","),FIND($A$2,Lines!C19))-FIND($A$2,Lines!C19)-LEN($A$2)-1))</f>
        <v/>
      </c>
      <c r="D19" s="30" t="str">
        <f>IF(ISERROR(FIND($A$2,Lines!D19))=TRUE,"",MID(Lines!D19,FIND($A$2,Lines!D19)+LEN($A$2)+1,FIND(",",_xlfn.CONCAT(Lines!D19,","),FIND($A$2,Lines!D19))-FIND($A$2,Lines!D19)-LEN($A$2)-1))</f>
        <v/>
      </c>
      <c r="E19" s="30" t="str">
        <f>IF(ISERROR(FIND($A$2,Lines!E19))=TRUE,"",MID(Lines!E19,FIND($A$2,Lines!E19)+LEN($A$2)+1,FIND(",",_xlfn.CONCAT(Lines!E19,","),FIND($A$2,Lines!E19))-FIND($A$2,Lines!E19)-LEN($A$2)-1))</f>
        <v/>
      </c>
      <c r="F19" s="30" t="str">
        <f>IF(ISERROR(FIND($A$2,Lines!F19))=TRUE,"",MID(Lines!F19,FIND($A$2,Lines!F19)+LEN($A$2)+1,FIND(",",_xlfn.CONCAT(Lines!F19,","),FIND($A$2,Lines!F19))-FIND($A$2,Lines!F19)-LEN($A$2)-1))</f>
        <v/>
      </c>
      <c r="G19" s="30" t="str">
        <f>IF(ISERROR(FIND($A$2,Lines!G19))=TRUE,"",MID(Lines!G19,FIND($A$2,Lines!G19)+LEN($A$2)+1,FIND(",",_xlfn.CONCAT(Lines!G19,","),FIND($A$2,Lines!G19))-FIND($A$2,Lines!G19)-LEN($A$2)-1))</f>
        <v/>
      </c>
      <c r="H19" s="30" t="str">
        <f>IF(ISERROR(FIND($A$2,Lines!H19))=TRUE,"",MID(Lines!H19,FIND($A$2,Lines!H19)+LEN($A$2)+1,FIND(",",_xlfn.CONCAT(Lines!H19,","),FIND($A$2,Lines!H19))-FIND($A$2,Lines!H19)-LEN($A$2)-1))</f>
        <v/>
      </c>
      <c r="I19" s="30" t="str">
        <f>IF(ISERROR(FIND($A$2,Lines!I19))=TRUE,"",MID(Lines!I19,FIND($A$2,Lines!I19)+LEN($A$2)+1,FIND(",",_xlfn.CONCAT(Lines!I19,","),FIND($A$2,Lines!I19))-FIND($A$2,Lines!I19)-LEN($A$2)-1))</f>
        <v/>
      </c>
      <c r="J19" s="30" t="str">
        <f>IF(ISERROR(FIND($A$2,Lines!J19))=TRUE,"",MID(Lines!J19,FIND($A$2,Lines!J19)+LEN($A$2)+1,FIND(",",_xlfn.CONCAT(Lines!J19,","),FIND($A$2,Lines!J19))-FIND($A$2,Lines!J19)-LEN($A$2)-1))</f>
        <v/>
      </c>
      <c r="K19" s="30" t="str">
        <f>IF(ISERROR(FIND($A$2,Lines!K19))=TRUE,"",MID(Lines!K19,FIND($A$2,Lines!K19)+LEN($A$2)+1,FIND(",",_xlfn.CONCAT(Lines!K19,","),FIND($A$2,Lines!K19))-FIND($A$2,Lines!K19)-LEN($A$2)-1))</f>
        <v/>
      </c>
      <c r="L19" s="30" t="str">
        <f>IF(ISERROR(FIND($A$2,Lines!L19))=TRUE,"",MID(Lines!L19,FIND($A$2,Lines!L19)+LEN($A$2)+1,FIND(",",_xlfn.CONCAT(Lines!L19,","),FIND($A$2,Lines!L19))-FIND($A$2,Lines!L19)-LEN($A$2)-1))</f>
        <v/>
      </c>
      <c r="M19" s="30" t="str">
        <f>IF(ISERROR(FIND($A$2,Lines!M19))=TRUE,"",MID(Lines!M19,FIND($A$2,Lines!M19)+LEN($A$2)+1,FIND(",",_xlfn.CONCAT(Lines!M19,","),FIND($A$2,Lines!M19))-FIND($A$2,Lines!M19)-LEN($A$2)-1))</f>
        <v/>
      </c>
      <c r="N19" s="32" t="str">
        <f>IF(ISERROR(FIND($A$2,Lines!N19))=TRUE,"",MID(Lines!N19,FIND($A$2,Lines!N19)+LEN($A$2)+1,FIND(",",_xlfn.CONCAT(Lines!N19,","),FIND($A$2,Lines!N19))-FIND($A$2,Lines!N19)-LEN($A$2)-1))</f>
        <v/>
      </c>
      <c r="O19" s="25" t="str">
        <f>IF(ISERROR(FIND($A$2,Lines!O19))=TRUE,"",MID(Lines!O19,FIND($A$2,Lines!O19)+LEN($A$2)+1,FIND(",",_xlfn.CONCAT(Lines!O19,","),FIND($A$2,Lines!O19))-FIND($A$2,Lines!O19)-LEN($A$2)-1))</f>
        <v/>
      </c>
      <c r="P19" s="25" t="str">
        <f>IF(ISERROR(FIND($A$2,Lines!P19))=TRUE,"",MID(Lines!P19,FIND($A$2,Lines!P19)+LEN($A$2)+1,FIND(",",_xlfn.CONCAT(Lines!P19,","),FIND($A$2,Lines!P19))-FIND($A$2,Lines!P19)-LEN($A$2)-1))</f>
        <v>2</v>
      </c>
      <c r="Q19" s="66" t="str">
        <f>IF(ISERROR(FIND($A$2,Lines!Q19))=TRUE,"",MID(Lines!Q19,FIND($A$2,Lines!Q19)+LEN($A$2)+1,FIND(",",_xlfn.CONCAT(Lines!Q19,","),FIND($A$2,Lines!Q19))-FIND($A$2,Lines!Q19)-LEN($A$2)-1))</f>
        <v/>
      </c>
      <c r="R19" s="25" t="str">
        <f>IF(ISERROR(FIND($A$2,Lines!R19))=TRUE,"",MID(Lines!R19,FIND($A$2,Lines!R19)+LEN($A$2)+1,FIND(",",_xlfn.CONCAT(Lines!R19,","),FIND($A$2,Lines!R19))-FIND($A$2,Lines!R19)-LEN($A$2)-1))</f>
        <v>2</v>
      </c>
      <c r="S19" s="25" t="str">
        <f>IF(ISERROR(FIND($A$2,Lines!S19))=TRUE,"",MID(Lines!S19,FIND($A$2,Lines!S19)+LEN($A$2)+1,FIND(",",_xlfn.CONCAT(Lines!S19,","),FIND($A$2,Lines!S19))-FIND($A$2,Lines!S19)-LEN($A$2)-1))</f>
        <v>4</v>
      </c>
      <c r="T19" s="25" t="str">
        <f>IF(ISERROR(FIND($A$2,Lines!T19))=TRUE,"",MID(Lines!T19,FIND($A$2,Lines!T19)+LEN($A$2)+1,FIND(",",_xlfn.CONCAT(Lines!T19,","),FIND($A$2,Lines!T19))-FIND($A$2,Lines!T19)-LEN($A$2)-1))</f>
        <v>2</v>
      </c>
      <c r="U19" s="25" t="str">
        <f>IF(ISERROR(FIND($A$2,Lines!U19))=TRUE,"",MID(Lines!U19,FIND($A$2,Lines!U19)+LEN($A$2)+1,FIND(",",_xlfn.CONCAT(Lines!U19,","),FIND($A$2,Lines!U19))-FIND($A$2,Lines!U19)-LEN($A$2)-1))</f>
        <v/>
      </c>
      <c r="V19" s="35" t="str">
        <f>IF(ISERROR(FIND($A$2,Lines!V19))=TRUE,"",MID(Lines!V19,FIND($A$2,Lines!V19)+LEN($A$2)+1,FIND(",",_xlfn.CONCAT(Lines!V19,","),FIND($A$2,Lines!V19))-FIND($A$2,Lines!V19)-LEN($A$2)-1))</f>
        <v/>
      </c>
      <c r="W19" s="36" t="str">
        <f>IF(ISERROR(FIND($A$2,Lines!W19))=TRUE,"",MID(Lines!W19,FIND($A$2,Lines!W19)+LEN($A$2)+1,FIND(",",_xlfn.CONCAT(Lines!W19,","),FIND($A$2,Lines!W19))-FIND($A$2,Lines!W19)-LEN($A$2)-1))</f>
        <v/>
      </c>
      <c r="X19" s="30" t="str">
        <f>IF(ISERROR(FIND($A$2,Lines!X19))=TRUE,"",MID(Lines!X19,FIND($A$2,Lines!X19)+LEN($A$2)+1,FIND(",",_xlfn.CONCAT(Lines!X19,","),FIND($A$2,Lines!X19))-FIND($A$2,Lines!X19)-LEN($A$2)-1))</f>
        <v/>
      </c>
      <c r="Y19" s="30" t="str">
        <f>IF(ISERROR(FIND($A$2,Lines!Y19))=TRUE,"",MID(Lines!Y19,FIND($A$2,Lines!Y19)+LEN($A$2)+1,FIND(",",_xlfn.CONCAT(Lines!Y19,","),FIND($A$2,Lines!Y19))-FIND($A$2,Lines!Y19)-LEN($A$2)-1))</f>
        <v/>
      </c>
      <c r="Z19" s="30" t="str">
        <f>IF(ISERROR(FIND($A$2,Lines!Z19))=TRUE,"",MID(Lines!Z19,FIND($A$2,Lines!Z19)+LEN($A$2)+1,FIND(",",_xlfn.CONCAT(Lines!Z19,","),FIND($A$2,Lines!Z19))-FIND($A$2,Lines!Z19)-LEN($A$2)-1))</f>
        <v/>
      </c>
      <c r="AA19" s="30" t="str">
        <f>IF(ISERROR(FIND($A$2,Lines!AA19))=TRUE,"",MID(Lines!AA19,FIND($A$2,Lines!AA19)+LEN($A$2)+1,FIND(",",_xlfn.CONCAT(Lines!AA19,","),FIND($A$2,Lines!AA19))-FIND($A$2,Lines!AA19)-LEN($A$2)-1))</f>
        <v/>
      </c>
      <c r="AB19" s="30" t="str">
        <f>IF(ISERROR(FIND($A$2,Lines!AB19))=TRUE,"",MID(Lines!AB19,FIND($A$2,Lines!AB19)+LEN($A$2)+1,FIND(",",_xlfn.CONCAT(Lines!AB19,","),FIND($A$2,Lines!AB19))-FIND($A$2,Lines!AB19)-LEN($A$2)-1))</f>
        <v/>
      </c>
      <c r="AC19" s="30" t="str">
        <f>IF(ISERROR(FIND($A$2,Lines!AC19))=TRUE,"",MID(Lines!AC19,FIND($A$2,Lines!AC19)+LEN($A$2)+1,FIND(",",_xlfn.CONCAT(Lines!AC19,","),FIND($A$2,Lines!AC19))-FIND($A$2,Lines!AC19)-LEN($A$2)-1))</f>
        <v/>
      </c>
      <c r="AD19" s="30" t="str">
        <f>IF(ISERROR(FIND($A$2,Lines!AD19))=TRUE,"",MID(Lines!AD19,FIND($A$2,Lines!AD19)+LEN($A$2)+1,FIND(",",_xlfn.CONCAT(Lines!AD19,","),FIND($A$2,Lines!AD19))-FIND($A$2,Lines!AD19)-LEN($A$2)-1))</f>
        <v/>
      </c>
      <c r="AE19" s="30" t="str">
        <f>IF(ISERROR(FIND($A$2,Lines!AE19))=TRUE,"",MID(Lines!AE19,FIND($A$2,Lines!AE19)+LEN($A$2)+1,FIND(",",_xlfn.CONCAT(Lines!AE19,","),FIND($A$2,Lines!AE19))-FIND($A$2,Lines!AE19)-LEN($A$2)-1))</f>
        <v/>
      </c>
      <c r="AF19" s="30" t="str">
        <f>IF(ISERROR(FIND($A$2,Lines!AF19))=TRUE,"",MID(Lines!AF19,FIND($A$2,Lines!AF19)+LEN($A$2)+1,FIND(",",_xlfn.CONCAT(Lines!AF19,","),FIND($A$2,Lines!AF19))-FIND($A$2,Lines!AF19)-LEN($A$2)-1))</f>
        <v/>
      </c>
      <c r="AG19" s="30" t="str">
        <f>IF(ISERROR(FIND($A$2,Lines!AG19))=TRUE,"",MID(Lines!AG19,FIND($A$2,Lines!AG19)+LEN($A$2)+1,FIND(",",_xlfn.CONCAT(Lines!AG19,","),FIND($A$2,Lines!AG19))-FIND($A$2,Lines!AG19)-LEN($A$2)-1))</f>
        <v/>
      </c>
      <c r="AH19" s="30" t="str">
        <f>IF(ISERROR(FIND($A$2,Lines!AH19))=TRUE,"",MID(Lines!AH19,FIND($A$2,Lines!AH19)+LEN($A$2)+1,FIND(",",_xlfn.CONCAT(Lines!AH19,","),FIND($A$2,Lines!AH19))-FIND($A$2,Lines!AH19)-LEN($A$2)-1))</f>
        <v/>
      </c>
      <c r="AI19" s="30" t="str">
        <f>IF(ISERROR(FIND($A$2,Lines!AI19))=TRUE,"",MID(Lines!AI19,FIND($A$2,Lines!AI19)+LEN($A$2)+1,FIND(",",_xlfn.CONCAT(Lines!AI19,","),FIND($A$2,Lines!AI19))-FIND($A$2,Lines!AI19)-LEN($A$2)-1))</f>
        <v/>
      </c>
      <c r="AJ19" s="30" t="str">
        <f>IF(ISERROR(FIND($A$2,Lines!AJ19))=TRUE,"",MID(Lines!AJ19,FIND($A$2,Lines!AJ19)+LEN($A$2)+1,FIND(",",_xlfn.CONCAT(Lines!AJ19,","),FIND($A$2,Lines!AJ19))-FIND($A$2,Lines!AJ19)-LEN($A$2)-1))</f>
        <v/>
      </c>
      <c r="AK19" s="30" t="str">
        <f>IF(ISERROR(FIND($A$2,Lines!AK19))=TRUE,"",MID(Lines!AK19,FIND($A$2,Lines!AK19)+LEN($A$2)+1,FIND(",",_xlfn.CONCAT(Lines!AK19,","),FIND($A$2,Lines!AK19))-FIND($A$2,Lines!AK19)-LEN($A$2)-1))</f>
        <v/>
      </c>
      <c r="AL19" s="30" t="str">
        <f>IF(ISERROR(FIND($A$2,Lines!AL19))=TRUE,"",MID(Lines!AL19,FIND($A$2,Lines!AL19)+LEN($A$2)+1,FIND(",",_xlfn.CONCAT(Lines!AL19,","),FIND($A$2,Lines!AL19))-FIND($A$2,Lines!AL19)-LEN($A$2)-1))</f>
        <v/>
      </c>
      <c r="AM19" s="30" t="str">
        <f>IF(ISERROR(FIND($A$2,Lines!AM19))=TRUE,"",MID(Lines!AM19,FIND($A$2,Lines!AM19)+LEN($A$2)+1,FIND(",",_xlfn.CONCAT(Lines!AM19,","),FIND($A$2,Lines!AM19))-FIND($A$2,Lines!AM19)-LEN($A$2)-1))</f>
        <v/>
      </c>
      <c r="AN19" s="30" t="str">
        <f>IF(ISERROR(FIND($A$2,Lines!AN19))=TRUE,"",MID(Lines!AN19,FIND($A$2,Lines!AN19)+LEN($A$2)+1,FIND(",",_xlfn.CONCAT(Lines!AN19,","),FIND($A$2,Lines!AN19))-FIND($A$2,Lines!AN19)-LEN($A$2)-1))</f>
        <v/>
      </c>
      <c r="AO19" s="30" t="str">
        <f>IF(ISERROR(FIND($A$2,Lines!AO19))=TRUE,"",MID(Lines!AO19,FIND($A$2,Lines!AO19)+LEN($A$2)+1,FIND(",",_xlfn.CONCAT(Lines!AO19,","),FIND($A$2,Lines!AO19))-FIND($A$2,Lines!AO19)-LEN($A$2)-1))</f>
        <v/>
      </c>
      <c r="AP19" s="30" t="str">
        <f>IF(ISERROR(FIND($A$2,Lines!AP19))=TRUE,"",MID(Lines!AP19,FIND($A$2,Lines!AP19)+LEN($A$2)+1,FIND(",",_xlfn.CONCAT(Lines!AP19,","),FIND($A$2,Lines!AP19))-FIND($A$2,Lines!AP19)-LEN($A$2)-1))</f>
        <v/>
      </c>
      <c r="AQ19" s="30" t="str">
        <f>IF(ISERROR(FIND($A$2,Lines!AQ19))=TRUE,"",MID(Lines!AQ19,FIND($A$2,Lines!AQ19)+LEN($A$2)+1,FIND(",",_xlfn.CONCAT(Lines!AQ19,","),FIND($A$2,Lines!AQ19))-FIND($A$2,Lines!AQ19)-LEN($A$2)-1))</f>
        <v/>
      </c>
      <c r="AR19" s="30" t="str">
        <f>IF(ISERROR(FIND($A$2,Lines!AR19))=TRUE,"",MID(Lines!AR19,FIND($A$2,Lines!AR19)+LEN($A$2)+1,FIND(",",_xlfn.CONCAT(Lines!AR19,","),FIND($A$2,Lines!AR19))-FIND($A$2,Lines!AR19)-LEN($A$2)-1))</f>
        <v/>
      </c>
      <c r="AS19" s="30" t="str">
        <f>IF(ISERROR(FIND($A$2,Lines!AS19))=TRUE,"",MID(Lines!AS19,FIND($A$2,Lines!AS19)+LEN($A$2)+1,FIND(",",_xlfn.CONCAT(Lines!AS19,","),FIND($A$2,Lines!AS19))-FIND($A$2,Lines!AS19)-LEN($A$2)-1))</f>
        <v/>
      </c>
      <c r="AT19" s="30" t="str">
        <f>IF(ISERROR(FIND($A$2,Lines!AT19))=TRUE,"",MID(Lines!AT19,FIND($A$2,Lines!AT19)+LEN($A$2)+1,FIND(",",_xlfn.CONCAT(Lines!AT19,","),FIND($A$2,Lines!AT19))-FIND($A$2,Lines!AT19)-LEN($A$2)-1))</f>
        <v/>
      </c>
    </row>
    <row r="20" spans="1:46" ht="20.25" customHeight="1">
      <c r="A20" s="2" t="s">
        <v>68</v>
      </c>
      <c r="B20" s="30" t="str">
        <f>IF(ISERROR(FIND($A$2,Lines!B20))=TRUE,"",MID(Lines!B20,FIND($A$2,Lines!B20)+LEN($A$2)+1,FIND(",",_xlfn.CONCAT(Lines!B20,","),FIND($A$2,Lines!B20))-FIND($A$2,Lines!B20)-LEN($A$2)-1))</f>
        <v/>
      </c>
      <c r="C20" s="30" t="str">
        <f>IF(ISERROR(FIND($A$2,Lines!C20))=TRUE,"",MID(Lines!C20,FIND($A$2,Lines!C20)+LEN($A$2)+1,FIND(",",_xlfn.CONCAT(Lines!C20,","),FIND($A$2,Lines!C20))-FIND($A$2,Lines!C20)-LEN($A$2)-1))</f>
        <v/>
      </c>
      <c r="D20" s="30" t="str">
        <f>IF(ISERROR(FIND($A$2,Lines!D20))=TRUE,"",MID(Lines!D20,FIND($A$2,Lines!D20)+LEN($A$2)+1,FIND(",",_xlfn.CONCAT(Lines!D20,","),FIND($A$2,Lines!D20))-FIND($A$2,Lines!D20)-LEN($A$2)-1))</f>
        <v/>
      </c>
      <c r="E20" s="30" t="str">
        <f>IF(ISERROR(FIND($A$2,Lines!E20))=TRUE,"",MID(Lines!E20,FIND($A$2,Lines!E20)+LEN($A$2)+1,FIND(",",_xlfn.CONCAT(Lines!E20,","),FIND($A$2,Lines!E20))-FIND($A$2,Lines!E20)-LEN($A$2)-1))</f>
        <v/>
      </c>
      <c r="F20" s="30" t="str">
        <f>IF(ISERROR(FIND($A$2,Lines!F20))=TRUE,"",MID(Lines!F20,FIND($A$2,Lines!F20)+LEN($A$2)+1,FIND(",",_xlfn.CONCAT(Lines!F20,","),FIND($A$2,Lines!F20))-FIND($A$2,Lines!F20)-LEN($A$2)-1))</f>
        <v/>
      </c>
      <c r="G20" s="30" t="str">
        <f>IF(ISERROR(FIND($A$2,Lines!G20))=TRUE,"",MID(Lines!G20,FIND($A$2,Lines!G20)+LEN($A$2)+1,FIND(",",_xlfn.CONCAT(Lines!G20,","),FIND($A$2,Lines!G20))-FIND($A$2,Lines!G20)-LEN($A$2)-1))</f>
        <v/>
      </c>
      <c r="H20" s="30" t="str">
        <f>IF(ISERROR(FIND($A$2,Lines!H20))=TRUE,"",MID(Lines!H20,FIND($A$2,Lines!H20)+LEN($A$2)+1,FIND(",",_xlfn.CONCAT(Lines!H20,","),FIND($A$2,Lines!H20))-FIND($A$2,Lines!H20)-LEN($A$2)-1))</f>
        <v/>
      </c>
      <c r="I20" s="30" t="str">
        <f>IF(ISERROR(FIND($A$2,Lines!I20))=TRUE,"",MID(Lines!I20,FIND($A$2,Lines!I20)+LEN($A$2)+1,FIND(",",_xlfn.CONCAT(Lines!I20,","),FIND($A$2,Lines!I20))-FIND($A$2,Lines!I20)-LEN($A$2)-1))</f>
        <v/>
      </c>
      <c r="J20" s="30" t="str">
        <f>IF(ISERROR(FIND($A$2,Lines!J20))=TRUE,"",MID(Lines!J20,FIND($A$2,Lines!J20)+LEN($A$2)+1,FIND(",",_xlfn.CONCAT(Lines!J20,","),FIND($A$2,Lines!J20))-FIND($A$2,Lines!J20)-LEN($A$2)-1))</f>
        <v/>
      </c>
      <c r="K20" s="30" t="str">
        <f>IF(ISERROR(FIND($A$2,Lines!K20))=TRUE,"",MID(Lines!K20,FIND($A$2,Lines!K20)+LEN($A$2)+1,FIND(",",_xlfn.CONCAT(Lines!K20,","),FIND($A$2,Lines!K20))-FIND($A$2,Lines!K20)-LEN($A$2)-1))</f>
        <v/>
      </c>
      <c r="L20" s="30" t="str">
        <f>IF(ISERROR(FIND($A$2,Lines!L20))=TRUE,"",MID(Lines!L20,FIND($A$2,Lines!L20)+LEN($A$2)+1,FIND(",",_xlfn.CONCAT(Lines!L20,","),FIND($A$2,Lines!L20))-FIND($A$2,Lines!L20)-LEN($A$2)-1))</f>
        <v/>
      </c>
      <c r="M20" s="30" t="str">
        <f>IF(ISERROR(FIND($A$2,Lines!M20))=TRUE,"",MID(Lines!M20,FIND($A$2,Lines!M20)+LEN($A$2)+1,FIND(",",_xlfn.CONCAT(Lines!M20,","),FIND($A$2,Lines!M20))-FIND($A$2,Lines!M20)-LEN($A$2)-1))</f>
        <v/>
      </c>
      <c r="N20" s="32" t="str">
        <f>IF(ISERROR(FIND($A$2,Lines!N20))=TRUE,"",MID(Lines!N20,FIND($A$2,Lines!N20)+LEN($A$2)+1,FIND(",",_xlfn.CONCAT(Lines!N20,","),FIND($A$2,Lines!N20))-FIND($A$2,Lines!N20)-LEN($A$2)-1))</f>
        <v/>
      </c>
      <c r="O20" s="25" t="str">
        <f>IF(ISERROR(FIND($A$2,Lines!O20))=TRUE,"",MID(Lines!O20,FIND($A$2,Lines!O20)+LEN($A$2)+1,FIND(",",_xlfn.CONCAT(Lines!O20,","),FIND($A$2,Lines!O20))-FIND($A$2,Lines!O20)-LEN($A$2)-1))</f>
        <v>2</v>
      </c>
      <c r="P20" s="25" t="str">
        <f>IF(ISERROR(FIND($A$2,Lines!P20))=TRUE,"",MID(Lines!P20,FIND($A$2,Lines!P20)+LEN($A$2)+1,FIND(",",_xlfn.CONCAT(Lines!P20,","),FIND($A$2,Lines!P20))-FIND($A$2,Lines!P20)-LEN($A$2)-1))</f>
        <v/>
      </c>
      <c r="Q20" s="25" t="str">
        <f>IF(ISERROR(FIND($A$2,Lines!Q20))=TRUE,"",MID(Lines!Q20,FIND($A$2,Lines!Q20)+LEN($A$2)+1,FIND(",",_xlfn.CONCAT(Lines!Q20,","),FIND($A$2,Lines!Q20))-FIND($A$2,Lines!Q20)-LEN($A$2)-1))</f>
        <v>2</v>
      </c>
      <c r="R20" s="66" t="str">
        <f>IF(ISERROR(FIND($A$2,Lines!R20))=TRUE,"",MID(Lines!R20,FIND($A$2,Lines!R20)+LEN($A$2)+1,FIND(",",_xlfn.CONCAT(Lines!R20,","),FIND($A$2,Lines!R20))-FIND($A$2,Lines!R20)-LEN($A$2)-1))</f>
        <v/>
      </c>
      <c r="S20" s="25" t="str">
        <f>IF(ISERROR(FIND($A$2,Lines!S20))=TRUE,"",MID(Lines!S20,FIND($A$2,Lines!S20)+LEN($A$2)+1,FIND(",",_xlfn.CONCAT(Lines!S20,","),FIND($A$2,Lines!S20))-FIND($A$2,Lines!S20)-LEN($A$2)-1))</f>
        <v/>
      </c>
      <c r="T20" s="25" t="str">
        <f>IF(ISERROR(FIND($A$2,Lines!T20))=TRUE,"",MID(Lines!T20,FIND($A$2,Lines!T20)+LEN($A$2)+1,FIND(",",_xlfn.CONCAT(Lines!T20,","),FIND($A$2,Lines!T20))-FIND($A$2,Lines!T20)-LEN($A$2)-1))</f>
        <v/>
      </c>
      <c r="U20" s="25" t="str">
        <f>IF(ISERROR(FIND($A$2,Lines!U20))=TRUE,"",MID(Lines!U20,FIND($A$2,Lines!U20)+LEN($A$2)+1,FIND(",",_xlfn.CONCAT(Lines!U20,","),FIND($A$2,Lines!U20))-FIND($A$2,Lines!U20)-LEN($A$2)-1))</f>
        <v/>
      </c>
      <c r="V20" s="35" t="str">
        <f>IF(ISERROR(FIND($A$2,Lines!V20))=TRUE,"",MID(Lines!V20,FIND($A$2,Lines!V20)+LEN($A$2)+1,FIND(",",_xlfn.CONCAT(Lines!V20,","),FIND($A$2,Lines!V20))-FIND($A$2,Lines!V20)-LEN($A$2)-1))</f>
        <v/>
      </c>
      <c r="W20" s="36" t="str">
        <f>IF(ISERROR(FIND($A$2,Lines!W20))=TRUE,"",MID(Lines!W20,FIND($A$2,Lines!W20)+LEN($A$2)+1,FIND(",",_xlfn.CONCAT(Lines!W20,","),FIND($A$2,Lines!W20))-FIND($A$2,Lines!W20)-LEN($A$2)-1))</f>
        <v/>
      </c>
      <c r="X20" s="30" t="str">
        <f>IF(ISERROR(FIND($A$2,Lines!X20))=TRUE,"",MID(Lines!X20,FIND($A$2,Lines!X20)+LEN($A$2)+1,FIND(",",_xlfn.CONCAT(Lines!X20,","),FIND($A$2,Lines!X20))-FIND($A$2,Lines!X20)-LEN($A$2)-1))</f>
        <v/>
      </c>
      <c r="Y20" s="30" t="str">
        <f>IF(ISERROR(FIND($A$2,Lines!Y20))=TRUE,"",MID(Lines!Y20,FIND($A$2,Lines!Y20)+LEN($A$2)+1,FIND(",",_xlfn.CONCAT(Lines!Y20,","),FIND($A$2,Lines!Y20))-FIND($A$2,Lines!Y20)-LEN($A$2)-1))</f>
        <v/>
      </c>
      <c r="Z20" s="30" t="str">
        <f>IF(ISERROR(FIND($A$2,Lines!Z20))=TRUE,"",MID(Lines!Z20,FIND($A$2,Lines!Z20)+LEN($A$2)+1,FIND(",",_xlfn.CONCAT(Lines!Z20,","),FIND($A$2,Lines!Z20))-FIND($A$2,Lines!Z20)-LEN($A$2)-1))</f>
        <v/>
      </c>
      <c r="AA20" s="30" t="str">
        <f>IF(ISERROR(FIND($A$2,Lines!AA20))=TRUE,"",MID(Lines!AA20,FIND($A$2,Lines!AA20)+LEN($A$2)+1,FIND(",",_xlfn.CONCAT(Lines!AA20,","),FIND($A$2,Lines!AA20))-FIND($A$2,Lines!AA20)-LEN($A$2)-1))</f>
        <v/>
      </c>
      <c r="AB20" s="30" t="str">
        <f>IF(ISERROR(FIND($A$2,Lines!AB20))=TRUE,"",MID(Lines!AB20,FIND($A$2,Lines!AB20)+LEN($A$2)+1,FIND(",",_xlfn.CONCAT(Lines!AB20,","),FIND($A$2,Lines!AB20))-FIND($A$2,Lines!AB20)-LEN($A$2)-1))</f>
        <v/>
      </c>
      <c r="AC20" s="30" t="str">
        <f>IF(ISERROR(FIND($A$2,Lines!AC20))=TRUE,"",MID(Lines!AC20,FIND($A$2,Lines!AC20)+LEN($A$2)+1,FIND(",",_xlfn.CONCAT(Lines!AC20,","),FIND($A$2,Lines!AC20))-FIND($A$2,Lines!AC20)-LEN($A$2)-1))</f>
        <v/>
      </c>
      <c r="AD20" s="30" t="str">
        <f>IF(ISERROR(FIND($A$2,Lines!AD20))=TRUE,"",MID(Lines!AD20,FIND($A$2,Lines!AD20)+LEN($A$2)+1,FIND(",",_xlfn.CONCAT(Lines!AD20,","),FIND($A$2,Lines!AD20))-FIND($A$2,Lines!AD20)-LEN($A$2)-1))</f>
        <v/>
      </c>
      <c r="AE20" s="30" t="str">
        <f>IF(ISERROR(FIND($A$2,Lines!AE20))=TRUE,"",MID(Lines!AE20,FIND($A$2,Lines!AE20)+LEN($A$2)+1,FIND(",",_xlfn.CONCAT(Lines!AE20,","),FIND($A$2,Lines!AE20))-FIND($A$2,Lines!AE20)-LEN($A$2)-1))</f>
        <v/>
      </c>
      <c r="AF20" s="30" t="str">
        <f>IF(ISERROR(FIND($A$2,Lines!AF20))=TRUE,"",MID(Lines!AF20,FIND($A$2,Lines!AF20)+LEN($A$2)+1,FIND(",",_xlfn.CONCAT(Lines!AF20,","),FIND($A$2,Lines!AF20))-FIND($A$2,Lines!AF20)-LEN($A$2)-1))</f>
        <v/>
      </c>
      <c r="AG20" s="30" t="str">
        <f>IF(ISERROR(FIND($A$2,Lines!AG20))=TRUE,"",MID(Lines!AG20,FIND($A$2,Lines!AG20)+LEN($A$2)+1,FIND(",",_xlfn.CONCAT(Lines!AG20,","),FIND($A$2,Lines!AG20))-FIND($A$2,Lines!AG20)-LEN($A$2)-1))</f>
        <v/>
      </c>
      <c r="AH20" s="30" t="str">
        <f>IF(ISERROR(FIND($A$2,Lines!AH20))=TRUE,"",MID(Lines!AH20,FIND($A$2,Lines!AH20)+LEN($A$2)+1,FIND(",",_xlfn.CONCAT(Lines!AH20,","),FIND($A$2,Lines!AH20))-FIND($A$2,Lines!AH20)-LEN($A$2)-1))</f>
        <v/>
      </c>
      <c r="AI20" s="30" t="str">
        <f>IF(ISERROR(FIND($A$2,Lines!AI20))=TRUE,"",MID(Lines!AI20,FIND($A$2,Lines!AI20)+LEN($A$2)+1,FIND(",",_xlfn.CONCAT(Lines!AI20,","),FIND($A$2,Lines!AI20))-FIND($A$2,Lines!AI20)-LEN($A$2)-1))</f>
        <v/>
      </c>
      <c r="AJ20" s="30" t="str">
        <f>IF(ISERROR(FIND($A$2,Lines!AJ20))=TRUE,"",MID(Lines!AJ20,FIND($A$2,Lines!AJ20)+LEN($A$2)+1,FIND(",",_xlfn.CONCAT(Lines!AJ20,","),FIND($A$2,Lines!AJ20))-FIND($A$2,Lines!AJ20)-LEN($A$2)-1))</f>
        <v/>
      </c>
      <c r="AK20" s="30" t="str">
        <f>IF(ISERROR(FIND($A$2,Lines!AK20))=TRUE,"",MID(Lines!AK20,FIND($A$2,Lines!AK20)+LEN($A$2)+1,FIND(",",_xlfn.CONCAT(Lines!AK20,","),FIND($A$2,Lines!AK20))-FIND($A$2,Lines!AK20)-LEN($A$2)-1))</f>
        <v/>
      </c>
      <c r="AL20" s="30" t="str">
        <f>IF(ISERROR(FIND($A$2,Lines!AL20))=TRUE,"",MID(Lines!AL20,FIND($A$2,Lines!AL20)+LEN($A$2)+1,FIND(",",_xlfn.CONCAT(Lines!AL20,","),FIND($A$2,Lines!AL20))-FIND($A$2,Lines!AL20)-LEN($A$2)-1))</f>
        <v/>
      </c>
      <c r="AM20" s="30" t="str">
        <f>IF(ISERROR(FIND($A$2,Lines!AM20))=TRUE,"",MID(Lines!AM20,FIND($A$2,Lines!AM20)+LEN($A$2)+1,FIND(",",_xlfn.CONCAT(Lines!AM20,","),FIND($A$2,Lines!AM20))-FIND($A$2,Lines!AM20)-LEN($A$2)-1))</f>
        <v/>
      </c>
      <c r="AN20" s="30" t="str">
        <f>IF(ISERROR(FIND($A$2,Lines!AN20))=TRUE,"",MID(Lines!AN20,FIND($A$2,Lines!AN20)+LEN($A$2)+1,FIND(",",_xlfn.CONCAT(Lines!AN20,","),FIND($A$2,Lines!AN20))-FIND($A$2,Lines!AN20)-LEN($A$2)-1))</f>
        <v/>
      </c>
      <c r="AO20" s="30" t="str">
        <f>IF(ISERROR(FIND($A$2,Lines!AO20))=TRUE,"",MID(Lines!AO20,FIND($A$2,Lines!AO20)+LEN($A$2)+1,FIND(",",_xlfn.CONCAT(Lines!AO20,","),FIND($A$2,Lines!AO20))-FIND($A$2,Lines!AO20)-LEN($A$2)-1))</f>
        <v/>
      </c>
      <c r="AP20" s="30" t="str">
        <f>IF(ISERROR(FIND($A$2,Lines!AP20))=TRUE,"",MID(Lines!AP20,FIND($A$2,Lines!AP20)+LEN($A$2)+1,FIND(",",_xlfn.CONCAT(Lines!AP20,","),FIND($A$2,Lines!AP20))-FIND($A$2,Lines!AP20)-LEN($A$2)-1))</f>
        <v/>
      </c>
      <c r="AQ20" s="30" t="str">
        <f>IF(ISERROR(FIND($A$2,Lines!AQ20))=TRUE,"",MID(Lines!AQ20,FIND($A$2,Lines!AQ20)+LEN($A$2)+1,FIND(",",_xlfn.CONCAT(Lines!AQ20,","),FIND($A$2,Lines!AQ20))-FIND($A$2,Lines!AQ20)-LEN($A$2)-1))</f>
        <v/>
      </c>
      <c r="AR20" s="30" t="str">
        <f>IF(ISERROR(FIND($A$2,Lines!AR20))=TRUE,"",MID(Lines!AR20,FIND($A$2,Lines!AR20)+LEN($A$2)+1,FIND(",",_xlfn.CONCAT(Lines!AR20,","),FIND($A$2,Lines!AR20))-FIND($A$2,Lines!AR20)-LEN($A$2)-1))</f>
        <v/>
      </c>
      <c r="AS20" s="30" t="str">
        <f>IF(ISERROR(FIND($A$2,Lines!AS20))=TRUE,"",MID(Lines!AS20,FIND($A$2,Lines!AS20)+LEN($A$2)+1,FIND(",",_xlfn.CONCAT(Lines!AS20,","),FIND($A$2,Lines!AS20))-FIND($A$2,Lines!AS20)-LEN($A$2)-1))</f>
        <v/>
      </c>
      <c r="AT20" s="30" t="str">
        <f>IF(ISERROR(FIND($A$2,Lines!AT20))=TRUE,"",MID(Lines!AT20,FIND($A$2,Lines!AT20)+LEN($A$2)+1,FIND(",",_xlfn.CONCAT(Lines!AT20,","),FIND($A$2,Lines!AT20))-FIND($A$2,Lines!AT20)-LEN($A$2)-1))</f>
        <v/>
      </c>
    </row>
    <row r="21" spans="1:46" ht="20.25" customHeight="1">
      <c r="A21" s="2" t="s">
        <v>69</v>
      </c>
      <c r="B21" s="30" t="str">
        <f>IF(ISERROR(FIND($A$2,Lines!B21))=TRUE,"",MID(Lines!B21,FIND($A$2,Lines!B21)+LEN($A$2)+1,FIND(",",_xlfn.CONCAT(Lines!B21,","),FIND($A$2,Lines!B21))-FIND($A$2,Lines!B21)-LEN($A$2)-1))</f>
        <v/>
      </c>
      <c r="C21" s="30" t="str">
        <f>IF(ISERROR(FIND($A$2,Lines!C21))=TRUE,"",MID(Lines!C21,FIND($A$2,Lines!C21)+LEN($A$2)+1,FIND(",",_xlfn.CONCAT(Lines!C21,","),FIND($A$2,Lines!C21))-FIND($A$2,Lines!C21)-LEN($A$2)-1))</f>
        <v/>
      </c>
      <c r="D21" s="30" t="str">
        <f>IF(ISERROR(FIND($A$2,Lines!D21))=TRUE,"",MID(Lines!D21,FIND($A$2,Lines!D21)+LEN($A$2)+1,FIND(",",_xlfn.CONCAT(Lines!D21,","),FIND($A$2,Lines!D21))-FIND($A$2,Lines!D21)-LEN($A$2)-1))</f>
        <v/>
      </c>
      <c r="E21" s="30" t="str">
        <f>IF(ISERROR(FIND($A$2,Lines!E21))=TRUE,"",MID(Lines!E21,FIND($A$2,Lines!E21)+LEN($A$2)+1,FIND(",",_xlfn.CONCAT(Lines!E21,","),FIND($A$2,Lines!E21))-FIND($A$2,Lines!E21)-LEN($A$2)-1))</f>
        <v/>
      </c>
      <c r="F21" s="30" t="str">
        <f>IF(ISERROR(FIND($A$2,Lines!F21))=TRUE,"",MID(Lines!F21,FIND($A$2,Lines!F21)+LEN($A$2)+1,FIND(",",_xlfn.CONCAT(Lines!F21,","),FIND($A$2,Lines!F21))-FIND($A$2,Lines!F21)-LEN($A$2)-1))</f>
        <v/>
      </c>
      <c r="G21" s="30" t="str">
        <f>IF(ISERROR(FIND($A$2,Lines!G21))=TRUE,"",MID(Lines!G21,FIND($A$2,Lines!G21)+LEN($A$2)+1,FIND(",",_xlfn.CONCAT(Lines!G21,","),FIND($A$2,Lines!G21))-FIND($A$2,Lines!G21)-LEN($A$2)-1))</f>
        <v/>
      </c>
      <c r="H21" s="30" t="str">
        <f>IF(ISERROR(FIND($A$2,Lines!H21))=TRUE,"",MID(Lines!H21,FIND($A$2,Lines!H21)+LEN($A$2)+1,FIND(",",_xlfn.CONCAT(Lines!H21,","),FIND($A$2,Lines!H21))-FIND($A$2,Lines!H21)-LEN($A$2)-1))</f>
        <v/>
      </c>
      <c r="I21" s="30" t="str">
        <f>IF(ISERROR(FIND($A$2,Lines!I21))=TRUE,"",MID(Lines!I21,FIND($A$2,Lines!I21)+LEN($A$2)+1,FIND(",",_xlfn.CONCAT(Lines!I21,","),FIND($A$2,Lines!I21))-FIND($A$2,Lines!I21)-LEN($A$2)-1))</f>
        <v/>
      </c>
      <c r="J21" s="30" t="str">
        <f>IF(ISERROR(FIND($A$2,Lines!J21))=TRUE,"",MID(Lines!J21,FIND($A$2,Lines!J21)+LEN($A$2)+1,FIND(",",_xlfn.CONCAT(Lines!J21,","),FIND($A$2,Lines!J21))-FIND($A$2,Lines!J21)-LEN($A$2)-1))</f>
        <v/>
      </c>
      <c r="K21" s="30" t="str">
        <f>IF(ISERROR(FIND($A$2,Lines!K21))=TRUE,"",MID(Lines!K21,FIND($A$2,Lines!K21)+LEN($A$2)+1,FIND(",",_xlfn.CONCAT(Lines!K21,","),FIND($A$2,Lines!K21))-FIND($A$2,Lines!K21)-LEN($A$2)-1))</f>
        <v/>
      </c>
      <c r="L21" s="30" t="str">
        <f>IF(ISERROR(FIND($A$2,Lines!L21))=TRUE,"",MID(Lines!L21,FIND($A$2,Lines!L21)+LEN($A$2)+1,FIND(",",_xlfn.CONCAT(Lines!L21,","),FIND($A$2,Lines!L21))-FIND($A$2,Lines!L21)-LEN($A$2)-1))</f>
        <v/>
      </c>
      <c r="M21" s="30" t="str">
        <f>IF(ISERROR(FIND($A$2,Lines!M21))=TRUE,"",MID(Lines!M21,FIND($A$2,Lines!M21)+LEN($A$2)+1,FIND(",",_xlfn.CONCAT(Lines!M21,","),FIND($A$2,Lines!M21))-FIND($A$2,Lines!M21)-LEN($A$2)-1))</f>
        <v/>
      </c>
      <c r="N21" s="32" t="str">
        <f>IF(ISERROR(FIND($A$2,Lines!N21))=TRUE,"",MID(Lines!N21,FIND($A$2,Lines!N21)+LEN($A$2)+1,FIND(",",_xlfn.CONCAT(Lines!N21,","),FIND($A$2,Lines!N21))-FIND($A$2,Lines!N21)-LEN($A$2)-1))</f>
        <v/>
      </c>
      <c r="O21" s="25" t="str">
        <f>IF(ISERROR(FIND($A$2,Lines!O21))=TRUE,"",MID(Lines!O21,FIND($A$2,Lines!O21)+LEN($A$2)+1,FIND(",",_xlfn.CONCAT(Lines!O21,","),FIND($A$2,Lines!O21))-FIND($A$2,Lines!O21)-LEN($A$2)-1))</f>
        <v/>
      </c>
      <c r="P21" s="25" t="str">
        <f>IF(ISERROR(FIND($A$2,Lines!P21))=TRUE,"",MID(Lines!P21,FIND($A$2,Lines!P21)+LEN($A$2)+1,FIND(",",_xlfn.CONCAT(Lines!P21,","),FIND($A$2,Lines!P21))-FIND($A$2,Lines!P21)-LEN($A$2)-1))</f>
        <v>2</v>
      </c>
      <c r="Q21" s="25" t="str">
        <f>IF(ISERROR(FIND($A$2,Lines!Q21))=TRUE,"",MID(Lines!Q21,FIND($A$2,Lines!Q21)+LEN($A$2)+1,FIND(",",_xlfn.CONCAT(Lines!Q21,","),FIND($A$2,Lines!Q21))-FIND($A$2,Lines!Q21)-LEN($A$2)-1))</f>
        <v>4</v>
      </c>
      <c r="R21" s="25" t="str">
        <f>IF(ISERROR(FIND($A$2,Lines!R21))=TRUE,"",MID(Lines!R21,FIND($A$2,Lines!R21)+LEN($A$2)+1,FIND(",",_xlfn.CONCAT(Lines!R21,","),FIND($A$2,Lines!R21))-FIND($A$2,Lines!R21)-LEN($A$2)-1))</f>
        <v/>
      </c>
      <c r="S21" s="66" t="str">
        <f>IF(ISERROR(FIND($A$2,Lines!S21))=TRUE,"",MID(Lines!S21,FIND($A$2,Lines!S21)+LEN($A$2)+1,FIND(",",_xlfn.CONCAT(Lines!S21,","),FIND($A$2,Lines!S21))-FIND($A$2,Lines!S21)-LEN($A$2)-1))</f>
        <v/>
      </c>
      <c r="T21" s="25" t="str">
        <f>IF(ISERROR(FIND($A$2,Lines!T21))=TRUE,"",MID(Lines!T21,FIND($A$2,Lines!T21)+LEN($A$2)+1,FIND(",",_xlfn.CONCAT(Lines!T21,","),FIND($A$2,Lines!T21))-FIND($A$2,Lines!T21)-LEN($A$2)-1))</f>
        <v/>
      </c>
      <c r="U21" s="25" t="str">
        <f>IF(ISERROR(FIND($A$2,Lines!U21))=TRUE,"",MID(Lines!U21,FIND($A$2,Lines!U21)+LEN($A$2)+1,FIND(",",_xlfn.CONCAT(Lines!U21,","),FIND($A$2,Lines!U21))-FIND($A$2,Lines!U21)-LEN($A$2)-1))</f>
        <v/>
      </c>
      <c r="V21" s="35" t="str">
        <f>IF(ISERROR(FIND($A$2,Lines!V21))=TRUE,"",MID(Lines!V21,FIND($A$2,Lines!V21)+LEN($A$2)+1,FIND(",",_xlfn.CONCAT(Lines!V21,","),FIND($A$2,Lines!V21))-FIND($A$2,Lines!V21)-LEN($A$2)-1))</f>
        <v/>
      </c>
      <c r="W21" s="36" t="str">
        <f>IF(ISERROR(FIND($A$2,Lines!W21))=TRUE,"",MID(Lines!W21,FIND($A$2,Lines!W21)+LEN($A$2)+1,FIND(",",_xlfn.CONCAT(Lines!W21,","),FIND($A$2,Lines!W21))-FIND($A$2,Lines!W21)-LEN($A$2)-1))</f>
        <v/>
      </c>
      <c r="X21" s="30" t="str">
        <f>IF(ISERROR(FIND($A$2,Lines!X21))=TRUE,"",MID(Lines!X21,FIND($A$2,Lines!X21)+LEN($A$2)+1,FIND(",",_xlfn.CONCAT(Lines!X21,","),FIND($A$2,Lines!X21))-FIND($A$2,Lines!X21)-LEN($A$2)-1))</f>
        <v/>
      </c>
      <c r="Y21" s="30" t="str">
        <f>IF(ISERROR(FIND($A$2,Lines!Y21))=TRUE,"",MID(Lines!Y21,FIND($A$2,Lines!Y21)+LEN($A$2)+1,FIND(",",_xlfn.CONCAT(Lines!Y21,","),FIND($A$2,Lines!Y21))-FIND($A$2,Lines!Y21)-LEN($A$2)-1))</f>
        <v/>
      </c>
      <c r="Z21" s="30" t="str">
        <f>IF(ISERROR(FIND($A$2,Lines!Z21))=TRUE,"",MID(Lines!Z21,FIND($A$2,Lines!Z21)+LEN($A$2)+1,FIND(",",_xlfn.CONCAT(Lines!Z21,","),FIND($A$2,Lines!Z21))-FIND($A$2,Lines!Z21)-LEN($A$2)-1))</f>
        <v/>
      </c>
      <c r="AA21" s="30" t="str">
        <f>IF(ISERROR(FIND($A$2,Lines!AA21))=TRUE,"",MID(Lines!AA21,FIND($A$2,Lines!AA21)+LEN($A$2)+1,FIND(",",_xlfn.CONCAT(Lines!AA21,","),FIND($A$2,Lines!AA21))-FIND($A$2,Lines!AA21)-LEN($A$2)-1))</f>
        <v/>
      </c>
      <c r="AB21" s="30" t="str">
        <f>IF(ISERROR(FIND($A$2,Lines!AB21))=TRUE,"",MID(Lines!AB21,FIND($A$2,Lines!AB21)+LEN($A$2)+1,FIND(",",_xlfn.CONCAT(Lines!AB21,","),FIND($A$2,Lines!AB21))-FIND($A$2,Lines!AB21)-LEN($A$2)-1))</f>
        <v/>
      </c>
      <c r="AC21" s="30" t="str">
        <f>IF(ISERROR(FIND($A$2,Lines!AC21))=TRUE,"",MID(Lines!AC21,FIND($A$2,Lines!AC21)+LEN($A$2)+1,FIND(",",_xlfn.CONCAT(Lines!AC21,","),FIND($A$2,Lines!AC21))-FIND($A$2,Lines!AC21)-LEN($A$2)-1))</f>
        <v/>
      </c>
      <c r="AD21" s="30" t="str">
        <f>IF(ISERROR(FIND($A$2,Lines!AD21))=TRUE,"",MID(Lines!AD21,FIND($A$2,Lines!AD21)+LEN($A$2)+1,FIND(",",_xlfn.CONCAT(Lines!AD21,","),FIND($A$2,Lines!AD21))-FIND($A$2,Lines!AD21)-LEN($A$2)-1))</f>
        <v/>
      </c>
      <c r="AE21" s="30" t="str">
        <f>IF(ISERROR(FIND($A$2,Lines!AE21))=TRUE,"",MID(Lines!AE21,FIND($A$2,Lines!AE21)+LEN($A$2)+1,FIND(",",_xlfn.CONCAT(Lines!AE21,","),FIND($A$2,Lines!AE21))-FIND($A$2,Lines!AE21)-LEN($A$2)-1))</f>
        <v/>
      </c>
      <c r="AF21" s="30" t="str">
        <f>IF(ISERROR(FIND($A$2,Lines!AF21))=TRUE,"",MID(Lines!AF21,FIND($A$2,Lines!AF21)+LEN($A$2)+1,FIND(",",_xlfn.CONCAT(Lines!AF21,","),FIND($A$2,Lines!AF21))-FIND($A$2,Lines!AF21)-LEN($A$2)-1))</f>
        <v/>
      </c>
      <c r="AG21" s="30" t="str">
        <f>IF(ISERROR(FIND($A$2,Lines!AG21))=TRUE,"",MID(Lines!AG21,FIND($A$2,Lines!AG21)+LEN($A$2)+1,FIND(",",_xlfn.CONCAT(Lines!AG21,","),FIND($A$2,Lines!AG21))-FIND($A$2,Lines!AG21)-LEN($A$2)-1))</f>
        <v/>
      </c>
      <c r="AH21" s="30" t="str">
        <f>IF(ISERROR(FIND($A$2,Lines!AH21))=TRUE,"",MID(Lines!AH21,FIND($A$2,Lines!AH21)+LEN($A$2)+1,FIND(",",_xlfn.CONCAT(Lines!AH21,","),FIND($A$2,Lines!AH21))-FIND($A$2,Lines!AH21)-LEN($A$2)-1))</f>
        <v/>
      </c>
      <c r="AI21" s="30" t="str">
        <f>IF(ISERROR(FIND($A$2,Lines!AI21))=TRUE,"",MID(Lines!AI21,FIND($A$2,Lines!AI21)+LEN($A$2)+1,FIND(",",_xlfn.CONCAT(Lines!AI21,","),FIND($A$2,Lines!AI21))-FIND($A$2,Lines!AI21)-LEN($A$2)-1))</f>
        <v/>
      </c>
      <c r="AJ21" s="30" t="str">
        <f>IF(ISERROR(FIND($A$2,Lines!AJ21))=TRUE,"",MID(Lines!AJ21,FIND($A$2,Lines!AJ21)+LEN($A$2)+1,FIND(",",_xlfn.CONCAT(Lines!AJ21,","),FIND($A$2,Lines!AJ21))-FIND($A$2,Lines!AJ21)-LEN($A$2)-1))</f>
        <v/>
      </c>
      <c r="AK21" s="30" t="str">
        <f>IF(ISERROR(FIND($A$2,Lines!AK21))=TRUE,"",MID(Lines!AK21,FIND($A$2,Lines!AK21)+LEN($A$2)+1,FIND(",",_xlfn.CONCAT(Lines!AK21,","),FIND($A$2,Lines!AK21))-FIND($A$2,Lines!AK21)-LEN($A$2)-1))</f>
        <v/>
      </c>
      <c r="AL21" s="30" t="str">
        <f>IF(ISERROR(FIND($A$2,Lines!AL21))=TRUE,"",MID(Lines!AL21,FIND($A$2,Lines!AL21)+LEN($A$2)+1,FIND(",",_xlfn.CONCAT(Lines!AL21,","),FIND($A$2,Lines!AL21))-FIND($A$2,Lines!AL21)-LEN($A$2)-1))</f>
        <v/>
      </c>
      <c r="AM21" s="30" t="str">
        <f>IF(ISERROR(FIND($A$2,Lines!AM21))=TRUE,"",MID(Lines!AM21,FIND($A$2,Lines!AM21)+LEN($A$2)+1,FIND(",",_xlfn.CONCAT(Lines!AM21,","),FIND($A$2,Lines!AM21))-FIND($A$2,Lines!AM21)-LEN($A$2)-1))</f>
        <v/>
      </c>
      <c r="AN21" s="30" t="str">
        <f>IF(ISERROR(FIND($A$2,Lines!AN21))=TRUE,"",MID(Lines!AN21,FIND($A$2,Lines!AN21)+LEN($A$2)+1,FIND(",",_xlfn.CONCAT(Lines!AN21,","),FIND($A$2,Lines!AN21))-FIND($A$2,Lines!AN21)-LEN($A$2)-1))</f>
        <v/>
      </c>
      <c r="AO21" s="30" t="str">
        <f>IF(ISERROR(FIND($A$2,Lines!AO21))=TRUE,"",MID(Lines!AO21,FIND($A$2,Lines!AO21)+LEN($A$2)+1,FIND(",",_xlfn.CONCAT(Lines!AO21,","),FIND($A$2,Lines!AO21))-FIND($A$2,Lines!AO21)-LEN($A$2)-1))</f>
        <v/>
      </c>
      <c r="AP21" s="30" t="str">
        <f>IF(ISERROR(FIND($A$2,Lines!AP21))=TRUE,"",MID(Lines!AP21,FIND($A$2,Lines!AP21)+LEN($A$2)+1,FIND(",",_xlfn.CONCAT(Lines!AP21,","),FIND($A$2,Lines!AP21))-FIND($A$2,Lines!AP21)-LEN($A$2)-1))</f>
        <v/>
      </c>
      <c r="AQ21" s="30" t="str">
        <f>IF(ISERROR(FIND($A$2,Lines!AQ21))=TRUE,"",MID(Lines!AQ21,FIND($A$2,Lines!AQ21)+LEN($A$2)+1,FIND(",",_xlfn.CONCAT(Lines!AQ21,","),FIND($A$2,Lines!AQ21))-FIND($A$2,Lines!AQ21)-LEN($A$2)-1))</f>
        <v/>
      </c>
      <c r="AR21" s="30" t="str">
        <f>IF(ISERROR(FIND($A$2,Lines!AR21))=TRUE,"",MID(Lines!AR21,FIND($A$2,Lines!AR21)+LEN($A$2)+1,FIND(",",_xlfn.CONCAT(Lines!AR21,","),FIND($A$2,Lines!AR21))-FIND($A$2,Lines!AR21)-LEN($A$2)-1))</f>
        <v/>
      </c>
      <c r="AS21" s="30" t="str">
        <f>IF(ISERROR(FIND($A$2,Lines!AS21))=TRUE,"",MID(Lines!AS21,FIND($A$2,Lines!AS21)+LEN($A$2)+1,FIND(",",_xlfn.CONCAT(Lines!AS21,","),FIND($A$2,Lines!AS21))-FIND($A$2,Lines!AS21)-LEN($A$2)-1))</f>
        <v/>
      </c>
      <c r="AT21" s="30" t="str">
        <f>IF(ISERROR(FIND($A$2,Lines!AT21))=TRUE,"",MID(Lines!AT21,FIND($A$2,Lines!AT21)+LEN($A$2)+1,FIND(",",_xlfn.CONCAT(Lines!AT21,","),FIND($A$2,Lines!AT21))-FIND($A$2,Lines!AT21)-LEN($A$2)-1))</f>
        <v/>
      </c>
    </row>
    <row r="22" spans="1:46" ht="20.25" customHeight="1">
      <c r="A22" s="2" t="s">
        <v>70</v>
      </c>
      <c r="B22" s="30" t="str">
        <f>IF(ISERROR(FIND($A$2,Lines!B22))=TRUE,"",MID(Lines!B22,FIND($A$2,Lines!B22)+LEN($A$2)+1,FIND(",",_xlfn.CONCAT(Lines!B22,","),FIND($A$2,Lines!B22))-FIND($A$2,Lines!B22)-LEN($A$2)-1))</f>
        <v/>
      </c>
      <c r="C22" s="30" t="str">
        <f>IF(ISERROR(FIND($A$2,Lines!C22))=TRUE,"",MID(Lines!C22,FIND($A$2,Lines!C22)+LEN($A$2)+1,FIND(",",_xlfn.CONCAT(Lines!C22,","),FIND($A$2,Lines!C22))-FIND($A$2,Lines!C22)-LEN($A$2)-1))</f>
        <v/>
      </c>
      <c r="D22" s="30" t="str">
        <f>IF(ISERROR(FIND($A$2,Lines!D22))=TRUE,"",MID(Lines!D22,FIND($A$2,Lines!D22)+LEN($A$2)+1,FIND(",",_xlfn.CONCAT(Lines!D22,","),FIND($A$2,Lines!D22))-FIND($A$2,Lines!D22)-LEN($A$2)-1))</f>
        <v/>
      </c>
      <c r="E22" s="30" t="str">
        <f>IF(ISERROR(FIND($A$2,Lines!E22))=TRUE,"",MID(Lines!E22,FIND($A$2,Lines!E22)+LEN($A$2)+1,FIND(",",_xlfn.CONCAT(Lines!E22,","),FIND($A$2,Lines!E22))-FIND($A$2,Lines!E22)-LEN($A$2)-1))</f>
        <v/>
      </c>
      <c r="F22" s="30" t="str">
        <f>IF(ISERROR(FIND($A$2,Lines!F22))=TRUE,"",MID(Lines!F22,FIND($A$2,Lines!F22)+LEN($A$2)+1,FIND(",",_xlfn.CONCAT(Lines!F22,","),FIND($A$2,Lines!F22))-FIND($A$2,Lines!F22)-LEN($A$2)-1))</f>
        <v/>
      </c>
      <c r="G22" s="30" t="str">
        <f>IF(ISERROR(FIND($A$2,Lines!G22))=TRUE,"",MID(Lines!G22,FIND($A$2,Lines!G22)+LEN($A$2)+1,FIND(",",_xlfn.CONCAT(Lines!G22,","),FIND($A$2,Lines!G22))-FIND($A$2,Lines!G22)-LEN($A$2)-1))</f>
        <v/>
      </c>
      <c r="H22" s="30" t="str">
        <f>IF(ISERROR(FIND($A$2,Lines!H22))=TRUE,"",MID(Lines!H22,FIND($A$2,Lines!H22)+LEN($A$2)+1,FIND(",",_xlfn.CONCAT(Lines!H22,","),FIND($A$2,Lines!H22))-FIND($A$2,Lines!H22)-LEN($A$2)-1))</f>
        <v/>
      </c>
      <c r="I22" s="30" t="str">
        <f>IF(ISERROR(FIND($A$2,Lines!I22))=TRUE,"",MID(Lines!I22,FIND($A$2,Lines!I22)+LEN($A$2)+1,FIND(",",_xlfn.CONCAT(Lines!I22,","),FIND($A$2,Lines!I22))-FIND($A$2,Lines!I22)-LEN($A$2)-1))</f>
        <v/>
      </c>
      <c r="J22" s="30" t="str">
        <f>IF(ISERROR(FIND($A$2,Lines!J22))=TRUE,"",MID(Lines!J22,FIND($A$2,Lines!J22)+LEN($A$2)+1,FIND(",",_xlfn.CONCAT(Lines!J22,","),FIND($A$2,Lines!J22))-FIND($A$2,Lines!J22)-LEN($A$2)-1))</f>
        <v/>
      </c>
      <c r="K22" s="30" t="str">
        <f>IF(ISERROR(FIND($A$2,Lines!K22))=TRUE,"",MID(Lines!K22,FIND($A$2,Lines!K22)+LEN($A$2)+1,FIND(",",_xlfn.CONCAT(Lines!K22,","),FIND($A$2,Lines!K22))-FIND($A$2,Lines!K22)-LEN($A$2)-1))</f>
        <v/>
      </c>
      <c r="L22" s="30" t="str">
        <f>IF(ISERROR(FIND($A$2,Lines!L22))=TRUE,"",MID(Lines!L22,FIND($A$2,Lines!L22)+LEN($A$2)+1,FIND(",",_xlfn.CONCAT(Lines!L22,","),FIND($A$2,Lines!L22))-FIND($A$2,Lines!L22)-LEN($A$2)-1))</f>
        <v/>
      </c>
      <c r="M22" s="30" t="str">
        <f>IF(ISERROR(FIND($A$2,Lines!M22))=TRUE,"",MID(Lines!M22,FIND($A$2,Lines!M22)+LEN($A$2)+1,FIND(",",_xlfn.CONCAT(Lines!M22,","),FIND($A$2,Lines!M22))-FIND($A$2,Lines!M22)-LEN($A$2)-1))</f>
        <v/>
      </c>
      <c r="N22" s="32" t="str">
        <f>IF(ISERROR(FIND($A$2,Lines!N22))=TRUE,"",MID(Lines!N22,FIND($A$2,Lines!N22)+LEN($A$2)+1,FIND(",",_xlfn.CONCAT(Lines!N22,","),FIND($A$2,Lines!N22))-FIND($A$2,Lines!N22)-LEN($A$2)-1))</f>
        <v/>
      </c>
      <c r="O22" s="25" t="str">
        <f>IF(ISERROR(FIND($A$2,Lines!O22))=TRUE,"",MID(Lines!O22,FIND($A$2,Lines!O22)+LEN($A$2)+1,FIND(",",_xlfn.CONCAT(Lines!O22,","),FIND($A$2,Lines!O22))-FIND($A$2,Lines!O22)-LEN($A$2)-1))</f>
        <v/>
      </c>
      <c r="P22" s="25" t="str">
        <f>IF(ISERROR(FIND($A$2,Lines!P22))=TRUE,"",MID(Lines!P22,FIND($A$2,Lines!P22)+LEN($A$2)+1,FIND(",",_xlfn.CONCAT(Lines!P22,","),FIND($A$2,Lines!P22))-FIND($A$2,Lines!P22)-LEN($A$2)-1))</f>
        <v/>
      </c>
      <c r="Q22" s="25" t="str">
        <f>IF(ISERROR(FIND($A$2,Lines!Q22))=TRUE,"",MID(Lines!Q22,FIND($A$2,Lines!Q22)+LEN($A$2)+1,FIND(",",_xlfn.CONCAT(Lines!Q22,","),FIND($A$2,Lines!Q22))-FIND($A$2,Lines!Q22)-LEN($A$2)-1))</f>
        <v>2</v>
      </c>
      <c r="R22" s="25" t="str">
        <f>IF(ISERROR(FIND($A$2,Lines!R22))=TRUE,"",MID(Lines!R22,FIND($A$2,Lines!R22)+LEN($A$2)+1,FIND(",",_xlfn.CONCAT(Lines!R22,","),FIND($A$2,Lines!R22))-FIND($A$2,Lines!R22)-LEN($A$2)-1))</f>
        <v/>
      </c>
      <c r="S22" s="25" t="str">
        <f>IF(ISERROR(FIND($A$2,Lines!S22))=TRUE,"",MID(Lines!S22,FIND($A$2,Lines!S22)+LEN($A$2)+1,FIND(",",_xlfn.CONCAT(Lines!S22,","),FIND($A$2,Lines!S22))-FIND($A$2,Lines!S22)-LEN($A$2)-1))</f>
        <v/>
      </c>
      <c r="T22" s="66" t="str">
        <f>IF(ISERROR(FIND($A$2,Lines!T22))=TRUE,"",MID(Lines!T22,FIND($A$2,Lines!T22)+LEN($A$2)+1,FIND(",",_xlfn.CONCAT(Lines!T22,","),FIND($A$2,Lines!T22))-FIND($A$2,Lines!T22)-LEN($A$2)-1))</f>
        <v/>
      </c>
      <c r="U22" s="25" t="str">
        <f>IF(ISERROR(FIND($A$2,Lines!U22))=TRUE,"",MID(Lines!U22,FIND($A$2,Lines!U22)+LEN($A$2)+1,FIND(",",_xlfn.CONCAT(Lines!U22,","),FIND($A$2,Lines!U22))-FIND($A$2,Lines!U22)-LEN($A$2)-1))</f>
        <v/>
      </c>
      <c r="V22" s="35" t="str">
        <f>IF(ISERROR(FIND($A$2,Lines!V22))=TRUE,"",MID(Lines!V22,FIND($A$2,Lines!V22)+LEN($A$2)+1,FIND(",",_xlfn.CONCAT(Lines!V22,","),FIND($A$2,Lines!V22))-FIND($A$2,Lines!V22)-LEN($A$2)-1))</f>
        <v/>
      </c>
      <c r="W22" s="36" t="str">
        <f>IF(ISERROR(FIND($A$2,Lines!W22))=TRUE,"",MID(Lines!W22,FIND($A$2,Lines!W22)+LEN($A$2)+1,FIND(",",_xlfn.CONCAT(Lines!W22,","),FIND($A$2,Lines!W22))-FIND($A$2,Lines!W22)-LEN($A$2)-1))</f>
        <v/>
      </c>
      <c r="X22" s="30" t="str">
        <f>IF(ISERROR(FIND($A$2,Lines!X22))=TRUE,"",MID(Lines!X22,FIND($A$2,Lines!X22)+LEN($A$2)+1,FIND(",",_xlfn.CONCAT(Lines!X22,","),FIND($A$2,Lines!X22))-FIND($A$2,Lines!X22)-LEN($A$2)-1))</f>
        <v/>
      </c>
      <c r="Y22" s="30" t="str">
        <f>IF(ISERROR(FIND($A$2,Lines!Y22))=TRUE,"",MID(Lines!Y22,FIND($A$2,Lines!Y22)+LEN($A$2)+1,FIND(",",_xlfn.CONCAT(Lines!Y22,","),FIND($A$2,Lines!Y22))-FIND($A$2,Lines!Y22)-LEN($A$2)-1))</f>
        <v/>
      </c>
      <c r="Z22" s="30" t="str">
        <f>IF(ISERROR(FIND($A$2,Lines!Z22))=TRUE,"",MID(Lines!Z22,FIND($A$2,Lines!Z22)+LEN($A$2)+1,FIND(",",_xlfn.CONCAT(Lines!Z22,","),FIND($A$2,Lines!Z22))-FIND($A$2,Lines!Z22)-LEN($A$2)-1))</f>
        <v/>
      </c>
      <c r="AA22" s="30" t="str">
        <f>IF(ISERROR(FIND($A$2,Lines!AA22))=TRUE,"",MID(Lines!AA22,FIND($A$2,Lines!AA22)+LEN($A$2)+1,FIND(",",_xlfn.CONCAT(Lines!AA22,","),FIND($A$2,Lines!AA22))-FIND($A$2,Lines!AA22)-LEN($A$2)-1))</f>
        <v/>
      </c>
      <c r="AB22" s="30" t="str">
        <f>IF(ISERROR(FIND($A$2,Lines!AB22))=TRUE,"",MID(Lines!AB22,FIND($A$2,Lines!AB22)+LEN($A$2)+1,FIND(",",_xlfn.CONCAT(Lines!AB22,","),FIND($A$2,Lines!AB22))-FIND($A$2,Lines!AB22)-LEN($A$2)-1))</f>
        <v/>
      </c>
      <c r="AC22" s="30" t="str">
        <f>IF(ISERROR(FIND($A$2,Lines!AC22))=TRUE,"",MID(Lines!AC22,FIND($A$2,Lines!AC22)+LEN($A$2)+1,FIND(",",_xlfn.CONCAT(Lines!AC22,","),FIND($A$2,Lines!AC22))-FIND($A$2,Lines!AC22)-LEN($A$2)-1))</f>
        <v/>
      </c>
      <c r="AD22" s="30" t="str">
        <f>IF(ISERROR(FIND($A$2,Lines!AD22))=TRUE,"",MID(Lines!AD22,FIND($A$2,Lines!AD22)+LEN($A$2)+1,FIND(",",_xlfn.CONCAT(Lines!AD22,","),FIND($A$2,Lines!AD22))-FIND($A$2,Lines!AD22)-LEN($A$2)-1))</f>
        <v/>
      </c>
      <c r="AE22" s="30" t="str">
        <f>IF(ISERROR(FIND($A$2,Lines!AE22))=TRUE,"",MID(Lines!AE22,FIND($A$2,Lines!AE22)+LEN($A$2)+1,FIND(",",_xlfn.CONCAT(Lines!AE22,","),FIND($A$2,Lines!AE22))-FIND($A$2,Lines!AE22)-LEN($A$2)-1))</f>
        <v/>
      </c>
      <c r="AF22" s="30" t="str">
        <f>IF(ISERROR(FIND($A$2,Lines!AF22))=TRUE,"",MID(Lines!AF22,FIND($A$2,Lines!AF22)+LEN($A$2)+1,FIND(",",_xlfn.CONCAT(Lines!AF22,","),FIND($A$2,Lines!AF22))-FIND($A$2,Lines!AF22)-LEN($A$2)-1))</f>
        <v/>
      </c>
      <c r="AG22" s="30" t="str">
        <f>IF(ISERROR(FIND($A$2,Lines!AG22))=TRUE,"",MID(Lines!AG22,FIND($A$2,Lines!AG22)+LEN($A$2)+1,FIND(",",_xlfn.CONCAT(Lines!AG22,","),FIND($A$2,Lines!AG22))-FIND($A$2,Lines!AG22)-LEN($A$2)-1))</f>
        <v/>
      </c>
      <c r="AH22" s="30" t="str">
        <f>IF(ISERROR(FIND($A$2,Lines!AH22))=TRUE,"",MID(Lines!AH22,FIND($A$2,Lines!AH22)+LEN($A$2)+1,FIND(",",_xlfn.CONCAT(Lines!AH22,","),FIND($A$2,Lines!AH22))-FIND($A$2,Lines!AH22)-LEN($A$2)-1))</f>
        <v/>
      </c>
      <c r="AI22" s="30" t="str">
        <f>IF(ISERROR(FIND($A$2,Lines!AI22))=TRUE,"",MID(Lines!AI22,FIND($A$2,Lines!AI22)+LEN($A$2)+1,FIND(",",_xlfn.CONCAT(Lines!AI22,","),FIND($A$2,Lines!AI22))-FIND($A$2,Lines!AI22)-LEN($A$2)-1))</f>
        <v/>
      </c>
      <c r="AJ22" s="30" t="str">
        <f>IF(ISERROR(FIND($A$2,Lines!AJ22))=TRUE,"",MID(Lines!AJ22,FIND($A$2,Lines!AJ22)+LEN($A$2)+1,FIND(",",_xlfn.CONCAT(Lines!AJ22,","),FIND($A$2,Lines!AJ22))-FIND($A$2,Lines!AJ22)-LEN($A$2)-1))</f>
        <v/>
      </c>
      <c r="AK22" s="30" t="str">
        <f>IF(ISERROR(FIND($A$2,Lines!AK22))=TRUE,"",MID(Lines!AK22,FIND($A$2,Lines!AK22)+LEN($A$2)+1,FIND(",",_xlfn.CONCAT(Lines!AK22,","),FIND($A$2,Lines!AK22))-FIND($A$2,Lines!AK22)-LEN($A$2)-1))</f>
        <v/>
      </c>
      <c r="AL22" s="30" t="str">
        <f>IF(ISERROR(FIND($A$2,Lines!AL22))=TRUE,"",MID(Lines!AL22,FIND($A$2,Lines!AL22)+LEN($A$2)+1,FIND(",",_xlfn.CONCAT(Lines!AL22,","),FIND($A$2,Lines!AL22))-FIND($A$2,Lines!AL22)-LEN($A$2)-1))</f>
        <v/>
      </c>
      <c r="AM22" s="30" t="str">
        <f>IF(ISERROR(FIND($A$2,Lines!AM22))=TRUE,"",MID(Lines!AM22,FIND($A$2,Lines!AM22)+LEN($A$2)+1,FIND(",",_xlfn.CONCAT(Lines!AM22,","),FIND($A$2,Lines!AM22))-FIND($A$2,Lines!AM22)-LEN($A$2)-1))</f>
        <v/>
      </c>
      <c r="AN22" s="30" t="str">
        <f>IF(ISERROR(FIND($A$2,Lines!AN22))=TRUE,"",MID(Lines!AN22,FIND($A$2,Lines!AN22)+LEN($A$2)+1,FIND(",",_xlfn.CONCAT(Lines!AN22,","),FIND($A$2,Lines!AN22))-FIND($A$2,Lines!AN22)-LEN($A$2)-1))</f>
        <v/>
      </c>
      <c r="AO22" s="30" t="str">
        <f>IF(ISERROR(FIND($A$2,Lines!AO22))=TRUE,"",MID(Lines!AO22,FIND($A$2,Lines!AO22)+LEN($A$2)+1,FIND(",",_xlfn.CONCAT(Lines!AO22,","),FIND($A$2,Lines!AO22))-FIND($A$2,Lines!AO22)-LEN($A$2)-1))</f>
        <v/>
      </c>
      <c r="AP22" s="30" t="str">
        <f>IF(ISERROR(FIND($A$2,Lines!AP22))=TRUE,"",MID(Lines!AP22,FIND($A$2,Lines!AP22)+LEN($A$2)+1,FIND(",",_xlfn.CONCAT(Lines!AP22,","),FIND($A$2,Lines!AP22))-FIND($A$2,Lines!AP22)-LEN($A$2)-1))</f>
        <v/>
      </c>
      <c r="AQ22" s="30" t="str">
        <f>IF(ISERROR(FIND($A$2,Lines!AQ22))=TRUE,"",MID(Lines!AQ22,FIND($A$2,Lines!AQ22)+LEN($A$2)+1,FIND(",",_xlfn.CONCAT(Lines!AQ22,","),FIND($A$2,Lines!AQ22))-FIND($A$2,Lines!AQ22)-LEN($A$2)-1))</f>
        <v/>
      </c>
      <c r="AR22" s="30" t="str">
        <f>IF(ISERROR(FIND($A$2,Lines!AR22))=TRUE,"",MID(Lines!AR22,FIND($A$2,Lines!AR22)+LEN($A$2)+1,FIND(",",_xlfn.CONCAT(Lines!AR22,","),FIND($A$2,Lines!AR22))-FIND($A$2,Lines!AR22)-LEN($A$2)-1))</f>
        <v/>
      </c>
      <c r="AS22" s="30" t="str">
        <f>IF(ISERROR(FIND($A$2,Lines!AS22))=TRUE,"",MID(Lines!AS22,FIND($A$2,Lines!AS22)+LEN($A$2)+1,FIND(",",_xlfn.CONCAT(Lines!AS22,","),FIND($A$2,Lines!AS22))-FIND($A$2,Lines!AS22)-LEN($A$2)-1))</f>
        <v/>
      </c>
      <c r="AT22" s="30" t="str">
        <f>IF(ISERROR(FIND($A$2,Lines!AT22))=TRUE,"",MID(Lines!AT22,FIND($A$2,Lines!AT22)+LEN($A$2)+1,FIND(",",_xlfn.CONCAT(Lines!AT22,","),FIND($A$2,Lines!AT22))-FIND($A$2,Lines!AT22)-LEN($A$2)-1))</f>
        <v/>
      </c>
    </row>
    <row r="23" spans="1:46" ht="20.25" customHeight="1">
      <c r="A23" s="2" t="s">
        <v>71</v>
      </c>
      <c r="B23" s="30" t="str">
        <f>IF(ISERROR(FIND($A$2,Lines!B23))=TRUE,"",MID(Lines!B23,FIND($A$2,Lines!B23)+LEN($A$2)+1,FIND(",",_xlfn.CONCAT(Lines!B23,","),FIND($A$2,Lines!B23))-FIND($A$2,Lines!B23)-LEN($A$2)-1))</f>
        <v/>
      </c>
      <c r="C23" s="30" t="str">
        <f>IF(ISERROR(FIND($A$2,Lines!C23))=TRUE,"",MID(Lines!C23,FIND($A$2,Lines!C23)+LEN($A$2)+1,FIND(",",_xlfn.CONCAT(Lines!C23,","),FIND($A$2,Lines!C23))-FIND($A$2,Lines!C23)-LEN($A$2)-1))</f>
        <v/>
      </c>
      <c r="D23" s="30" t="str">
        <f>IF(ISERROR(FIND($A$2,Lines!D23))=TRUE,"",MID(Lines!D23,FIND($A$2,Lines!D23)+LEN($A$2)+1,FIND(",",_xlfn.CONCAT(Lines!D23,","),FIND($A$2,Lines!D23))-FIND($A$2,Lines!D23)-LEN($A$2)-1))</f>
        <v/>
      </c>
      <c r="E23" s="30" t="str">
        <f>IF(ISERROR(FIND($A$2,Lines!E23))=TRUE,"",MID(Lines!E23,FIND($A$2,Lines!E23)+LEN($A$2)+1,FIND(",",_xlfn.CONCAT(Lines!E23,","),FIND($A$2,Lines!E23))-FIND($A$2,Lines!E23)-LEN($A$2)-1))</f>
        <v/>
      </c>
      <c r="F23" s="30" t="str">
        <f>IF(ISERROR(FIND($A$2,Lines!F23))=TRUE,"",MID(Lines!F23,FIND($A$2,Lines!F23)+LEN($A$2)+1,FIND(",",_xlfn.CONCAT(Lines!F23,","),FIND($A$2,Lines!F23))-FIND($A$2,Lines!F23)-LEN($A$2)-1))</f>
        <v/>
      </c>
      <c r="G23" s="30" t="str">
        <f>IF(ISERROR(FIND($A$2,Lines!G23))=TRUE,"",MID(Lines!G23,FIND($A$2,Lines!G23)+LEN($A$2)+1,FIND(",",_xlfn.CONCAT(Lines!G23,","),FIND($A$2,Lines!G23))-FIND($A$2,Lines!G23)-LEN($A$2)-1))</f>
        <v/>
      </c>
      <c r="H23" s="30" t="str">
        <f>IF(ISERROR(FIND($A$2,Lines!H23))=TRUE,"",MID(Lines!H23,FIND($A$2,Lines!H23)+LEN($A$2)+1,FIND(",",_xlfn.CONCAT(Lines!H23,","),FIND($A$2,Lines!H23))-FIND($A$2,Lines!H23)-LEN($A$2)-1))</f>
        <v/>
      </c>
      <c r="I23" s="30" t="str">
        <f>IF(ISERROR(FIND($A$2,Lines!I23))=TRUE,"",MID(Lines!I23,FIND($A$2,Lines!I23)+LEN($A$2)+1,FIND(",",_xlfn.CONCAT(Lines!I23,","),FIND($A$2,Lines!I23))-FIND($A$2,Lines!I23)-LEN($A$2)-1))</f>
        <v/>
      </c>
      <c r="J23" s="30" t="str">
        <f>IF(ISERROR(FIND($A$2,Lines!J23))=TRUE,"",MID(Lines!J23,FIND($A$2,Lines!J23)+LEN($A$2)+1,FIND(",",_xlfn.CONCAT(Lines!J23,","),FIND($A$2,Lines!J23))-FIND($A$2,Lines!J23)-LEN($A$2)-1))</f>
        <v/>
      </c>
      <c r="K23" s="30" t="str">
        <f>IF(ISERROR(FIND($A$2,Lines!K23))=TRUE,"",MID(Lines!K23,FIND($A$2,Lines!K23)+LEN($A$2)+1,FIND(",",_xlfn.CONCAT(Lines!K23,","),FIND($A$2,Lines!K23))-FIND($A$2,Lines!K23)-LEN($A$2)-1))</f>
        <v/>
      </c>
      <c r="L23" s="30" t="str">
        <f>IF(ISERROR(FIND($A$2,Lines!L23))=TRUE,"",MID(Lines!L23,FIND($A$2,Lines!L23)+LEN($A$2)+1,FIND(",",_xlfn.CONCAT(Lines!L23,","),FIND($A$2,Lines!L23))-FIND($A$2,Lines!L23)-LEN($A$2)-1))</f>
        <v/>
      </c>
      <c r="M23" s="30" t="str">
        <f>IF(ISERROR(FIND($A$2,Lines!M23))=TRUE,"",MID(Lines!M23,FIND($A$2,Lines!M23)+LEN($A$2)+1,FIND(",",_xlfn.CONCAT(Lines!M23,","),FIND($A$2,Lines!M23))-FIND($A$2,Lines!M23)-LEN($A$2)-1))</f>
        <v/>
      </c>
      <c r="N23" s="32" t="str">
        <f>IF(ISERROR(FIND($A$2,Lines!N23))=TRUE,"",MID(Lines!N23,FIND($A$2,Lines!N23)+LEN($A$2)+1,FIND(",",_xlfn.CONCAT(Lines!N23,","),FIND($A$2,Lines!N23))-FIND($A$2,Lines!N23)-LEN($A$2)-1))</f>
        <v/>
      </c>
      <c r="O23" s="25" t="str">
        <f>IF(ISERROR(FIND($A$2,Lines!O23))=TRUE,"",MID(Lines!O23,FIND($A$2,Lines!O23)+LEN($A$2)+1,FIND(",",_xlfn.CONCAT(Lines!O23,","),FIND($A$2,Lines!O23))-FIND($A$2,Lines!O23)-LEN($A$2)-1))</f>
        <v/>
      </c>
      <c r="P23" s="25" t="str">
        <f>IF(ISERROR(FIND($A$2,Lines!P23))=TRUE,"",MID(Lines!P23,FIND($A$2,Lines!P23)+LEN($A$2)+1,FIND(",",_xlfn.CONCAT(Lines!P23,","),FIND($A$2,Lines!P23))-FIND($A$2,Lines!P23)-LEN($A$2)-1))</f>
        <v>4</v>
      </c>
      <c r="Q23" s="25" t="str">
        <f>IF(ISERROR(FIND($A$2,Lines!Q23))=TRUE,"",MID(Lines!Q23,FIND($A$2,Lines!Q23)+LEN($A$2)+1,FIND(",",_xlfn.CONCAT(Lines!Q23,","),FIND($A$2,Lines!Q23))-FIND($A$2,Lines!Q23)-LEN($A$2)-1))</f>
        <v/>
      </c>
      <c r="R23" s="25" t="str">
        <f>IF(ISERROR(FIND($A$2,Lines!R23))=TRUE,"",MID(Lines!R23,FIND($A$2,Lines!R23)+LEN($A$2)+1,FIND(",",_xlfn.CONCAT(Lines!R23,","),FIND($A$2,Lines!R23))-FIND($A$2,Lines!R23)-LEN($A$2)-1))</f>
        <v/>
      </c>
      <c r="S23" s="25" t="str">
        <f>IF(ISERROR(FIND($A$2,Lines!S23))=TRUE,"",MID(Lines!S23,FIND($A$2,Lines!S23)+LEN($A$2)+1,FIND(",",_xlfn.CONCAT(Lines!S23,","),FIND($A$2,Lines!S23))-FIND($A$2,Lines!S23)-LEN($A$2)-1))</f>
        <v/>
      </c>
      <c r="T23" s="25" t="str">
        <f>IF(ISERROR(FIND($A$2,Lines!T23))=TRUE,"",MID(Lines!T23,FIND($A$2,Lines!T23)+LEN($A$2)+1,FIND(",",_xlfn.CONCAT(Lines!T23,","),FIND($A$2,Lines!T23))-FIND($A$2,Lines!T23)-LEN($A$2)-1))</f>
        <v/>
      </c>
      <c r="U23" s="66" t="str">
        <f>IF(ISERROR(FIND($A$2,Lines!U23))=TRUE,"",MID(Lines!U23,FIND($A$2,Lines!U23)+LEN($A$2)+1,FIND(",",_xlfn.CONCAT(Lines!U23,","),FIND($A$2,Lines!U23))-FIND($A$2,Lines!U23)-LEN($A$2)-1))</f>
        <v/>
      </c>
      <c r="V23" s="35" t="str">
        <f>IF(ISERROR(FIND($A$2,Lines!V23))=TRUE,"",MID(Lines!V23,FIND($A$2,Lines!V23)+LEN($A$2)+1,FIND(",",_xlfn.CONCAT(Lines!V23,","),FIND($A$2,Lines!V23))-FIND($A$2,Lines!V23)-LEN($A$2)-1))</f>
        <v/>
      </c>
      <c r="W23" s="36" t="str">
        <f>IF(ISERROR(FIND($A$2,Lines!W23))=TRUE,"",MID(Lines!W23,FIND($A$2,Lines!W23)+LEN($A$2)+1,FIND(",",_xlfn.CONCAT(Lines!W23,","),FIND($A$2,Lines!W23))-FIND($A$2,Lines!W23)-LEN($A$2)-1))</f>
        <v/>
      </c>
      <c r="X23" s="30" t="str">
        <f>IF(ISERROR(FIND($A$2,Lines!X23))=TRUE,"",MID(Lines!X23,FIND($A$2,Lines!X23)+LEN($A$2)+1,FIND(",",_xlfn.CONCAT(Lines!X23,","),FIND($A$2,Lines!X23))-FIND($A$2,Lines!X23)-LEN($A$2)-1))</f>
        <v/>
      </c>
      <c r="Y23" s="30" t="str">
        <f>IF(ISERROR(FIND($A$2,Lines!Y23))=TRUE,"",MID(Lines!Y23,FIND($A$2,Lines!Y23)+LEN($A$2)+1,FIND(",",_xlfn.CONCAT(Lines!Y23,","),FIND($A$2,Lines!Y23))-FIND($A$2,Lines!Y23)-LEN($A$2)-1))</f>
        <v/>
      </c>
      <c r="Z23" s="30" t="str">
        <f>IF(ISERROR(FIND($A$2,Lines!Z23))=TRUE,"",MID(Lines!Z23,FIND($A$2,Lines!Z23)+LEN($A$2)+1,FIND(",",_xlfn.CONCAT(Lines!Z23,","),FIND($A$2,Lines!Z23))-FIND($A$2,Lines!Z23)-LEN($A$2)-1))</f>
        <v/>
      </c>
      <c r="AA23" s="30" t="str">
        <f>IF(ISERROR(FIND($A$2,Lines!AA23))=TRUE,"",MID(Lines!AA23,FIND($A$2,Lines!AA23)+LEN($A$2)+1,FIND(",",_xlfn.CONCAT(Lines!AA23,","),FIND($A$2,Lines!AA23))-FIND($A$2,Lines!AA23)-LEN($A$2)-1))</f>
        <v/>
      </c>
      <c r="AB23" s="30" t="str">
        <f>IF(ISERROR(FIND($A$2,Lines!AB23))=TRUE,"",MID(Lines!AB23,FIND($A$2,Lines!AB23)+LEN($A$2)+1,FIND(",",_xlfn.CONCAT(Lines!AB23,","),FIND($A$2,Lines!AB23))-FIND($A$2,Lines!AB23)-LEN($A$2)-1))</f>
        <v/>
      </c>
      <c r="AC23" s="30" t="str">
        <f>IF(ISERROR(FIND($A$2,Lines!AC23))=TRUE,"",MID(Lines!AC23,FIND($A$2,Lines!AC23)+LEN($A$2)+1,FIND(",",_xlfn.CONCAT(Lines!AC23,","),FIND($A$2,Lines!AC23))-FIND($A$2,Lines!AC23)-LEN($A$2)-1))</f>
        <v/>
      </c>
      <c r="AD23" s="30" t="str">
        <f>IF(ISERROR(FIND($A$2,Lines!AD23))=TRUE,"",MID(Lines!AD23,FIND($A$2,Lines!AD23)+LEN($A$2)+1,FIND(",",_xlfn.CONCAT(Lines!AD23,","),FIND($A$2,Lines!AD23))-FIND($A$2,Lines!AD23)-LEN($A$2)-1))</f>
        <v/>
      </c>
      <c r="AE23" s="30" t="str">
        <f>IF(ISERROR(FIND($A$2,Lines!AE23))=TRUE,"",MID(Lines!AE23,FIND($A$2,Lines!AE23)+LEN($A$2)+1,FIND(",",_xlfn.CONCAT(Lines!AE23,","),FIND($A$2,Lines!AE23))-FIND($A$2,Lines!AE23)-LEN($A$2)-1))</f>
        <v/>
      </c>
      <c r="AF23" s="30" t="str">
        <f>IF(ISERROR(FIND($A$2,Lines!AF23))=TRUE,"",MID(Lines!AF23,FIND($A$2,Lines!AF23)+LEN($A$2)+1,FIND(",",_xlfn.CONCAT(Lines!AF23,","),FIND($A$2,Lines!AF23))-FIND($A$2,Lines!AF23)-LEN($A$2)-1))</f>
        <v/>
      </c>
      <c r="AG23" s="30" t="str">
        <f>IF(ISERROR(FIND($A$2,Lines!AG23))=TRUE,"",MID(Lines!AG23,FIND($A$2,Lines!AG23)+LEN($A$2)+1,FIND(",",_xlfn.CONCAT(Lines!AG23,","),FIND($A$2,Lines!AG23))-FIND($A$2,Lines!AG23)-LEN($A$2)-1))</f>
        <v/>
      </c>
      <c r="AH23" s="30" t="str">
        <f>IF(ISERROR(FIND($A$2,Lines!AH23))=TRUE,"",MID(Lines!AH23,FIND($A$2,Lines!AH23)+LEN($A$2)+1,FIND(",",_xlfn.CONCAT(Lines!AH23,","),FIND($A$2,Lines!AH23))-FIND($A$2,Lines!AH23)-LEN($A$2)-1))</f>
        <v/>
      </c>
      <c r="AI23" s="30" t="str">
        <f>IF(ISERROR(FIND($A$2,Lines!AI23))=TRUE,"",MID(Lines!AI23,FIND($A$2,Lines!AI23)+LEN($A$2)+1,FIND(",",_xlfn.CONCAT(Lines!AI23,","),FIND($A$2,Lines!AI23))-FIND($A$2,Lines!AI23)-LEN($A$2)-1))</f>
        <v/>
      </c>
      <c r="AJ23" s="30" t="str">
        <f>IF(ISERROR(FIND($A$2,Lines!AJ23))=TRUE,"",MID(Lines!AJ23,FIND($A$2,Lines!AJ23)+LEN($A$2)+1,FIND(",",_xlfn.CONCAT(Lines!AJ23,","),FIND($A$2,Lines!AJ23))-FIND($A$2,Lines!AJ23)-LEN($A$2)-1))</f>
        <v/>
      </c>
      <c r="AK23" s="30" t="str">
        <f>IF(ISERROR(FIND($A$2,Lines!AK23))=TRUE,"",MID(Lines!AK23,FIND($A$2,Lines!AK23)+LEN($A$2)+1,FIND(",",_xlfn.CONCAT(Lines!AK23,","),FIND($A$2,Lines!AK23))-FIND($A$2,Lines!AK23)-LEN($A$2)-1))</f>
        <v/>
      </c>
      <c r="AL23" s="30" t="str">
        <f>IF(ISERROR(FIND($A$2,Lines!AL23))=TRUE,"",MID(Lines!AL23,FIND($A$2,Lines!AL23)+LEN($A$2)+1,FIND(",",_xlfn.CONCAT(Lines!AL23,","),FIND($A$2,Lines!AL23))-FIND($A$2,Lines!AL23)-LEN($A$2)-1))</f>
        <v/>
      </c>
      <c r="AM23" s="30" t="str">
        <f>IF(ISERROR(FIND($A$2,Lines!AM23))=TRUE,"",MID(Lines!AM23,FIND($A$2,Lines!AM23)+LEN($A$2)+1,FIND(",",_xlfn.CONCAT(Lines!AM23,","),FIND($A$2,Lines!AM23))-FIND($A$2,Lines!AM23)-LEN($A$2)-1))</f>
        <v/>
      </c>
      <c r="AN23" s="30" t="str">
        <f>IF(ISERROR(FIND($A$2,Lines!AN23))=TRUE,"",MID(Lines!AN23,FIND($A$2,Lines!AN23)+LEN($A$2)+1,FIND(",",_xlfn.CONCAT(Lines!AN23,","),FIND($A$2,Lines!AN23))-FIND($A$2,Lines!AN23)-LEN($A$2)-1))</f>
        <v/>
      </c>
      <c r="AO23" s="30" t="str">
        <f>IF(ISERROR(FIND($A$2,Lines!AO23))=TRUE,"",MID(Lines!AO23,FIND($A$2,Lines!AO23)+LEN($A$2)+1,FIND(",",_xlfn.CONCAT(Lines!AO23,","),FIND($A$2,Lines!AO23))-FIND($A$2,Lines!AO23)-LEN($A$2)-1))</f>
        <v/>
      </c>
      <c r="AP23" s="30" t="str">
        <f>IF(ISERROR(FIND($A$2,Lines!AP23))=TRUE,"",MID(Lines!AP23,FIND($A$2,Lines!AP23)+LEN($A$2)+1,FIND(",",_xlfn.CONCAT(Lines!AP23,","),FIND($A$2,Lines!AP23))-FIND($A$2,Lines!AP23)-LEN($A$2)-1))</f>
        <v/>
      </c>
      <c r="AQ23" s="30" t="str">
        <f>IF(ISERROR(FIND($A$2,Lines!AQ23))=TRUE,"",MID(Lines!AQ23,FIND($A$2,Lines!AQ23)+LEN($A$2)+1,FIND(",",_xlfn.CONCAT(Lines!AQ23,","),FIND($A$2,Lines!AQ23))-FIND($A$2,Lines!AQ23)-LEN($A$2)-1))</f>
        <v/>
      </c>
      <c r="AR23" s="30" t="str">
        <f>IF(ISERROR(FIND($A$2,Lines!AR23))=TRUE,"",MID(Lines!AR23,FIND($A$2,Lines!AR23)+LEN($A$2)+1,FIND(",",_xlfn.CONCAT(Lines!AR23,","),FIND($A$2,Lines!AR23))-FIND($A$2,Lines!AR23)-LEN($A$2)-1))</f>
        <v/>
      </c>
      <c r="AS23" s="30" t="str">
        <f>IF(ISERROR(FIND($A$2,Lines!AS23))=TRUE,"",MID(Lines!AS23,FIND($A$2,Lines!AS23)+LEN($A$2)+1,FIND(",",_xlfn.CONCAT(Lines!AS23,","),FIND($A$2,Lines!AS23))-FIND($A$2,Lines!AS23)-LEN($A$2)-1))</f>
        <v/>
      </c>
      <c r="AT23" s="30" t="str">
        <f>IF(ISERROR(FIND($A$2,Lines!AT23))=TRUE,"",MID(Lines!AT23,FIND($A$2,Lines!AT23)+LEN($A$2)+1,FIND(",",_xlfn.CONCAT(Lines!AT23,","),FIND($A$2,Lines!AT23))-FIND($A$2,Lines!AT23)-LEN($A$2)-1))</f>
        <v/>
      </c>
    </row>
    <row r="24" spans="1:46" ht="20.25" customHeight="1">
      <c r="A24" s="2" t="s">
        <v>72</v>
      </c>
      <c r="B24" s="30" t="str">
        <f>IF(ISERROR(FIND($A$2,Lines!B24))=TRUE,"",MID(Lines!B24,FIND($A$2,Lines!B24)+LEN($A$2)+1,FIND(",",_xlfn.CONCAT(Lines!B24,","),FIND($A$2,Lines!B24))-FIND($A$2,Lines!B24)-LEN($A$2)-1))</f>
        <v/>
      </c>
      <c r="C24" s="30" t="str">
        <f>IF(ISERROR(FIND($A$2,Lines!C24))=TRUE,"",MID(Lines!C24,FIND($A$2,Lines!C24)+LEN($A$2)+1,FIND(",",_xlfn.CONCAT(Lines!C24,","),FIND($A$2,Lines!C24))-FIND($A$2,Lines!C24)-LEN($A$2)-1))</f>
        <v/>
      </c>
      <c r="D24" s="30" t="str">
        <f>IF(ISERROR(FIND($A$2,Lines!D24))=TRUE,"",MID(Lines!D24,FIND($A$2,Lines!D24)+LEN($A$2)+1,FIND(",",_xlfn.CONCAT(Lines!D24,","),FIND($A$2,Lines!D24))-FIND($A$2,Lines!D24)-LEN($A$2)-1))</f>
        <v/>
      </c>
      <c r="E24" s="30" t="str">
        <f>IF(ISERROR(FIND($A$2,Lines!E24))=TRUE,"",MID(Lines!E24,FIND($A$2,Lines!E24)+LEN($A$2)+1,FIND(",",_xlfn.CONCAT(Lines!E24,","),FIND($A$2,Lines!E24))-FIND($A$2,Lines!E24)-LEN($A$2)-1))</f>
        <v/>
      </c>
      <c r="F24" s="30" t="str">
        <f>IF(ISERROR(FIND($A$2,Lines!F24))=TRUE,"",MID(Lines!F24,FIND($A$2,Lines!F24)+LEN($A$2)+1,FIND(",",_xlfn.CONCAT(Lines!F24,","),FIND($A$2,Lines!F24))-FIND($A$2,Lines!F24)-LEN($A$2)-1))</f>
        <v/>
      </c>
      <c r="G24" s="30" t="str">
        <f>IF(ISERROR(FIND($A$2,Lines!G24))=TRUE,"",MID(Lines!G24,FIND($A$2,Lines!G24)+LEN($A$2)+1,FIND(",",_xlfn.CONCAT(Lines!G24,","),FIND($A$2,Lines!G24))-FIND($A$2,Lines!G24)-LEN($A$2)-1))</f>
        <v/>
      </c>
      <c r="H24" s="30" t="str">
        <f>IF(ISERROR(FIND($A$2,Lines!H24))=TRUE,"",MID(Lines!H24,FIND($A$2,Lines!H24)+LEN($A$2)+1,FIND(",",_xlfn.CONCAT(Lines!H24,","),FIND($A$2,Lines!H24))-FIND($A$2,Lines!H24)-LEN($A$2)-1))</f>
        <v/>
      </c>
      <c r="I24" s="30" t="str">
        <f>IF(ISERROR(FIND($A$2,Lines!I24))=TRUE,"",MID(Lines!I24,FIND($A$2,Lines!I24)+LEN($A$2)+1,FIND(",",_xlfn.CONCAT(Lines!I24,","),FIND($A$2,Lines!I24))-FIND($A$2,Lines!I24)-LEN($A$2)-1))</f>
        <v/>
      </c>
      <c r="J24" s="30" t="str">
        <f>IF(ISERROR(FIND($A$2,Lines!J24))=TRUE,"",MID(Lines!J24,FIND($A$2,Lines!J24)+LEN($A$2)+1,FIND(",",_xlfn.CONCAT(Lines!J24,","),FIND($A$2,Lines!J24))-FIND($A$2,Lines!J24)-LEN($A$2)-1))</f>
        <v/>
      </c>
      <c r="K24" s="30" t="str">
        <f>IF(ISERROR(FIND($A$2,Lines!K24))=TRUE,"",MID(Lines!K24,FIND($A$2,Lines!K24)+LEN($A$2)+1,FIND(",",_xlfn.CONCAT(Lines!K24,","),FIND($A$2,Lines!K24))-FIND($A$2,Lines!K24)-LEN($A$2)-1))</f>
        <v/>
      </c>
      <c r="L24" s="30" t="str">
        <f>IF(ISERROR(FIND($A$2,Lines!L24))=TRUE,"",MID(Lines!L24,FIND($A$2,Lines!L24)+LEN($A$2)+1,FIND(",",_xlfn.CONCAT(Lines!L24,","),FIND($A$2,Lines!L24))-FIND($A$2,Lines!L24)-LEN($A$2)-1))</f>
        <v/>
      </c>
      <c r="M24" s="30" t="str">
        <f>IF(ISERROR(FIND($A$2,Lines!M24))=TRUE,"",MID(Lines!M24,FIND($A$2,Lines!M24)+LEN($A$2)+1,FIND(",",_xlfn.CONCAT(Lines!M24,","),FIND($A$2,Lines!M24))-FIND($A$2,Lines!M24)-LEN($A$2)-1))</f>
        <v/>
      </c>
      <c r="N24" s="37" t="str">
        <f>IF(ISERROR(FIND($A$2,Lines!N24))=TRUE,"",MID(Lines!N24,FIND($A$2,Lines!N24)+LEN($A$2)+1,FIND(",",_xlfn.CONCAT(Lines!N24,","),FIND($A$2,Lines!N24))-FIND($A$2,Lines!N24)-LEN($A$2)-1))</f>
        <v/>
      </c>
      <c r="O24" s="38" t="str">
        <f>IF(ISERROR(FIND($A$2,Lines!O24))=TRUE,"",MID(Lines!O24,FIND($A$2,Lines!O24)+LEN($A$2)+1,FIND(",",_xlfn.CONCAT(Lines!O24,","),FIND($A$2,Lines!O24))-FIND($A$2,Lines!O24)-LEN($A$2)-1))</f>
        <v/>
      </c>
      <c r="P24" s="38" t="str">
        <f>IF(ISERROR(FIND($A$2,Lines!P24))=TRUE,"",MID(Lines!P24,FIND($A$2,Lines!P24)+LEN($A$2)+1,FIND(",",_xlfn.CONCAT(Lines!P24,","),FIND($A$2,Lines!P24))-FIND($A$2,Lines!P24)-LEN($A$2)-1))</f>
        <v/>
      </c>
      <c r="Q24" s="38" t="str">
        <f>IF(ISERROR(FIND($A$2,Lines!Q24))=TRUE,"",MID(Lines!Q24,FIND($A$2,Lines!Q24)+LEN($A$2)+1,FIND(",",_xlfn.CONCAT(Lines!Q24,","),FIND($A$2,Lines!Q24))-FIND($A$2,Lines!Q24)-LEN($A$2)-1))</f>
        <v/>
      </c>
      <c r="R24" s="38" t="str">
        <f>IF(ISERROR(FIND($A$2,Lines!R24))=TRUE,"",MID(Lines!R24,FIND($A$2,Lines!R24)+LEN($A$2)+1,FIND(",",_xlfn.CONCAT(Lines!R24,","),FIND($A$2,Lines!R24))-FIND($A$2,Lines!R24)-LEN($A$2)-1))</f>
        <v/>
      </c>
      <c r="S24" s="38" t="str">
        <f>IF(ISERROR(FIND($A$2,Lines!S24))=TRUE,"",MID(Lines!S24,FIND($A$2,Lines!S24)+LEN($A$2)+1,FIND(",",_xlfn.CONCAT(Lines!S24,","),FIND($A$2,Lines!S24))-FIND($A$2,Lines!S24)-LEN($A$2)-1))</f>
        <v/>
      </c>
      <c r="T24" s="38" t="str">
        <f>IF(ISERROR(FIND($A$2,Lines!T24))=TRUE,"",MID(Lines!T24,FIND($A$2,Lines!T24)+LEN($A$2)+1,FIND(",",_xlfn.CONCAT(Lines!T24,","),FIND($A$2,Lines!T24))-FIND($A$2,Lines!T24)-LEN($A$2)-1))</f>
        <v/>
      </c>
      <c r="U24" s="38" t="str">
        <f>IF(ISERROR(FIND($A$2,Lines!U24))=TRUE,"",MID(Lines!U24,FIND($A$2,Lines!U24)+LEN($A$2)+1,FIND(",",_xlfn.CONCAT(Lines!U24,","),FIND($A$2,Lines!U24))-FIND($A$2,Lines!U24)-LEN($A$2)-1))</f>
        <v/>
      </c>
      <c r="V24" s="67" t="str">
        <f>IF(ISERROR(FIND($A$2,Lines!V24))=TRUE,"",MID(Lines!V24,FIND($A$2,Lines!V24)+LEN($A$2)+1,FIND(",",_xlfn.CONCAT(Lines!V24,","),FIND($A$2,Lines!V24))-FIND($A$2,Lines!V24)-LEN($A$2)-1))</f>
        <v/>
      </c>
      <c r="W24" s="36" t="str">
        <f>IF(ISERROR(FIND($A$2,Lines!W24))=TRUE,"",MID(Lines!W24,FIND($A$2,Lines!W24)+LEN($A$2)+1,FIND(",",_xlfn.CONCAT(Lines!W24,","),FIND($A$2,Lines!W24))-FIND($A$2,Lines!W24)-LEN($A$2)-1))</f>
        <v/>
      </c>
      <c r="X24" s="30" t="str">
        <f>IF(ISERROR(FIND($A$2,Lines!X24))=TRUE,"",MID(Lines!X24,FIND($A$2,Lines!X24)+LEN($A$2)+1,FIND(",",_xlfn.CONCAT(Lines!X24,","),FIND($A$2,Lines!X24))-FIND($A$2,Lines!X24)-LEN($A$2)-1))</f>
        <v/>
      </c>
      <c r="Y24" s="30" t="str">
        <f>IF(ISERROR(FIND($A$2,Lines!Y24))=TRUE,"",MID(Lines!Y24,FIND($A$2,Lines!Y24)+LEN($A$2)+1,FIND(",",_xlfn.CONCAT(Lines!Y24,","),FIND($A$2,Lines!Y24))-FIND($A$2,Lines!Y24)-LEN($A$2)-1))</f>
        <v/>
      </c>
      <c r="Z24" s="30" t="str">
        <f>IF(ISERROR(FIND($A$2,Lines!Z24))=TRUE,"",MID(Lines!Z24,FIND($A$2,Lines!Z24)+LEN($A$2)+1,FIND(",",_xlfn.CONCAT(Lines!Z24,","),FIND($A$2,Lines!Z24))-FIND($A$2,Lines!Z24)-LEN($A$2)-1))</f>
        <v/>
      </c>
      <c r="AA24" s="30" t="str">
        <f>IF(ISERROR(FIND($A$2,Lines!AA24))=TRUE,"",MID(Lines!AA24,FIND($A$2,Lines!AA24)+LEN($A$2)+1,FIND(",",_xlfn.CONCAT(Lines!AA24,","),FIND($A$2,Lines!AA24))-FIND($A$2,Lines!AA24)-LEN($A$2)-1))</f>
        <v/>
      </c>
      <c r="AB24" s="30" t="str">
        <f>IF(ISERROR(FIND($A$2,Lines!AB24))=TRUE,"",MID(Lines!AB24,FIND($A$2,Lines!AB24)+LEN($A$2)+1,FIND(",",_xlfn.CONCAT(Lines!AB24,","),FIND($A$2,Lines!AB24))-FIND($A$2,Lines!AB24)-LEN($A$2)-1))</f>
        <v/>
      </c>
      <c r="AC24" s="30" t="str">
        <f>IF(ISERROR(FIND($A$2,Lines!AC24))=TRUE,"",MID(Lines!AC24,FIND($A$2,Lines!AC24)+LEN($A$2)+1,FIND(",",_xlfn.CONCAT(Lines!AC24,","),FIND($A$2,Lines!AC24))-FIND($A$2,Lines!AC24)-LEN($A$2)-1))</f>
        <v/>
      </c>
      <c r="AD24" s="30" t="str">
        <f>IF(ISERROR(FIND($A$2,Lines!AD24))=TRUE,"",MID(Lines!AD24,FIND($A$2,Lines!AD24)+LEN($A$2)+1,FIND(",",_xlfn.CONCAT(Lines!AD24,","),FIND($A$2,Lines!AD24))-FIND($A$2,Lines!AD24)-LEN($A$2)-1))</f>
        <v/>
      </c>
      <c r="AE24" s="30" t="str">
        <f>IF(ISERROR(FIND($A$2,Lines!AE24))=TRUE,"",MID(Lines!AE24,FIND($A$2,Lines!AE24)+LEN($A$2)+1,FIND(",",_xlfn.CONCAT(Lines!AE24,","),FIND($A$2,Lines!AE24))-FIND($A$2,Lines!AE24)-LEN($A$2)-1))</f>
        <v/>
      </c>
      <c r="AF24" s="30" t="str">
        <f>IF(ISERROR(FIND($A$2,Lines!AF24))=TRUE,"",MID(Lines!AF24,FIND($A$2,Lines!AF24)+LEN($A$2)+1,FIND(",",_xlfn.CONCAT(Lines!AF24,","),FIND($A$2,Lines!AF24))-FIND($A$2,Lines!AF24)-LEN($A$2)-1))</f>
        <v/>
      </c>
      <c r="AG24" s="30" t="str">
        <f>IF(ISERROR(FIND($A$2,Lines!AG24))=TRUE,"",MID(Lines!AG24,FIND($A$2,Lines!AG24)+LEN($A$2)+1,FIND(",",_xlfn.CONCAT(Lines!AG24,","),FIND($A$2,Lines!AG24))-FIND($A$2,Lines!AG24)-LEN($A$2)-1))</f>
        <v/>
      </c>
      <c r="AH24" s="30" t="str">
        <f>IF(ISERROR(FIND($A$2,Lines!AH24))=TRUE,"",MID(Lines!AH24,FIND($A$2,Lines!AH24)+LEN($A$2)+1,FIND(",",_xlfn.CONCAT(Lines!AH24,","),FIND($A$2,Lines!AH24))-FIND($A$2,Lines!AH24)-LEN($A$2)-1))</f>
        <v/>
      </c>
      <c r="AI24" s="30" t="str">
        <f>IF(ISERROR(FIND($A$2,Lines!AI24))=TRUE,"",MID(Lines!AI24,FIND($A$2,Lines!AI24)+LEN($A$2)+1,FIND(",",_xlfn.CONCAT(Lines!AI24,","),FIND($A$2,Lines!AI24))-FIND($A$2,Lines!AI24)-LEN($A$2)-1))</f>
        <v/>
      </c>
      <c r="AJ24" s="30" t="str">
        <f>IF(ISERROR(FIND($A$2,Lines!AJ24))=TRUE,"",MID(Lines!AJ24,FIND($A$2,Lines!AJ24)+LEN($A$2)+1,FIND(",",_xlfn.CONCAT(Lines!AJ24,","),FIND($A$2,Lines!AJ24))-FIND($A$2,Lines!AJ24)-LEN($A$2)-1))</f>
        <v/>
      </c>
      <c r="AK24" s="30" t="str">
        <f>IF(ISERROR(FIND($A$2,Lines!AK24))=TRUE,"",MID(Lines!AK24,FIND($A$2,Lines!AK24)+LEN($A$2)+1,FIND(",",_xlfn.CONCAT(Lines!AK24,","),FIND($A$2,Lines!AK24))-FIND($A$2,Lines!AK24)-LEN($A$2)-1))</f>
        <v/>
      </c>
      <c r="AL24" s="30" t="str">
        <f>IF(ISERROR(FIND($A$2,Lines!AL24))=TRUE,"",MID(Lines!AL24,FIND($A$2,Lines!AL24)+LEN($A$2)+1,FIND(",",_xlfn.CONCAT(Lines!AL24,","),FIND($A$2,Lines!AL24))-FIND($A$2,Lines!AL24)-LEN($A$2)-1))</f>
        <v/>
      </c>
      <c r="AM24" s="30" t="str">
        <f>IF(ISERROR(FIND($A$2,Lines!AM24))=TRUE,"",MID(Lines!AM24,FIND($A$2,Lines!AM24)+LEN($A$2)+1,FIND(",",_xlfn.CONCAT(Lines!AM24,","),FIND($A$2,Lines!AM24))-FIND($A$2,Lines!AM24)-LEN($A$2)-1))</f>
        <v/>
      </c>
      <c r="AN24" s="30" t="str">
        <f>IF(ISERROR(FIND($A$2,Lines!AN24))=TRUE,"",MID(Lines!AN24,FIND($A$2,Lines!AN24)+LEN($A$2)+1,FIND(",",_xlfn.CONCAT(Lines!AN24,","),FIND($A$2,Lines!AN24))-FIND($A$2,Lines!AN24)-LEN($A$2)-1))</f>
        <v/>
      </c>
      <c r="AO24" s="30" t="str">
        <f>IF(ISERROR(FIND($A$2,Lines!AO24))=TRUE,"",MID(Lines!AO24,FIND($A$2,Lines!AO24)+LEN($A$2)+1,FIND(",",_xlfn.CONCAT(Lines!AO24,","),FIND($A$2,Lines!AO24))-FIND($A$2,Lines!AO24)-LEN($A$2)-1))</f>
        <v/>
      </c>
      <c r="AP24" s="30" t="str">
        <f>IF(ISERROR(FIND($A$2,Lines!AP24))=TRUE,"",MID(Lines!AP24,FIND($A$2,Lines!AP24)+LEN($A$2)+1,FIND(",",_xlfn.CONCAT(Lines!AP24,","),FIND($A$2,Lines!AP24))-FIND($A$2,Lines!AP24)-LEN($A$2)-1))</f>
        <v/>
      </c>
      <c r="AQ24" s="30" t="str">
        <f>IF(ISERROR(FIND($A$2,Lines!AQ24))=TRUE,"",MID(Lines!AQ24,FIND($A$2,Lines!AQ24)+LEN($A$2)+1,FIND(",",_xlfn.CONCAT(Lines!AQ24,","),FIND($A$2,Lines!AQ24))-FIND($A$2,Lines!AQ24)-LEN($A$2)-1))</f>
        <v/>
      </c>
      <c r="AR24" s="30" t="str">
        <f>IF(ISERROR(FIND($A$2,Lines!AR24))=TRUE,"",MID(Lines!AR24,FIND($A$2,Lines!AR24)+LEN($A$2)+1,FIND(",",_xlfn.CONCAT(Lines!AR24,","),FIND($A$2,Lines!AR24))-FIND($A$2,Lines!AR24)-LEN($A$2)-1))</f>
        <v/>
      </c>
      <c r="AS24" s="30" t="str">
        <f>IF(ISERROR(FIND($A$2,Lines!AS24))=TRUE,"",MID(Lines!AS24,FIND($A$2,Lines!AS24)+LEN($A$2)+1,FIND(",",_xlfn.CONCAT(Lines!AS24,","),FIND($A$2,Lines!AS24))-FIND($A$2,Lines!AS24)-LEN($A$2)-1))</f>
        <v/>
      </c>
      <c r="AT24" s="30" t="str">
        <f>IF(ISERROR(FIND($A$2,Lines!AT24))=TRUE,"",MID(Lines!AT24,FIND($A$2,Lines!AT24)+LEN($A$2)+1,FIND(",",_xlfn.CONCAT(Lines!AT24,","),FIND($A$2,Lines!AT24))-FIND($A$2,Lines!AT24)-LEN($A$2)-1))</f>
        <v/>
      </c>
    </row>
    <row r="25" spans="1:46" ht="20.25" customHeight="1">
      <c r="A25" s="2" t="s">
        <v>73</v>
      </c>
      <c r="B25" s="36" t="str">
        <f>IF(ISERROR(FIND($A$2,Lines!B25))=TRUE,"",MID(Lines!B25,FIND($A$2,Lines!B25)+LEN($A$2)+1,FIND(",",_xlfn.CONCAT(Lines!B25,","),FIND($A$2,Lines!B25))-FIND($A$2,Lines!B25)-LEN($A$2)-1))</f>
        <v/>
      </c>
      <c r="C25" s="36" t="str">
        <f>IF(ISERROR(FIND($A$2,Lines!C25))=TRUE,"",MID(Lines!C25,FIND($A$2,Lines!C25)+LEN($A$2)+1,FIND(",",_xlfn.CONCAT(Lines!C25,","),FIND($A$2,Lines!C25))-FIND($A$2,Lines!C25)-LEN($A$2)-1))</f>
        <v/>
      </c>
      <c r="D25" s="36" t="str">
        <f>IF(ISERROR(FIND($A$2,Lines!D25))=TRUE,"",MID(Lines!D25,FIND($A$2,Lines!D25)+LEN($A$2)+1,FIND(",",_xlfn.CONCAT(Lines!D25,","),FIND($A$2,Lines!D25))-FIND($A$2,Lines!D25)-LEN($A$2)-1))</f>
        <v/>
      </c>
      <c r="E25" s="36" t="str">
        <f>IF(ISERROR(FIND($A$2,Lines!E25))=TRUE,"",MID(Lines!E25,FIND($A$2,Lines!E25)+LEN($A$2)+1,FIND(",",_xlfn.CONCAT(Lines!E25,","),FIND($A$2,Lines!E25))-FIND($A$2,Lines!E25)-LEN($A$2)-1))</f>
        <v/>
      </c>
      <c r="F25" s="36" t="str">
        <f>IF(ISERROR(FIND($A$2,Lines!F25))=TRUE,"",MID(Lines!F25,FIND($A$2,Lines!F25)+LEN($A$2)+1,FIND(",",_xlfn.CONCAT(Lines!F25,","),FIND($A$2,Lines!F25))-FIND($A$2,Lines!F25)-LEN($A$2)-1))</f>
        <v/>
      </c>
      <c r="G25" s="36" t="str">
        <f>IF(ISERROR(FIND($A$2,Lines!G25))=TRUE,"",MID(Lines!G25,FIND($A$2,Lines!G25)+LEN($A$2)+1,FIND(",",_xlfn.CONCAT(Lines!G25,","),FIND($A$2,Lines!G25))-FIND($A$2,Lines!G25)-LEN($A$2)-1))</f>
        <v/>
      </c>
      <c r="H25" s="36" t="str">
        <f>IF(ISERROR(FIND($A$2,Lines!H25))=TRUE,"",MID(Lines!H25,FIND($A$2,Lines!H25)+LEN($A$2)+1,FIND(",",_xlfn.CONCAT(Lines!H25,","),FIND($A$2,Lines!H25))-FIND($A$2,Lines!H25)-LEN($A$2)-1))</f>
        <v/>
      </c>
      <c r="I25" s="36" t="str">
        <f>IF(ISERROR(FIND($A$2,Lines!I25))=TRUE,"",MID(Lines!I25,FIND($A$2,Lines!I25)+LEN($A$2)+1,FIND(",",_xlfn.CONCAT(Lines!I25,","),FIND($A$2,Lines!I25))-FIND($A$2,Lines!I25)-LEN($A$2)-1))</f>
        <v/>
      </c>
      <c r="J25" s="36" t="str">
        <f>IF(ISERROR(FIND($A$2,Lines!J25))=TRUE,"",MID(Lines!J25,FIND($A$2,Lines!J25)+LEN($A$2)+1,FIND(",",_xlfn.CONCAT(Lines!J25,","),FIND($A$2,Lines!J25))-FIND($A$2,Lines!J25)-LEN($A$2)-1))</f>
        <v/>
      </c>
      <c r="K25" s="36" t="str">
        <f>IF(ISERROR(FIND($A$2,Lines!K25))=TRUE,"",MID(Lines!K25,FIND($A$2,Lines!K25)+LEN($A$2)+1,FIND(",",_xlfn.CONCAT(Lines!K25,","),FIND($A$2,Lines!K25))-FIND($A$2,Lines!K25)-LEN($A$2)-1))</f>
        <v/>
      </c>
      <c r="L25" s="36" t="str">
        <f>IF(ISERROR(FIND($A$2,Lines!L25))=TRUE,"",MID(Lines!L25,FIND($A$2,Lines!L25)+LEN($A$2)+1,FIND(",",_xlfn.CONCAT(Lines!L25,","),FIND($A$2,Lines!L25))-FIND($A$2,Lines!L25)-LEN($A$2)-1))</f>
        <v/>
      </c>
      <c r="M25" s="36" t="str">
        <f>IF(ISERROR(FIND($A$2,Lines!M25))=TRUE,"",MID(Lines!M25,FIND($A$2,Lines!M25)+LEN($A$2)+1,FIND(",",_xlfn.CONCAT(Lines!M25,","),FIND($A$2,Lines!M25))-FIND($A$2,Lines!M25)-LEN($A$2)-1))</f>
        <v/>
      </c>
      <c r="N25" s="36" t="str">
        <f>IF(ISERROR(FIND($A$2,Lines!N25))=TRUE,"",MID(Lines!N25,FIND($A$2,Lines!N25)+LEN($A$2)+1,FIND(",",_xlfn.CONCAT(Lines!N25,","),FIND($A$2,Lines!N25))-FIND($A$2,Lines!N25)-LEN($A$2)-1))</f>
        <v/>
      </c>
      <c r="O25" s="36" t="str">
        <f>IF(ISERROR(FIND($A$2,Lines!O25))=TRUE,"",MID(Lines!O25,FIND($A$2,Lines!O25)+LEN($A$2)+1,FIND(",",_xlfn.CONCAT(Lines!O25,","),FIND($A$2,Lines!O25))-FIND($A$2,Lines!O25)-LEN($A$2)-1))</f>
        <v/>
      </c>
      <c r="P25" s="36" t="str">
        <f>IF(ISERROR(FIND($A$2,Lines!P25))=TRUE,"",MID(Lines!P25,FIND($A$2,Lines!P25)+LEN($A$2)+1,FIND(",",_xlfn.CONCAT(Lines!P25,","),FIND($A$2,Lines!P25))-FIND($A$2,Lines!P25)-LEN($A$2)-1))</f>
        <v/>
      </c>
      <c r="Q25" s="36" t="str">
        <f>IF(ISERROR(FIND($A$2,Lines!Q25))=TRUE,"",MID(Lines!Q25,FIND($A$2,Lines!Q25)+LEN($A$2)+1,FIND(",",_xlfn.CONCAT(Lines!Q25,","),FIND($A$2,Lines!Q25))-FIND($A$2,Lines!Q25)-LEN($A$2)-1))</f>
        <v/>
      </c>
      <c r="R25" s="36" t="str">
        <f>IF(ISERROR(FIND($A$2,Lines!R25))=TRUE,"",MID(Lines!R25,FIND($A$2,Lines!R25)+LEN($A$2)+1,FIND(",",_xlfn.CONCAT(Lines!R25,","),FIND($A$2,Lines!R25))-FIND($A$2,Lines!R25)-LEN($A$2)-1))</f>
        <v/>
      </c>
      <c r="S25" s="36" t="str">
        <f>IF(ISERROR(FIND($A$2,Lines!S25))=TRUE,"",MID(Lines!S25,FIND($A$2,Lines!S25)+LEN($A$2)+1,FIND(",",_xlfn.CONCAT(Lines!S25,","),FIND($A$2,Lines!S25))-FIND($A$2,Lines!S25)-LEN($A$2)-1))</f>
        <v/>
      </c>
      <c r="T25" s="36" t="str">
        <f>IF(ISERROR(FIND($A$2,Lines!T25))=TRUE,"",MID(Lines!T25,FIND($A$2,Lines!T25)+LEN($A$2)+1,FIND(",",_xlfn.CONCAT(Lines!T25,","),FIND($A$2,Lines!T25))-FIND($A$2,Lines!T25)-LEN($A$2)-1))</f>
        <v/>
      </c>
      <c r="U25" s="36" t="str">
        <f>IF(ISERROR(FIND($A$2,Lines!U25))=TRUE,"",MID(Lines!U25,FIND($A$2,Lines!U25)+LEN($A$2)+1,FIND(",",_xlfn.CONCAT(Lines!U25,","),FIND($A$2,Lines!U25))-FIND($A$2,Lines!U25)-LEN($A$2)-1))</f>
        <v/>
      </c>
      <c r="V25" s="36" t="str">
        <f>IF(ISERROR(FIND($A$2,Lines!V25))=TRUE,"",MID(Lines!V25,FIND($A$2,Lines!V25)+LEN($A$2)+1,FIND(",",_xlfn.CONCAT(Lines!V25,","),FIND($A$2,Lines!V25))-FIND($A$2,Lines!V25)-LEN($A$2)-1))</f>
        <v/>
      </c>
      <c r="W25" s="36" t="str">
        <f>IF(ISERROR(FIND($A$2,Lines!W25))=TRUE,"",MID(Lines!W25,FIND($A$2,Lines!W25)+LEN($A$2)+1,FIND(",",_xlfn.CONCAT(Lines!W25,","),FIND($A$2,Lines!W25))-FIND($A$2,Lines!W25)-LEN($A$2)-1))</f>
        <v/>
      </c>
      <c r="X25" s="36" t="str">
        <f>IF(ISERROR(FIND($A$2,Lines!X25))=TRUE,"",MID(Lines!X25,FIND($A$2,Lines!X25)+LEN($A$2)+1,FIND(",",_xlfn.CONCAT(Lines!X25,","),FIND($A$2,Lines!X25))-FIND($A$2,Lines!X25)-LEN($A$2)-1))</f>
        <v/>
      </c>
      <c r="Y25" s="36" t="str">
        <f>IF(ISERROR(FIND($A$2,Lines!Y25))=TRUE,"",MID(Lines!Y25,FIND($A$2,Lines!Y25)+LEN($A$2)+1,FIND(",",_xlfn.CONCAT(Lines!Y25,","),FIND($A$2,Lines!Y25))-FIND($A$2,Lines!Y25)-LEN($A$2)-1))</f>
        <v/>
      </c>
      <c r="Z25" s="36" t="str">
        <f>IF(ISERROR(FIND($A$2,Lines!Z25))=TRUE,"",MID(Lines!Z25,FIND($A$2,Lines!Z25)+LEN($A$2)+1,FIND(",",_xlfn.CONCAT(Lines!Z25,","),FIND($A$2,Lines!Z25))-FIND($A$2,Lines!Z25)-LEN($A$2)-1))</f>
        <v/>
      </c>
      <c r="AA25" s="36" t="str">
        <f>IF(ISERROR(FIND($A$2,Lines!AA25))=TRUE,"",MID(Lines!AA25,FIND($A$2,Lines!AA25)+LEN($A$2)+1,FIND(",",_xlfn.CONCAT(Lines!AA25,","),FIND($A$2,Lines!AA25))-FIND($A$2,Lines!AA25)-LEN($A$2)-1))</f>
        <v/>
      </c>
      <c r="AB25" s="36" t="str">
        <f>IF(ISERROR(FIND($A$2,Lines!AB25))=TRUE,"",MID(Lines!AB25,FIND($A$2,Lines!AB25)+LEN($A$2)+1,FIND(",",_xlfn.CONCAT(Lines!AB25,","),FIND($A$2,Lines!AB25))-FIND($A$2,Lines!AB25)-LEN($A$2)-1))</f>
        <v/>
      </c>
      <c r="AC25" s="36" t="str">
        <f>IF(ISERROR(FIND($A$2,Lines!AC25))=TRUE,"",MID(Lines!AC25,FIND($A$2,Lines!AC25)+LEN($A$2)+1,FIND(",",_xlfn.CONCAT(Lines!AC25,","),FIND($A$2,Lines!AC25))-FIND($A$2,Lines!AC25)-LEN($A$2)-1))</f>
        <v/>
      </c>
      <c r="AD25" s="36" t="str">
        <f>IF(ISERROR(FIND($A$2,Lines!AD25))=TRUE,"",MID(Lines!AD25,FIND($A$2,Lines!AD25)+LEN($A$2)+1,FIND(",",_xlfn.CONCAT(Lines!AD25,","),FIND($A$2,Lines!AD25))-FIND($A$2,Lines!AD25)-LEN($A$2)-1))</f>
        <v/>
      </c>
      <c r="AE25" s="36" t="str">
        <f>IF(ISERROR(FIND($A$2,Lines!AE25))=TRUE,"",MID(Lines!AE25,FIND($A$2,Lines!AE25)+LEN($A$2)+1,FIND(",",_xlfn.CONCAT(Lines!AE25,","),FIND($A$2,Lines!AE25))-FIND($A$2,Lines!AE25)-LEN($A$2)-1))</f>
        <v/>
      </c>
      <c r="AF25" s="36" t="str">
        <f>IF(ISERROR(FIND($A$2,Lines!AF25))=TRUE,"",MID(Lines!AF25,FIND($A$2,Lines!AF25)+LEN($A$2)+1,FIND(",",_xlfn.CONCAT(Lines!AF25,","),FIND($A$2,Lines!AF25))-FIND($A$2,Lines!AF25)-LEN($A$2)-1))</f>
        <v/>
      </c>
      <c r="AG25" s="36" t="str">
        <f>IF(ISERROR(FIND($A$2,Lines!AG25))=TRUE,"",MID(Lines!AG25,FIND($A$2,Lines!AG25)+LEN($A$2)+1,FIND(",",_xlfn.CONCAT(Lines!AG25,","),FIND($A$2,Lines!AG25))-FIND($A$2,Lines!AG25)-LEN($A$2)-1))</f>
        <v/>
      </c>
      <c r="AH25" s="36" t="str">
        <f>IF(ISERROR(FIND($A$2,Lines!AH25))=TRUE,"",MID(Lines!AH25,FIND($A$2,Lines!AH25)+LEN($A$2)+1,FIND(",",_xlfn.CONCAT(Lines!AH25,","),FIND($A$2,Lines!AH25))-FIND($A$2,Lines!AH25)-LEN($A$2)-1))</f>
        <v/>
      </c>
      <c r="AI25" s="36" t="str">
        <f>IF(ISERROR(FIND($A$2,Lines!AI25))=TRUE,"",MID(Lines!AI25,FIND($A$2,Lines!AI25)+LEN($A$2)+1,FIND(",",_xlfn.CONCAT(Lines!AI25,","),FIND($A$2,Lines!AI25))-FIND($A$2,Lines!AI25)-LEN($A$2)-1))</f>
        <v/>
      </c>
      <c r="AJ25" s="36" t="str">
        <f>IF(ISERROR(FIND($A$2,Lines!AJ25))=TRUE,"",MID(Lines!AJ25,FIND($A$2,Lines!AJ25)+LEN($A$2)+1,FIND(",",_xlfn.CONCAT(Lines!AJ25,","),FIND($A$2,Lines!AJ25))-FIND($A$2,Lines!AJ25)-LEN($A$2)-1))</f>
        <v/>
      </c>
      <c r="AK25" s="36" t="str">
        <f>IF(ISERROR(FIND($A$2,Lines!AK25))=TRUE,"",MID(Lines!AK25,FIND($A$2,Lines!AK25)+LEN($A$2)+1,FIND(",",_xlfn.CONCAT(Lines!AK25,","),FIND($A$2,Lines!AK25))-FIND($A$2,Lines!AK25)-LEN($A$2)-1))</f>
        <v/>
      </c>
      <c r="AL25" s="36" t="str">
        <f>IF(ISERROR(FIND($A$2,Lines!AL25))=TRUE,"",MID(Lines!AL25,FIND($A$2,Lines!AL25)+LEN($A$2)+1,FIND(",",_xlfn.CONCAT(Lines!AL25,","),FIND($A$2,Lines!AL25))-FIND($A$2,Lines!AL25)-LEN($A$2)-1))</f>
        <v/>
      </c>
      <c r="AM25" s="36" t="str">
        <f>IF(ISERROR(FIND($A$2,Lines!AM25))=TRUE,"",MID(Lines!AM25,FIND($A$2,Lines!AM25)+LEN($A$2)+1,FIND(",",_xlfn.CONCAT(Lines!AM25,","),FIND($A$2,Lines!AM25))-FIND($A$2,Lines!AM25)-LEN($A$2)-1))</f>
        <v/>
      </c>
      <c r="AN25" s="36" t="str">
        <f>IF(ISERROR(FIND($A$2,Lines!AN25))=TRUE,"",MID(Lines!AN25,FIND($A$2,Lines!AN25)+LEN($A$2)+1,FIND(",",_xlfn.CONCAT(Lines!AN25,","),FIND($A$2,Lines!AN25))-FIND($A$2,Lines!AN25)-LEN($A$2)-1))</f>
        <v/>
      </c>
      <c r="AO25" s="36" t="str">
        <f>IF(ISERROR(FIND($A$2,Lines!AO25))=TRUE,"",MID(Lines!AO25,FIND($A$2,Lines!AO25)+LEN($A$2)+1,FIND(",",_xlfn.CONCAT(Lines!AO25,","),FIND($A$2,Lines!AO25))-FIND($A$2,Lines!AO25)-LEN($A$2)-1))</f>
        <v/>
      </c>
      <c r="AP25" s="36" t="str">
        <f>IF(ISERROR(FIND($A$2,Lines!AP25))=TRUE,"",MID(Lines!AP25,FIND($A$2,Lines!AP25)+LEN($A$2)+1,FIND(",",_xlfn.CONCAT(Lines!AP25,","),FIND($A$2,Lines!AP25))-FIND($A$2,Lines!AP25)-LEN($A$2)-1))</f>
        <v/>
      </c>
      <c r="AQ25" s="36" t="str">
        <f>IF(ISERROR(FIND($A$2,Lines!AQ25))=TRUE,"",MID(Lines!AQ25,FIND($A$2,Lines!AQ25)+LEN($A$2)+1,FIND(",",_xlfn.CONCAT(Lines!AQ25,","),FIND($A$2,Lines!AQ25))-FIND($A$2,Lines!AQ25)-LEN($A$2)-1))</f>
        <v/>
      </c>
      <c r="AR25" s="36" t="str">
        <f>IF(ISERROR(FIND($A$2,Lines!AR25))=TRUE,"",MID(Lines!AR25,FIND($A$2,Lines!AR25)+LEN($A$2)+1,FIND(",",_xlfn.CONCAT(Lines!AR25,","),FIND($A$2,Lines!AR25))-FIND($A$2,Lines!AR25)-LEN($A$2)-1))</f>
        <v/>
      </c>
      <c r="AS25" s="36" t="str">
        <f>IF(ISERROR(FIND($A$2,Lines!AS25))=TRUE,"",MID(Lines!AS25,FIND($A$2,Lines!AS25)+LEN($A$2)+1,FIND(",",_xlfn.CONCAT(Lines!AS25,","),FIND($A$2,Lines!AS25))-FIND($A$2,Lines!AS25)-LEN($A$2)-1))</f>
        <v/>
      </c>
      <c r="AT25" s="36" t="str">
        <f>IF(ISERROR(FIND($A$2,Lines!AT25))=TRUE,"",MID(Lines!AT25,FIND($A$2,Lines!AT25)+LEN($A$2)+1,FIND(",",_xlfn.CONCAT(Lines!AT25,","),FIND($A$2,Lines!AT25))-FIND($A$2,Lines!AT25)-LEN($A$2)-1))</f>
        <v/>
      </c>
    </row>
    <row r="26" spans="1:46" ht="20.25" customHeight="1">
      <c r="A26" s="2" t="s">
        <v>74</v>
      </c>
      <c r="B26" s="30" t="str">
        <f>IF(ISERROR(FIND($A$2,Lines!B26))=TRUE,"",MID(Lines!B26,FIND($A$2,Lines!B26)+LEN($A$2)+1,FIND(",",_xlfn.CONCAT(Lines!B26,","),FIND($A$2,Lines!B26))-FIND($A$2,Lines!B26)-LEN($A$2)-1))</f>
        <v/>
      </c>
      <c r="C26" s="30" t="str">
        <f>IF(ISERROR(FIND($A$2,Lines!C26))=TRUE,"",MID(Lines!C26,FIND($A$2,Lines!C26)+LEN($A$2)+1,FIND(",",_xlfn.CONCAT(Lines!C26,","),FIND($A$2,Lines!C26))-FIND($A$2,Lines!C26)-LEN($A$2)-1))</f>
        <v/>
      </c>
      <c r="D26" s="30" t="str">
        <f>IF(ISERROR(FIND($A$2,Lines!D26))=TRUE,"",MID(Lines!D26,FIND($A$2,Lines!D26)+LEN($A$2)+1,FIND(",",_xlfn.CONCAT(Lines!D26,","),FIND($A$2,Lines!D26))-FIND($A$2,Lines!D26)-LEN($A$2)-1))</f>
        <v/>
      </c>
      <c r="E26" s="30" t="str">
        <f>IF(ISERROR(FIND($A$2,Lines!E26))=TRUE,"",MID(Lines!E26,FIND($A$2,Lines!E26)+LEN($A$2)+1,FIND(",",_xlfn.CONCAT(Lines!E26,","),FIND($A$2,Lines!E26))-FIND($A$2,Lines!E26)-LEN($A$2)-1))</f>
        <v/>
      </c>
      <c r="F26" s="30" t="str">
        <f>IF(ISERROR(FIND($A$2,Lines!F26))=TRUE,"",MID(Lines!F26,FIND($A$2,Lines!F26)+LEN($A$2)+1,FIND(",",_xlfn.CONCAT(Lines!F26,","),FIND($A$2,Lines!F26))-FIND($A$2,Lines!F26)-LEN($A$2)-1))</f>
        <v/>
      </c>
      <c r="G26" s="30" t="str">
        <f>IF(ISERROR(FIND($A$2,Lines!G26))=TRUE,"",MID(Lines!G26,FIND($A$2,Lines!G26)+LEN($A$2)+1,FIND(",",_xlfn.CONCAT(Lines!G26,","),FIND($A$2,Lines!G26))-FIND($A$2,Lines!G26)-LEN($A$2)-1))</f>
        <v/>
      </c>
      <c r="H26" s="30" t="str">
        <f>IF(ISERROR(FIND($A$2,Lines!H26))=TRUE,"",MID(Lines!H26,FIND($A$2,Lines!H26)+LEN($A$2)+1,FIND(",",_xlfn.CONCAT(Lines!H26,","),FIND($A$2,Lines!H26))-FIND($A$2,Lines!H26)-LEN($A$2)-1))</f>
        <v/>
      </c>
      <c r="I26" s="30" t="str">
        <f>IF(ISERROR(FIND($A$2,Lines!I26))=TRUE,"",MID(Lines!I26,FIND($A$2,Lines!I26)+LEN($A$2)+1,FIND(",",_xlfn.CONCAT(Lines!I26,","),FIND($A$2,Lines!I26))-FIND($A$2,Lines!I26)-LEN($A$2)-1))</f>
        <v/>
      </c>
      <c r="J26" s="74" t="str">
        <f>IF(ISERROR(FIND($A$2,Lines!J26))=TRUE,"",MID(Lines!J26,FIND($A$2,Lines!J26)+LEN($A$2)+1,FIND(",",_xlfn.CONCAT(Lines!J26,","),FIND($A$2,Lines!J26))-FIND($A$2,Lines!J26)-LEN($A$2)-1))</f>
        <v/>
      </c>
      <c r="K26" s="30" t="str">
        <f>IF(ISERROR(FIND($A$2,Lines!K26))=TRUE,"",MID(Lines!K26,FIND($A$2,Lines!K26)+LEN($A$2)+1,FIND(",",_xlfn.CONCAT(Lines!K26,","),FIND($A$2,Lines!K26))-FIND($A$2,Lines!K26)-LEN($A$2)-1))</f>
        <v/>
      </c>
      <c r="L26" s="30" t="str">
        <f>IF(ISERROR(FIND($A$2,Lines!L26))=TRUE,"",MID(Lines!L26,FIND($A$2,Lines!L26)+LEN($A$2)+1,FIND(",",_xlfn.CONCAT(Lines!L26,","),FIND($A$2,Lines!L26))-FIND($A$2,Lines!L26)-LEN($A$2)-1))</f>
        <v/>
      </c>
      <c r="M26" s="30" t="str">
        <f>IF(ISERROR(FIND($A$2,Lines!M26))=TRUE,"",MID(Lines!M26,FIND($A$2,Lines!M26)+LEN($A$2)+1,FIND(",",_xlfn.CONCAT(Lines!M26,","),FIND($A$2,Lines!M26))-FIND($A$2,Lines!M26)-LEN($A$2)-1))</f>
        <v/>
      </c>
      <c r="N26" s="30" t="str">
        <f>IF(ISERROR(FIND($A$2,Lines!N26))=TRUE,"",MID(Lines!N26,FIND($A$2,Lines!N26)+LEN($A$2)+1,FIND(",",_xlfn.CONCAT(Lines!N26,","),FIND($A$2,Lines!N26))-FIND($A$2,Lines!N26)-LEN($A$2)-1))</f>
        <v/>
      </c>
      <c r="O26" s="30" t="str">
        <f>IF(ISERROR(FIND($A$2,Lines!O26))=TRUE,"",MID(Lines!O26,FIND($A$2,Lines!O26)+LEN($A$2)+1,FIND(",",_xlfn.CONCAT(Lines!O26,","),FIND($A$2,Lines!O26))-FIND($A$2,Lines!O26)-LEN($A$2)-1))</f>
        <v/>
      </c>
      <c r="P26" s="30" t="str">
        <f>IF(ISERROR(FIND($A$2,Lines!P26))=TRUE,"",MID(Lines!P26,FIND($A$2,Lines!P26)+LEN($A$2)+1,FIND(",",_xlfn.CONCAT(Lines!P26,","),FIND($A$2,Lines!P26))-FIND($A$2,Lines!P26)-LEN($A$2)-1))</f>
        <v/>
      </c>
      <c r="Q26" s="30" t="str">
        <f>IF(ISERROR(FIND($A$2,Lines!Q26))=TRUE,"",MID(Lines!Q26,FIND($A$2,Lines!Q26)+LEN($A$2)+1,FIND(",",_xlfn.CONCAT(Lines!Q26,","),FIND($A$2,Lines!Q26))-FIND($A$2,Lines!Q26)-LEN($A$2)-1))</f>
        <v/>
      </c>
      <c r="R26" s="30" t="str">
        <f>IF(ISERROR(FIND($A$2,Lines!R26))=TRUE,"",MID(Lines!R26,FIND($A$2,Lines!R26)+LEN($A$2)+1,FIND(",",_xlfn.CONCAT(Lines!R26,","),FIND($A$2,Lines!R26))-FIND($A$2,Lines!R26)-LEN($A$2)-1))</f>
        <v/>
      </c>
      <c r="S26" s="30" t="str">
        <f>IF(ISERROR(FIND($A$2,Lines!S26))=TRUE,"",MID(Lines!S26,FIND($A$2,Lines!S26)+LEN($A$2)+1,FIND(",",_xlfn.CONCAT(Lines!S26,","),FIND($A$2,Lines!S26))-FIND($A$2,Lines!S26)-LEN($A$2)-1))</f>
        <v/>
      </c>
      <c r="T26" s="30" t="str">
        <f>IF(ISERROR(FIND($A$2,Lines!T26))=TRUE,"",MID(Lines!T26,FIND($A$2,Lines!T26)+LEN($A$2)+1,FIND(",",_xlfn.CONCAT(Lines!T26,","),FIND($A$2,Lines!T26))-FIND($A$2,Lines!T26)-LEN($A$2)-1))</f>
        <v/>
      </c>
      <c r="U26" s="30" t="str">
        <f>IF(ISERROR(FIND($A$2,Lines!U26))=TRUE,"",MID(Lines!U26,FIND($A$2,Lines!U26)+LEN($A$2)+1,FIND(",",_xlfn.CONCAT(Lines!U26,","),FIND($A$2,Lines!U26))-FIND($A$2,Lines!U26)-LEN($A$2)-1))</f>
        <v/>
      </c>
      <c r="V26" s="30" t="str">
        <f>IF(ISERROR(FIND($A$2,Lines!V26))=TRUE,"",MID(Lines!V26,FIND($A$2,Lines!V26)+LEN($A$2)+1,FIND(",",_xlfn.CONCAT(Lines!V26,","),FIND($A$2,Lines!V26))-FIND($A$2,Lines!V26)-LEN($A$2)-1))</f>
        <v/>
      </c>
      <c r="W26" s="36" t="str">
        <f>IF(ISERROR(FIND($A$2,Lines!W26))=TRUE,"",MID(Lines!W26,FIND($A$2,Lines!W26)+LEN($A$2)+1,FIND(",",_xlfn.CONCAT(Lines!W26,","),FIND($A$2,Lines!W26))-FIND($A$2,Lines!W26)-LEN($A$2)-1))</f>
        <v/>
      </c>
      <c r="X26" s="65" t="str">
        <f>IF(ISERROR(FIND($A$2,Lines!X26))=TRUE,"",MID(Lines!X26,FIND($A$2,Lines!X26)+LEN($A$2)+1,FIND(",",_xlfn.CONCAT(Lines!X26,","),FIND($A$2,Lines!X26))-FIND($A$2,Lines!X26)-LEN($A$2)-1))</f>
        <v/>
      </c>
      <c r="Y26" s="39" t="str">
        <f>IF(ISERROR(FIND($A$2,Lines!Y26))=TRUE,"",MID(Lines!Y26,FIND($A$2,Lines!Y26)+LEN($A$2)+1,FIND(",",_xlfn.CONCAT(Lines!Y26,","),FIND($A$2,Lines!Y26))-FIND($A$2,Lines!Y26)-LEN($A$2)-1))</f>
        <v/>
      </c>
      <c r="Z26" s="39" t="str">
        <f>IF(ISERROR(FIND($A$2,Lines!Z26))=TRUE,"",MID(Lines!Z26,FIND($A$2,Lines!Z26)+LEN($A$2)+1,FIND(",",_xlfn.CONCAT(Lines!Z26,","),FIND($A$2,Lines!Z26))-FIND($A$2,Lines!Z26)-LEN($A$2)-1))</f>
        <v/>
      </c>
      <c r="AA26" s="39" t="str">
        <f>IF(ISERROR(FIND($A$2,Lines!AA26))=TRUE,"",MID(Lines!AA26,FIND($A$2,Lines!AA26)+LEN($A$2)+1,FIND(",",_xlfn.CONCAT(Lines!AA26,","),FIND($A$2,Lines!AA26))-FIND($A$2,Lines!AA26)-LEN($A$2)-1))</f>
        <v/>
      </c>
      <c r="AB26" s="39" t="str">
        <f>IF(ISERROR(FIND($A$2,Lines!AB26))=TRUE,"",MID(Lines!AB26,FIND($A$2,Lines!AB26)+LEN($A$2)+1,FIND(",",_xlfn.CONCAT(Lines!AB26,","),FIND($A$2,Lines!AB26))-FIND($A$2,Lines!AB26)-LEN($A$2)-1))</f>
        <v/>
      </c>
      <c r="AC26" s="39" t="str">
        <f>IF(ISERROR(FIND($A$2,Lines!AC26))=TRUE,"",MID(Lines!AC26,FIND($A$2,Lines!AC26)+LEN($A$2)+1,FIND(",",_xlfn.CONCAT(Lines!AC26,","),FIND($A$2,Lines!AC26))-FIND($A$2,Lines!AC26)-LEN($A$2)-1))</f>
        <v/>
      </c>
      <c r="AD26" s="52" t="str">
        <f>IF(ISERROR(FIND($A$2,Lines!AD26))=TRUE,"",MID(Lines!AD26,FIND($A$2,Lines!AD26)+LEN($A$2)+1,FIND(",",_xlfn.CONCAT(Lines!AD26,","),FIND($A$2,Lines!AD26))-FIND($A$2,Lines!AD26)-LEN($A$2)-1))</f>
        <v/>
      </c>
      <c r="AE26" s="30" t="str">
        <f>IF(ISERROR(FIND($A$2,Lines!AE26))=TRUE,"",MID(Lines!AE26,FIND($A$2,Lines!AE26)+LEN($A$2)+1,FIND(",",_xlfn.CONCAT(Lines!AE26,","),FIND($A$2,Lines!AE26))-FIND($A$2,Lines!AE26)-LEN($A$2)-1))</f>
        <v/>
      </c>
      <c r="AF26" s="30" t="str">
        <f>IF(ISERROR(FIND($A$2,Lines!AF26))=TRUE,"",MID(Lines!AF26,FIND($A$2,Lines!AF26)+LEN($A$2)+1,FIND(",",_xlfn.CONCAT(Lines!AF26,","),FIND($A$2,Lines!AF26))-FIND($A$2,Lines!AF26)-LEN($A$2)-1))</f>
        <v/>
      </c>
      <c r="AG26" s="30" t="str">
        <f>IF(ISERROR(FIND($A$2,Lines!AG26))=TRUE,"",MID(Lines!AG26,FIND($A$2,Lines!AG26)+LEN($A$2)+1,FIND(",",_xlfn.CONCAT(Lines!AG26,","),FIND($A$2,Lines!AG26))-FIND($A$2,Lines!AG26)-LEN($A$2)-1))</f>
        <v/>
      </c>
      <c r="AH26" s="30" t="str">
        <f>IF(ISERROR(FIND($A$2,Lines!AH26))=TRUE,"",MID(Lines!AH26,FIND($A$2,Lines!AH26)+LEN($A$2)+1,FIND(",",_xlfn.CONCAT(Lines!AH26,","),FIND($A$2,Lines!AH26))-FIND($A$2,Lines!AH26)-LEN($A$2)-1))</f>
        <v/>
      </c>
      <c r="AI26" s="30" t="str">
        <f>IF(ISERROR(FIND($A$2,Lines!AI26))=TRUE,"",MID(Lines!AI26,FIND($A$2,Lines!AI26)+LEN($A$2)+1,FIND(",",_xlfn.CONCAT(Lines!AI26,","),FIND($A$2,Lines!AI26))-FIND($A$2,Lines!AI26)-LEN($A$2)-1))</f>
        <v/>
      </c>
      <c r="AJ26" s="30" t="str">
        <f>IF(ISERROR(FIND($A$2,Lines!AJ26))=TRUE,"",MID(Lines!AJ26,FIND($A$2,Lines!AJ26)+LEN($A$2)+1,FIND(",",_xlfn.CONCAT(Lines!AJ26,","),FIND($A$2,Lines!AJ26))-FIND($A$2,Lines!AJ26)-LEN($A$2)-1))</f>
        <v/>
      </c>
      <c r="AK26" s="30" t="str">
        <f>IF(ISERROR(FIND($A$2,Lines!AK26))=TRUE,"",MID(Lines!AK26,FIND($A$2,Lines!AK26)+LEN($A$2)+1,FIND(",",_xlfn.CONCAT(Lines!AK26,","),FIND($A$2,Lines!AK26))-FIND($A$2,Lines!AK26)-LEN($A$2)-1))</f>
        <v/>
      </c>
      <c r="AL26" s="30" t="str">
        <f>IF(ISERROR(FIND($A$2,Lines!AL26))=TRUE,"",MID(Lines!AL26,FIND($A$2,Lines!AL26)+LEN($A$2)+1,FIND(",",_xlfn.CONCAT(Lines!AL26,","),FIND($A$2,Lines!AL26))-FIND($A$2,Lines!AL26)-LEN($A$2)-1))</f>
        <v/>
      </c>
      <c r="AM26" s="30" t="str">
        <f>IF(ISERROR(FIND($A$2,Lines!AM26))=TRUE,"",MID(Lines!AM26,FIND($A$2,Lines!AM26)+LEN($A$2)+1,FIND(",",_xlfn.CONCAT(Lines!AM26,","),FIND($A$2,Lines!AM26))-FIND($A$2,Lines!AM26)-LEN($A$2)-1))</f>
        <v/>
      </c>
      <c r="AN26" s="30" t="str">
        <f>IF(ISERROR(FIND($A$2,Lines!AN26))=TRUE,"",MID(Lines!AN26,FIND($A$2,Lines!AN26)+LEN($A$2)+1,FIND(",",_xlfn.CONCAT(Lines!AN26,","),FIND($A$2,Lines!AN26))-FIND($A$2,Lines!AN26)-LEN($A$2)-1))</f>
        <v/>
      </c>
      <c r="AO26" s="30" t="str">
        <f>IF(ISERROR(FIND($A$2,Lines!AO26))=TRUE,"",MID(Lines!AO26,FIND($A$2,Lines!AO26)+LEN($A$2)+1,FIND(",",_xlfn.CONCAT(Lines!AO26,","),FIND($A$2,Lines!AO26))-FIND($A$2,Lines!AO26)-LEN($A$2)-1))</f>
        <v/>
      </c>
      <c r="AP26" s="30" t="str">
        <f>IF(ISERROR(FIND($A$2,Lines!AP26))=TRUE,"",MID(Lines!AP26,FIND($A$2,Lines!AP26)+LEN($A$2)+1,FIND(",",_xlfn.CONCAT(Lines!AP26,","),FIND($A$2,Lines!AP26))-FIND($A$2,Lines!AP26)-LEN($A$2)-1))</f>
        <v/>
      </c>
      <c r="AQ26" s="30" t="str">
        <f>IF(ISERROR(FIND($A$2,Lines!AQ26))=TRUE,"",MID(Lines!AQ26,FIND($A$2,Lines!AQ26)+LEN($A$2)+1,FIND(",",_xlfn.CONCAT(Lines!AQ26,","),FIND($A$2,Lines!AQ26))-FIND($A$2,Lines!AQ26)-LEN($A$2)-1))</f>
        <v/>
      </c>
      <c r="AR26" s="30" t="str">
        <f>IF(ISERROR(FIND($A$2,Lines!AR26))=TRUE,"",MID(Lines!AR26,FIND($A$2,Lines!AR26)+LEN($A$2)+1,FIND(",",_xlfn.CONCAT(Lines!AR26,","),FIND($A$2,Lines!AR26))-FIND($A$2,Lines!AR26)-LEN($A$2)-1))</f>
        <v/>
      </c>
      <c r="AS26" s="30" t="str">
        <f>IF(ISERROR(FIND($A$2,Lines!AS26))=TRUE,"",MID(Lines!AS26,FIND($A$2,Lines!AS26)+LEN($A$2)+1,FIND(",",_xlfn.CONCAT(Lines!AS26,","),FIND($A$2,Lines!AS26))-FIND($A$2,Lines!AS26)-LEN($A$2)-1))</f>
        <v/>
      </c>
      <c r="AT26" s="30" t="str">
        <f>IF(ISERROR(FIND($A$2,Lines!AT26))=TRUE,"",MID(Lines!AT26,FIND($A$2,Lines!AT26)+LEN($A$2)+1,FIND(",",_xlfn.CONCAT(Lines!AT26,","),FIND($A$2,Lines!AT26))-FIND($A$2,Lines!AT26)-LEN($A$2)-1))</f>
        <v/>
      </c>
    </row>
    <row r="27" spans="1:46" ht="20.25" customHeight="1">
      <c r="A27" s="2" t="s">
        <v>75</v>
      </c>
      <c r="B27" s="30" t="str">
        <f>IF(ISERROR(FIND($A$2,Lines!B27))=TRUE,"",MID(Lines!B27,FIND($A$2,Lines!B27)+LEN($A$2)+1,FIND(",",_xlfn.CONCAT(Lines!B27,","),FIND($A$2,Lines!B27))-FIND($A$2,Lines!B27)-LEN($A$2)-1))</f>
        <v/>
      </c>
      <c r="C27" s="30" t="str">
        <f>IF(ISERROR(FIND($A$2,Lines!C27))=TRUE,"",MID(Lines!C27,FIND($A$2,Lines!C27)+LEN($A$2)+1,FIND(",",_xlfn.CONCAT(Lines!C27,","),FIND($A$2,Lines!C27))-FIND($A$2,Lines!C27)-LEN($A$2)-1))</f>
        <v/>
      </c>
      <c r="D27" s="30" t="str">
        <f>IF(ISERROR(FIND($A$2,Lines!D27))=TRUE,"",MID(Lines!D27,FIND($A$2,Lines!D27)+LEN($A$2)+1,FIND(",",_xlfn.CONCAT(Lines!D27,","),FIND($A$2,Lines!D27))-FIND($A$2,Lines!D27)-LEN($A$2)-1))</f>
        <v/>
      </c>
      <c r="E27" s="30" t="str">
        <f>IF(ISERROR(FIND($A$2,Lines!E27))=TRUE,"",MID(Lines!E27,FIND($A$2,Lines!E27)+LEN($A$2)+1,FIND(",",_xlfn.CONCAT(Lines!E27,","),FIND($A$2,Lines!E27))-FIND($A$2,Lines!E27)-LEN($A$2)-1))</f>
        <v/>
      </c>
      <c r="F27" s="30" t="str">
        <f>IF(ISERROR(FIND($A$2,Lines!F27))=TRUE,"",MID(Lines!F27,FIND($A$2,Lines!F27)+LEN($A$2)+1,FIND(",",_xlfn.CONCAT(Lines!F27,","),FIND($A$2,Lines!F27))-FIND($A$2,Lines!F27)-LEN($A$2)-1))</f>
        <v/>
      </c>
      <c r="G27" s="30" t="str">
        <f>IF(ISERROR(FIND($A$2,Lines!G27))=TRUE,"",MID(Lines!G27,FIND($A$2,Lines!G27)+LEN($A$2)+1,FIND(",",_xlfn.CONCAT(Lines!G27,","),FIND($A$2,Lines!G27))-FIND($A$2,Lines!G27)-LEN($A$2)-1))</f>
        <v/>
      </c>
      <c r="H27" s="30" t="str">
        <f>IF(ISERROR(FIND($A$2,Lines!H27))=TRUE,"",MID(Lines!H27,FIND($A$2,Lines!H27)+LEN($A$2)+1,FIND(",",_xlfn.CONCAT(Lines!H27,","),FIND($A$2,Lines!H27))-FIND($A$2,Lines!H27)-LEN($A$2)-1))</f>
        <v/>
      </c>
      <c r="I27" s="30" t="str">
        <f>IF(ISERROR(FIND($A$2,Lines!I27))=TRUE,"",MID(Lines!I27,FIND($A$2,Lines!I27)+LEN($A$2)+1,FIND(",",_xlfn.CONCAT(Lines!I27,","),FIND($A$2,Lines!I27))-FIND($A$2,Lines!I27)-LEN($A$2)-1))</f>
        <v/>
      </c>
      <c r="J27" s="30" t="str">
        <f>IF(ISERROR(FIND($A$2,Lines!J27))=TRUE,"",MID(Lines!J27,FIND($A$2,Lines!J27)+LEN($A$2)+1,FIND(",",_xlfn.CONCAT(Lines!J27,","),FIND($A$2,Lines!J27))-FIND($A$2,Lines!J27)-LEN($A$2)-1))</f>
        <v/>
      </c>
      <c r="K27" s="30" t="str">
        <f>IF(ISERROR(FIND($A$2,Lines!K27))=TRUE,"",MID(Lines!K27,FIND($A$2,Lines!K27)+LEN($A$2)+1,FIND(",",_xlfn.CONCAT(Lines!K27,","),FIND($A$2,Lines!K27))-FIND($A$2,Lines!K27)-LEN($A$2)-1))</f>
        <v/>
      </c>
      <c r="L27" s="30" t="str">
        <f>IF(ISERROR(FIND($A$2,Lines!L27))=TRUE,"",MID(Lines!L27,FIND($A$2,Lines!L27)+LEN($A$2)+1,FIND(",",_xlfn.CONCAT(Lines!L27,","),FIND($A$2,Lines!L27))-FIND($A$2,Lines!L27)-LEN($A$2)-1))</f>
        <v/>
      </c>
      <c r="M27" s="30" t="str">
        <f>IF(ISERROR(FIND($A$2,Lines!M27))=TRUE,"",MID(Lines!M27,FIND($A$2,Lines!M27)+LEN($A$2)+1,FIND(",",_xlfn.CONCAT(Lines!M27,","),FIND($A$2,Lines!M27))-FIND($A$2,Lines!M27)-LEN($A$2)-1))</f>
        <v/>
      </c>
      <c r="N27" s="30" t="str">
        <f>IF(ISERROR(FIND($A$2,Lines!N27))=TRUE,"",MID(Lines!N27,FIND($A$2,Lines!N27)+LEN($A$2)+1,FIND(",",_xlfn.CONCAT(Lines!N27,","),FIND($A$2,Lines!N27))-FIND($A$2,Lines!N27)-LEN($A$2)-1))</f>
        <v/>
      </c>
      <c r="O27" s="30" t="str">
        <f>IF(ISERROR(FIND($A$2,Lines!O27))=TRUE,"",MID(Lines!O27,FIND($A$2,Lines!O27)+LEN($A$2)+1,FIND(",",_xlfn.CONCAT(Lines!O27,","),FIND($A$2,Lines!O27))-FIND($A$2,Lines!O27)-LEN($A$2)-1))</f>
        <v/>
      </c>
      <c r="P27" s="30" t="str">
        <f>IF(ISERROR(FIND($A$2,Lines!P27))=TRUE,"",MID(Lines!P27,FIND($A$2,Lines!P27)+LEN($A$2)+1,FIND(",",_xlfn.CONCAT(Lines!P27,","),FIND($A$2,Lines!P27))-FIND($A$2,Lines!P27)-LEN($A$2)-1))</f>
        <v/>
      </c>
      <c r="Q27" s="30" t="str">
        <f>IF(ISERROR(FIND($A$2,Lines!Q27))=TRUE,"",MID(Lines!Q27,FIND($A$2,Lines!Q27)+LEN($A$2)+1,FIND(",",_xlfn.CONCAT(Lines!Q27,","),FIND($A$2,Lines!Q27))-FIND($A$2,Lines!Q27)-LEN($A$2)-1))</f>
        <v/>
      </c>
      <c r="R27" s="30" t="str">
        <f>IF(ISERROR(FIND($A$2,Lines!R27))=TRUE,"",MID(Lines!R27,FIND($A$2,Lines!R27)+LEN($A$2)+1,FIND(",",_xlfn.CONCAT(Lines!R27,","),FIND($A$2,Lines!R27))-FIND($A$2,Lines!R27)-LEN($A$2)-1))</f>
        <v/>
      </c>
      <c r="S27" s="30" t="str">
        <f>IF(ISERROR(FIND($A$2,Lines!S27))=TRUE,"",MID(Lines!S27,FIND($A$2,Lines!S27)+LEN($A$2)+1,FIND(",",_xlfn.CONCAT(Lines!S27,","),FIND($A$2,Lines!S27))-FIND($A$2,Lines!S27)-LEN($A$2)-1))</f>
        <v/>
      </c>
      <c r="T27" s="30" t="str">
        <f>IF(ISERROR(FIND($A$2,Lines!T27))=TRUE,"",MID(Lines!T27,FIND($A$2,Lines!T27)+LEN($A$2)+1,FIND(",",_xlfn.CONCAT(Lines!T27,","),FIND($A$2,Lines!T27))-FIND($A$2,Lines!T27)-LEN($A$2)-1))</f>
        <v/>
      </c>
      <c r="U27" s="30" t="str">
        <f>IF(ISERROR(FIND($A$2,Lines!U27))=TRUE,"",MID(Lines!U27,FIND($A$2,Lines!U27)+LEN($A$2)+1,FIND(",",_xlfn.CONCAT(Lines!U27,","),FIND($A$2,Lines!U27))-FIND($A$2,Lines!U27)-LEN($A$2)-1))</f>
        <v/>
      </c>
      <c r="V27" s="30" t="str">
        <f>IF(ISERROR(FIND($A$2,Lines!V27))=TRUE,"",MID(Lines!V27,FIND($A$2,Lines!V27)+LEN($A$2)+1,FIND(",",_xlfn.CONCAT(Lines!V27,","),FIND($A$2,Lines!V27))-FIND($A$2,Lines!V27)-LEN($A$2)-1))</f>
        <v/>
      </c>
      <c r="W27" s="36" t="str">
        <f>IF(ISERROR(FIND($A$2,Lines!W27))=TRUE,"",MID(Lines!W27,FIND($A$2,Lines!W27)+LEN($A$2)+1,FIND(",",_xlfn.CONCAT(Lines!W27,","),FIND($A$2,Lines!W27))-FIND($A$2,Lines!W27)-LEN($A$2)-1))</f>
        <v/>
      </c>
      <c r="X27" s="40" t="str">
        <f>IF(ISERROR(FIND($A$2,Lines!X27))=TRUE,"",MID(Lines!X27,FIND($A$2,Lines!X27)+LEN($A$2)+1,FIND(",",_xlfn.CONCAT(Lines!X27,","),FIND($A$2,Lines!X27))-FIND($A$2,Lines!X27)-LEN($A$2)-1))</f>
        <v/>
      </c>
      <c r="Y27" s="66" t="str">
        <f>IF(ISERROR(FIND($A$2,Lines!Y27))=TRUE,"",MID(Lines!Y27,FIND($A$2,Lines!Y27)+LEN($A$2)+1,FIND(",",_xlfn.CONCAT(Lines!Y27,","),FIND($A$2,Lines!Y27))-FIND($A$2,Lines!Y27)-LEN($A$2)-1))</f>
        <v/>
      </c>
      <c r="Z27" s="41" t="str">
        <f>IF(ISERROR(FIND($A$2,Lines!Z27))=TRUE,"",MID(Lines!Z27,FIND($A$2,Lines!Z27)+LEN($A$2)+1,FIND(",",_xlfn.CONCAT(Lines!Z27,","),FIND($A$2,Lines!Z27))-FIND($A$2,Lines!Z27)-LEN($A$2)-1))</f>
        <v/>
      </c>
      <c r="AA27" s="41" t="str">
        <f>IF(ISERROR(FIND($A$2,Lines!AA27))=TRUE,"",MID(Lines!AA27,FIND($A$2,Lines!AA27)+LEN($A$2)+1,FIND(",",_xlfn.CONCAT(Lines!AA27,","),FIND($A$2,Lines!AA27))-FIND($A$2,Lines!AA27)-LEN($A$2)-1))</f>
        <v/>
      </c>
      <c r="AB27" s="41" t="str">
        <f>IF(ISERROR(FIND($A$2,Lines!AB27))=TRUE,"",MID(Lines!AB27,FIND($A$2,Lines!AB27)+LEN($A$2)+1,FIND(",",_xlfn.CONCAT(Lines!AB27,","),FIND($A$2,Lines!AB27))-FIND($A$2,Lines!AB27)-LEN($A$2)-1))</f>
        <v/>
      </c>
      <c r="AC27" s="41" t="str">
        <f>IF(ISERROR(FIND($A$2,Lines!AC27))=TRUE,"",MID(Lines!AC27,FIND($A$2,Lines!AC27)+LEN($A$2)+1,FIND(",",_xlfn.CONCAT(Lines!AC27,","),FIND($A$2,Lines!AC27))-FIND($A$2,Lines!AC27)-LEN($A$2)-1))</f>
        <v/>
      </c>
      <c r="AD27" s="46" t="str">
        <f>IF(ISERROR(FIND($A$2,Lines!AD27))=TRUE,"",MID(Lines!AD27,FIND($A$2,Lines!AD27)+LEN($A$2)+1,FIND(",",_xlfn.CONCAT(Lines!AD27,","),FIND($A$2,Lines!AD27))-FIND($A$2,Lines!AD27)-LEN($A$2)-1))</f>
        <v/>
      </c>
      <c r="AE27" s="30" t="str">
        <f>IF(ISERROR(FIND($A$2,Lines!AE27))=TRUE,"",MID(Lines!AE27,FIND($A$2,Lines!AE27)+LEN($A$2)+1,FIND(",",_xlfn.CONCAT(Lines!AE27,","),FIND($A$2,Lines!AE27))-FIND($A$2,Lines!AE27)-LEN($A$2)-1))</f>
        <v/>
      </c>
      <c r="AF27" s="30" t="str">
        <f>IF(ISERROR(FIND($A$2,Lines!AF27))=TRUE,"",MID(Lines!AF27,FIND($A$2,Lines!AF27)+LEN($A$2)+1,FIND(",",_xlfn.CONCAT(Lines!AF27,","),FIND($A$2,Lines!AF27))-FIND($A$2,Lines!AF27)-LEN($A$2)-1))</f>
        <v/>
      </c>
      <c r="AG27" s="30" t="str">
        <f>IF(ISERROR(FIND($A$2,Lines!AG27))=TRUE,"",MID(Lines!AG27,FIND($A$2,Lines!AG27)+LEN($A$2)+1,FIND(",",_xlfn.CONCAT(Lines!AG27,","),FIND($A$2,Lines!AG27))-FIND($A$2,Lines!AG27)-LEN($A$2)-1))</f>
        <v/>
      </c>
      <c r="AH27" s="30" t="str">
        <f>IF(ISERROR(FIND($A$2,Lines!AH27))=TRUE,"",MID(Lines!AH27,FIND($A$2,Lines!AH27)+LEN($A$2)+1,FIND(",",_xlfn.CONCAT(Lines!AH27,","),FIND($A$2,Lines!AH27))-FIND($A$2,Lines!AH27)-LEN($A$2)-1))</f>
        <v/>
      </c>
      <c r="AI27" s="30" t="str">
        <f>IF(ISERROR(FIND($A$2,Lines!AI27))=TRUE,"",MID(Lines!AI27,FIND($A$2,Lines!AI27)+LEN($A$2)+1,FIND(",",_xlfn.CONCAT(Lines!AI27,","),FIND($A$2,Lines!AI27))-FIND($A$2,Lines!AI27)-LEN($A$2)-1))</f>
        <v/>
      </c>
      <c r="AJ27" s="30" t="str">
        <f>IF(ISERROR(FIND($A$2,Lines!AJ27))=TRUE,"",MID(Lines!AJ27,FIND($A$2,Lines!AJ27)+LEN($A$2)+1,FIND(",",_xlfn.CONCAT(Lines!AJ27,","),FIND($A$2,Lines!AJ27))-FIND($A$2,Lines!AJ27)-LEN($A$2)-1))</f>
        <v/>
      </c>
      <c r="AK27" s="30" t="str">
        <f>IF(ISERROR(FIND($A$2,Lines!AK27))=TRUE,"",MID(Lines!AK27,FIND($A$2,Lines!AK27)+LEN($A$2)+1,FIND(",",_xlfn.CONCAT(Lines!AK27,","),FIND($A$2,Lines!AK27))-FIND($A$2,Lines!AK27)-LEN($A$2)-1))</f>
        <v/>
      </c>
      <c r="AL27" s="30" t="str">
        <f>IF(ISERROR(FIND($A$2,Lines!AL27))=TRUE,"",MID(Lines!AL27,FIND($A$2,Lines!AL27)+LEN($A$2)+1,FIND(",",_xlfn.CONCAT(Lines!AL27,","),FIND($A$2,Lines!AL27))-FIND($A$2,Lines!AL27)-LEN($A$2)-1))</f>
        <v/>
      </c>
      <c r="AM27" s="30" t="str">
        <f>IF(ISERROR(FIND($A$2,Lines!AM27))=TRUE,"",MID(Lines!AM27,FIND($A$2,Lines!AM27)+LEN($A$2)+1,FIND(",",_xlfn.CONCAT(Lines!AM27,","),FIND($A$2,Lines!AM27))-FIND($A$2,Lines!AM27)-LEN($A$2)-1))</f>
        <v/>
      </c>
      <c r="AN27" s="30" t="str">
        <f>IF(ISERROR(FIND($A$2,Lines!AN27))=TRUE,"",MID(Lines!AN27,FIND($A$2,Lines!AN27)+LEN($A$2)+1,FIND(",",_xlfn.CONCAT(Lines!AN27,","),FIND($A$2,Lines!AN27))-FIND($A$2,Lines!AN27)-LEN($A$2)-1))</f>
        <v/>
      </c>
      <c r="AO27" s="30" t="str">
        <f>IF(ISERROR(FIND($A$2,Lines!AO27))=TRUE,"",MID(Lines!AO27,FIND($A$2,Lines!AO27)+LEN($A$2)+1,FIND(",",_xlfn.CONCAT(Lines!AO27,","),FIND($A$2,Lines!AO27))-FIND($A$2,Lines!AO27)-LEN($A$2)-1))</f>
        <v/>
      </c>
      <c r="AP27" s="30" t="str">
        <f>IF(ISERROR(FIND($A$2,Lines!AP27))=TRUE,"",MID(Lines!AP27,FIND($A$2,Lines!AP27)+LEN($A$2)+1,FIND(",",_xlfn.CONCAT(Lines!AP27,","),FIND($A$2,Lines!AP27))-FIND($A$2,Lines!AP27)-LEN($A$2)-1))</f>
        <v/>
      </c>
      <c r="AQ27" s="30" t="str">
        <f>IF(ISERROR(FIND($A$2,Lines!AQ27))=TRUE,"",MID(Lines!AQ27,FIND($A$2,Lines!AQ27)+LEN($A$2)+1,FIND(",",_xlfn.CONCAT(Lines!AQ27,","),FIND($A$2,Lines!AQ27))-FIND($A$2,Lines!AQ27)-LEN($A$2)-1))</f>
        <v/>
      </c>
      <c r="AR27" s="30" t="str">
        <f>IF(ISERROR(FIND($A$2,Lines!AR27))=TRUE,"",MID(Lines!AR27,FIND($A$2,Lines!AR27)+LEN($A$2)+1,FIND(",",_xlfn.CONCAT(Lines!AR27,","),FIND($A$2,Lines!AR27))-FIND($A$2,Lines!AR27)-LEN($A$2)-1))</f>
        <v/>
      </c>
      <c r="AS27" s="30" t="str">
        <f>IF(ISERROR(FIND($A$2,Lines!AS27))=TRUE,"",MID(Lines!AS27,FIND($A$2,Lines!AS27)+LEN($A$2)+1,FIND(",",_xlfn.CONCAT(Lines!AS27,","),FIND($A$2,Lines!AS27))-FIND($A$2,Lines!AS27)-LEN($A$2)-1))</f>
        <v/>
      </c>
      <c r="AT27" s="30" t="str">
        <f>IF(ISERROR(FIND($A$2,Lines!AT27))=TRUE,"",MID(Lines!AT27,FIND($A$2,Lines!AT27)+LEN($A$2)+1,FIND(",",_xlfn.CONCAT(Lines!AT27,","),FIND($A$2,Lines!AT27))-FIND($A$2,Lines!AT27)-LEN($A$2)-1))</f>
        <v/>
      </c>
    </row>
    <row r="28" spans="1:46" ht="20.25" customHeight="1">
      <c r="A28" s="2" t="s">
        <v>76</v>
      </c>
      <c r="B28" s="30" t="str">
        <f>IF(ISERROR(FIND($A$2,Lines!B28))=TRUE,"",MID(Lines!B28,FIND($A$2,Lines!B28)+LEN($A$2)+1,FIND(",",_xlfn.CONCAT(Lines!B28,","),FIND($A$2,Lines!B28))-FIND($A$2,Lines!B28)-LEN($A$2)-1))</f>
        <v/>
      </c>
      <c r="C28" s="30" t="str">
        <f>IF(ISERROR(FIND($A$2,Lines!C28))=TRUE,"",MID(Lines!C28,FIND($A$2,Lines!C28)+LEN($A$2)+1,FIND(",",_xlfn.CONCAT(Lines!C28,","),FIND($A$2,Lines!C28))-FIND($A$2,Lines!C28)-LEN($A$2)-1))</f>
        <v/>
      </c>
      <c r="D28" s="30" t="str">
        <f>IF(ISERROR(FIND($A$2,Lines!D28))=TRUE,"",MID(Lines!D28,FIND($A$2,Lines!D28)+LEN($A$2)+1,FIND(",",_xlfn.CONCAT(Lines!D28,","),FIND($A$2,Lines!D28))-FIND($A$2,Lines!D28)-LEN($A$2)-1))</f>
        <v/>
      </c>
      <c r="E28" s="30" t="str">
        <f>IF(ISERROR(FIND($A$2,Lines!E28))=TRUE,"",MID(Lines!E28,FIND($A$2,Lines!E28)+LEN($A$2)+1,FIND(",",_xlfn.CONCAT(Lines!E28,","),FIND($A$2,Lines!E28))-FIND($A$2,Lines!E28)-LEN($A$2)-1))</f>
        <v/>
      </c>
      <c r="F28" s="30" t="str">
        <f>IF(ISERROR(FIND($A$2,Lines!F28))=TRUE,"",MID(Lines!F28,FIND($A$2,Lines!F28)+LEN($A$2)+1,FIND(",",_xlfn.CONCAT(Lines!F28,","),FIND($A$2,Lines!F28))-FIND($A$2,Lines!F28)-LEN($A$2)-1))</f>
        <v/>
      </c>
      <c r="G28" s="30" t="str">
        <f>IF(ISERROR(FIND($A$2,Lines!G28))=TRUE,"",MID(Lines!G28,FIND($A$2,Lines!G28)+LEN($A$2)+1,FIND(",",_xlfn.CONCAT(Lines!G28,","),FIND($A$2,Lines!G28))-FIND($A$2,Lines!G28)-LEN($A$2)-1))</f>
        <v/>
      </c>
      <c r="H28" s="30" t="str">
        <f>IF(ISERROR(FIND($A$2,Lines!H28))=TRUE,"",MID(Lines!H28,FIND($A$2,Lines!H28)+LEN($A$2)+1,FIND(",",_xlfn.CONCAT(Lines!H28,","),FIND($A$2,Lines!H28))-FIND($A$2,Lines!H28)-LEN($A$2)-1))</f>
        <v/>
      </c>
      <c r="I28" s="30" t="str">
        <f>IF(ISERROR(FIND($A$2,Lines!I28))=TRUE,"",MID(Lines!I28,FIND($A$2,Lines!I28)+LEN($A$2)+1,FIND(",",_xlfn.CONCAT(Lines!I28,","),FIND($A$2,Lines!I28))-FIND($A$2,Lines!I28)-LEN($A$2)-1))</f>
        <v/>
      </c>
      <c r="J28" s="30" t="str">
        <f>IF(ISERROR(FIND($A$2,Lines!J28))=TRUE,"",MID(Lines!J28,FIND($A$2,Lines!J28)+LEN($A$2)+1,FIND(",",_xlfn.CONCAT(Lines!J28,","),FIND($A$2,Lines!J28))-FIND($A$2,Lines!J28)-LEN($A$2)-1))</f>
        <v/>
      </c>
      <c r="K28" s="30" t="str">
        <f>IF(ISERROR(FIND($A$2,Lines!K28))=TRUE,"",MID(Lines!K28,FIND($A$2,Lines!K28)+LEN($A$2)+1,FIND(",",_xlfn.CONCAT(Lines!K28,","),FIND($A$2,Lines!K28))-FIND($A$2,Lines!K28)-LEN($A$2)-1))</f>
        <v/>
      </c>
      <c r="L28" s="30" t="str">
        <f>IF(ISERROR(FIND($A$2,Lines!L28))=TRUE,"",MID(Lines!L28,FIND($A$2,Lines!L28)+LEN($A$2)+1,FIND(",",_xlfn.CONCAT(Lines!L28,","),FIND($A$2,Lines!L28))-FIND($A$2,Lines!L28)-LEN($A$2)-1))</f>
        <v/>
      </c>
      <c r="M28" s="30" t="str">
        <f>IF(ISERROR(FIND($A$2,Lines!M28))=TRUE,"",MID(Lines!M28,FIND($A$2,Lines!M28)+LEN($A$2)+1,FIND(",",_xlfn.CONCAT(Lines!M28,","),FIND($A$2,Lines!M28))-FIND($A$2,Lines!M28)-LEN($A$2)-1))</f>
        <v/>
      </c>
      <c r="N28" s="30" t="str">
        <f>IF(ISERROR(FIND($A$2,Lines!N28))=TRUE,"",MID(Lines!N28,FIND($A$2,Lines!N28)+LEN($A$2)+1,FIND(",",_xlfn.CONCAT(Lines!N28,","),FIND($A$2,Lines!N28))-FIND($A$2,Lines!N28)-LEN($A$2)-1))</f>
        <v/>
      </c>
      <c r="O28" s="30" t="str">
        <f>IF(ISERROR(FIND($A$2,Lines!O28))=TRUE,"",MID(Lines!O28,FIND($A$2,Lines!O28)+LEN($A$2)+1,FIND(",",_xlfn.CONCAT(Lines!O28,","),FIND($A$2,Lines!O28))-FIND($A$2,Lines!O28)-LEN($A$2)-1))</f>
        <v/>
      </c>
      <c r="P28" s="30" t="str">
        <f>IF(ISERROR(FIND($A$2,Lines!P28))=TRUE,"",MID(Lines!P28,FIND($A$2,Lines!P28)+LEN($A$2)+1,FIND(",",_xlfn.CONCAT(Lines!P28,","),FIND($A$2,Lines!P28))-FIND($A$2,Lines!P28)-LEN($A$2)-1))</f>
        <v/>
      </c>
      <c r="Q28" s="30" t="str">
        <f>IF(ISERROR(FIND($A$2,Lines!Q28))=TRUE,"",MID(Lines!Q28,FIND($A$2,Lines!Q28)+LEN($A$2)+1,FIND(",",_xlfn.CONCAT(Lines!Q28,","),FIND($A$2,Lines!Q28))-FIND($A$2,Lines!Q28)-LEN($A$2)-1))</f>
        <v/>
      </c>
      <c r="R28" s="30" t="str">
        <f>IF(ISERROR(FIND($A$2,Lines!R28))=TRUE,"",MID(Lines!R28,FIND($A$2,Lines!R28)+LEN($A$2)+1,FIND(",",_xlfn.CONCAT(Lines!R28,","),FIND($A$2,Lines!R28))-FIND($A$2,Lines!R28)-LEN($A$2)-1))</f>
        <v/>
      </c>
      <c r="S28" s="30" t="str">
        <f>IF(ISERROR(FIND($A$2,Lines!S28))=TRUE,"",MID(Lines!S28,FIND($A$2,Lines!S28)+LEN($A$2)+1,FIND(",",_xlfn.CONCAT(Lines!S28,","),FIND($A$2,Lines!S28))-FIND($A$2,Lines!S28)-LEN($A$2)-1))</f>
        <v/>
      </c>
      <c r="T28" s="30" t="str">
        <f>IF(ISERROR(FIND($A$2,Lines!T28))=TRUE,"",MID(Lines!T28,FIND($A$2,Lines!T28)+LEN($A$2)+1,FIND(",",_xlfn.CONCAT(Lines!T28,","),FIND($A$2,Lines!T28))-FIND($A$2,Lines!T28)-LEN($A$2)-1))</f>
        <v/>
      </c>
      <c r="U28" s="30" t="str">
        <f>IF(ISERROR(FIND($A$2,Lines!U28))=TRUE,"",MID(Lines!U28,FIND($A$2,Lines!U28)+LEN($A$2)+1,FIND(",",_xlfn.CONCAT(Lines!U28,","),FIND($A$2,Lines!U28))-FIND($A$2,Lines!U28)-LEN($A$2)-1))</f>
        <v/>
      </c>
      <c r="V28" s="30" t="str">
        <f>IF(ISERROR(FIND($A$2,Lines!V28))=TRUE,"",MID(Lines!V28,FIND($A$2,Lines!V28)+LEN($A$2)+1,FIND(",",_xlfn.CONCAT(Lines!V28,","),FIND($A$2,Lines!V28))-FIND($A$2,Lines!V28)-LEN($A$2)-1))</f>
        <v/>
      </c>
      <c r="W28" s="36" t="str">
        <f>IF(ISERROR(FIND($A$2,Lines!W28))=TRUE,"",MID(Lines!W28,FIND($A$2,Lines!W28)+LEN($A$2)+1,FIND(",",_xlfn.CONCAT(Lines!W28,","),FIND($A$2,Lines!W28))-FIND($A$2,Lines!W28)-LEN($A$2)-1))</f>
        <v/>
      </c>
      <c r="X28" s="40" t="str">
        <f>IF(ISERROR(FIND($A$2,Lines!X28))=TRUE,"",MID(Lines!X28,FIND($A$2,Lines!X28)+LEN($A$2)+1,FIND(",",_xlfn.CONCAT(Lines!X28,","),FIND($A$2,Lines!X28))-FIND($A$2,Lines!X28)-LEN($A$2)-1))</f>
        <v/>
      </c>
      <c r="Y28" s="41" t="str">
        <f>IF(ISERROR(FIND($A$2,Lines!Y28))=TRUE,"",MID(Lines!Y28,FIND($A$2,Lines!Y28)+LEN($A$2)+1,FIND(",",_xlfn.CONCAT(Lines!Y28,","),FIND($A$2,Lines!Y28))-FIND($A$2,Lines!Y28)-LEN($A$2)-1))</f>
        <v/>
      </c>
      <c r="Z28" s="66" t="str">
        <f>IF(ISERROR(FIND($A$2,Lines!Z28))=TRUE,"",MID(Lines!Z28,FIND($A$2,Lines!Z28)+LEN($A$2)+1,FIND(",",_xlfn.CONCAT(Lines!Z28,","),FIND($A$2,Lines!Z28))-FIND($A$2,Lines!Z28)-LEN($A$2)-1))</f>
        <v/>
      </c>
      <c r="AA28" s="41" t="str">
        <f>IF(ISERROR(FIND($A$2,Lines!AA28))=TRUE,"",MID(Lines!AA28,FIND($A$2,Lines!AA28)+LEN($A$2)+1,FIND(",",_xlfn.CONCAT(Lines!AA28,","),FIND($A$2,Lines!AA28))-FIND($A$2,Lines!AA28)-LEN($A$2)-1))</f>
        <v/>
      </c>
      <c r="AB28" s="41" t="str">
        <f>IF(ISERROR(FIND($A$2,Lines!AB28))=TRUE,"",MID(Lines!AB28,FIND($A$2,Lines!AB28)+LEN($A$2)+1,FIND(",",_xlfn.CONCAT(Lines!AB28,","),FIND($A$2,Lines!AB28))-FIND($A$2,Lines!AB28)-LEN($A$2)-1))</f>
        <v/>
      </c>
      <c r="AC28" s="41" t="str">
        <f>IF(ISERROR(FIND($A$2,Lines!AC28))=TRUE,"",MID(Lines!AC28,FIND($A$2,Lines!AC28)+LEN($A$2)+1,FIND(",",_xlfn.CONCAT(Lines!AC28,","),FIND($A$2,Lines!AC28))-FIND($A$2,Lines!AC28)-LEN($A$2)-1))</f>
        <v/>
      </c>
      <c r="AD28" s="46" t="str">
        <f>IF(ISERROR(FIND($A$2,Lines!AD28))=TRUE,"",MID(Lines!AD28,FIND($A$2,Lines!AD28)+LEN($A$2)+1,FIND(",",_xlfn.CONCAT(Lines!AD28,","),FIND($A$2,Lines!AD28))-FIND($A$2,Lines!AD28)-LEN($A$2)-1))</f>
        <v/>
      </c>
      <c r="AE28" s="30" t="str">
        <f>IF(ISERROR(FIND($A$2,Lines!AE28))=TRUE,"",MID(Lines!AE28,FIND($A$2,Lines!AE28)+LEN($A$2)+1,FIND(",",_xlfn.CONCAT(Lines!AE28,","),FIND($A$2,Lines!AE28))-FIND($A$2,Lines!AE28)-LEN($A$2)-1))</f>
        <v/>
      </c>
      <c r="AF28" s="30" t="str">
        <f>IF(ISERROR(FIND($A$2,Lines!AF28))=TRUE,"",MID(Lines!AF28,FIND($A$2,Lines!AF28)+LEN($A$2)+1,FIND(",",_xlfn.CONCAT(Lines!AF28,","),FIND($A$2,Lines!AF28))-FIND($A$2,Lines!AF28)-LEN($A$2)-1))</f>
        <v/>
      </c>
      <c r="AG28" s="30" t="str">
        <f>IF(ISERROR(FIND($A$2,Lines!AG28))=TRUE,"",MID(Lines!AG28,FIND($A$2,Lines!AG28)+LEN($A$2)+1,FIND(",",_xlfn.CONCAT(Lines!AG28,","),FIND($A$2,Lines!AG28))-FIND($A$2,Lines!AG28)-LEN($A$2)-1))</f>
        <v/>
      </c>
      <c r="AH28" s="30" t="str">
        <f>IF(ISERROR(FIND($A$2,Lines!AH28))=TRUE,"",MID(Lines!AH28,FIND($A$2,Lines!AH28)+LEN($A$2)+1,FIND(",",_xlfn.CONCAT(Lines!AH28,","),FIND($A$2,Lines!AH28))-FIND($A$2,Lines!AH28)-LEN($A$2)-1))</f>
        <v/>
      </c>
      <c r="AI28" s="30" t="str">
        <f>IF(ISERROR(FIND($A$2,Lines!AI28))=TRUE,"",MID(Lines!AI28,FIND($A$2,Lines!AI28)+LEN($A$2)+1,FIND(",",_xlfn.CONCAT(Lines!AI28,","),FIND($A$2,Lines!AI28))-FIND($A$2,Lines!AI28)-LEN($A$2)-1))</f>
        <v/>
      </c>
      <c r="AJ28" s="30" t="str">
        <f>IF(ISERROR(FIND($A$2,Lines!AJ28))=TRUE,"",MID(Lines!AJ28,FIND($A$2,Lines!AJ28)+LEN($A$2)+1,FIND(",",_xlfn.CONCAT(Lines!AJ28,","),FIND($A$2,Lines!AJ28))-FIND($A$2,Lines!AJ28)-LEN($A$2)-1))</f>
        <v/>
      </c>
      <c r="AK28" s="30" t="str">
        <f>IF(ISERROR(FIND($A$2,Lines!AK28))=TRUE,"",MID(Lines!AK28,FIND($A$2,Lines!AK28)+LEN($A$2)+1,FIND(",",_xlfn.CONCAT(Lines!AK28,","),FIND($A$2,Lines!AK28))-FIND($A$2,Lines!AK28)-LEN($A$2)-1))</f>
        <v/>
      </c>
      <c r="AL28" s="30" t="str">
        <f>IF(ISERROR(FIND($A$2,Lines!AL28))=TRUE,"",MID(Lines!AL28,FIND($A$2,Lines!AL28)+LEN($A$2)+1,FIND(",",_xlfn.CONCAT(Lines!AL28,","),FIND($A$2,Lines!AL28))-FIND($A$2,Lines!AL28)-LEN($A$2)-1))</f>
        <v/>
      </c>
      <c r="AM28" s="30" t="str">
        <f>IF(ISERROR(FIND($A$2,Lines!AM28))=TRUE,"",MID(Lines!AM28,FIND($A$2,Lines!AM28)+LEN($A$2)+1,FIND(",",_xlfn.CONCAT(Lines!AM28,","),FIND($A$2,Lines!AM28))-FIND($A$2,Lines!AM28)-LEN($A$2)-1))</f>
        <v/>
      </c>
      <c r="AN28" s="30" t="str">
        <f>IF(ISERROR(FIND($A$2,Lines!AN28))=TRUE,"",MID(Lines!AN28,FIND($A$2,Lines!AN28)+LEN($A$2)+1,FIND(",",_xlfn.CONCAT(Lines!AN28,","),FIND($A$2,Lines!AN28))-FIND($A$2,Lines!AN28)-LEN($A$2)-1))</f>
        <v/>
      </c>
      <c r="AO28" s="30" t="str">
        <f>IF(ISERROR(FIND($A$2,Lines!AO28))=TRUE,"",MID(Lines!AO28,FIND($A$2,Lines!AO28)+LEN($A$2)+1,FIND(",",_xlfn.CONCAT(Lines!AO28,","),FIND($A$2,Lines!AO28))-FIND($A$2,Lines!AO28)-LEN($A$2)-1))</f>
        <v/>
      </c>
      <c r="AP28" s="30" t="str">
        <f>IF(ISERROR(FIND($A$2,Lines!AP28))=TRUE,"",MID(Lines!AP28,FIND($A$2,Lines!AP28)+LEN($A$2)+1,FIND(",",_xlfn.CONCAT(Lines!AP28,","),FIND($A$2,Lines!AP28))-FIND($A$2,Lines!AP28)-LEN($A$2)-1))</f>
        <v/>
      </c>
      <c r="AQ28" s="30" t="str">
        <f>IF(ISERROR(FIND($A$2,Lines!AQ28))=TRUE,"",MID(Lines!AQ28,FIND($A$2,Lines!AQ28)+LEN($A$2)+1,FIND(",",_xlfn.CONCAT(Lines!AQ28,","),FIND($A$2,Lines!AQ28))-FIND($A$2,Lines!AQ28)-LEN($A$2)-1))</f>
        <v/>
      </c>
      <c r="AR28" s="30" t="str">
        <f>IF(ISERROR(FIND($A$2,Lines!AR28))=TRUE,"",MID(Lines!AR28,FIND($A$2,Lines!AR28)+LEN($A$2)+1,FIND(",",_xlfn.CONCAT(Lines!AR28,","),FIND($A$2,Lines!AR28))-FIND($A$2,Lines!AR28)-LEN($A$2)-1))</f>
        <v/>
      </c>
      <c r="AS28" s="30" t="str">
        <f>IF(ISERROR(FIND($A$2,Lines!AS28))=TRUE,"",MID(Lines!AS28,FIND($A$2,Lines!AS28)+LEN($A$2)+1,FIND(",",_xlfn.CONCAT(Lines!AS28,","),FIND($A$2,Lines!AS28))-FIND($A$2,Lines!AS28)-LEN($A$2)-1))</f>
        <v/>
      </c>
      <c r="AT28" s="30" t="str">
        <f>IF(ISERROR(FIND($A$2,Lines!AT28))=TRUE,"",MID(Lines!AT28,FIND($A$2,Lines!AT28)+LEN($A$2)+1,FIND(",",_xlfn.CONCAT(Lines!AT28,","),FIND($A$2,Lines!AT28))-FIND($A$2,Lines!AT28)-LEN($A$2)-1))</f>
        <v/>
      </c>
    </row>
    <row r="29" spans="1:46" ht="20.25" customHeight="1">
      <c r="A29" s="2" t="s">
        <v>77</v>
      </c>
      <c r="B29" s="30" t="str">
        <f>IF(ISERROR(FIND($A$2,Lines!B29))=TRUE,"",MID(Lines!B29,FIND($A$2,Lines!B29)+LEN($A$2)+1,FIND(",",_xlfn.CONCAT(Lines!B29,","),FIND($A$2,Lines!B29))-FIND($A$2,Lines!B29)-LEN($A$2)-1))</f>
        <v/>
      </c>
      <c r="C29" s="30" t="str">
        <f>IF(ISERROR(FIND($A$2,Lines!C29))=TRUE,"",MID(Lines!C29,FIND($A$2,Lines!C29)+LEN($A$2)+1,FIND(",",_xlfn.CONCAT(Lines!C29,","),FIND($A$2,Lines!C29))-FIND($A$2,Lines!C29)-LEN($A$2)-1))</f>
        <v/>
      </c>
      <c r="D29" s="30" t="str">
        <f>IF(ISERROR(FIND($A$2,Lines!D29))=TRUE,"",MID(Lines!D29,FIND($A$2,Lines!D29)+LEN($A$2)+1,FIND(",",_xlfn.CONCAT(Lines!D29,","),FIND($A$2,Lines!D29))-FIND($A$2,Lines!D29)-LEN($A$2)-1))</f>
        <v/>
      </c>
      <c r="E29" s="30" t="str">
        <f>IF(ISERROR(FIND($A$2,Lines!E29))=TRUE,"",MID(Lines!E29,FIND($A$2,Lines!E29)+LEN($A$2)+1,FIND(",",_xlfn.CONCAT(Lines!E29,","),FIND($A$2,Lines!E29))-FIND($A$2,Lines!E29)-LEN($A$2)-1))</f>
        <v/>
      </c>
      <c r="F29" s="30" t="str">
        <f>IF(ISERROR(FIND($A$2,Lines!F29))=TRUE,"",MID(Lines!F29,FIND($A$2,Lines!F29)+LEN($A$2)+1,FIND(",",_xlfn.CONCAT(Lines!F29,","),FIND($A$2,Lines!F29))-FIND($A$2,Lines!F29)-LEN($A$2)-1))</f>
        <v/>
      </c>
      <c r="G29" s="30" t="str">
        <f>IF(ISERROR(FIND($A$2,Lines!G29))=TRUE,"",MID(Lines!G29,FIND($A$2,Lines!G29)+LEN($A$2)+1,FIND(",",_xlfn.CONCAT(Lines!G29,","),FIND($A$2,Lines!G29))-FIND($A$2,Lines!G29)-LEN($A$2)-1))</f>
        <v/>
      </c>
      <c r="H29" s="30" t="str">
        <f>IF(ISERROR(FIND($A$2,Lines!H29))=TRUE,"",MID(Lines!H29,FIND($A$2,Lines!H29)+LEN($A$2)+1,FIND(",",_xlfn.CONCAT(Lines!H29,","),FIND($A$2,Lines!H29))-FIND($A$2,Lines!H29)-LEN($A$2)-1))</f>
        <v/>
      </c>
      <c r="I29" s="30" t="str">
        <f>IF(ISERROR(FIND($A$2,Lines!I29))=TRUE,"",MID(Lines!I29,FIND($A$2,Lines!I29)+LEN($A$2)+1,FIND(",",_xlfn.CONCAT(Lines!I29,","),FIND($A$2,Lines!I29))-FIND($A$2,Lines!I29)-LEN($A$2)-1))</f>
        <v/>
      </c>
      <c r="J29" s="30" t="str">
        <f>IF(ISERROR(FIND($A$2,Lines!J29))=TRUE,"",MID(Lines!J29,FIND($A$2,Lines!J29)+LEN($A$2)+1,FIND(",",_xlfn.CONCAT(Lines!J29,","),FIND($A$2,Lines!J29))-FIND($A$2,Lines!J29)-LEN($A$2)-1))</f>
        <v/>
      </c>
      <c r="K29" s="30" t="str">
        <f>IF(ISERROR(FIND($A$2,Lines!K29))=TRUE,"",MID(Lines!K29,FIND($A$2,Lines!K29)+LEN($A$2)+1,FIND(",",_xlfn.CONCAT(Lines!K29,","),FIND($A$2,Lines!K29))-FIND($A$2,Lines!K29)-LEN($A$2)-1))</f>
        <v/>
      </c>
      <c r="L29" s="30" t="str">
        <f>IF(ISERROR(FIND($A$2,Lines!L29))=TRUE,"",MID(Lines!L29,FIND($A$2,Lines!L29)+LEN($A$2)+1,FIND(",",_xlfn.CONCAT(Lines!L29,","),FIND($A$2,Lines!L29))-FIND($A$2,Lines!L29)-LEN($A$2)-1))</f>
        <v/>
      </c>
      <c r="M29" s="30" t="str">
        <f>IF(ISERROR(FIND($A$2,Lines!M29))=TRUE,"",MID(Lines!M29,FIND($A$2,Lines!M29)+LEN($A$2)+1,FIND(",",_xlfn.CONCAT(Lines!M29,","),FIND($A$2,Lines!M29))-FIND($A$2,Lines!M29)-LEN($A$2)-1))</f>
        <v/>
      </c>
      <c r="N29" s="30" t="str">
        <f>IF(ISERROR(FIND($A$2,Lines!N29))=TRUE,"",MID(Lines!N29,FIND($A$2,Lines!N29)+LEN($A$2)+1,FIND(",",_xlfn.CONCAT(Lines!N29,","),FIND($A$2,Lines!N29))-FIND($A$2,Lines!N29)-LEN($A$2)-1))</f>
        <v/>
      </c>
      <c r="O29" s="30" t="str">
        <f>IF(ISERROR(FIND($A$2,Lines!O29))=TRUE,"",MID(Lines!O29,FIND($A$2,Lines!O29)+LEN($A$2)+1,FIND(",",_xlfn.CONCAT(Lines!O29,","),FIND($A$2,Lines!O29))-FIND($A$2,Lines!O29)-LEN($A$2)-1))</f>
        <v/>
      </c>
      <c r="P29" s="30" t="str">
        <f>IF(ISERROR(FIND($A$2,Lines!P29))=TRUE,"",MID(Lines!P29,FIND($A$2,Lines!P29)+LEN($A$2)+1,FIND(",",_xlfn.CONCAT(Lines!P29,","),FIND($A$2,Lines!P29))-FIND($A$2,Lines!P29)-LEN($A$2)-1))</f>
        <v/>
      </c>
      <c r="Q29" s="30" t="str">
        <f>IF(ISERROR(FIND($A$2,Lines!Q29))=TRUE,"",MID(Lines!Q29,FIND($A$2,Lines!Q29)+LEN($A$2)+1,FIND(",",_xlfn.CONCAT(Lines!Q29,","),FIND($A$2,Lines!Q29))-FIND($A$2,Lines!Q29)-LEN($A$2)-1))</f>
        <v/>
      </c>
      <c r="R29" s="30" t="str">
        <f>IF(ISERROR(FIND($A$2,Lines!R29))=TRUE,"",MID(Lines!R29,FIND($A$2,Lines!R29)+LEN($A$2)+1,FIND(",",_xlfn.CONCAT(Lines!R29,","),FIND($A$2,Lines!R29))-FIND($A$2,Lines!R29)-LEN($A$2)-1))</f>
        <v/>
      </c>
      <c r="S29" s="30" t="str">
        <f>IF(ISERROR(FIND($A$2,Lines!S29))=TRUE,"",MID(Lines!S29,FIND($A$2,Lines!S29)+LEN($A$2)+1,FIND(",",_xlfn.CONCAT(Lines!S29,","),FIND($A$2,Lines!S29))-FIND($A$2,Lines!S29)-LEN($A$2)-1))</f>
        <v/>
      </c>
      <c r="T29" s="30" t="str">
        <f>IF(ISERROR(FIND($A$2,Lines!T29))=TRUE,"",MID(Lines!T29,FIND($A$2,Lines!T29)+LEN($A$2)+1,FIND(",",_xlfn.CONCAT(Lines!T29,","),FIND($A$2,Lines!T29))-FIND($A$2,Lines!T29)-LEN($A$2)-1))</f>
        <v/>
      </c>
      <c r="U29" s="30" t="str">
        <f>IF(ISERROR(FIND($A$2,Lines!U29))=TRUE,"",MID(Lines!U29,FIND($A$2,Lines!U29)+LEN($A$2)+1,FIND(",",_xlfn.CONCAT(Lines!U29,","),FIND($A$2,Lines!U29))-FIND($A$2,Lines!U29)-LEN($A$2)-1))</f>
        <v/>
      </c>
      <c r="V29" s="30" t="str">
        <f>IF(ISERROR(FIND($A$2,Lines!V29))=TRUE,"",MID(Lines!V29,FIND($A$2,Lines!V29)+LEN($A$2)+1,FIND(",",_xlfn.CONCAT(Lines!V29,","),FIND($A$2,Lines!V29))-FIND($A$2,Lines!V29)-LEN($A$2)-1))</f>
        <v/>
      </c>
      <c r="W29" s="36" t="str">
        <f>IF(ISERROR(FIND($A$2,Lines!W29))=TRUE,"",MID(Lines!W29,FIND($A$2,Lines!W29)+LEN($A$2)+1,FIND(",",_xlfn.CONCAT(Lines!W29,","),FIND($A$2,Lines!W29))-FIND($A$2,Lines!W29)-LEN($A$2)-1))</f>
        <v/>
      </c>
      <c r="X29" s="39" t="str">
        <f>IF(ISERROR(FIND($A$2,Lines!X29))=TRUE,"",MID(Lines!X29,FIND($A$2,Lines!X29)+LEN($A$2)+1,FIND(",",_xlfn.CONCAT(Lines!X29,","),FIND($A$2,Lines!X29))-FIND($A$2,Lines!X29)-LEN($A$2)-1))</f>
        <v/>
      </c>
      <c r="Y29" s="41" t="str">
        <f>IF(ISERROR(FIND($A$2,Lines!Y29))=TRUE,"",MID(Lines!Y29,FIND($A$2,Lines!Y29)+LEN($A$2)+1,FIND(",",_xlfn.CONCAT(Lines!Y29,","),FIND($A$2,Lines!Y29))-FIND($A$2,Lines!Y29)-LEN($A$2)-1))</f>
        <v/>
      </c>
      <c r="Z29" s="41" t="str">
        <f>IF(ISERROR(FIND($A$2,Lines!Z29))=TRUE,"",MID(Lines!Z29,FIND($A$2,Lines!Z29)+LEN($A$2)+1,FIND(",",_xlfn.CONCAT(Lines!Z29,","),FIND($A$2,Lines!Z29))-FIND($A$2,Lines!Z29)-LEN($A$2)-1))</f>
        <v/>
      </c>
      <c r="AA29" s="66" t="str">
        <f>IF(ISERROR(FIND($A$2,Lines!AA29))=TRUE,"",MID(Lines!AA29,FIND($A$2,Lines!AA29)+LEN($A$2)+1,FIND(",",_xlfn.CONCAT(Lines!AA29,","),FIND($A$2,Lines!AA29))-FIND($A$2,Lines!AA29)-LEN($A$2)-1))</f>
        <v/>
      </c>
      <c r="AB29" s="41" t="str">
        <f>IF(ISERROR(FIND($A$2,Lines!AB29))=TRUE,"",MID(Lines!AB29,FIND($A$2,Lines!AB29)+LEN($A$2)+1,FIND(",",_xlfn.CONCAT(Lines!AB29,","),FIND($A$2,Lines!AB29))-FIND($A$2,Lines!AB29)-LEN($A$2)-1))</f>
        <v/>
      </c>
      <c r="AC29" s="41" t="str">
        <f>IF(ISERROR(FIND($A$2,Lines!AC29))=TRUE,"",MID(Lines!AC29,FIND($A$2,Lines!AC29)+LEN($A$2)+1,FIND(",",_xlfn.CONCAT(Lines!AC29,","),FIND($A$2,Lines!AC29))-FIND($A$2,Lines!AC29)-LEN($A$2)-1))</f>
        <v/>
      </c>
      <c r="AD29" s="46" t="str">
        <f>IF(ISERROR(FIND($A$2,Lines!AD29))=TRUE,"",MID(Lines!AD29,FIND($A$2,Lines!AD29)+LEN($A$2)+1,FIND(",",_xlfn.CONCAT(Lines!AD29,","),FIND($A$2,Lines!AD29))-FIND($A$2,Lines!AD29)-LEN($A$2)-1))</f>
        <v/>
      </c>
      <c r="AE29" s="30" t="str">
        <f>IF(ISERROR(FIND($A$2,Lines!AE29))=TRUE,"",MID(Lines!AE29,FIND($A$2,Lines!AE29)+LEN($A$2)+1,FIND(",",_xlfn.CONCAT(Lines!AE29,","),FIND($A$2,Lines!AE29))-FIND($A$2,Lines!AE29)-LEN($A$2)-1))</f>
        <v/>
      </c>
      <c r="AF29" s="30" t="str">
        <f>IF(ISERROR(FIND($A$2,Lines!AF29))=TRUE,"",MID(Lines!AF29,FIND($A$2,Lines!AF29)+LEN($A$2)+1,FIND(",",_xlfn.CONCAT(Lines!AF29,","),FIND($A$2,Lines!AF29))-FIND($A$2,Lines!AF29)-LEN($A$2)-1))</f>
        <v/>
      </c>
      <c r="AG29" s="30" t="str">
        <f>IF(ISERROR(FIND($A$2,Lines!AG29))=TRUE,"",MID(Lines!AG29,FIND($A$2,Lines!AG29)+LEN($A$2)+1,FIND(",",_xlfn.CONCAT(Lines!AG29,","),FIND($A$2,Lines!AG29))-FIND($A$2,Lines!AG29)-LEN($A$2)-1))</f>
        <v/>
      </c>
      <c r="AH29" s="30" t="str">
        <f>IF(ISERROR(FIND($A$2,Lines!AH29))=TRUE,"",MID(Lines!AH29,FIND($A$2,Lines!AH29)+LEN($A$2)+1,FIND(",",_xlfn.CONCAT(Lines!AH29,","),FIND($A$2,Lines!AH29))-FIND($A$2,Lines!AH29)-LEN($A$2)-1))</f>
        <v/>
      </c>
      <c r="AI29" s="30" t="str">
        <f>IF(ISERROR(FIND($A$2,Lines!AI29))=TRUE,"",MID(Lines!AI29,FIND($A$2,Lines!AI29)+LEN($A$2)+1,FIND(",",_xlfn.CONCAT(Lines!AI29,","),FIND($A$2,Lines!AI29))-FIND($A$2,Lines!AI29)-LEN($A$2)-1))</f>
        <v/>
      </c>
      <c r="AJ29" s="30" t="str">
        <f>IF(ISERROR(FIND($A$2,Lines!AJ29))=TRUE,"",MID(Lines!AJ29,FIND($A$2,Lines!AJ29)+LEN($A$2)+1,FIND(",",_xlfn.CONCAT(Lines!AJ29,","),FIND($A$2,Lines!AJ29))-FIND($A$2,Lines!AJ29)-LEN($A$2)-1))</f>
        <v/>
      </c>
      <c r="AK29" s="30" t="str">
        <f>IF(ISERROR(FIND($A$2,Lines!AK29))=TRUE,"",MID(Lines!AK29,FIND($A$2,Lines!AK29)+LEN($A$2)+1,FIND(",",_xlfn.CONCAT(Lines!AK29,","),FIND($A$2,Lines!AK29))-FIND($A$2,Lines!AK29)-LEN($A$2)-1))</f>
        <v/>
      </c>
      <c r="AL29" s="30" t="str">
        <f>IF(ISERROR(FIND($A$2,Lines!AL29))=TRUE,"",MID(Lines!AL29,FIND($A$2,Lines!AL29)+LEN($A$2)+1,FIND(",",_xlfn.CONCAT(Lines!AL29,","),FIND($A$2,Lines!AL29))-FIND($A$2,Lines!AL29)-LEN($A$2)-1))</f>
        <v/>
      </c>
      <c r="AM29" s="30" t="str">
        <f>IF(ISERROR(FIND($A$2,Lines!AM29))=TRUE,"",MID(Lines!AM29,FIND($A$2,Lines!AM29)+LEN($A$2)+1,FIND(",",_xlfn.CONCAT(Lines!AM29,","),FIND($A$2,Lines!AM29))-FIND($A$2,Lines!AM29)-LEN($A$2)-1))</f>
        <v/>
      </c>
      <c r="AN29" s="30" t="str">
        <f>IF(ISERROR(FIND($A$2,Lines!AN29))=TRUE,"",MID(Lines!AN29,FIND($A$2,Lines!AN29)+LEN($A$2)+1,FIND(",",_xlfn.CONCAT(Lines!AN29,","),FIND($A$2,Lines!AN29))-FIND($A$2,Lines!AN29)-LEN($A$2)-1))</f>
        <v/>
      </c>
      <c r="AO29" s="30" t="str">
        <f>IF(ISERROR(FIND($A$2,Lines!AO29))=TRUE,"",MID(Lines!AO29,FIND($A$2,Lines!AO29)+LEN($A$2)+1,FIND(",",_xlfn.CONCAT(Lines!AO29,","),FIND($A$2,Lines!AO29))-FIND($A$2,Lines!AO29)-LEN($A$2)-1))</f>
        <v/>
      </c>
      <c r="AP29" s="30" t="str">
        <f>IF(ISERROR(FIND($A$2,Lines!AP29))=TRUE,"",MID(Lines!AP29,FIND($A$2,Lines!AP29)+LEN($A$2)+1,FIND(",",_xlfn.CONCAT(Lines!AP29,","),FIND($A$2,Lines!AP29))-FIND($A$2,Lines!AP29)-LEN($A$2)-1))</f>
        <v/>
      </c>
      <c r="AQ29" s="30" t="str">
        <f>IF(ISERROR(FIND($A$2,Lines!AQ29))=TRUE,"",MID(Lines!AQ29,FIND($A$2,Lines!AQ29)+LEN($A$2)+1,FIND(",",_xlfn.CONCAT(Lines!AQ29,","),FIND($A$2,Lines!AQ29))-FIND($A$2,Lines!AQ29)-LEN($A$2)-1))</f>
        <v/>
      </c>
      <c r="AR29" s="30" t="str">
        <f>IF(ISERROR(FIND($A$2,Lines!AR29))=TRUE,"",MID(Lines!AR29,FIND($A$2,Lines!AR29)+LEN($A$2)+1,FIND(",",_xlfn.CONCAT(Lines!AR29,","),FIND($A$2,Lines!AR29))-FIND($A$2,Lines!AR29)-LEN($A$2)-1))</f>
        <v/>
      </c>
      <c r="AS29" s="30" t="str">
        <f>IF(ISERROR(FIND($A$2,Lines!AS29))=TRUE,"",MID(Lines!AS29,FIND($A$2,Lines!AS29)+LEN($A$2)+1,FIND(",",_xlfn.CONCAT(Lines!AS29,","),FIND($A$2,Lines!AS29))-FIND($A$2,Lines!AS29)-LEN($A$2)-1))</f>
        <v/>
      </c>
      <c r="AT29" s="30" t="str">
        <f>IF(ISERROR(FIND($A$2,Lines!AT29))=TRUE,"",MID(Lines!AT29,FIND($A$2,Lines!AT29)+LEN($A$2)+1,FIND(",",_xlfn.CONCAT(Lines!AT29,","),FIND($A$2,Lines!AT29))-FIND($A$2,Lines!AT29)-LEN($A$2)-1))</f>
        <v/>
      </c>
    </row>
    <row r="30" spans="1:46" ht="20.25" customHeight="1">
      <c r="A30" s="2" t="s">
        <v>78</v>
      </c>
      <c r="B30" s="30" t="str">
        <f>IF(ISERROR(FIND($A$2,Lines!B30))=TRUE,"",MID(Lines!B30,FIND($A$2,Lines!B30)+LEN($A$2)+1,FIND(",",_xlfn.CONCAT(Lines!B30,","),FIND($A$2,Lines!B30))-FIND($A$2,Lines!B30)-LEN($A$2)-1))</f>
        <v/>
      </c>
      <c r="C30" s="30" t="str">
        <f>IF(ISERROR(FIND($A$2,Lines!C30))=TRUE,"",MID(Lines!C30,FIND($A$2,Lines!C30)+LEN($A$2)+1,FIND(",",_xlfn.CONCAT(Lines!C30,","),FIND($A$2,Lines!C30))-FIND($A$2,Lines!C30)-LEN($A$2)-1))</f>
        <v/>
      </c>
      <c r="D30" s="30" t="str">
        <f>IF(ISERROR(FIND($A$2,Lines!D30))=TRUE,"",MID(Lines!D30,FIND($A$2,Lines!D30)+LEN($A$2)+1,FIND(",",_xlfn.CONCAT(Lines!D30,","),FIND($A$2,Lines!D30))-FIND($A$2,Lines!D30)-LEN($A$2)-1))</f>
        <v/>
      </c>
      <c r="E30" s="30" t="str">
        <f>IF(ISERROR(FIND($A$2,Lines!E30))=TRUE,"",MID(Lines!E30,FIND($A$2,Lines!E30)+LEN($A$2)+1,FIND(",",_xlfn.CONCAT(Lines!E30,","),FIND($A$2,Lines!E30))-FIND($A$2,Lines!E30)-LEN($A$2)-1))</f>
        <v/>
      </c>
      <c r="F30" s="30" t="str">
        <f>IF(ISERROR(FIND($A$2,Lines!F30))=TRUE,"",MID(Lines!F30,FIND($A$2,Lines!F30)+LEN($A$2)+1,FIND(",",_xlfn.CONCAT(Lines!F30,","),FIND($A$2,Lines!F30))-FIND($A$2,Lines!F30)-LEN($A$2)-1))</f>
        <v/>
      </c>
      <c r="G30" s="30" t="str">
        <f>IF(ISERROR(FIND($A$2,Lines!G30))=TRUE,"",MID(Lines!G30,FIND($A$2,Lines!G30)+LEN($A$2)+1,FIND(",",_xlfn.CONCAT(Lines!G30,","),FIND($A$2,Lines!G30))-FIND($A$2,Lines!G30)-LEN($A$2)-1))</f>
        <v/>
      </c>
      <c r="H30" s="30" t="str">
        <f>IF(ISERROR(FIND($A$2,Lines!H30))=TRUE,"",MID(Lines!H30,FIND($A$2,Lines!H30)+LEN($A$2)+1,FIND(",",_xlfn.CONCAT(Lines!H30,","),FIND($A$2,Lines!H30))-FIND($A$2,Lines!H30)-LEN($A$2)-1))</f>
        <v/>
      </c>
      <c r="I30" s="30" t="str">
        <f>IF(ISERROR(FIND($A$2,Lines!I30))=TRUE,"",MID(Lines!I30,FIND($A$2,Lines!I30)+LEN($A$2)+1,FIND(",",_xlfn.CONCAT(Lines!I30,","),FIND($A$2,Lines!I30))-FIND($A$2,Lines!I30)-LEN($A$2)-1))</f>
        <v/>
      </c>
      <c r="J30" s="30" t="str">
        <f>IF(ISERROR(FIND($A$2,Lines!J30))=TRUE,"",MID(Lines!J30,FIND($A$2,Lines!J30)+LEN($A$2)+1,FIND(",",_xlfn.CONCAT(Lines!J30,","),FIND($A$2,Lines!J30))-FIND($A$2,Lines!J30)-LEN($A$2)-1))</f>
        <v/>
      </c>
      <c r="K30" s="30" t="str">
        <f>IF(ISERROR(FIND($A$2,Lines!K30))=TRUE,"",MID(Lines!K30,FIND($A$2,Lines!K30)+LEN($A$2)+1,FIND(",",_xlfn.CONCAT(Lines!K30,","),FIND($A$2,Lines!K30))-FIND($A$2,Lines!K30)-LEN($A$2)-1))</f>
        <v/>
      </c>
      <c r="L30" s="30" t="str">
        <f>IF(ISERROR(FIND($A$2,Lines!L30))=TRUE,"",MID(Lines!L30,FIND($A$2,Lines!L30)+LEN($A$2)+1,FIND(",",_xlfn.CONCAT(Lines!L30,","),FIND($A$2,Lines!L30))-FIND($A$2,Lines!L30)-LEN($A$2)-1))</f>
        <v/>
      </c>
      <c r="M30" s="30" t="str">
        <f>IF(ISERROR(FIND($A$2,Lines!M30))=TRUE,"",MID(Lines!M30,FIND($A$2,Lines!M30)+LEN($A$2)+1,FIND(",",_xlfn.CONCAT(Lines!M30,","),FIND($A$2,Lines!M30))-FIND($A$2,Lines!M30)-LEN($A$2)-1))</f>
        <v/>
      </c>
      <c r="N30" s="30" t="str">
        <f>IF(ISERROR(FIND($A$2,Lines!N30))=TRUE,"",MID(Lines!N30,FIND($A$2,Lines!N30)+LEN($A$2)+1,FIND(",",_xlfn.CONCAT(Lines!N30,","),FIND($A$2,Lines!N30))-FIND($A$2,Lines!N30)-LEN($A$2)-1))</f>
        <v/>
      </c>
      <c r="O30" s="30" t="str">
        <f>IF(ISERROR(FIND($A$2,Lines!O30))=TRUE,"",MID(Lines!O30,FIND($A$2,Lines!O30)+LEN($A$2)+1,FIND(",",_xlfn.CONCAT(Lines!O30,","),FIND($A$2,Lines!O30))-FIND($A$2,Lines!O30)-LEN($A$2)-1))</f>
        <v/>
      </c>
      <c r="P30" s="30" t="str">
        <f>IF(ISERROR(FIND($A$2,Lines!P30))=TRUE,"",MID(Lines!P30,FIND($A$2,Lines!P30)+LEN($A$2)+1,FIND(",",_xlfn.CONCAT(Lines!P30,","),FIND($A$2,Lines!P30))-FIND($A$2,Lines!P30)-LEN($A$2)-1))</f>
        <v/>
      </c>
      <c r="Q30" s="30" t="str">
        <f>IF(ISERROR(FIND($A$2,Lines!Q30))=TRUE,"",MID(Lines!Q30,FIND($A$2,Lines!Q30)+LEN($A$2)+1,FIND(",",_xlfn.CONCAT(Lines!Q30,","),FIND($A$2,Lines!Q30))-FIND($A$2,Lines!Q30)-LEN($A$2)-1))</f>
        <v/>
      </c>
      <c r="R30" s="30" t="str">
        <f>IF(ISERROR(FIND($A$2,Lines!R30))=TRUE,"",MID(Lines!R30,FIND($A$2,Lines!R30)+LEN($A$2)+1,FIND(",",_xlfn.CONCAT(Lines!R30,","),FIND($A$2,Lines!R30))-FIND($A$2,Lines!R30)-LEN($A$2)-1))</f>
        <v/>
      </c>
      <c r="S30" s="30" t="str">
        <f>IF(ISERROR(FIND($A$2,Lines!S30))=TRUE,"",MID(Lines!S30,FIND($A$2,Lines!S30)+LEN($A$2)+1,FIND(",",_xlfn.CONCAT(Lines!S30,","),FIND($A$2,Lines!S30))-FIND($A$2,Lines!S30)-LEN($A$2)-1))</f>
        <v/>
      </c>
      <c r="T30" s="30" t="str">
        <f>IF(ISERROR(FIND($A$2,Lines!T30))=TRUE,"",MID(Lines!T30,FIND($A$2,Lines!T30)+LEN($A$2)+1,FIND(",",_xlfn.CONCAT(Lines!T30,","),FIND($A$2,Lines!T30))-FIND($A$2,Lines!T30)-LEN($A$2)-1))</f>
        <v/>
      </c>
      <c r="U30" s="30" t="str">
        <f>IF(ISERROR(FIND($A$2,Lines!U30))=TRUE,"",MID(Lines!U30,FIND($A$2,Lines!U30)+LEN($A$2)+1,FIND(",",_xlfn.CONCAT(Lines!U30,","),FIND($A$2,Lines!U30))-FIND($A$2,Lines!U30)-LEN($A$2)-1))</f>
        <v/>
      </c>
      <c r="V30" s="30" t="str">
        <f>IF(ISERROR(FIND($A$2,Lines!V30))=TRUE,"",MID(Lines!V30,FIND($A$2,Lines!V30)+LEN($A$2)+1,FIND(",",_xlfn.CONCAT(Lines!V30,","),FIND($A$2,Lines!V30))-FIND($A$2,Lines!V30)-LEN($A$2)-1))</f>
        <v/>
      </c>
      <c r="W30" s="36" t="str">
        <f>IF(ISERROR(FIND($A$2,Lines!W30))=TRUE,"",MID(Lines!W30,FIND($A$2,Lines!W30)+LEN($A$2)+1,FIND(",",_xlfn.CONCAT(Lines!W30,","),FIND($A$2,Lines!W30))-FIND($A$2,Lines!W30)-LEN($A$2)-1))</f>
        <v/>
      </c>
      <c r="X30" s="40" t="str">
        <f>IF(ISERROR(FIND($A$2,Lines!X30))=TRUE,"",MID(Lines!X30,FIND($A$2,Lines!X30)+LEN($A$2)+1,FIND(",",_xlfn.CONCAT(Lines!X30,","),FIND($A$2,Lines!X30))-FIND($A$2,Lines!X30)-LEN($A$2)-1))</f>
        <v/>
      </c>
      <c r="Y30" s="41" t="str">
        <f>IF(ISERROR(FIND($A$2,Lines!Y30))=TRUE,"",MID(Lines!Y30,FIND($A$2,Lines!Y30)+LEN($A$2)+1,FIND(",",_xlfn.CONCAT(Lines!Y30,","),FIND($A$2,Lines!Y30))-FIND($A$2,Lines!Y30)-LEN($A$2)-1))</f>
        <v/>
      </c>
      <c r="Z30" s="41" t="str">
        <f>IF(ISERROR(FIND($A$2,Lines!Z30))=TRUE,"",MID(Lines!Z30,FIND($A$2,Lines!Z30)+LEN($A$2)+1,FIND(",",_xlfn.CONCAT(Lines!Z30,","),FIND($A$2,Lines!Z30))-FIND($A$2,Lines!Z30)-LEN($A$2)-1))</f>
        <v/>
      </c>
      <c r="AA30" s="41" t="str">
        <f>IF(ISERROR(FIND($A$2,Lines!AA30))=TRUE,"",MID(Lines!AA30,FIND($A$2,Lines!AA30)+LEN($A$2)+1,FIND(",",_xlfn.CONCAT(Lines!AA30,","),FIND($A$2,Lines!AA30))-FIND($A$2,Lines!AA30)-LEN($A$2)-1))</f>
        <v/>
      </c>
      <c r="AB30" s="66" t="str">
        <f>IF(ISERROR(FIND($A$2,Lines!AB30))=TRUE,"",MID(Lines!AB30,FIND($A$2,Lines!AB30)+LEN($A$2)+1,FIND(",",_xlfn.CONCAT(Lines!AB30,","),FIND($A$2,Lines!AB30))-FIND($A$2,Lines!AB30)-LEN($A$2)-1))</f>
        <v/>
      </c>
      <c r="AC30" s="41" t="str">
        <f>IF(ISERROR(FIND($A$2,Lines!AC30))=TRUE,"",MID(Lines!AC30,FIND($A$2,Lines!AC30)+LEN($A$2)+1,FIND(",",_xlfn.CONCAT(Lines!AC30,","),FIND($A$2,Lines!AC30))-FIND($A$2,Lines!AC30)-LEN($A$2)-1))</f>
        <v/>
      </c>
      <c r="AD30" s="53" t="str">
        <f>IF(ISERROR(FIND($A$2,Lines!AD30))=TRUE,"",MID(Lines!AD30,FIND($A$2,Lines!AD30)+LEN($A$2)+1,FIND(",",_xlfn.CONCAT(Lines!AD30,","),FIND($A$2,Lines!AD30))-FIND($A$2,Lines!AD30)-LEN($A$2)-1))</f>
        <v/>
      </c>
      <c r="AE30" s="30" t="str">
        <f>IF(ISERROR(FIND($A$2,Lines!AE30))=TRUE,"",MID(Lines!AE30,FIND($A$2,Lines!AE30)+LEN($A$2)+1,FIND(",",_xlfn.CONCAT(Lines!AE30,","),FIND($A$2,Lines!AE30))-FIND($A$2,Lines!AE30)-LEN($A$2)-1))</f>
        <v/>
      </c>
      <c r="AF30" s="30" t="str">
        <f>IF(ISERROR(FIND($A$2,Lines!AF30))=TRUE,"",MID(Lines!AF30,FIND($A$2,Lines!AF30)+LEN($A$2)+1,FIND(",",_xlfn.CONCAT(Lines!AF30,","),FIND($A$2,Lines!AF30))-FIND($A$2,Lines!AF30)-LEN($A$2)-1))</f>
        <v/>
      </c>
      <c r="AG30" s="30" t="str">
        <f>IF(ISERROR(FIND($A$2,Lines!AG30))=TRUE,"",MID(Lines!AG30,FIND($A$2,Lines!AG30)+LEN($A$2)+1,FIND(",",_xlfn.CONCAT(Lines!AG30,","),FIND($A$2,Lines!AG30))-FIND($A$2,Lines!AG30)-LEN($A$2)-1))</f>
        <v/>
      </c>
      <c r="AH30" s="30" t="str">
        <f>IF(ISERROR(FIND($A$2,Lines!AH30))=TRUE,"",MID(Lines!AH30,FIND($A$2,Lines!AH30)+LEN($A$2)+1,FIND(",",_xlfn.CONCAT(Lines!AH30,","),FIND($A$2,Lines!AH30))-FIND($A$2,Lines!AH30)-LEN($A$2)-1))</f>
        <v/>
      </c>
      <c r="AI30" s="30" t="str">
        <f>IF(ISERROR(FIND($A$2,Lines!AI30))=TRUE,"",MID(Lines!AI30,FIND($A$2,Lines!AI30)+LEN($A$2)+1,FIND(",",_xlfn.CONCAT(Lines!AI30,","),FIND($A$2,Lines!AI30))-FIND($A$2,Lines!AI30)-LEN($A$2)-1))</f>
        <v/>
      </c>
      <c r="AJ30" s="30" t="str">
        <f>IF(ISERROR(FIND($A$2,Lines!AJ30))=TRUE,"",MID(Lines!AJ30,FIND($A$2,Lines!AJ30)+LEN($A$2)+1,FIND(",",_xlfn.CONCAT(Lines!AJ30,","),FIND($A$2,Lines!AJ30))-FIND($A$2,Lines!AJ30)-LEN($A$2)-1))</f>
        <v/>
      </c>
      <c r="AK30" s="30" t="str">
        <f>IF(ISERROR(FIND($A$2,Lines!AK30))=TRUE,"",MID(Lines!AK30,FIND($A$2,Lines!AK30)+LEN($A$2)+1,FIND(",",_xlfn.CONCAT(Lines!AK30,","),FIND($A$2,Lines!AK30))-FIND($A$2,Lines!AK30)-LEN($A$2)-1))</f>
        <v/>
      </c>
      <c r="AL30" s="30" t="str">
        <f>IF(ISERROR(FIND($A$2,Lines!AL30))=TRUE,"",MID(Lines!AL30,FIND($A$2,Lines!AL30)+LEN($A$2)+1,FIND(",",_xlfn.CONCAT(Lines!AL30,","),FIND($A$2,Lines!AL30))-FIND($A$2,Lines!AL30)-LEN($A$2)-1))</f>
        <v/>
      </c>
      <c r="AM30" s="30" t="str">
        <f>IF(ISERROR(FIND($A$2,Lines!AM30))=TRUE,"",MID(Lines!AM30,FIND($A$2,Lines!AM30)+LEN($A$2)+1,FIND(",",_xlfn.CONCAT(Lines!AM30,","),FIND($A$2,Lines!AM30))-FIND($A$2,Lines!AM30)-LEN($A$2)-1))</f>
        <v/>
      </c>
      <c r="AN30" s="30" t="str">
        <f>IF(ISERROR(FIND($A$2,Lines!AN30))=TRUE,"",MID(Lines!AN30,FIND($A$2,Lines!AN30)+LEN($A$2)+1,FIND(",",_xlfn.CONCAT(Lines!AN30,","),FIND($A$2,Lines!AN30))-FIND($A$2,Lines!AN30)-LEN($A$2)-1))</f>
        <v/>
      </c>
      <c r="AO30" s="30" t="str">
        <f>IF(ISERROR(FIND($A$2,Lines!AO30))=TRUE,"",MID(Lines!AO30,FIND($A$2,Lines!AO30)+LEN($A$2)+1,FIND(",",_xlfn.CONCAT(Lines!AO30,","),FIND($A$2,Lines!AO30))-FIND($A$2,Lines!AO30)-LEN($A$2)-1))</f>
        <v/>
      </c>
      <c r="AP30" s="30" t="str">
        <f>IF(ISERROR(FIND($A$2,Lines!AP30))=TRUE,"",MID(Lines!AP30,FIND($A$2,Lines!AP30)+LEN($A$2)+1,FIND(",",_xlfn.CONCAT(Lines!AP30,","),FIND($A$2,Lines!AP30))-FIND($A$2,Lines!AP30)-LEN($A$2)-1))</f>
        <v/>
      </c>
      <c r="AQ30" s="30" t="str">
        <f>IF(ISERROR(FIND($A$2,Lines!AQ30))=TRUE,"",MID(Lines!AQ30,FIND($A$2,Lines!AQ30)+LEN($A$2)+1,FIND(",",_xlfn.CONCAT(Lines!AQ30,","),FIND($A$2,Lines!AQ30))-FIND($A$2,Lines!AQ30)-LEN($A$2)-1))</f>
        <v/>
      </c>
      <c r="AR30" s="30" t="str">
        <f>IF(ISERROR(FIND($A$2,Lines!AR30))=TRUE,"",MID(Lines!AR30,FIND($A$2,Lines!AR30)+LEN($A$2)+1,FIND(",",_xlfn.CONCAT(Lines!AR30,","),FIND($A$2,Lines!AR30))-FIND($A$2,Lines!AR30)-LEN($A$2)-1))</f>
        <v/>
      </c>
      <c r="AS30" s="30" t="str">
        <f>IF(ISERROR(FIND($A$2,Lines!AS30))=TRUE,"",MID(Lines!AS30,FIND($A$2,Lines!AS30)+LEN($A$2)+1,FIND(",",_xlfn.CONCAT(Lines!AS30,","),FIND($A$2,Lines!AS30))-FIND($A$2,Lines!AS30)-LEN($A$2)-1))</f>
        <v/>
      </c>
      <c r="AT30" s="30" t="str">
        <f>IF(ISERROR(FIND($A$2,Lines!AT30))=TRUE,"",MID(Lines!AT30,FIND($A$2,Lines!AT30)+LEN($A$2)+1,FIND(",",_xlfn.CONCAT(Lines!AT30,","),FIND($A$2,Lines!AT30))-FIND($A$2,Lines!AT30)-LEN($A$2)-1))</f>
        <v/>
      </c>
    </row>
    <row r="31" spans="1:46" ht="20.25" customHeight="1">
      <c r="A31" s="2" t="s">
        <v>79</v>
      </c>
      <c r="B31" s="30" t="str">
        <f>IF(ISERROR(FIND($A$2,Lines!B31))=TRUE,"",MID(Lines!B31,FIND($A$2,Lines!B31)+LEN($A$2)+1,FIND(",",_xlfn.CONCAT(Lines!B31,","),FIND($A$2,Lines!B31))-FIND($A$2,Lines!B31)-LEN($A$2)-1))</f>
        <v/>
      </c>
      <c r="C31" s="30" t="str">
        <f>IF(ISERROR(FIND($A$2,Lines!C31))=TRUE,"",MID(Lines!C31,FIND($A$2,Lines!C31)+LEN($A$2)+1,FIND(",",_xlfn.CONCAT(Lines!C31,","),FIND($A$2,Lines!C31))-FIND($A$2,Lines!C31)-LEN($A$2)-1))</f>
        <v/>
      </c>
      <c r="D31" s="30" t="str">
        <f>IF(ISERROR(FIND($A$2,Lines!D31))=TRUE,"",MID(Lines!D31,FIND($A$2,Lines!D31)+LEN($A$2)+1,FIND(",",_xlfn.CONCAT(Lines!D31,","),FIND($A$2,Lines!D31))-FIND($A$2,Lines!D31)-LEN($A$2)-1))</f>
        <v/>
      </c>
      <c r="E31" s="30" t="str">
        <f>IF(ISERROR(FIND($A$2,Lines!E31))=TRUE,"",MID(Lines!E31,FIND($A$2,Lines!E31)+LEN($A$2)+1,FIND(",",_xlfn.CONCAT(Lines!E31,","),FIND($A$2,Lines!E31))-FIND($A$2,Lines!E31)-LEN($A$2)-1))</f>
        <v/>
      </c>
      <c r="F31" s="30" t="str">
        <f>IF(ISERROR(FIND($A$2,Lines!F31))=TRUE,"",MID(Lines!F31,FIND($A$2,Lines!F31)+LEN($A$2)+1,FIND(",",_xlfn.CONCAT(Lines!F31,","),FIND($A$2,Lines!F31))-FIND($A$2,Lines!F31)-LEN($A$2)-1))</f>
        <v/>
      </c>
      <c r="G31" s="30" t="str">
        <f>IF(ISERROR(FIND($A$2,Lines!G31))=TRUE,"",MID(Lines!G31,FIND($A$2,Lines!G31)+LEN($A$2)+1,FIND(",",_xlfn.CONCAT(Lines!G31,","),FIND($A$2,Lines!G31))-FIND($A$2,Lines!G31)-LEN($A$2)-1))</f>
        <v/>
      </c>
      <c r="H31" s="30" t="str">
        <f>IF(ISERROR(FIND($A$2,Lines!H31))=TRUE,"",MID(Lines!H31,FIND($A$2,Lines!H31)+LEN($A$2)+1,FIND(",",_xlfn.CONCAT(Lines!H31,","),FIND($A$2,Lines!H31))-FIND($A$2,Lines!H31)-LEN($A$2)-1))</f>
        <v/>
      </c>
      <c r="I31" s="30" t="str">
        <f>IF(ISERROR(FIND($A$2,Lines!I31))=TRUE,"",MID(Lines!I31,FIND($A$2,Lines!I31)+LEN($A$2)+1,FIND(",",_xlfn.CONCAT(Lines!I31,","),FIND($A$2,Lines!I31))-FIND($A$2,Lines!I31)-LEN($A$2)-1))</f>
        <v/>
      </c>
      <c r="J31" s="30" t="str">
        <f>IF(ISERROR(FIND($A$2,Lines!J31))=TRUE,"",MID(Lines!J31,FIND($A$2,Lines!J31)+LEN($A$2)+1,FIND(",",_xlfn.CONCAT(Lines!J31,","),FIND($A$2,Lines!J31))-FIND($A$2,Lines!J31)-LEN($A$2)-1))</f>
        <v/>
      </c>
      <c r="K31" s="30" t="str">
        <f>IF(ISERROR(FIND($A$2,Lines!K31))=TRUE,"",MID(Lines!K31,FIND($A$2,Lines!K31)+LEN($A$2)+1,FIND(",",_xlfn.CONCAT(Lines!K31,","),FIND($A$2,Lines!K31))-FIND($A$2,Lines!K31)-LEN($A$2)-1))</f>
        <v/>
      </c>
      <c r="L31" s="30" t="str">
        <f>IF(ISERROR(FIND($A$2,Lines!L31))=TRUE,"",MID(Lines!L31,FIND($A$2,Lines!L31)+LEN($A$2)+1,FIND(",",_xlfn.CONCAT(Lines!L31,","),FIND($A$2,Lines!L31))-FIND($A$2,Lines!L31)-LEN($A$2)-1))</f>
        <v/>
      </c>
      <c r="M31" s="30" t="str">
        <f>IF(ISERROR(FIND($A$2,Lines!M31))=TRUE,"",MID(Lines!M31,FIND($A$2,Lines!M31)+LEN($A$2)+1,FIND(",",_xlfn.CONCAT(Lines!M31,","),FIND($A$2,Lines!M31))-FIND($A$2,Lines!M31)-LEN($A$2)-1))</f>
        <v/>
      </c>
      <c r="N31" s="30" t="str">
        <f>IF(ISERROR(FIND($A$2,Lines!N31))=TRUE,"",MID(Lines!N31,FIND($A$2,Lines!N31)+LEN($A$2)+1,FIND(",",_xlfn.CONCAT(Lines!N31,","),FIND($A$2,Lines!N31))-FIND($A$2,Lines!N31)-LEN($A$2)-1))</f>
        <v/>
      </c>
      <c r="O31" s="30" t="str">
        <f>IF(ISERROR(FIND($A$2,Lines!O31))=TRUE,"",MID(Lines!O31,FIND($A$2,Lines!O31)+LEN($A$2)+1,FIND(",",_xlfn.CONCAT(Lines!O31,","),FIND($A$2,Lines!O31))-FIND($A$2,Lines!O31)-LEN($A$2)-1))</f>
        <v/>
      </c>
      <c r="P31" s="30" t="str">
        <f>IF(ISERROR(FIND($A$2,Lines!P31))=TRUE,"",MID(Lines!P31,FIND($A$2,Lines!P31)+LEN($A$2)+1,FIND(",",_xlfn.CONCAT(Lines!P31,","),FIND($A$2,Lines!P31))-FIND($A$2,Lines!P31)-LEN($A$2)-1))</f>
        <v/>
      </c>
      <c r="Q31" s="30" t="str">
        <f>IF(ISERROR(FIND($A$2,Lines!Q31))=TRUE,"",MID(Lines!Q31,FIND($A$2,Lines!Q31)+LEN($A$2)+1,FIND(",",_xlfn.CONCAT(Lines!Q31,","),FIND($A$2,Lines!Q31))-FIND($A$2,Lines!Q31)-LEN($A$2)-1))</f>
        <v/>
      </c>
      <c r="R31" s="30" t="str">
        <f>IF(ISERROR(FIND($A$2,Lines!R31))=TRUE,"",MID(Lines!R31,FIND($A$2,Lines!R31)+LEN($A$2)+1,FIND(",",_xlfn.CONCAT(Lines!R31,","),FIND($A$2,Lines!R31))-FIND($A$2,Lines!R31)-LEN($A$2)-1))</f>
        <v/>
      </c>
      <c r="S31" s="30" t="str">
        <f>IF(ISERROR(FIND($A$2,Lines!S31))=TRUE,"",MID(Lines!S31,FIND($A$2,Lines!S31)+LEN($A$2)+1,FIND(",",_xlfn.CONCAT(Lines!S31,","),FIND($A$2,Lines!S31))-FIND($A$2,Lines!S31)-LEN($A$2)-1))</f>
        <v/>
      </c>
      <c r="T31" s="30" t="str">
        <f>IF(ISERROR(FIND($A$2,Lines!T31))=TRUE,"",MID(Lines!T31,FIND($A$2,Lines!T31)+LEN($A$2)+1,FIND(",",_xlfn.CONCAT(Lines!T31,","),FIND($A$2,Lines!T31))-FIND($A$2,Lines!T31)-LEN($A$2)-1))</f>
        <v/>
      </c>
      <c r="U31" s="30" t="str">
        <f>IF(ISERROR(FIND($A$2,Lines!U31))=TRUE,"",MID(Lines!U31,FIND($A$2,Lines!U31)+LEN($A$2)+1,FIND(",",_xlfn.CONCAT(Lines!U31,","),FIND($A$2,Lines!U31))-FIND($A$2,Lines!U31)-LEN($A$2)-1))</f>
        <v/>
      </c>
      <c r="V31" s="30" t="str">
        <f>IF(ISERROR(FIND($A$2,Lines!V31))=TRUE,"",MID(Lines!V31,FIND($A$2,Lines!V31)+LEN($A$2)+1,FIND(",",_xlfn.CONCAT(Lines!V31,","),FIND($A$2,Lines!V31))-FIND($A$2,Lines!V31)-LEN($A$2)-1))</f>
        <v/>
      </c>
      <c r="W31" s="36" t="str">
        <f>IF(ISERROR(FIND($A$2,Lines!W31))=TRUE,"",MID(Lines!W31,FIND($A$2,Lines!W31)+LEN($A$2)+1,FIND(",",_xlfn.CONCAT(Lines!W31,","),FIND($A$2,Lines!W31))-FIND($A$2,Lines!W31)-LEN($A$2)-1))</f>
        <v/>
      </c>
      <c r="X31" s="39" t="str">
        <f>IF(ISERROR(FIND($A$2,Lines!X31))=TRUE,"",MID(Lines!X31,FIND($A$2,Lines!X31)+LEN($A$2)+1,FIND(",",_xlfn.CONCAT(Lines!X31,","),FIND($A$2,Lines!X31))-FIND($A$2,Lines!X31)-LEN($A$2)-1))</f>
        <v/>
      </c>
      <c r="Y31" s="41" t="str">
        <f>IF(ISERROR(FIND($A$2,Lines!Y31))=TRUE,"",MID(Lines!Y31,FIND($A$2,Lines!Y31)+LEN($A$2)+1,FIND(",",_xlfn.CONCAT(Lines!Y31,","),FIND($A$2,Lines!Y31))-FIND($A$2,Lines!Y31)-LEN($A$2)-1))</f>
        <v/>
      </c>
      <c r="Z31" s="41" t="str">
        <f>IF(ISERROR(FIND($A$2,Lines!Z31))=TRUE,"",MID(Lines!Z31,FIND($A$2,Lines!Z31)+LEN($A$2)+1,FIND(",",_xlfn.CONCAT(Lines!Z31,","),FIND($A$2,Lines!Z31))-FIND($A$2,Lines!Z31)-LEN($A$2)-1))</f>
        <v/>
      </c>
      <c r="AA31" s="41" t="str">
        <f>IF(ISERROR(FIND($A$2,Lines!AA31))=TRUE,"",MID(Lines!AA31,FIND($A$2,Lines!AA31)+LEN($A$2)+1,FIND(",",_xlfn.CONCAT(Lines!AA31,","),FIND($A$2,Lines!AA31))-FIND($A$2,Lines!AA31)-LEN($A$2)-1))</f>
        <v/>
      </c>
      <c r="AB31" s="41" t="str">
        <f>IF(ISERROR(FIND($A$2,Lines!AB31))=TRUE,"",MID(Lines!AB31,FIND($A$2,Lines!AB31)+LEN($A$2)+1,FIND(",",_xlfn.CONCAT(Lines!AB31,","),FIND($A$2,Lines!AB31))-FIND($A$2,Lines!AB31)-LEN($A$2)-1))</f>
        <v/>
      </c>
      <c r="AC31" s="66" t="str">
        <f>IF(ISERROR(FIND($A$2,Lines!AC31))=TRUE,"",MID(Lines!AC31,FIND($A$2,Lines!AC31)+LEN($A$2)+1,FIND(",",_xlfn.CONCAT(Lines!AC31,","),FIND($A$2,Lines!AC31))-FIND($A$2,Lines!AC31)-LEN($A$2)-1))</f>
        <v/>
      </c>
      <c r="AD31" s="46" t="str">
        <f>IF(ISERROR(FIND($A$2,Lines!AD31))=TRUE,"",MID(Lines!AD31,FIND($A$2,Lines!AD31)+LEN($A$2)+1,FIND(",",_xlfn.CONCAT(Lines!AD31,","),FIND($A$2,Lines!AD31))-FIND($A$2,Lines!AD31)-LEN($A$2)-1))</f>
        <v/>
      </c>
      <c r="AE31" s="30" t="str">
        <f>IF(ISERROR(FIND($A$2,Lines!AE31))=TRUE,"",MID(Lines!AE31,FIND($A$2,Lines!AE31)+LEN($A$2)+1,FIND(",",_xlfn.CONCAT(Lines!AE31,","),FIND($A$2,Lines!AE31))-FIND($A$2,Lines!AE31)-LEN($A$2)-1))</f>
        <v/>
      </c>
      <c r="AF31" s="30" t="str">
        <f>IF(ISERROR(FIND($A$2,Lines!AF31))=TRUE,"",MID(Lines!AF31,FIND($A$2,Lines!AF31)+LEN($A$2)+1,FIND(",",_xlfn.CONCAT(Lines!AF31,","),FIND($A$2,Lines!AF31))-FIND($A$2,Lines!AF31)-LEN($A$2)-1))</f>
        <v/>
      </c>
      <c r="AG31" s="30" t="str">
        <f>IF(ISERROR(FIND($A$2,Lines!AG31))=TRUE,"",MID(Lines!AG31,FIND($A$2,Lines!AG31)+LEN($A$2)+1,FIND(",",_xlfn.CONCAT(Lines!AG31,","),FIND($A$2,Lines!AG31))-FIND($A$2,Lines!AG31)-LEN($A$2)-1))</f>
        <v/>
      </c>
      <c r="AH31" s="30" t="str">
        <f>IF(ISERROR(FIND($A$2,Lines!AH31))=TRUE,"",MID(Lines!AH31,FIND($A$2,Lines!AH31)+LEN($A$2)+1,FIND(",",_xlfn.CONCAT(Lines!AH31,","),FIND($A$2,Lines!AH31))-FIND($A$2,Lines!AH31)-LEN($A$2)-1))</f>
        <v/>
      </c>
      <c r="AI31" s="30" t="str">
        <f>IF(ISERROR(FIND($A$2,Lines!AI31))=TRUE,"",MID(Lines!AI31,FIND($A$2,Lines!AI31)+LEN($A$2)+1,FIND(",",_xlfn.CONCAT(Lines!AI31,","),FIND($A$2,Lines!AI31))-FIND($A$2,Lines!AI31)-LEN($A$2)-1))</f>
        <v/>
      </c>
      <c r="AJ31" s="30" t="str">
        <f>IF(ISERROR(FIND($A$2,Lines!AJ31))=TRUE,"",MID(Lines!AJ31,FIND($A$2,Lines!AJ31)+LEN($A$2)+1,FIND(",",_xlfn.CONCAT(Lines!AJ31,","),FIND($A$2,Lines!AJ31))-FIND($A$2,Lines!AJ31)-LEN($A$2)-1))</f>
        <v/>
      </c>
      <c r="AK31" s="30" t="str">
        <f>IF(ISERROR(FIND($A$2,Lines!AK31))=TRUE,"",MID(Lines!AK31,FIND($A$2,Lines!AK31)+LEN($A$2)+1,FIND(",",_xlfn.CONCAT(Lines!AK31,","),FIND($A$2,Lines!AK31))-FIND($A$2,Lines!AK31)-LEN($A$2)-1))</f>
        <v/>
      </c>
      <c r="AL31" s="30" t="str">
        <f>IF(ISERROR(FIND($A$2,Lines!AL31))=TRUE,"",MID(Lines!AL31,FIND($A$2,Lines!AL31)+LEN($A$2)+1,FIND(",",_xlfn.CONCAT(Lines!AL31,","),FIND($A$2,Lines!AL31))-FIND($A$2,Lines!AL31)-LEN($A$2)-1))</f>
        <v/>
      </c>
      <c r="AM31" s="30" t="str">
        <f>IF(ISERROR(FIND($A$2,Lines!AM31))=TRUE,"",MID(Lines!AM31,FIND($A$2,Lines!AM31)+LEN($A$2)+1,FIND(",",_xlfn.CONCAT(Lines!AM31,","),FIND($A$2,Lines!AM31))-FIND($A$2,Lines!AM31)-LEN($A$2)-1))</f>
        <v/>
      </c>
      <c r="AN31" s="30" t="str">
        <f>IF(ISERROR(FIND($A$2,Lines!AN31))=TRUE,"",MID(Lines!AN31,FIND($A$2,Lines!AN31)+LEN($A$2)+1,FIND(",",_xlfn.CONCAT(Lines!AN31,","),FIND($A$2,Lines!AN31))-FIND($A$2,Lines!AN31)-LEN($A$2)-1))</f>
        <v/>
      </c>
      <c r="AO31" s="30" t="str">
        <f>IF(ISERROR(FIND($A$2,Lines!AO31))=TRUE,"",MID(Lines!AO31,FIND($A$2,Lines!AO31)+LEN($A$2)+1,FIND(",",_xlfn.CONCAT(Lines!AO31,","),FIND($A$2,Lines!AO31))-FIND($A$2,Lines!AO31)-LEN($A$2)-1))</f>
        <v/>
      </c>
      <c r="AP31" s="30" t="str">
        <f>IF(ISERROR(FIND($A$2,Lines!AP31))=TRUE,"",MID(Lines!AP31,FIND($A$2,Lines!AP31)+LEN($A$2)+1,FIND(",",_xlfn.CONCAT(Lines!AP31,","),FIND($A$2,Lines!AP31))-FIND($A$2,Lines!AP31)-LEN($A$2)-1))</f>
        <v/>
      </c>
      <c r="AQ31" s="30" t="str">
        <f>IF(ISERROR(FIND($A$2,Lines!AQ31))=TRUE,"",MID(Lines!AQ31,FIND($A$2,Lines!AQ31)+LEN($A$2)+1,FIND(",",_xlfn.CONCAT(Lines!AQ31,","),FIND($A$2,Lines!AQ31))-FIND($A$2,Lines!AQ31)-LEN($A$2)-1))</f>
        <v/>
      </c>
      <c r="AR31" s="30" t="str">
        <f>IF(ISERROR(FIND($A$2,Lines!AR31))=TRUE,"",MID(Lines!AR31,FIND($A$2,Lines!AR31)+LEN($A$2)+1,FIND(",",_xlfn.CONCAT(Lines!AR31,","),FIND($A$2,Lines!AR31))-FIND($A$2,Lines!AR31)-LEN($A$2)-1))</f>
        <v/>
      </c>
      <c r="AS31" s="30" t="str">
        <f>IF(ISERROR(FIND($A$2,Lines!AS31))=TRUE,"",MID(Lines!AS31,FIND($A$2,Lines!AS31)+LEN($A$2)+1,FIND(",",_xlfn.CONCAT(Lines!AS31,","),FIND($A$2,Lines!AS31))-FIND($A$2,Lines!AS31)-LEN($A$2)-1))</f>
        <v/>
      </c>
      <c r="AT31" s="30" t="str">
        <f>IF(ISERROR(FIND($A$2,Lines!AT31))=TRUE,"",MID(Lines!AT31,FIND($A$2,Lines!AT31)+LEN($A$2)+1,FIND(",",_xlfn.CONCAT(Lines!AT31,","),FIND($A$2,Lines!AT31))-FIND($A$2,Lines!AT31)-LEN($A$2)-1))</f>
        <v/>
      </c>
    </row>
    <row r="32" spans="1:46" ht="20.25" customHeight="1">
      <c r="A32" s="2" t="s">
        <v>80</v>
      </c>
      <c r="B32" s="30" t="str">
        <f>IF(ISERROR(FIND($A$2,Lines!B32))=TRUE,"",MID(Lines!B32,FIND($A$2,Lines!B32)+LEN($A$2)+1,FIND(",",_xlfn.CONCAT(Lines!B32,","),FIND($A$2,Lines!B32))-FIND($A$2,Lines!B32)-LEN($A$2)-1))</f>
        <v/>
      </c>
      <c r="C32" s="30" t="str">
        <f>IF(ISERROR(FIND($A$2,Lines!C32))=TRUE,"",MID(Lines!C32,FIND($A$2,Lines!C32)+LEN($A$2)+1,FIND(",",_xlfn.CONCAT(Lines!C32,","),FIND($A$2,Lines!C32))-FIND($A$2,Lines!C32)-LEN($A$2)-1))</f>
        <v/>
      </c>
      <c r="D32" s="30" t="str">
        <f>IF(ISERROR(FIND($A$2,Lines!D32))=TRUE,"",MID(Lines!D32,FIND($A$2,Lines!D32)+LEN($A$2)+1,FIND(",",_xlfn.CONCAT(Lines!D32,","),FIND($A$2,Lines!D32))-FIND($A$2,Lines!D32)-LEN($A$2)-1))</f>
        <v/>
      </c>
      <c r="E32" s="30" t="str">
        <f>IF(ISERROR(FIND($A$2,Lines!E32))=TRUE,"",MID(Lines!E32,FIND($A$2,Lines!E32)+LEN($A$2)+1,FIND(",",_xlfn.CONCAT(Lines!E32,","),FIND($A$2,Lines!E32))-FIND($A$2,Lines!E32)-LEN($A$2)-1))</f>
        <v/>
      </c>
      <c r="F32" s="30" t="str">
        <f>IF(ISERROR(FIND($A$2,Lines!F32))=TRUE,"",MID(Lines!F32,FIND($A$2,Lines!F32)+LEN($A$2)+1,FIND(",",_xlfn.CONCAT(Lines!F32,","),FIND($A$2,Lines!F32))-FIND($A$2,Lines!F32)-LEN($A$2)-1))</f>
        <v/>
      </c>
      <c r="G32" s="30" t="str">
        <f>IF(ISERROR(FIND($A$2,Lines!G32))=TRUE,"",MID(Lines!G32,FIND($A$2,Lines!G32)+LEN($A$2)+1,FIND(",",_xlfn.CONCAT(Lines!G32,","),FIND($A$2,Lines!G32))-FIND($A$2,Lines!G32)-LEN($A$2)-1))</f>
        <v/>
      </c>
      <c r="H32" s="30" t="str">
        <f>IF(ISERROR(FIND($A$2,Lines!H32))=TRUE,"",MID(Lines!H32,FIND($A$2,Lines!H32)+LEN($A$2)+1,FIND(",",_xlfn.CONCAT(Lines!H32,","),FIND($A$2,Lines!H32))-FIND($A$2,Lines!H32)-LEN($A$2)-1))</f>
        <v/>
      </c>
      <c r="I32" s="30" t="str">
        <f>IF(ISERROR(FIND($A$2,Lines!I32))=TRUE,"",MID(Lines!I32,FIND($A$2,Lines!I32)+LEN($A$2)+1,FIND(",",_xlfn.CONCAT(Lines!I32,","),FIND($A$2,Lines!I32))-FIND($A$2,Lines!I32)-LEN($A$2)-1))</f>
        <v/>
      </c>
      <c r="J32" s="30" t="str">
        <f>IF(ISERROR(FIND($A$2,Lines!J32))=TRUE,"",MID(Lines!J32,FIND($A$2,Lines!J32)+LEN($A$2)+1,FIND(",",_xlfn.CONCAT(Lines!J32,","),FIND($A$2,Lines!J32))-FIND($A$2,Lines!J32)-LEN($A$2)-1))</f>
        <v/>
      </c>
      <c r="K32" s="30" t="str">
        <f>IF(ISERROR(FIND($A$2,Lines!K32))=TRUE,"",MID(Lines!K32,FIND($A$2,Lines!K32)+LEN($A$2)+1,FIND(",",_xlfn.CONCAT(Lines!K32,","),FIND($A$2,Lines!K32))-FIND($A$2,Lines!K32)-LEN($A$2)-1))</f>
        <v/>
      </c>
      <c r="L32" s="30" t="str">
        <f>IF(ISERROR(FIND($A$2,Lines!L32))=TRUE,"",MID(Lines!L32,FIND($A$2,Lines!L32)+LEN($A$2)+1,FIND(",",_xlfn.CONCAT(Lines!L32,","),FIND($A$2,Lines!L32))-FIND($A$2,Lines!L32)-LEN($A$2)-1))</f>
        <v/>
      </c>
      <c r="M32" s="30" t="str">
        <f>IF(ISERROR(FIND($A$2,Lines!M32))=TRUE,"",MID(Lines!M32,FIND($A$2,Lines!M32)+LEN($A$2)+1,FIND(",",_xlfn.CONCAT(Lines!M32,","),FIND($A$2,Lines!M32))-FIND($A$2,Lines!M32)-LEN($A$2)-1))</f>
        <v/>
      </c>
      <c r="N32" s="30" t="str">
        <f>IF(ISERROR(FIND($A$2,Lines!N32))=TRUE,"",MID(Lines!N32,FIND($A$2,Lines!N32)+LEN($A$2)+1,FIND(",",_xlfn.CONCAT(Lines!N32,","),FIND($A$2,Lines!N32))-FIND($A$2,Lines!N32)-LEN($A$2)-1))</f>
        <v/>
      </c>
      <c r="O32" s="30" t="str">
        <f>IF(ISERROR(FIND($A$2,Lines!O32))=TRUE,"",MID(Lines!O32,FIND($A$2,Lines!O32)+LEN($A$2)+1,FIND(",",_xlfn.CONCAT(Lines!O32,","),FIND($A$2,Lines!O32))-FIND($A$2,Lines!O32)-LEN($A$2)-1))</f>
        <v/>
      </c>
      <c r="P32" s="30" t="str">
        <f>IF(ISERROR(FIND($A$2,Lines!P32))=TRUE,"",MID(Lines!P32,FIND($A$2,Lines!P32)+LEN($A$2)+1,FIND(",",_xlfn.CONCAT(Lines!P32,","),FIND($A$2,Lines!P32))-FIND($A$2,Lines!P32)-LEN($A$2)-1))</f>
        <v/>
      </c>
      <c r="Q32" s="30" t="str">
        <f>IF(ISERROR(FIND($A$2,Lines!Q32))=TRUE,"",MID(Lines!Q32,FIND($A$2,Lines!Q32)+LEN($A$2)+1,FIND(",",_xlfn.CONCAT(Lines!Q32,","),FIND($A$2,Lines!Q32))-FIND($A$2,Lines!Q32)-LEN($A$2)-1))</f>
        <v/>
      </c>
      <c r="R32" s="30" t="str">
        <f>IF(ISERROR(FIND($A$2,Lines!R32))=TRUE,"",MID(Lines!R32,FIND($A$2,Lines!R32)+LEN($A$2)+1,FIND(",",_xlfn.CONCAT(Lines!R32,","),FIND($A$2,Lines!R32))-FIND($A$2,Lines!R32)-LEN($A$2)-1))</f>
        <v/>
      </c>
      <c r="S32" s="30" t="str">
        <f>IF(ISERROR(FIND($A$2,Lines!S32))=TRUE,"",MID(Lines!S32,FIND($A$2,Lines!S32)+LEN($A$2)+1,FIND(",",_xlfn.CONCAT(Lines!S32,","),FIND($A$2,Lines!S32))-FIND($A$2,Lines!S32)-LEN($A$2)-1))</f>
        <v/>
      </c>
      <c r="T32" s="30" t="str">
        <f>IF(ISERROR(FIND($A$2,Lines!T32))=TRUE,"",MID(Lines!T32,FIND($A$2,Lines!T32)+LEN($A$2)+1,FIND(",",_xlfn.CONCAT(Lines!T32,","),FIND($A$2,Lines!T32))-FIND($A$2,Lines!T32)-LEN($A$2)-1))</f>
        <v/>
      </c>
      <c r="U32" s="30" t="str">
        <f>IF(ISERROR(FIND($A$2,Lines!U32))=TRUE,"",MID(Lines!U32,FIND($A$2,Lines!U32)+LEN($A$2)+1,FIND(",",_xlfn.CONCAT(Lines!U32,","),FIND($A$2,Lines!U32))-FIND($A$2,Lines!U32)-LEN($A$2)-1))</f>
        <v/>
      </c>
      <c r="V32" s="30" t="str">
        <f>IF(ISERROR(FIND($A$2,Lines!V32))=TRUE,"",MID(Lines!V32,FIND($A$2,Lines!V32)+LEN($A$2)+1,FIND(",",_xlfn.CONCAT(Lines!V32,","),FIND($A$2,Lines!V32))-FIND($A$2,Lines!V32)-LEN($A$2)-1))</f>
        <v/>
      </c>
      <c r="W32" s="36" t="str">
        <f>IF(ISERROR(FIND($A$2,Lines!W32))=TRUE,"",MID(Lines!W32,FIND($A$2,Lines!W32)+LEN($A$2)+1,FIND(",",_xlfn.CONCAT(Lines!W32,","),FIND($A$2,Lines!W32))-FIND($A$2,Lines!W32)-LEN($A$2)-1))</f>
        <v/>
      </c>
      <c r="X32" s="52" t="str">
        <f>IF(ISERROR(FIND($A$2,Lines!X32))=TRUE,"",MID(Lines!X32,FIND($A$2,Lines!X32)+LEN($A$2)+1,FIND(",",_xlfn.CONCAT(Lines!X32,","),FIND($A$2,Lines!X32))-FIND($A$2,Lines!X32)-LEN($A$2)-1))</f>
        <v/>
      </c>
      <c r="Y32" s="53" t="str">
        <f>IF(ISERROR(FIND($A$2,Lines!Y32))=TRUE,"",MID(Lines!Y32,FIND($A$2,Lines!Y32)+LEN($A$2)+1,FIND(",",_xlfn.CONCAT(Lines!Y32,","),FIND($A$2,Lines!Y32))-FIND($A$2,Lines!Y32)-LEN($A$2)-1))</f>
        <v/>
      </c>
      <c r="Z32" s="53" t="str">
        <f>IF(ISERROR(FIND($A$2,Lines!Z32))=TRUE,"",MID(Lines!Z32,FIND($A$2,Lines!Z32)+LEN($A$2)+1,FIND(",",_xlfn.CONCAT(Lines!Z32,","),FIND($A$2,Lines!Z32))-FIND($A$2,Lines!Z32)-LEN($A$2)-1))</f>
        <v/>
      </c>
      <c r="AA32" s="53" t="str">
        <f>IF(ISERROR(FIND($A$2,Lines!AA32))=TRUE,"",MID(Lines!AA32,FIND($A$2,Lines!AA32)+LEN($A$2)+1,FIND(",",_xlfn.CONCAT(Lines!AA32,","),FIND($A$2,Lines!AA32))-FIND($A$2,Lines!AA32)-LEN($A$2)-1))</f>
        <v/>
      </c>
      <c r="AB32" s="53" t="str">
        <f>IF(ISERROR(FIND($A$2,Lines!AB32))=TRUE,"",MID(Lines!AB32,FIND($A$2,Lines!AB32)+LEN($A$2)+1,FIND(",",_xlfn.CONCAT(Lines!AB32,","),FIND($A$2,Lines!AB32))-FIND($A$2,Lines!AB32)-LEN($A$2)-1))</f>
        <v/>
      </c>
      <c r="AC32" s="53" t="str">
        <f>IF(ISERROR(FIND($A$2,Lines!AC32))=TRUE,"",MID(Lines!AC32,FIND($A$2,Lines!AC32)+LEN($A$2)+1,FIND(",",_xlfn.CONCAT(Lines!AC32,","),FIND($A$2,Lines!AC32))-FIND($A$2,Lines!AC32)-LEN($A$2)-1))</f>
        <v/>
      </c>
      <c r="AD32" s="67" t="str">
        <f>IF(ISERROR(FIND($A$2,Lines!AD32))=TRUE,"",MID(Lines!AD32,FIND($A$2,Lines!AD32)+LEN($A$2)+1,FIND(",",_xlfn.CONCAT(Lines!AD32,","),FIND($A$2,Lines!AD32))-FIND($A$2,Lines!AD32)-LEN($A$2)-1))</f>
        <v/>
      </c>
      <c r="AE32" s="30" t="str">
        <f>IF(ISERROR(FIND($A$2,Lines!AE32))=TRUE,"",MID(Lines!AE32,FIND($A$2,Lines!AE32)+LEN($A$2)+1,FIND(",",_xlfn.CONCAT(Lines!AE32,","),FIND($A$2,Lines!AE32))-FIND($A$2,Lines!AE32)-LEN($A$2)-1))</f>
        <v/>
      </c>
      <c r="AF32" s="30" t="str">
        <f>IF(ISERROR(FIND($A$2,Lines!AF32))=TRUE,"",MID(Lines!AF32,FIND($A$2,Lines!AF32)+LEN($A$2)+1,FIND(",",_xlfn.CONCAT(Lines!AF32,","),FIND($A$2,Lines!AF32))-FIND($A$2,Lines!AF32)-LEN($A$2)-1))</f>
        <v/>
      </c>
      <c r="AG32" s="30" t="str">
        <f>IF(ISERROR(FIND($A$2,Lines!AG32))=TRUE,"",MID(Lines!AG32,FIND($A$2,Lines!AG32)+LEN($A$2)+1,FIND(",",_xlfn.CONCAT(Lines!AG32,","),FIND($A$2,Lines!AG32))-FIND($A$2,Lines!AG32)-LEN($A$2)-1))</f>
        <v/>
      </c>
      <c r="AH32" s="30" t="str">
        <f>IF(ISERROR(FIND($A$2,Lines!AH32))=TRUE,"",MID(Lines!AH32,FIND($A$2,Lines!AH32)+LEN($A$2)+1,FIND(",",_xlfn.CONCAT(Lines!AH32,","),FIND($A$2,Lines!AH32))-FIND($A$2,Lines!AH32)-LEN($A$2)-1))</f>
        <v/>
      </c>
      <c r="AI32" s="30" t="str">
        <f>IF(ISERROR(FIND($A$2,Lines!AI32))=TRUE,"",MID(Lines!AI32,FIND($A$2,Lines!AI32)+LEN($A$2)+1,FIND(",",_xlfn.CONCAT(Lines!AI32,","),FIND($A$2,Lines!AI32))-FIND($A$2,Lines!AI32)-LEN($A$2)-1))</f>
        <v/>
      </c>
      <c r="AJ32" s="30" t="str">
        <f>IF(ISERROR(FIND($A$2,Lines!AJ32))=TRUE,"",MID(Lines!AJ32,FIND($A$2,Lines!AJ32)+LEN($A$2)+1,FIND(",",_xlfn.CONCAT(Lines!AJ32,","),FIND($A$2,Lines!AJ32))-FIND($A$2,Lines!AJ32)-LEN($A$2)-1))</f>
        <v/>
      </c>
      <c r="AK32" s="30" t="str">
        <f>IF(ISERROR(FIND($A$2,Lines!AK32))=TRUE,"",MID(Lines!AK32,FIND($A$2,Lines!AK32)+LEN($A$2)+1,FIND(",",_xlfn.CONCAT(Lines!AK32,","),FIND($A$2,Lines!AK32))-FIND($A$2,Lines!AK32)-LEN($A$2)-1))</f>
        <v/>
      </c>
      <c r="AL32" s="30" t="str">
        <f>IF(ISERROR(FIND($A$2,Lines!AL32))=TRUE,"",MID(Lines!AL32,FIND($A$2,Lines!AL32)+LEN($A$2)+1,FIND(",",_xlfn.CONCAT(Lines!AL32,","),FIND($A$2,Lines!AL32))-FIND($A$2,Lines!AL32)-LEN($A$2)-1))</f>
        <v/>
      </c>
      <c r="AM32" s="30" t="str">
        <f>IF(ISERROR(FIND($A$2,Lines!AM32))=TRUE,"",MID(Lines!AM32,FIND($A$2,Lines!AM32)+LEN($A$2)+1,FIND(",",_xlfn.CONCAT(Lines!AM32,","),FIND($A$2,Lines!AM32))-FIND($A$2,Lines!AM32)-LEN($A$2)-1))</f>
        <v/>
      </c>
      <c r="AN32" s="30" t="str">
        <f>IF(ISERROR(FIND($A$2,Lines!AN32))=TRUE,"",MID(Lines!AN32,FIND($A$2,Lines!AN32)+LEN($A$2)+1,FIND(",",_xlfn.CONCAT(Lines!AN32,","),FIND($A$2,Lines!AN32))-FIND($A$2,Lines!AN32)-LEN($A$2)-1))</f>
        <v/>
      </c>
      <c r="AO32" s="30" t="str">
        <f>IF(ISERROR(FIND($A$2,Lines!AO32))=TRUE,"",MID(Lines!AO32,FIND($A$2,Lines!AO32)+LEN($A$2)+1,FIND(",",_xlfn.CONCAT(Lines!AO32,","),FIND($A$2,Lines!AO32))-FIND($A$2,Lines!AO32)-LEN($A$2)-1))</f>
        <v/>
      </c>
      <c r="AP32" s="30" t="str">
        <f>IF(ISERROR(FIND($A$2,Lines!AP32))=TRUE,"",MID(Lines!AP32,FIND($A$2,Lines!AP32)+LEN($A$2)+1,FIND(",",_xlfn.CONCAT(Lines!AP32,","),FIND($A$2,Lines!AP32))-FIND($A$2,Lines!AP32)-LEN($A$2)-1))</f>
        <v/>
      </c>
      <c r="AQ32" s="30" t="str">
        <f>IF(ISERROR(FIND($A$2,Lines!AQ32))=TRUE,"",MID(Lines!AQ32,FIND($A$2,Lines!AQ32)+LEN($A$2)+1,FIND(",",_xlfn.CONCAT(Lines!AQ32,","),FIND($A$2,Lines!AQ32))-FIND($A$2,Lines!AQ32)-LEN($A$2)-1))</f>
        <v/>
      </c>
      <c r="AR32" s="30" t="str">
        <f>IF(ISERROR(FIND($A$2,Lines!AR32))=TRUE,"",MID(Lines!AR32,FIND($A$2,Lines!AR32)+LEN($A$2)+1,FIND(",",_xlfn.CONCAT(Lines!AR32,","),FIND($A$2,Lines!AR32))-FIND($A$2,Lines!AR32)-LEN($A$2)-1))</f>
        <v/>
      </c>
      <c r="AS32" s="30" t="str">
        <f>IF(ISERROR(FIND($A$2,Lines!AS32))=TRUE,"",MID(Lines!AS32,FIND($A$2,Lines!AS32)+LEN($A$2)+1,FIND(",",_xlfn.CONCAT(Lines!AS32,","),FIND($A$2,Lines!AS32))-FIND($A$2,Lines!AS32)-LEN($A$2)-1))</f>
        <v/>
      </c>
      <c r="AT32" s="30" t="str">
        <f>IF(ISERROR(FIND($A$2,Lines!AT32))=TRUE,"",MID(Lines!AT32,FIND($A$2,Lines!AT32)+LEN($A$2)+1,FIND(",",_xlfn.CONCAT(Lines!AT32,","),FIND($A$2,Lines!AT32))-FIND($A$2,Lines!AT32)-LEN($A$2)-1))</f>
        <v/>
      </c>
    </row>
    <row r="33" spans="1:46" ht="20.25" customHeight="1">
      <c r="A33" s="2" t="s">
        <v>81</v>
      </c>
      <c r="B33" s="30" t="str">
        <f>IF(ISERROR(FIND($A$2,Lines!B33))=TRUE,"",MID(Lines!B33,FIND($A$2,Lines!B33)+LEN($A$2)+1,FIND(",",_xlfn.CONCAT(Lines!B33,","),FIND($A$2,Lines!B33))-FIND($A$2,Lines!B33)-LEN($A$2)-1))</f>
        <v/>
      </c>
      <c r="C33" s="30" t="str">
        <f>IF(ISERROR(FIND($A$2,Lines!C33))=TRUE,"",MID(Lines!C33,FIND($A$2,Lines!C33)+LEN($A$2)+1,FIND(",",_xlfn.CONCAT(Lines!C33,","),FIND($A$2,Lines!C33))-FIND($A$2,Lines!C33)-LEN($A$2)-1))</f>
        <v/>
      </c>
      <c r="D33" s="30" t="str">
        <f>IF(ISERROR(FIND($A$2,Lines!D33))=TRUE,"",MID(Lines!D33,FIND($A$2,Lines!D33)+LEN($A$2)+1,FIND(",",_xlfn.CONCAT(Lines!D33,","),FIND($A$2,Lines!D33))-FIND($A$2,Lines!D33)-LEN($A$2)-1))</f>
        <v/>
      </c>
      <c r="E33" s="30" t="str">
        <f>IF(ISERROR(FIND($A$2,Lines!E33))=TRUE,"",MID(Lines!E33,FIND($A$2,Lines!E33)+LEN($A$2)+1,FIND(",",_xlfn.CONCAT(Lines!E33,","),FIND($A$2,Lines!E33))-FIND($A$2,Lines!E33)-LEN($A$2)-1))</f>
        <v/>
      </c>
      <c r="F33" s="30" t="str">
        <f>IF(ISERROR(FIND($A$2,Lines!F33))=TRUE,"",MID(Lines!F33,FIND($A$2,Lines!F33)+LEN($A$2)+1,FIND(",",_xlfn.CONCAT(Lines!F33,","),FIND($A$2,Lines!F33))-FIND($A$2,Lines!F33)-LEN($A$2)-1))</f>
        <v/>
      </c>
      <c r="G33" s="30" t="str">
        <f>IF(ISERROR(FIND($A$2,Lines!G33))=TRUE,"",MID(Lines!G33,FIND($A$2,Lines!G33)+LEN($A$2)+1,FIND(",",_xlfn.CONCAT(Lines!G33,","),FIND($A$2,Lines!G33))-FIND($A$2,Lines!G33)-LEN($A$2)-1))</f>
        <v/>
      </c>
      <c r="H33" s="30" t="str">
        <f>IF(ISERROR(FIND($A$2,Lines!H33))=TRUE,"",MID(Lines!H33,FIND($A$2,Lines!H33)+LEN($A$2)+1,FIND(",",_xlfn.CONCAT(Lines!H33,","),FIND($A$2,Lines!H33))-FIND($A$2,Lines!H33)-LEN($A$2)-1))</f>
        <v/>
      </c>
      <c r="I33" s="30" t="str">
        <f>IF(ISERROR(FIND($A$2,Lines!I33))=TRUE,"",MID(Lines!I33,FIND($A$2,Lines!I33)+LEN($A$2)+1,FIND(",",_xlfn.CONCAT(Lines!I33,","),FIND($A$2,Lines!I33))-FIND($A$2,Lines!I33)-LEN($A$2)-1))</f>
        <v/>
      </c>
      <c r="J33" s="30" t="str">
        <f>IF(ISERROR(FIND($A$2,Lines!J33))=TRUE,"",MID(Lines!J33,FIND($A$2,Lines!J33)+LEN($A$2)+1,FIND(",",_xlfn.CONCAT(Lines!J33,","),FIND($A$2,Lines!J33))-FIND($A$2,Lines!J33)-LEN($A$2)-1))</f>
        <v/>
      </c>
      <c r="K33" s="30" t="str">
        <f>IF(ISERROR(FIND($A$2,Lines!K33))=TRUE,"",MID(Lines!K33,FIND($A$2,Lines!K33)+LEN($A$2)+1,FIND(",",_xlfn.CONCAT(Lines!K33,","),FIND($A$2,Lines!K33))-FIND($A$2,Lines!K33)-LEN($A$2)-1))</f>
        <v/>
      </c>
      <c r="L33" s="30" t="str">
        <f>IF(ISERROR(FIND($A$2,Lines!L33))=TRUE,"",MID(Lines!L33,FIND($A$2,Lines!L33)+LEN($A$2)+1,FIND(",",_xlfn.CONCAT(Lines!L33,","),FIND($A$2,Lines!L33))-FIND($A$2,Lines!L33)-LEN($A$2)-1))</f>
        <v/>
      </c>
      <c r="M33" s="30" t="str">
        <f>IF(ISERROR(FIND($A$2,Lines!M33))=TRUE,"",MID(Lines!M33,FIND($A$2,Lines!M33)+LEN($A$2)+1,FIND(",",_xlfn.CONCAT(Lines!M33,","),FIND($A$2,Lines!M33))-FIND($A$2,Lines!M33)-LEN($A$2)-1))</f>
        <v/>
      </c>
      <c r="N33" s="30" t="str">
        <f>IF(ISERROR(FIND($A$2,Lines!N33))=TRUE,"",MID(Lines!N33,FIND($A$2,Lines!N33)+LEN($A$2)+1,FIND(",",_xlfn.CONCAT(Lines!N33,","),FIND($A$2,Lines!N33))-FIND($A$2,Lines!N33)-LEN($A$2)-1))</f>
        <v/>
      </c>
      <c r="O33" s="30" t="str">
        <f>IF(ISERROR(FIND($A$2,Lines!O33))=TRUE,"",MID(Lines!O33,FIND($A$2,Lines!O33)+LEN($A$2)+1,FIND(",",_xlfn.CONCAT(Lines!O33,","),FIND($A$2,Lines!O33))-FIND($A$2,Lines!O33)-LEN($A$2)-1))</f>
        <v/>
      </c>
      <c r="P33" s="30" t="str">
        <f>IF(ISERROR(FIND($A$2,Lines!P33))=TRUE,"",MID(Lines!P33,FIND($A$2,Lines!P33)+LEN($A$2)+1,FIND(",",_xlfn.CONCAT(Lines!P33,","),FIND($A$2,Lines!P33))-FIND($A$2,Lines!P33)-LEN($A$2)-1))</f>
        <v/>
      </c>
      <c r="Q33" s="30" t="str">
        <f>IF(ISERROR(FIND($A$2,Lines!Q33))=TRUE,"",MID(Lines!Q33,FIND($A$2,Lines!Q33)+LEN($A$2)+1,FIND(",",_xlfn.CONCAT(Lines!Q33,","),FIND($A$2,Lines!Q33))-FIND($A$2,Lines!Q33)-LEN($A$2)-1))</f>
        <v/>
      </c>
      <c r="R33" s="30" t="str">
        <f>IF(ISERROR(FIND($A$2,Lines!R33))=TRUE,"",MID(Lines!R33,FIND($A$2,Lines!R33)+LEN($A$2)+1,FIND(",",_xlfn.CONCAT(Lines!R33,","),FIND($A$2,Lines!R33))-FIND($A$2,Lines!R33)-LEN($A$2)-1))</f>
        <v/>
      </c>
      <c r="S33" s="30" t="str">
        <f>IF(ISERROR(FIND($A$2,Lines!S33))=TRUE,"",MID(Lines!S33,FIND($A$2,Lines!S33)+LEN($A$2)+1,FIND(",",_xlfn.CONCAT(Lines!S33,","),FIND($A$2,Lines!S33))-FIND($A$2,Lines!S33)-LEN($A$2)-1))</f>
        <v/>
      </c>
      <c r="T33" s="30" t="str">
        <f>IF(ISERROR(FIND($A$2,Lines!T33))=TRUE,"",MID(Lines!T33,FIND($A$2,Lines!T33)+LEN($A$2)+1,FIND(",",_xlfn.CONCAT(Lines!T33,","),FIND($A$2,Lines!T33))-FIND($A$2,Lines!T33)-LEN($A$2)-1))</f>
        <v/>
      </c>
      <c r="U33" s="30" t="str">
        <f>IF(ISERROR(FIND($A$2,Lines!U33))=TRUE,"",MID(Lines!U33,FIND($A$2,Lines!U33)+LEN($A$2)+1,FIND(",",_xlfn.CONCAT(Lines!U33,","),FIND($A$2,Lines!U33))-FIND($A$2,Lines!U33)-LEN($A$2)-1))</f>
        <v/>
      </c>
      <c r="V33" s="30" t="str">
        <f>IF(ISERROR(FIND($A$2,Lines!V33))=TRUE,"",MID(Lines!V33,FIND($A$2,Lines!V33)+LEN($A$2)+1,FIND(",",_xlfn.CONCAT(Lines!V33,","),FIND($A$2,Lines!V33))-FIND($A$2,Lines!V33)-LEN($A$2)-1))</f>
        <v/>
      </c>
      <c r="W33" s="36" t="str">
        <f>IF(ISERROR(FIND($A$2,Lines!W33))=TRUE,"",MID(Lines!W33,FIND($A$2,Lines!W33)+LEN($A$2)+1,FIND(",",_xlfn.CONCAT(Lines!W33,","),FIND($A$2,Lines!W33))-FIND($A$2,Lines!W33)-LEN($A$2)-1))</f>
        <v/>
      </c>
      <c r="X33" s="30" t="str">
        <f>IF(ISERROR(FIND($A$2,Lines!X33))=TRUE,"",MID(Lines!X33,FIND($A$2,Lines!X33)+LEN($A$2)+1,FIND(",",_xlfn.CONCAT(Lines!X33,","),FIND($A$2,Lines!X33))-FIND($A$2,Lines!X33)-LEN($A$2)-1))</f>
        <v/>
      </c>
      <c r="Y33" s="30" t="str">
        <f>IF(ISERROR(FIND($A$2,Lines!Y33))=TRUE,"",MID(Lines!Y33,FIND($A$2,Lines!Y33)+LEN($A$2)+1,FIND(",",_xlfn.CONCAT(Lines!Y33,","),FIND($A$2,Lines!Y33))-FIND($A$2,Lines!Y33)-LEN($A$2)-1))</f>
        <v/>
      </c>
      <c r="Z33" s="30" t="str">
        <f>IF(ISERROR(FIND($A$2,Lines!Z33))=TRUE,"",MID(Lines!Z33,FIND($A$2,Lines!Z33)+LEN($A$2)+1,FIND(",",_xlfn.CONCAT(Lines!Z33,","),FIND($A$2,Lines!Z33))-FIND($A$2,Lines!Z33)-LEN($A$2)-1))</f>
        <v/>
      </c>
      <c r="AA33" s="30" t="str">
        <f>IF(ISERROR(FIND($A$2,Lines!AA33))=TRUE,"",MID(Lines!AA33,FIND($A$2,Lines!AA33)+LEN($A$2)+1,FIND(",",_xlfn.CONCAT(Lines!AA33,","),FIND($A$2,Lines!AA33))-FIND($A$2,Lines!AA33)-LEN($A$2)-1))</f>
        <v/>
      </c>
      <c r="AB33" s="30" t="str">
        <f>IF(ISERROR(FIND($A$2,Lines!AB33))=TRUE,"",MID(Lines!AB33,FIND($A$2,Lines!AB33)+LEN($A$2)+1,FIND(",",_xlfn.CONCAT(Lines!AB33,","),FIND($A$2,Lines!AB33))-FIND($A$2,Lines!AB33)-LEN($A$2)-1))</f>
        <v/>
      </c>
      <c r="AC33" s="30" t="str">
        <f>IF(ISERROR(FIND($A$2,Lines!AC33))=TRUE,"",MID(Lines!AC33,FIND($A$2,Lines!AC33)+LEN($A$2)+1,FIND(",",_xlfn.CONCAT(Lines!AC33,","),FIND($A$2,Lines!AC33))-FIND($A$2,Lines!AC33)-LEN($A$2)-1))</f>
        <v/>
      </c>
      <c r="AD33" s="30" t="str">
        <f>IF(ISERROR(FIND($A$2,Lines!AD33))=TRUE,"",MID(Lines!AD33,FIND($A$2,Lines!AD33)+LEN($A$2)+1,FIND(",",_xlfn.CONCAT(Lines!AD33,","),FIND($A$2,Lines!AD33))-FIND($A$2,Lines!AD33)-LEN($A$2)-1))</f>
        <v/>
      </c>
      <c r="AE33" s="65" t="str">
        <f>IF(ISERROR(FIND($A$2,Lines!AE33))=TRUE,"",MID(Lines!AE33,FIND($A$2,Lines!AE33)+LEN($A$2)+1,FIND(",",_xlfn.CONCAT(Lines!AE33,","),FIND($A$2,Lines!AE33))-FIND($A$2,Lines!AE33)-LEN($A$2)-1))</f>
        <v/>
      </c>
      <c r="AF33" s="47" t="str">
        <f>IF(ISERROR(FIND($A$2,Lines!AF33))=TRUE,"",MID(Lines!AF33,FIND($A$2,Lines!AF33)+LEN($A$2)+1,FIND(",",_xlfn.CONCAT(Lines!AF33,","),FIND($A$2,Lines!AF33))-FIND($A$2,Lines!AF33)-LEN($A$2)-1))</f>
        <v/>
      </c>
      <c r="AG33" s="47" t="str">
        <f>IF(ISERROR(FIND($A$2,Lines!AG33))=TRUE,"",MID(Lines!AG33,FIND($A$2,Lines!AG33)+LEN($A$2)+1,FIND(",",_xlfn.CONCAT(Lines!AG33,","),FIND($A$2,Lines!AG33))-FIND($A$2,Lines!AG33)-LEN($A$2)-1))</f>
        <v/>
      </c>
      <c r="AH33" s="47" t="str">
        <f>IF(ISERROR(FIND($A$2,Lines!AH33))=TRUE,"",MID(Lines!AH33,FIND($A$2,Lines!AH33)+LEN($A$2)+1,FIND(",",_xlfn.CONCAT(Lines!AH33,","),FIND($A$2,Lines!AH33))-FIND($A$2,Lines!AH33)-LEN($A$2)-1))</f>
        <v/>
      </c>
      <c r="AI33" s="47" t="str">
        <f>IF(ISERROR(FIND($A$2,Lines!AI33))=TRUE,"",MID(Lines!AI33,FIND($A$2,Lines!AI33)+LEN($A$2)+1,FIND(",",_xlfn.CONCAT(Lines!AI33,","),FIND($A$2,Lines!AI33))-FIND($A$2,Lines!AI33)-LEN($A$2)-1))</f>
        <v/>
      </c>
      <c r="AJ33" s="48" t="str">
        <f>IF(ISERROR(FIND($A$2,Lines!AJ33))=TRUE,"",MID(Lines!AJ33,FIND($A$2,Lines!AJ33)+LEN($A$2)+1,FIND(",",_xlfn.CONCAT(Lines!AJ33,","),FIND($A$2,Lines!AJ33))-FIND($A$2,Lines!AJ33)-LEN($A$2)-1))</f>
        <v/>
      </c>
      <c r="AK33" s="30" t="str">
        <f>IF(ISERROR(FIND($A$2,Lines!AK33))=TRUE,"",MID(Lines!AK33,FIND($A$2,Lines!AK33)+LEN($A$2)+1,FIND(",",_xlfn.CONCAT(Lines!AK33,","),FIND($A$2,Lines!AK33))-FIND($A$2,Lines!AK33)-LEN($A$2)-1))</f>
        <v/>
      </c>
      <c r="AL33" s="30" t="str">
        <f>IF(ISERROR(FIND($A$2,Lines!AL33))=TRUE,"",MID(Lines!AL33,FIND($A$2,Lines!AL33)+LEN($A$2)+1,FIND(",",_xlfn.CONCAT(Lines!AL33,","),FIND($A$2,Lines!AL33))-FIND($A$2,Lines!AL33)-LEN($A$2)-1))</f>
        <v/>
      </c>
      <c r="AM33" s="30" t="str">
        <f>IF(ISERROR(FIND($A$2,Lines!AM33))=TRUE,"",MID(Lines!AM33,FIND($A$2,Lines!AM33)+LEN($A$2)+1,FIND(",",_xlfn.CONCAT(Lines!AM33,","),FIND($A$2,Lines!AM33))-FIND($A$2,Lines!AM33)-LEN($A$2)-1))</f>
        <v/>
      </c>
      <c r="AN33" s="30" t="str">
        <f>IF(ISERROR(FIND($A$2,Lines!AN33))=TRUE,"",MID(Lines!AN33,FIND($A$2,Lines!AN33)+LEN($A$2)+1,FIND(",",_xlfn.CONCAT(Lines!AN33,","),FIND($A$2,Lines!AN33))-FIND($A$2,Lines!AN33)-LEN($A$2)-1))</f>
        <v/>
      </c>
      <c r="AO33" s="30" t="str">
        <f>IF(ISERROR(FIND($A$2,Lines!AO33))=TRUE,"",MID(Lines!AO33,FIND($A$2,Lines!AO33)+LEN($A$2)+1,FIND(",",_xlfn.CONCAT(Lines!AO33,","),FIND($A$2,Lines!AO33))-FIND($A$2,Lines!AO33)-LEN($A$2)-1))</f>
        <v/>
      </c>
      <c r="AP33" s="30" t="str">
        <f>IF(ISERROR(FIND($A$2,Lines!AP33))=TRUE,"",MID(Lines!AP33,FIND($A$2,Lines!AP33)+LEN($A$2)+1,FIND(",",_xlfn.CONCAT(Lines!AP33,","),FIND($A$2,Lines!AP33))-FIND($A$2,Lines!AP33)-LEN($A$2)-1))</f>
        <v/>
      </c>
      <c r="AQ33" s="30" t="str">
        <f>IF(ISERROR(FIND($A$2,Lines!AQ33))=TRUE,"",MID(Lines!AQ33,FIND($A$2,Lines!AQ33)+LEN($A$2)+1,FIND(",",_xlfn.CONCAT(Lines!AQ33,","),FIND($A$2,Lines!AQ33))-FIND($A$2,Lines!AQ33)-LEN($A$2)-1))</f>
        <v/>
      </c>
      <c r="AR33" s="30" t="str">
        <f>IF(ISERROR(FIND($A$2,Lines!AR33))=TRUE,"",MID(Lines!AR33,FIND($A$2,Lines!AR33)+LEN($A$2)+1,FIND(",",_xlfn.CONCAT(Lines!AR33,","),FIND($A$2,Lines!AR33))-FIND($A$2,Lines!AR33)-LEN($A$2)-1))</f>
        <v/>
      </c>
      <c r="AS33" s="30" t="str">
        <f>IF(ISERROR(FIND($A$2,Lines!AS33))=TRUE,"",MID(Lines!AS33,FIND($A$2,Lines!AS33)+LEN($A$2)+1,FIND(",",_xlfn.CONCAT(Lines!AS33,","),FIND($A$2,Lines!AS33))-FIND($A$2,Lines!AS33)-LEN($A$2)-1))</f>
        <v/>
      </c>
      <c r="AT33" s="30" t="str">
        <f>IF(ISERROR(FIND($A$2,Lines!AT33))=TRUE,"",MID(Lines!AT33,FIND($A$2,Lines!AT33)+LEN($A$2)+1,FIND(",",_xlfn.CONCAT(Lines!AT33,","),FIND($A$2,Lines!AT33))-FIND($A$2,Lines!AT33)-LEN($A$2)-1))</f>
        <v/>
      </c>
    </row>
    <row r="34" spans="1:46" ht="20.25" customHeight="1">
      <c r="A34" s="2" t="s">
        <v>82</v>
      </c>
      <c r="B34" s="30" t="str">
        <f>IF(ISERROR(FIND($A$2,Lines!B34))=TRUE,"",MID(Lines!B34,FIND($A$2,Lines!B34)+LEN($A$2)+1,FIND(",",_xlfn.CONCAT(Lines!B34,","),FIND($A$2,Lines!B34))-FIND($A$2,Lines!B34)-LEN($A$2)-1))</f>
        <v/>
      </c>
      <c r="C34" s="30" t="str">
        <f>IF(ISERROR(FIND($A$2,Lines!C34))=TRUE,"",MID(Lines!C34,FIND($A$2,Lines!C34)+LEN($A$2)+1,FIND(",",_xlfn.CONCAT(Lines!C34,","),FIND($A$2,Lines!C34))-FIND($A$2,Lines!C34)-LEN($A$2)-1))</f>
        <v/>
      </c>
      <c r="D34" s="30" t="str">
        <f>IF(ISERROR(FIND($A$2,Lines!D34))=TRUE,"",MID(Lines!D34,FIND($A$2,Lines!D34)+LEN($A$2)+1,FIND(",",_xlfn.CONCAT(Lines!D34,","),FIND($A$2,Lines!D34))-FIND($A$2,Lines!D34)-LEN($A$2)-1))</f>
        <v/>
      </c>
      <c r="E34" s="30" t="str">
        <f>IF(ISERROR(FIND($A$2,Lines!E34))=TRUE,"",MID(Lines!E34,FIND($A$2,Lines!E34)+LEN($A$2)+1,FIND(",",_xlfn.CONCAT(Lines!E34,","),FIND($A$2,Lines!E34))-FIND($A$2,Lines!E34)-LEN($A$2)-1))</f>
        <v/>
      </c>
      <c r="F34" s="30" t="str">
        <f>IF(ISERROR(FIND($A$2,Lines!F34))=TRUE,"",MID(Lines!F34,FIND($A$2,Lines!F34)+LEN($A$2)+1,FIND(",",_xlfn.CONCAT(Lines!F34,","),FIND($A$2,Lines!F34))-FIND($A$2,Lines!F34)-LEN($A$2)-1))</f>
        <v/>
      </c>
      <c r="G34" s="30" t="str">
        <f>IF(ISERROR(FIND($A$2,Lines!G34))=TRUE,"",MID(Lines!G34,FIND($A$2,Lines!G34)+LEN($A$2)+1,FIND(",",_xlfn.CONCAT(Lines!G34,","),FIND($A$2,Lines!G34))-FIND($A$2,Lines!G34)-LEN($A$2)-1))</f>
        <v/>
      </c>
      <c r="H34" s="30" t="str">
        <f>IF(ISERROR(FIND($A$2,Lines!H34))=TRUE,"",MID(Lines!H34,FIND($A$2,Lines!H34)+LEN($A$2)+1,FIND(",",_xlfn.CONCAT(Lines!H34,","),FIND($A$2,Lines!H34))-FIND($A$2,Lines!H34)-LEN($A$2)-1))</f>
        <v/>
      </c>
      <c r="I34" s="30" t="str">
        <f>IF(ISERROR(FIND($A$2,Lines!I34))=TRUE,"",MID(Lines!I34,FIND($A$2,Lines!I34)+LEN($A$2)+1,FIND(",",_xlfn.CONCAT(Lines!I34,","),FIND($A$2,Lines!I34))-FIND($A$2,Lines!I34)-LEN($A$2)-1))</f>
        <v/>
      </c>
      <c r="J34" s="30" t="str">
        <f>IF(ISERROR(FIND($A$2,Lines!J34))=TRUE,"",MID(Lines!J34,FIND($A$2,Lines!J34)+LEN($A$2)+1,FIND(",",_xlfn.CONCAT(Lines!J34,","),FIND($A$2,Lines!J34))-FIND($A$2,Lines!J34)-LEN($A$2)-1))</f>
        <v/>
      </c>
      <c r="K34" s="30" t="str">
        <f>IF(ISERROR(FIND($A$2,Lines!K34))=TRUE,"",MID(Lines!K34,FIND($A$2,Lines!K34)+LEN($A$2)+1,FIND(",",_xlfn.CONCAT(Lines!K34,","),FIND($A$2,Lines!K34))-FIND($A$2,Lines!K34)-LEN($A$2)-1))</f>
        <v/>
      </c>
      <c r="L34" s="30" t="str">
        <f>IF(ISERROR(FIND($A$2,Lines!L34))=TRUE,"",MID(Lines!L34,FIND($A$2,Lines!L34)+LEN($A$2)+1,FIND(",",_xlfn.CONCAT(Lines!L34,","),FIND($A$2,Lines!L34))-FIND($A$2,Lines!L34)-LEN($A$2)-1))</f>
        <v/>
      </c>
      <c r="M34" s="30" t="str">
        <f>IF(ISERROR(FIND($A$2,Lines!M34))=TRUE,"",MID(Lines!M34,FIND($A$2,Lines!M34)+LEN($A$2)+1,FIND(",",_xlfn.CONCAT(Lines!M34,","),FIND($A$2,Lines!M34))-FIND($A$2,Lines!M34)-LEN($A$2)-1))</f>
        <v/>
      </c>
      <c r="N34" s="30" t="str">
        <f>IF(ISERROR(FIND($A$2,Lines!N34))=TRUE,"",MID(Lines!N34,FIND($A$2,Lines!N34)+LEN($A$2)+1,FIND(",",_xlfn.CONCAT(Lines!N34,","),FIND($A$2,Lines!N34))-FIND($A$2,Lines!N34)-LEN($A$2)-1))</f>
        <v/>
      </c>
      <c r="O34" s="30" t="str">
        <f>IF(ISERROR(FIND($A$2,Lines!O34))=TRUE,"",MID(Lines!O34,FIND($A$2,Lines!O34)+LEN($A$2)+1,FIND(",",_xlfn.CONCAT(Lines!O34,","),FIND($A$2,Lines!O34))-FIND($A$2,Lines!O34)-LEN($A$2)-1))</f>
        <v/>
      </c>
      <c r="P34" s="30" t="str">
        <f>IF(ISERROR(FIND($A$2,Lines!P34))=TRUE,"",MID(Lines!P34,FIND($A$2,Lines!P34)+LEN($A$2)+1,FIND(",",_xlfn.CONCAT(Lines!P34,","),FIND($A$2,Lines!P34))-FIND($A$2,Lines!P34)-LEN($A$2)-1))</f>
        <v/>
      </c>
      <c r="Q34" s="30" t="str">
        <f>IF(ISERROR(FIND($A$2,Lines!Q34))=TRUE,"",MID(Lines!Q34,FIND($A$2,Lines!Q34)+LEN($A$2)+1,FIND(",",_xlfn.CONCAT(Lines!Q34,","),FIND($A$2,Lines!Q34))-FIND($A$2,Lines!Q34)-LEN($A$2)-1))</f>
        <v/>
      </c>
      <c r="R34" s="30" t="str">
        <f>IF(ISERROR(FIND($A$2,Lines!R34))=TRUE,"",MID(Lines!R34,FIND($A$2,Lines!R34)+LEN($A$2)+1,FIND(",",_xlfn.CONCAT(Lines!R34,","),FIND($A$2,Lines!R34))-FIND($A$2,Lines!R34)-LEN($A$2)-1))</f>
        <v/>
      </c>
      <c r="S34" s="30" t="str">
        <f>IF(ISERROR(FIND($A$2,Lines!S34))=TRUE,"",MID(Lines!S34,FIND($A$2,Lines!S34)+LEN($A$2)+1,FIND(",",_xlfn.CONCAT(Lines!S34,","),FIND($A$2,Lines!S34))-FIND($A$2,Lines!S34)-LEN($A$2)-1))</f>
        <v/>
      </c>
      <c r="T34" s="30" t="str">
        <f>IF(ISERROR(FIND($A$2,Lines!T34))=TRUE,"",MID(Lines!T34,FIND($A$2,Lines!T34)+LEN($A$2)+1,FIND(",",_xlfn.CONCAT(Lines!T34,","),FIND($A$2,Lines!T34))-FIND($A$2,Lines!T34)-LEN($A$2)-1))</f>
        <v/>
      </c>
      <c r="U34" s="30" t="str">
        <f>IF(ISERROR(FIND($A$2,Lines!U34))=TRUE,"",MID(Lines!U34,FIND($A$2,Lines!U34)+LEN($A$2)+1,FIND(",",_xlfn.CONCAT(Lines!U34,","),FIND($A$2,Lines!U34))-FIND($A$2,Lines!U34)-LEN($A$2)-1))</f>
        <v/>
      </c>
      <c r="V34" s="30" t="str">
        <f>IF(ISERROR(FIND($A$2,Lines!V34))=TRUE,"",MID(Lines!V34,FIND($A$2,Lines!V34)+LEN($A$2)+1,FIND(",",_xlfn.CONCAT(Lines!V34,","),FIND($A$2,Lines!V34))-FIND($A$2,Lines!V34)-LEN($A$2)-1))</f>
        <v/>
      </c>
      <c r="W34" s="36" t="str">
        <f>IF(ISERROR(FIND($A$2,Lines!W34))=TRUE,"",MID(Lines!W34,FIND($A$2,Lines!W34)+LEN($A$2)+1,FIND(",",_xlfn.CONCAT(Lines!W34,","),FIND($A$2,Lines!W34))-FIND($A$2,Lines!W34)-LEN($A$2)-1))</f>
        <v/>
      </c>
      <c r="X34" s="30" t="str">
        <f>IF(ISERROR(FIND($A$2,Lines!X34))=TRUE,"",MID(Lines!X34,FIND($A$2,Lines!X34)+LEN($A$2)+1,FIND(",",_xlfn.CONCAT(Lines!X34,","),FIND($A$2,Lines!X34))-FIND($A$2,Lines!X34)-LEN($A$2)-1))</f>
        <v/>
      </c>
      <c r="Y34" s="30" t="str">
        <f>IF(ISERROR(FIND($A$2,Lines!Y34))=TRUE,"",MID(Lines!Y34,FIND($A$2,Lines!Y34)+LEN($A$2)+1,FIND(",",_xlfn.CONCAT(Lines!Y34,","),FIND($A$2,Lines!Y34))-FIND($A$2,Lines!Y34)-LEN($A$2)-1))</f>
        <v/>
      </c>
      <c r="Z34" s="30" t="str">
        <f>IF(ISERROR(FIND($A$2,Lines!Z34))=TRUE,"",MID(Lines!Z34,FIND($A$2,Lines!Z34)+LEN($A$2)+1,FIND(",",_xlfn.CONCAT(Lines!Z34,","),FIND($A$2,Lines!Z34))-FIND($A$2,Lines!Z34)-LEN($A$2)-1))</f>
        <v/>
      </c>
      <c r="AA34" s="30" t="str">
        <f>IF(ISERROR(FIND($A$2,Lines!AA34))=TRUE,"",MID(Lines!AA34,FIND($A$2,Lines!AA34)+LEN($A$2)+1,FIND(",",_xlfn.CONCAT(Lines!AA34,","),FIND($A$2,Lines!AA34))-FIND($A$2,Lines!AA34)-LEN($A$2)-1))</f>
        <v/>
      </c>
      <c r="AB34" s="30" t="str">
        <f>IF(ISERROR(FIND($A$2,Lines!AB34))=TRUE,"",MID(Lines!AB34,FIND($A$2,Lines!AB34)+LEN($A$2)+1,FIND(",",_xlfn.CONCAT(Lines!AB34,","),FIND($A$2,Lines!AB34))-FIND($A$2,Lines!AB34)-LEN($A$2)-1))</f>
        <v/>
      </c>
      <c r="AC34" s="30" t="str">
        <f>IF(ISERROR(FIND($A$2,Lines!AC34))=TRUE,"",MID(Lines!AC34,FIND($A$2,Lines!AC34)+LEN($A$2)+1,FIND(",",_xlfn.CONCAT(Lines!AC34,","),FIND($A$2,Lines!AC34))-FIND($A$2,Lines!AC34)-LEN($A$2)-1))</f>
        <v/>
      </c>
      <c r="AD34" s="30" t="str">
        <f>IF(ISERROR(FIND($A$2,Lines!AD34))=TRUE,"",MID(Lines!AD34,FIND($A$2,Lines!AD34)+LEN($A$2)+1,FIND(",",_xlfn.CONCAT(Lines!AD34,","),FIND($A$2,Lines!AD34))-FIND($A$2,Lines!AD34)-LEN($A$2)-1))</f>
        <v/>
      </c>
      <c r="AE34" s="51" t="str">
        <f>IF(ISERROR(FIND($A$2,Lines!AE34))=TRUE,"",MID(Lines!AE34,FIND($A$2,Lines!AE34)+LEN($A$2)+1,FIND(",",_xlfn.CONCAT(Lines!AE34,","),FIND($A$2,Lines!AE34))-FIND($A$2,Lines!AE34)-LEN($A$2)-1))</f>
        <v/>
      </c>
      <c r="AF34" s="66" t="str">
        <f>IF(ISERROR(FIND($A$2,Lines!AF34))=TRUE,"",MID(Lines!AF34,FIND($A$2,Lines!AF34)+LEN($A$2)+1,FIND(",",_xlfn.CONCAT(Lines!AF34,","),FIND($A$2,Lines!AF34))-FIND($A$2,Lines!AF34)-LEN($A$2)-1))</f>
        <v/>
      </c>
      <c r="AG34" s="42" t="str">
        <f>IF(ISERROR(FIND($A$2,Lines!AG34))=TRUE,"",MID(Lines!AG34,FIND($A$2,Lines!AG34)+LEN($A$2)+1,FIND(",",_xlfn.CONCAT(Lines!AG34,","),FIND($A$2,Lines!AG34))-FIND($A$2,Lines!AG34)-LEN($A$2)-1))</f>
        <v/>
      </c>
      <c r="AH34" s="42" t="str">
        <f>IF(ISERROR(FIND($A$2,Lines!AH34))=TRUE,"",MID(Lines!AH34,FIND($A$2,Lines!AH34)+LEN($A$2)+1,FIND(",",_xlfn.CONCAT(Lines!AH34,","),FIND($A$2,Lines!AH34))-FIND($A$2,Lines!AH34)-LEN($A$2)-1))</f>
        <v/>
      </c>
      <c r="AI34" s="42" t="str">
        <f>IF(ISERROR(FIND($A$2,Lines!AI34))=TRUE,"",MID(Lines!AI34,FIND($A$2,Lines!AI34)+LEN($A$2)+1,FIND(",",_xlfn.CONCAT(Lines!AI34,","),FIND($A$2,Lines!AI34))-FIND($A$2,Lines!AI34)-LEN($A$2)-1))</f>
        <v/>
      </c>
      <c r="AJ34" s="49" t="str">
        <f>IF(ISERROR(FIND($A$2,Lines!AJ34))=TRUE,"",MID(Lines!AJ34,FIND($A$2,Lines!AJ34)+LEN($A$2)+1,FIND(",",_xlfn.CONCAT(Lines!AJ34,","),FIND($A$2,Lines!AJ34))-FIND($A$2,Lines!AJ34)-LEN($A$2)-1))</f>
        <v/>
      </c>
      <c r="AK34" s="30" t="str">
        <f>IF(ISERROR(FIND($A$2,Lines!AK34))=TRUE,"",MID(Lines!AK34,FIND($A$2,Lines!AK34)+LEN($A$2)+1,FIND(",",_xlfn.CONCAT(Lines!AK34,","),FIND($A$2,Lines!AK34))-FIND($A$2,Lines!AK34)-LEN($A$2)-1))</f>
        <v/>
      </c>
      <c r="AL34" s="30" t="str">
        <f>IF(ISERROR(FIND($A$2,Lines!AL34))=TRUE,"",MID(Lines!AL34,FIND($A$2,Lines!AL34)+LEN($A$2)+1,FIND(",",_xlfn.CONCAT(Lines!AL34,","),FIND($A$2,Lines!AL34))-FIND($A$2,Lines!AL34)-LEN($A$2)-1))</f>
        <v/>
      </c>
      <c r="AM34" s="30" t="str">
        <f>IF(ISERROR(FIND($A$2,Lines!AM34))=TRUE,"",MID(Lines!AM34,FIND($A$2,Lines!AM34)+LEN($A$2)+1,FIND(",",_xlfn.CONCAT(Lines!AM34,","),FIND($A$2,Lines!AM34))-FIND($A$2,Lines!AM34)-LEN($A$2)-1))</f>
        <v/>
      </c>
      <c r="AN34" s="30" t="str">
        <f>IF(ISERROR(FIND($A$2,Lines!AN34))=TRUE,"",MID(Lines!AN34,FIND($A$2,Lines!AN34)+LEN($A$2)+1,FIND(",",_xlfn.CONCAT(Lines!AN34,","),FIND($A$2,Lines!AN34))-FIND($A$2,Lines!AN34)-LEN($A$2)-1))</f>
        <v/>
      </c>
      <c r="AO34" s="30" t="str">
        <f>IF(ISERROR(FIND($A$2,Lines!AO34))=TRUE,"",MID(Lines!AO34,FIND($A$2,Lines!AO34)+LEN($A$2)+1,FIND(",",_xlfn.CONCAT(Lines!AO34,","),FIND($A$2,Lines!AO34))-FIND($A$2,Lines!AO34)-LEN($A$2)-1))</f>
        <v/>
      </c>
      <c r="AP34" s="30" t="str">
        <f>IF(ISERROR(FIND($A$2,Lines!AP34))=TRUE,"",MID(Lines!AP34,FIND($A$2,Lines!AP34)+LEN($A$2)+1,FIND(",",_xlfn.CONCAT(Lines!AP34,","),FIND($A$2,Lines!AP34))-FIND($A$2,Lines!AP34)-LEN($A$2)-1))</f>
        <v/>
      </c>
      <c r="AQ34" s="30" t="str">
        <f>IF(ISERROR(FIND($A$2,Lines!AQ34))=TRUE,"",MID(Lines!AQ34,FIND($A$2,Lines!AQ34)+LEN($A$2)+1,FIND(",",_xlfn.CONCAT(Lines!AQ34,","),FIND($A$2,Lines!AQ34))-FIND($A$2,Lines!AQ34)-LEN($A$2)-1))</f>
        <v/>
      </c>
      <c r="AR34" s="30" t="str">
        <f>IF(ISERROR(FIND($A$2,Lines!AR34))=TRUE,"",MID(Lines!AR34,FIND($A$2,Lines!AR34)+LEN($A$2)+1,FIND(",",_xlfn.CONCAT(Lines!AR34,","),FIND($A$2,Lines!AR34))-FIND($A$2,Lines!AR34)-LEN($A$2)-1))</f>
        <v/>
      </c>
      <c r="AS34" s="30" t="str">
        <f>IF(ISERROR(FIND($A$2,Lines!AS34))=TRUE,"",MID(Lines!AS34,FIND($A$2,Lines!AS34)+LEN($A$2)+1,FIND(",",_xlfn.CONCAT(Lines!AS34,","),FIND($A$2,Lines!AS34))-FIND($A$2,Lines!AS34)-LEN($A$2)-1))</f>
        <v/>
      </c>
      <c r="AT34" s="30" t="str">
        <f>IF(ISERROR(FIND($A$2,Lines!AT34))=TRUE,"",MID(Lines!AT34,FIND($A$2,Lines!AT34)+LEN($A$2)+1,FIND(",",_xlfn.CONCAT(Lines!AT34,","),FIND($A$2,Lines!AT34))-FIND($A$2,Lines!AT34)-LEN($A$2)-1))</f>
        <v/>
      </c>
    </row>
    <row r="35" spans="1:46" ht="20.25" customHeight="1">
      <c r="A35" s="2" t="s">
        <v>83</v>
      </c>
      <c r="B35" s="30" t="str">
        <f>IF(ISERROR(FIND($A$2,Lines!B35))=TRUE,"",MID(Lines!B35,FIND($A$2,Lines!B35)+LEN($A$2)+1,FIND(",",_xlfn.CONCAT(Lines!B35,","),FIND($A$2,Lines!B35))-FIND($A$2,Lines!B35)-LEN($A$2)-1))</f>
        <v/>
      </c>
      <c r="C35" s="30" t="str">
        <f>IF(ISERROR(FIND($A$2,Lines!C35))=TRUE,"",MID(Lines!C35,FIND($A$2,Lines!C35)+LEN($A$2)+1,FIND(",",_xlfn.CONCAT(Lines!C35,","),FIND($A$2,Lines!C35))-FIND($A$2,Lines!C35)-LEN($A$2)-1))</f>
        <v/>
      </c>
      <c r="D35" s="30" t="str">
        <f>IF(ISERROR(FIND($A$2,Lines!D35))=TRUE,"",MID(Lines!D35,FIND($A$2,Lines!D35)+LEN($A$2)+1,FIND(",",_xlfn.CONCAT(Lines!D35,","),FIND($A$2,Lines!D35))-FIND($A$2,Lines!D35)-LEN($A$2)-1))</f>
        <v/>
      </c>
      <c r="E35" s="30" t="str">
        <f>IF(ISERROR(FIND($A$2,Lines!E35))=TRUE,"",MID(Lines!E35,FIND($A$2,Lines!E35)+LEN($A$2)+1,FIND(",",_xlfn.CONCAT(Lines!E35,","),FIND($A$2,Lines!E35))-FIND($A$2,Lines!E35)-LEN($A$2)-1))</f>
        <v/>
      </c>
      <c r="F35" s="30" t="str">
        <f>IF(ISERROR(FIND($A$2,Lines!F35))=TRUE,"",MID(Lines!F35,FIND($A$2,Lines!F35)+LEN($A$2)+1,FIND(",",_xlfn.CONCAT(Lines!F35,","),FIND($A$2,Lines!F35))-FIND($A$2,Lines!F35)-LEN($A$2)-1))</f>
        <v/>
      </c>
      <c r="G35" s="30" t="str">
        <f>IF(ISERROR(FIND($A$2,Lines!G35))=TRUE,"",MID(Lines!G35,FIND($A$2,Lines!G35)+LEN($A$2)+1,FIND(",",_xlfn.CONCAT(Lines!G35,","),FIND($A$2,Lines!G35))-FIND($A$2,Lines!G35)-LEN($A$2)-1))</f>
        <v/>
      </c>
      <c r="H35" s="30" t="str">
        <f>IF(ISERROR(FIND($A$2,Lines!H35))=TRUE,"",MID(Lines!H35,FIND($A$2,Lines!H35)+LEN($A$2)+1,FIND(",",_xlfn.CONCAT(Lines!H35,","),FIND($A$2,Lines!H35))-FIND($A$2,Lines!H35)-LEN($A$2)-1))</f>
        <v/>
      </c>
      <c r="I35" s="30" t="str">
        <f>IF(ISERROR(FIND($A$2,Lines!I35))=TRUE,"",MID(Lines!I35,FIND($A$2,Lines!I35)+LEN($A$2)+1,FIND(",",_xlfn.CONCAT(Lines!I35,","),FIND($A$2,Lines!I35))-FIND($A$2,Lines!I35)-LEN($A$2)-1))</f>
        <v/>
      </c>
      <c r="J35" s="30" t="str">
        <f>IF(ISERROR(FIND($A$2,Lines!J35))=TRUE,"",MID(Lines!J35,FIND($A$2,Lines!J35)+LEN($A$2)+1,FIND(",",_xlfn.CONCAT(Lines!J35,","),FIND($A$2,Lines!J35))-FIND($A$2,Lines!J35)-LEN($A$2)-1))</f>
        <v/>
      </c>
      <c r="K35" s="30" t="str">
        <f>IF(ISERROR(FIND($A$2,Lines!K35))=TRUE,"",MID(Lines!K35,FIND($A$2,Lines!K35)+LEN($A$2)+1,FIND(",",_xlfn.CONCAT(Lines!K35,","),FIND($A$2,Lines!K35))-FIND($A$2,Lines!K35)-LEN($A$2)-1))</f>
        <v/>
      </c>
      <c r="L35" s="30" t="str">
        <f>IF(ISERROR(FIND($A$2,Lines!L35))=TRUE,"",MID(Lines!L35,FIND($A$2,Lines!L35)+LEN($A$2)+1,FIND(",",_xlfn.CONCAT(Lines!L35,","),FIND($A$2,Lines!L35))-FIND($A$2,Lines!L35)-LEN($A$2)-1))</f>
        <v/>
      </c>
      <c r="M35" s="30" t="str">
        <f>IF(ISERROR(FIND($A$2,Lines!M35))=TRUE,"",MID(Lines!M35,FIND($A$2,Lines!M35)+LEN($A$2)+1,FIND(",",_xlfn.CONCAT(Lines!M35,","),FIND($A$2,Lines!M35))-FIND($A$2,Lines!M35)-LEN($A$2)-1))</f>
        <v/>
      </c>
      <c r="N35" s="30" t="str">
        <f>IF(ISERROR(FIND($A$2,Lines!N35))=TRUE,"",MID(Lines!N35,FIND($A$2,Lines!N35)+LEN($A$2)+1,FIND(",",_xlfn.CONCAT(Lines!N35,","),FIND($A$2,Lines!N35))-FIND($A$2,Lines!N35)-LEN($A$2)-1))</f>
        <v/>
      </c>
      <c r="O35" s="30" t="str">
        <f>IF(ISERROR(FIND($A$2,Lines!O35))=TRUE,"",MID(Lines!O35,FIND($A$2,Lines!O35)+LEN($A$2)+1,FIND(",",_xlfn.CONCAT(Lines!O35,","),FIND($A$2,Lines!O35))-FIND($A$2,Lines!O35)-LEN($A$2)-1))</f>
        <v/>
      </c>
      <c r="P35" s="30" t="str">
        <f>IF(ISERROR(FIND($A$2,Lines!P35))=TRUE,"",MID(Lines!P35,FIND($A$2,Lines!P35)+LEN($A$2)+1,FIND(",",_xlfn.CONCAT(Lines!P35,","),FIND($A$2,Lines!P35))-FIND($A$2,Lines!P35)-LEN($A$2)-1))</f>
        <v/>
      </c>
      <c r="Q35" s="30" t="str">
        <f>IF(ISERROR(FIND($A$2,Lines!Q35))=TRUE,"",MID(Lines!Q35,FIND($A$2,Lines!Q35)+LEN($A$2)+1,FIND(",",_xlfn.CONCAT(Lines!Q35,","),FIND($A$2,Lines!Q35))-FIND($A$2,Lines!Q35)-LEN($A$2)-1))</f>
        <v/>
      </c>
      <c r="R35" s="30" t="str">
        <f>IF(ISERROR(FIND($A$2,Lines!R35))=TRUE,"",MID(Lines!R35,FIND($A$2,Lines!R35)+LEN($A$2)+1,FIND(",",_xlfn.CONCAT(Lines!R35,","),FIND($A$2,Lines!R35))-FIND($A$2,Lines!R35)-LEN($A$2)-1))</f>
        <v/>
      </c>
      <c r="S35" s="30" t="str">
        <f>IF(ISERROR(FIND($A$2,Lines!S35))=TRUE,"",MID(Lines!S35,FIND($A$2,Lines!S35)+LEN($A$2)+1,FIND(",",_xlfn.CONCAT(Lines!S35,","),FIND($A$2,Lines!S35))-FIND($A$2,Lines!S35)-LEN($A$2)-1))</f>
        <v/>
      </c>
      <c r="T35" s="30" t="str">
        <f>IF(ISERROR(FIND($A$2,Lines!T35))=TRUE,"",MID(Lines!T35,FIND($A$2,Lines!T35)+LEN($A$2)+1,FIND(",",_xlfn.CONCAT(Lines!T35,","),FIND($A$2,Lines!T35))-FIND($A$2,Lines!T35)-LEN($A$2)-1))</f>
        <v/>
      </c>
      <c r="U35" s="30" t="str">
        <f>IF(ISERROR(FIND($A$2,Lines!U35))=TRUE,"",MID(Lines!U35,FIND($A$2,Lines!U35)+LEN($A$2)+1,FIND(",",_xlfn.CONCAT(Lines!U35,","),FIND($A$2,Lines!U35))-FIND($A$2,Lines!U35)-LEN($A$2)-1))</f>
        <v/>
      </c>
      <c r="V35" s="30" t="str">
        <f>IF(ISERROR(FIND($A$2,Lines!V35))=TRUE,"",MID(Lines!V35,FIND($A$2,Lines!V35)+LEN($A$2)+1,FIND(",",_xlfn.CONCAT(Lines!V35,","),FIND($A$2,Lines!V35))-FIND($A$2,Lines!V35)-LEN($A$2)-1))</f>
        <v/>
      </c>
      <c r="W35" s="36" t="str">
        <f>IF(ISERROR(FIND($A$2,Lines!W35))=TRUE,"",MID(Lines!W35,FIND($A$2,Lines!W35)+LEN($A$2)+1,FIND(",",_xlfn.CONCAT(Lines!W35,","),FIND($A$2,Lines!W35))-FIND($A$2,Lines!W35)-LEN($A$2)-1))</f>
        <v/>
      </c>
      <c r="X35" s="30" t="str">
        <f>IF(ISERROR(FIND($A$2,Lines!X35))=TRUE,"",MID(Lines!X35,FIND($A$2,Lines!X35)+LEN($A$2)+1,FIND(",",_xlfn.CONCAT(Lines!X35,","),FIND($A$2,Lines!X35))-FIND($A$2,Lines!X35)-LEN($A$2)-1))</f>
        <v/>
      </c>
      <c r="Y35" s="30" t="str">
        <f>IF(ISERROR(FIND($A$2,Lines!Y35))=TRUE,"",MID(Lines!Y35,FIND($A$2,Lines!Y35)+LEN($A$2)+1,FIND(",",_xlfn.CONCAT(Lines!Y35,","),FIND($A$2,Lines!Y35))-FIND($A$2,Lines!Y35)-LEN($A$2)-1))</f>
        <v/>
      </c>
      <c r="Z35" s="30" t="str">
        <f>IF(ISERROR(FIND($A$2,Lines!Z35))=TRUE,"",MID(Lines!Z35,FIND($A$2,Lines!Z35)+LEN($A$2)+1,FIND(",",_xlfn.CONCAT(Lines!Z35,","),FIND($A$2,Lines!Z35))-FIND($A$2,Lines!Z35)-LEN($A$2)-1))</f>
        <v/>
      </c>
      <c r="AA35" s="30" t="str">
        <f>IF(ISERROR(FIND($A$2,Lines!AA35))=TRUE,"",MID(Lines!AA35,FIND($A$2,Lines!AA35)+LEN($A$2)+1,FIND(",",_xlfn.CONCAT(Lines!AA35,","),FIND($A$2,Lines!AA35))-FIND($A$2,Lines!AA35)-LEN($A$2)-1))</f>
        <v/>
      </c>
      <c r="AB35" s="30" t="str">
        <f>IF(ISERROR(FIND($A$2,Lines!AB35))=TRUE,"",MID(Lines!AB35,FIND($A$2,Lines!AB35)+LEN($A$2)+1,FIND(",",_xlfn.CONCAT(Lines!AB35,","),FIND($A$2,Lines!AB35))-FIND($A$2,Lines!AB35)-LEN($A$2)-1))</f>
        <v/>
      </c>
      <c r="AC35" s="30" t="str">
        <f>IF(ISERROR(FIND($A$2,Lines!AC35))=TRUE,"",MID(Lines!AC35,FIND($A$2,Lines!AC35)+LEN($A$2)+1,FIND(",",_xlfn.CONCAT(Lines!AC35,","),FIND($A$2,Lines!AC35))-FIND($A$2,Lines!AC35)-LEN($A$2)-1))</f>
        <v/>
      </c>
      <c r="AD35" s="30" t="str">
        <f>IF(ISERROR(FIND($A$2,Lines!AD35))=TRUE,"",MID(Lines!AD35,FIND($A$2,Lines!AD35)+LEN($A$2)+1,FIND(",",_xlfn.CONCAT(Lines!AD35,","),FIND($A$2,Lines!AD35))-FIND($A$2,Lines!AD35)-LEN($A$2)-1))</f>
        <v/>
      </c>
      <c r="AE35" s="51" t="str">
        <f>IF(ISERROR(FIND($A$2,Lines!AE35))=TRUE,"",MID(Lines!AE35,FIND($A$2,Lines!AE35)+LEN($A$2)+1,FIND(",",_xlfn.CONCAT(Lines!AE35,","),FIND($A$2,Lines!AE35))-FIND($A$2,Lines!AE35)-LEN($A$2)-1))</f>
        <v/>
      </c>
      <c r="AF35" s="42" t="str">
        <f>IF(ISERROR(FIND($A$2,Lines!AF35))=TRUE,"",MID(Lines!AF35,FIND($A$2,Lines!AF35)+LEN($A$2)+1,FIND(",",_xlfn.CONCAT(Lines!AF35,","),FIND($A$2,Lines!AF35))-FIND($A$2,Lines!AF35)-LEN($A$2)-1))</f>
        <v/>
      </c>
      <c r="AG35" s="66" t="str">
        <f>IF(ISERROR(FIND($A$2,Lines!AG35))=TRUE,"",MID(Lines!AG35,FIND($A$2,Lines!AG35)+LEN($A$2)+1,FIND(",",_xlfn.CONCAT(Lines!AG35,","),FIND($A$2,Lines!AG35))-FIND($A$2,Lines!AG35)-LEN($A$2)-1))</f>
        <v/>
      </c>
      <c r="AH35" s="42" t="str">
        <f>IF(ISERROR(FIND($A$2,Lines!AH35))=TRUE,"",MID(Lines!AH35,FIND($A$2,Lines!AH35)+LEN($A$2)+1,FIND(",",_xlfn.CONCAT(Lines!AH35,","),FIND($A$2,Lines!AH35))-FIND($A$2,Lines!AH35)-LEN($A$2)-1))</f>
        <v/>
      </c>
      <c r="AI35" s="42" t="str">
        <f>IF(ISERROR(FIND($A$2,Lines!AI35))=TRUE,"",MID(Lines!AI35,FIND($A$2,Lines!AI35)+LEN($A$2)+1,FIND(",",_xlfn.CONCAT(Lines!AI35,","),FIND($A$2,Lines!AI35))-FIND($A$2,Lines!AI35)-LEN($A$2)-1))</f>
        <v/>
      </c>
      <c r="AJ35" s="49" t="str">
        <f>IF(ISERROR(FIND($A$2,Lines!AJ35))=TRUE,"",MID(Lines!AJ35,FIND($A$2,Lines!AJ35)+LEN($A$2)+1,FIND(",",_xlfn.CONCAT(Lines!AJ35,","),FIND($A$2,Lines!AJ35))-FIND($A$2,Lines!AJ35)-LEN($A$2)-1))</f>
        <v/>
      </c>
      <c r="AK35" s="30" t="str">
        <f>IF(ISERROR(FIND($A$2,Lines!AK35))=TRUE,"",MID(Lines!AK35,FIND($A$2,Lines!AK35)+LEN($A$2)+1,FIND(",",_xlfn.CONCAT(Lines!AK35,","),FIND($A$2,Lines!AK35))-FIND($A$2,Lines!AK35)-LEN($A$2)-1))</f>
        <v/>
      </c>
      <c r="AL35" s="30" t="str">
        <f>IF(ISERROR(FIND($A$2,Lines!AL35))=TRUE,"",MID(Lines!AL35,FIND($A$2,Lines!AL35)+LEN($A$2)+1,FIND(",",_xlfn.CONCAT(Lines!AL35,","),FIND($A$2,Lines!AL35))-FIND($A$2,Lines!AL35)-LEN($A$2)-1))</f>
        <v/>
      </c>
      <c r="AM35" s="30" t="str">
        <f>IF(ISERROR(FIND($A$2,Lines!AM35))=TRUE,"",MID(Lines!AM35,FIND($A$2,Lines!AM35)+LEN($A$2)+1,FIND(",",_xlfn.CONCAT(Lines!AM35,","),FIND($A$2,Lines!AM35))-FIND($A$2,Lines!AM35)-LEN($A$2)-1))</f>
        <v/>
      </c>
      <c r="AN35" s="30" t="str">
        <f>IF(ISERROR(FIND($A$2,Lines!AN35))=TRUE,"",MID(Lines!AN35,FIND($A$2,Lines!AN35)+LEN($A$2)+1,FIND(",",_xlfn.CONCAT(Lines!AN35,","),FIND($A$2,Lines!AN35))-FIND($A$2,Lines!AN35)-LEN($A$2)-1))</f>
        <v/>
      </c>
      <c r="AO35" s="30" t="str">
        <f>IF(ISERROR(FIND($A$2,Lines!AO35))=TRUE,"",MID(Lines!AO35,FIND($A$2,Lines!AO35)+LEN($A$2)+1,FIND(",",_xlfn.CONCAT(Lines!AO35,","),FIND($A$2,Lines!AO35))-FIND($A$2,Lines!AO35)-LEN($A$2)-1))</f>
        <v/>
      </c>
      <c r="AP35" s="30" t="str">
        <f>IF(ISERROR(FIND($A$2,Lines!AP35))=TRUE,"",MID(Lines!AP35,FIND($A$2,Lines!AP35)+LEN($A$2)+1,FIND(",",_xlfn.CONCAT(Lines!AP35,","),FIND($A$2,Lines!AP35))-FIND($A$2,Lines!AP35)-LEN($A$2)-1))</f>
        <v/>
      </c>
      <c r="AQ35" s="30" t="str">
        <f>IF(ISERROR(FIND($A$2,Lines!AQ35))=TRUE,"",MID(Lines!AQ35,FIND($A$2,Lines!AQ35)+LEN($A$2)+1,FIND(",",_xlfn.CONCAT(Lines!AQ35,","),FIND($A$2,Lines!AQ35))-FIND($A$2,Lines!AQ35)-LEN($A$2)-1))</f>
        <v/>
      </c>
      <c r="AR35" s="30" t="str">
        <f>IF(ISERROR(FIND($A$2,Lines!AR35))=TRUE,"",MID(Lines!AR35,FIND($A$2,Lines!AR35)+LEN($A$2)+1,FIND(",",_xlfn.CONCAT(Lines!AR35,","),FIND($A$2,Lines!AR35))-FIND($A$2,Lines!AR35)-LEN($A$2)-1))</f>
        <v/>
      </c>
      <c r="AS35" s="30" t="str">
        <f>IF(ISERROR(FIND($A$2,Lines!AS35))=TRUE,"",MID(Lines!AS35,FIND($A$2,Lines!AS35)+LEN($A$2)+1,FIND(",",_xlfn.CONCAT(Lines!AS35,","),FIND($A$2,Lines!AS35))-FIND($A$2,Lines!AS35)-LEN($A$2)-1))</f>
        <v/>
      </c>
      <c r="AT35" s="30" t="str">
        <f>IF(ISERROR(FIND($A$2,Lines!AT35))=TRUE,"",MID(Lines!AT35,FIND($A$2,Lines!AT35)+LEN($A$2)+1,FIND(",",_xlfn.CONCAT(Lines!AT35,","),FIND($A$2,Lines!AT35))-FIND($A$2,Lines!AT35)-LEN($A$2)-1))</f>
        <v/>
      </c>
    </row>
    <row r="36" spans="1:46" ht="20.25" customHeight="1">
      <c r="A36" s="2" t="s">
        <v>84</v>
      </c>
      <c r="B36" s="30" t="str">
        <f>IF(ISERROR(FIND($A$2,Lines!B36))=TRUE,"",MID(Lines!B36,FIND($A$2,Lines!B36)+LEN($A$2)+1,FIND(",",_xlfn.CONCAT(Lines!B36,","),FIND($A$2,Lines!B36))-FIND($A$2,Lines!B36)-LEN($A$2)-1))</f>
        <v/>
      </c>
      <c r="C36" s="30" t="str">
        <f>IF(ISERROR(FIND($A$2,Lines!C36))=TRUE,"",MID(Lines!C36,FIND($A$2,Lines!C36)+LEN($A$2)+1,FIND(",",_xlfn.CONCAT(Lines!C36,","),FIND($A$2,Lines!C36))-FIND($A$2,Lines!C36)-LEN($A$2)-1))</f>
        <v/>
      </c>
      <c r="D36" s="30" t="str">
        <f>IF(ISERROR(FIND($A$2,Lines!D36))=TRUE,"",MID(Lines!D36,FIND($A$2,Lines!D36)+LEN($A$2)+1,FIND(",",_xlfn.CONCAT(Lines!D36,","),FIND($A$2,Lines!D36))-FIND($A$2,Lines!D36)-LEN($A$2)-1))</f>
        <v/>
      </c>
      <c r="E36" s="30" t="str">
        <f>IF(ISERROR(FIND($A$2,Lines!E36))=TRUE,"",MID(Lines!E36,FIND($A$2,Lines!E36)+LEN($A$2)+1,FIND(",",_xlfn.CONCAT(Lines!E36,","),FIND($A$2,Lines!E36))-FIND($A$2,Lines!E36)-LEN($A$2)-1))</f>
        <v/>
      </c>
      <c r="F36" s="30" t="str">
        <f>IF(ISERROR(FIND($A$2,Lines!F36))=TRUE,"",MID(Lines!F36,FIND($A$2,Lines!F36)+LEN($A$2)+1,FIND(",",_xlfn.CONCAT(Lines!F36,","),FIND($A$2,Lines!F36))-FIND($A$2,Lines!F36)-LEN($A$2)-1))</f>
        <v/>
      </c>
      <c r="G36" s="30" t="str">
        <f>IF(ISERROR(FIND($A$2,Lines!G36))=TRUE,"",MID(Lines!G36,FIND($A$2,Lines!G36)+LEN($A$2)+1,FIND(",",_xlfn.CONCAT(Lines!G36,","),FIND($A$2,Lines!G36))-FIND($A$2,Lines!G36)-LEN($A$2)-1))</f>
        <v/>
      </c>
      <c r="H36" s="30" t="str">
        <f>IF(ISERROR(FIND($A$2,Lines!H36))=TRUE,"",MID(Lines!H36,FIND($A$2,Lines!H36)+LEN($A$2)+1,FIND(",",_xlfn.CONCAT(Lines!H36,","),FIND($A$2,Lines!H36))-FIND($A$2,Lines!H36)-LEN($A$2)-1))</f>
        <v/>
      </c>
      <c r="I36" s="30" t="str">
        <f>IF(ISERROR(FIND($A$2,Lines!I36))=TRUE,"",MID(Lines!I36,FIND($A$2,Lines!I36)+LEN($A$2)+1,FIND(",",_xlfn.CONCAT(Lines!I36,","),FIND($A$2,Lines!I36))-FIND($A$2,Lines!I36)-LEN($A$2)-1))</f>
        <v/>
      </c>
      <c r="J36" s="30" t="str">
        <f>IF(ISERROR(FIND($A$2,Lines!J36))=TRUE,"",MID(Lines!J36,FIND($A$2,Lines!J36)+LEN($A$2)+1,FIND(",",_xlfn.CONCAT(Lines!J36,","),FIND($A$2,Lines!J36))-FIND($A$2,Lines!J36)-LEN($A$2)-1))</f>
        <v/>
      </c>
      <c r="K36" s="30" t="str">
        <f>IF(ISERROR(FIND($A$2,Lines!K36))=TRUE,"",MID(Lines!K36,FIND($A$2,Lines!K36)+LEN($A$2)+1,FIND(",",_xlfn.CONCAT(Lines!K36,","),FIND($A$2,Lines!K36))-FIND($A$2,Lines!K36)-LEN($A$2)-1))</f>
        <v/>
      </c>
      <c r="L36" s="30" t="str">
        <f>IF(ISERROR(FIND($A$2,Lines!L36))=TRUE,"",MID(Lines!L36,FIND($A$2,Lines!L36)+LEN($A$2)+1,FIND(",",_xlfn.CONCAT(Lines!L36,","),FIND($A$2,Lines!L36))-FIND($A$2,Lines!L36)-LEN($A$2)-1))</f>
        <v/>
      </c>
      <c r="M36" s="30" t="str">
        <f>IF(ISERROR(FIND($A$2,Lines!M36))=TRUE,"",MID(Lines!M36,FIND($A$2,Lines!M36)+LEN($A$2)+1,FIND(",",_xlfn.CONCAT(Lines!M36,","),FIND($A$2,Lines!M36))-FIND($A$2,Lines!M36)-LEN($A$2)-1))</f>
        <v/>
      </c>
      <c r="N36" s="30" t="str">
        <f>IF(ISERROR(FIND($A$2,Lines!N36))=TRUE,"",MID(Lines!N36,FIND($A$2,Lines!N36)+LEN($A$2)+1,FIND(",",_xlfn.CONCAT(Lines!N36,","),FIND($A$2,Lines!N36))-FIND($A$2,Lines!N36)-LEN($A$2)-1))</f>
        <v/>
      </c>
      <c r="O36" s="30" t="str">
        <f>IF(ISERROR(FIND($A$2,Lines!O36))=TRUE,"",MID(Lines!O36,FIND($A$2,Lines!O36)+LEN($A$2)+1,FIND(",",_xlfn.CONCAT(Lines!O36,","),FIND($A$2,Lines!O36))-FIND($A$2,Lines!O36)-LEN($A$2)-1))</f>
        <v/>
      </c>
      <c r="P36" s="30" t="str">
        <f>IF(ISERROR(FIND($A$2,Lines!P36))=TRUE,"",MID(Lines!P36,FIND($A$2,Lines!P36)+LEN($A$2)+1,FIND(",",_xlfn.CONCAT(Lines!P36,","),FIND($A$2,Lines!P36))-FIND($A$2,Lines!P36)-LEN($A$2)-1))</f>
        <v/>
      </c>
      <c r="Q36" s="30" t="str">
        <f>IF(ISERROR(FIND($A$2,Lines!Q36))=TRUE,"",MID(Lines!Q36,FIND($A$2,Lines!Q36)+LEN($A$2)+1,FIND(",",_xlfn.CONCAT(Lines!Q36,","),FIND($A$2,Lines!Q36))-FIND($A$2,Lines!Q36)-LEN($A$2)-1))</f>
        <v/>
      </c>
      <c r="R36" s="30" t="str">
        <f>IF(ISERROR(FIND($A$2,Lines!R36))=TRUE,"",MID(Lines!R36,FIND($A$2,Lines!R36)+LEN($A$2)+1,FIND(",",_xlfn.CONCAT(Lines!R36,","),FIND($A$2,Lines!R36))-FIND($A$2,Lines!R36)-LEN($A$2)-1))</f>
        <v/>
      </c>
      <c r="S36" s="30" t="str">
        <f>IF(ISERROR(FIND($A$2,Lines!S36))=TRUE,"",MID(Lines!S36,FIND($A$2,Lines!S36)+LEN($A$2)+1,FIND(",",_xlfn.CONCAT(Lines!S36,","),FIND($A$2,Lines!S36))-FIND($A$2,Lines!S36)-LEN($A$2)-1))</f>
        <v/>
      </c>
      <c r="T36" s="30" t="str">
        <f>IF(ISERROR(FIND($A$2,Lines!T36))=TRUE,"",MID(Lines!T36,FIND($A$2,Lines!T36)+LEN($A$2)+1,FIND(",",_xlfn.CONCAT(Lines!T36,","),FIND($A$2,Lines!T36))-FIND($A$2,Lines!T36)-LEN($A$2)-1))</f>
        <v/>
      </c>
      <c r="U36" s="30" t="str">
        <f>IF(ISERROR(FIND($A$2,Lines!U36))=TRUE,"",MID(Lines!U36,FIND($A$2,Lines!U36)+LEN($A$2)+1,FIND(",",_xlfn.CONCAT(Lines!U36,","),FIND($A$2,Lines!U36))-FIND($A$2,Lines!U36)-LEN($A$2)-1))</f>
        <v/>
      </c>
      <c r="V36" s="30" t="str">
        <f>IF(ISERROR(FIND($A$2,Lines!V36))=TRUE,"",MID(Lines!V36,FIND($A$2,Lines!V36)+LEN($A$2)+1,FIND(",",_xlfn.CONCAT(Lines!V36,","),FIND($A$2,Lines!V36))-FIND($A$2,Lines!V36)-LEN($A$2)-1))</f>
        <v/>
      </c>
      <c r="W36" s="36" t="str">
        <f>IF(ISERROR(FIND($A$2,Lines!W36))=TRUE,"",MID(Lines!W36,FIND($A$2,Lines!W36)+LEN($A$2)+1,FIND(",",_xlfn.CONCAT(Lines!W36,","),FIND($A$2,Lines!W36))-FIND($A$2,Lines!W36)-LEN($A$2)-1))</f>
        <v/>
      </c>
      <c r="X36" s="30" t="str">
        <f>IF(ISERROR(FIND($A$2,Lines!X36))=TRUE,"",MID(Lines!X36,FIND($A$2,Lines!X36)+LEN($A$2)+1,FIND(",",_xlfn.CONCAT(Lines!X36,","),FIND($A$2,Lines!X36))-FIND($A$2,Lines!X36)-LEN($A$2)-1))</f>
        <v/>
      </c>
      <c r="Y36" s="30" t="str">
        <f>IF(ISERROR(FIND($A$2,Lines!Y36))=TRUE,"",MID(Lines!Y36,FIND($A$2,Lines!Y36)+LEN($A$2)+1,FIND(",",_xlfn.CONCAT(Lines!Y36,","),FIND($A$2,Lines!Y36))-FIND($A$2,Lines!Y36)-LEN($A$2)-1))</f>
        <v/>
      </c>
      <c r="Z36" s="30" t="str">
        <f>IF(ISERROR(FIND($A$2,Lines!Z36))=TRUE,"",MID(Lines!Z36,FIND($A$2,Lines!Z36)+LEN($A$2)+1,FIND(",",_xlfn.CONCAT(Lines!Z36,","),FIND($A$2,Lines!Z36))-FIND($A$2,Lines!Z36)-LEN($A$2)-1))</f>
        <v/>
      </c>
      <c r="AA36" s="30" t="str">
        <f>IF(ISERROR(FIND($A$2,Lines!AA36))=TRUE,"",MID(Lines!AA36,FIND($A$2,Lines!AA36)+LEN($A$2)+1,FIND(",",_xlfn.CONCAT(Lines!AA36,","),FIND($A$2,Lines!AA36))-FIND($A$2,Lines!AA36)-LEN($A$2)-1))</f>
        <v/>
      </c>
      <c r="AB36" s="30" t="str">
        <f>IF(ISERROR(FIND($A$2,Lines!AB36))=TRUE,"",MID(Lines!AB36,FIND($A$2,Lines!AB36)+LEN($A$2)+1,FIND(",",_xlfn.CONCAT(Lines!AB36,","),FIND($A$2,Lines!AB36))-FIND($A$2,Lines!AB36)-LEN($A$2)-1))</f>
        <v/>
      </c>
      <c r="AC36" s="30" t="str">
        <f>IF(ISERROR(FIND($A$2,Lines!AC36))=TRUE,"",MID(Lines!AC36,FIND($A$2,Lines!AC36)+LEN($A$2)+1,FIND(",",_xlfn.CONCAT(Lines!AC36,","),FIND($A$2,Lines!AC36))-FIND($A$2,Lines!AC36)-LEN($A$2)-1))</f>
        <v/>
      </c>
      <c r="AD36" s="30" t="str">
        <f>IF(ISERROR(FIND($A$2,Lines!AD36))=TRUE,"",MID(Lines!AD36,FIND($A$2,Lines!AD36)+LEN($A$2)+1,FIND(",",_xlfn.CONCAT(Lines!AD36,","),FIND($A$2,Lines!AD36))-FIND($A$2,Lines!AD36)-LEN($A$2)-1))</f>
        <v/>
      </c>
      <c r="AE36" s="51" t="str">
        <f>IF(ISERROR(FIND($A$2,Lines!AE36))=TRUE,"",MID(Lines!AE36,FIND($A$2,Lines!AE36)+LEN($A$2)+1,FIND(",",_xlfn.CONCAT(Lines!AE36,","),FIND($A$2,Lines!AE36))-FIND($A$2,Lines!AE36)-LEN($A$2)-1))</f>
        <v/>
      </c>
      <c r="AF36" s="42" t="str">
        <f>IF(ISERROR(FIND($A$2,Lines!AF36))=TRUE,"",MID(Lines!AF36,FIND($A$2,Lines!AF36)+LEN($A$2)+1,FIND(",",_xlfn.CONCAT(Lines!AF36,","),FIND($A$2,Lines!AF36))-FIND($A$2,Lines!AF36)-LEN($A$2)-1))</f>
        <v/>
      </c>
      <c r="AG36" s="42" t="str">
        <f>IF(ISERROR(FIND($A$2,Lines!AG36))=TRUE,"",MID(Lines!AG36,FIND($A$2,Lines!AG36)+LEN($A$2)+1,FIND(",",_xlfn.CONCAT(Lines!AG36,","),FIND($A$2,Lines!AG36))-FIND($A$2,Lines!AG36)-LEN($A$2)-1))</f>
        <v/>
      </c>
      <c r="AH36" s="66" t="str">
        <f>IF(ISERROR(FIND($A$2,Lines!AH36))=TRUE,"",MID(Lines!AH36,FIND($A$2,Lines!AH36)+LEN($A$2)+1,FIND(",",_xlfn.CONCAT(Lines!AH36,","),FIND($A$2,Lines!AH36))-FIND($A$2,Lines!AH36)-LEN($A$2)-1))</f>
        <v/>
      </c>
      <c r="AI36" s="42" t="str">
        <f>IF(ISERROR(FIND($A$2,Lines!AI36))=TRUE,"",MID(Lines!AI36,FIND($A$2,Lines!AI36)+LEN($A$2)+1,FIND(",",_xlfn.CONCAT(Lines!AI36,","),FIND($A$2,Lines!AI36))-FIND($A$2,Lines!AI36)-LEN($A$2)-1))</f>
        <v/>
      </c>
      <c r="AJ36" s="49" t="str">
        <f>IF(ISERROR(FIND($A$2,Lines!AJ36))=TRUE,"",MID(Lines!AJ36,FIND($A$2,Lines!AJ36)+LEN($A$2)+1,FIND(",",_xlfn.CONCAT(Lines!AJ36,","),FIND($A$2,Lines!AJ36))-FIND($A$2,Lines!AJ36)-LEN($A$2)-1))</f>
        <v/>
      </c>
      <c r="AK36" s="30" t="str">
        <f>IF(ISERROR(FIND($A$2,Lines!AK36))=TRUE,"",MID(Lines!AK36,FIND($A$2,Lines!AK36)+LEN($A$2)+1,FIND(",",_xlfn.CONCAT(Lines!AK36,","),FIND($A$2,Lines!AK36))-FIND($A$2,Lines!AK36)-LEN($A$2)-1))</f>
        <v/>
      </c>
      <c r="AL36" s="30" t="str">
        <f>IF(ISERROR(FIND($A$2,Lines!AL36))=TRUE,"",MID(Lines!AL36,FIND($A$2,Lines!AL36)+LEN($A$2)+1,FIND(",",_xlfn.CONCAT(Lines!AL36,","),FIND($A$2,Lines!AL36))-FIND($A$2,Lines!AL36)-LEN($A$2)-1))</f>
        <v/>
      </c>
      <c r="AM36" s="30" t="str">
        <f>IF(ISERROR(FIND($A$2,Lines!AM36))=TRUE,"",MID(Lines!AM36,FIND($A$2,Lines!AM36)+LEN($A$2)+1,FIND(",",_xlfn.CONCAT(Lines!AM36,","),FIND($A$2,Lines!AM36))-FIND($A$2,Lines!AM36)-LEN($A$2)-1))</f>
        <v/>
      </c>
      <c r="AN36" s="30" t="str">
        <f>IF(ISERROR(FIND($A$2,Lines!AN36))=TRUE,"",MID(Lines!AN36,FIND($A$2,Lines!AN36)+LEN($A$2)+1,FIND(",",_xlfn.CONCAT(Lines!AN36,","),FIND($A$2,Lines!AN36))-FIND($A$2,Lines!AN36)-LEN($A$2)-1))</f>
        <v/>
      </c>
      <c r="AO36" s="30" t="str">
        <f>IF(ISERROR(FIND($A$2,Lines!AO36))=TRUE,"",MID(Lines!AO36,FIND($A$2,Lines!AO36)+LEN($A$2)+1,FIND(",",_xlfn.CONCAT(Lines!AO36,","),FIND($A$2,Lines!AO36))-FIND($A$2,Lines!AO36)-LEN($A$2)-1))</f>
        <v/>
      </c>
      <c r="AP36" s="30" t="str">
        <f>IF(ISERROR(FIND($A$2,Lines!AP36))=TRUE,"",MID(Lines!AP36,FIND($A$2,Lines!AP36)+LEN($A$2)+1,FIND(",",_xlfn.CONCAT(Lines!AP36,","),FIND($A$2,Lines!AP36))-FIND($A$2,Lines!AP36)-LEN($A$2)-1))</f>
        <v/>
      </c>
      <c r="AQ36" s="30" t="str">
        <f>IF(ISERROR(FIND($A$2,Lines!AQ36))=TRUE,"",MID(Lines!AQ36,FIND($A$2,Lines!AQ36)+LEN($A$2)+1,FIND(",",_xlfn.CONCAT(Lines!AQ36,","),FIND($A$2,Lines!AQ36))-FIND($A$2,Lines!AQ36)-LEN($A$2)-1))</f>
        <v/>
      </c>
      <c r="AR36" s="30" t="str">
        <f>IF(ISERROR(FIND($A$2,Lines!AR36))=TRUE,"",MID(Lines!AR36,FIND($A$2,Lines!AR36)+LEN($A$2)+1,FIND(",",_xlfn.CONCAT(Lines!AR36,","),FIND($A$2,Lines!AR36))-FIND($A$2,Lines!AR36)-LEN($A$2)-1))</f>
        <v/>
      </c>
      <c r="AS36" s="30" t="str">
        <f>IF(ISERROR(FIND($A$2,Lines!AS36))=TRUE,"",MID(Lines!AS36,FIND($A$2,Lines!AS36)+LEN($A$2)+1,FIND(",",_xlfn.CONCAT(Lines!AS36,","),FIND($A$2,Lines!AS36))-FIND($A$2,Lines!AS36)-LEN($A$2)-1))</f>
        <v/>
      </c>
      <c r="AT36" s="30" t="str">
        <f>IF(ISERROR(FIND($A$2,Lines!AT36))=TRUE,"",MID(Lines!AT36,FIND($A$2,Lines!AT36)+LEN($A$2)+1,FIND(",",_xlfn.CONCAT(Lines!AT36,","),FIND($A$2,Lines!AT36))-FIND($A$2,Lines!AT36)-LEN($A$2)-1))</f>
        <v/>
      </c>
    </row>
    <row r="37" spans="1:46" ht="20.25" customHeight="1">
      <c r="A37" s="2" t="s">
        <v>85</v>
      </c>
      <c r="B37" s="30" t="str">
        <f>IF(ISERROR(FIND($A$2,Lines!B37))=TRUE,"",MID(Lines!B37,FIND($A$2,Lines!B37)+LEN($A$2)+1,FIND(",",_xlfn.CONCAT(Lines!B37,","),FIND($A$2,Lines!B37))-FIND($A$2,Lines!B37)-LEN($A$2)-1))</f>
        <v/>
      </c>
      <c r="C37" s="30" t="str">
        <f>IF(ISERROR(FIND($A$2,Lines!C37))=TRUE,"",MID(Lines!C37,FIND($A$2,Lines!C37)+LEN($A$2)+1,FIND(",",_xlfn.CONCAT(Lines!C37,","),FIND($A$2,Lines!C37))-FIND($A$2,Lines!C37)-LEN($A$2)-1))</f>
        <v/>
      </c>
      <c r="D37" s="30" t="str">
        <f>IF(ISERROR(FIND($A$2,Lines!D37))=TRUE,"",MID(Lines!D37,FIND($A$2,Lines!D37)+LEN($A$2)+1,FIND(",",_xlfn.CONCAT(Lines!D37,","),FIND($A$2,Lines!D37))-FIND($A$2,Lines!D37)-LEN($A$2)-1))</f>
        <v/>
      </c>
      <c r="E37" s="30" t="str">
        <f>IF(ISERROR(FIND($A$2,Lines!E37))=TRUE,"",MID(Lines!E37,FIND($A$2,Lines!E37)+LEN($A$2)+1,FIND(",",_xlfn.CONCAT(Lines!E37,","),FIND($A$2,Lines!E37))-FIND($A$2,Lines!E37)-LEN($A$2)-1))</f>
        <v/>
      </c>
      <c r="F37" s="30" t="str">
        <f>IF(ISERROR(FIND($A$2,Lines!F37))=TRUE,"",MID(Lines!F37,FIND($A$2,Lines!F37)+LEN($A$2)+1,FIND(",",_xlfn.CONCAT(Lines!F37,","),FIND($A$2,Lines!F37))-FIND($A$2,Lines!F37)-LEN($A$2)-1))</f>
        <v/>
      </c>
      <c r="G37" s="30" t="str">
        <f>IF(ISERROR(FIND($A$2,Lines!G37))=TRUE,"",MID(Lines!G37,FIND($A$2,Lines!G37)+LEN($A$2)+1,FIND(",",_xlfn.CONCAT(Lines!G37,","),FIND($A$2,Lines!G37))-FIND($A$2,Lines!G37)-LEN($A$2)-1))</f>
        <v/>
      </c>
      <c r="H37" s="30" t="str">
        <f>IF(ISERROR(FIND($A$2,Lines!H37))=TRUE,"",MID(Lines!H37,FIND($A$2,Lines!H37)+LEN($A$2)+1,FIND(",",_xlfn.CONCAT(Lines!H37,","),FIND($A$2,Lines!H37))-FIND($A$2,Lines!H37)-LEN($A$2)-1))</f>
        <v/>
      </c>
      <c r="I37" s="30" t="str">
        <f>IF(ISERROR(FIND($A$2,Lines!I37))=TRUE,"",MID(Lines!I37,FIND($A$2,Lines!I37)+LEN($A$2)+1,FIND(",",_xlfn.CONCAT(Lines!I37,","),FIND($A$2,Lines!I37))-FIND($A$2,Lines!I37)-LEN($A$2)-1))</f>
        <v/>
      </c>
      <c r="J37" s="30" t="str">
        <f>IF(ISERROR(FIND($A$2,Lines!J37))=TRUE,"",MID(Lines!J37,FIND($A$2,Lines!J37)+LEN($A$2)+1,FIND(",",_xlfn.CONCAT(Lines!J37,","),FIND($A$2,Lines!J37))-FIND($A$2,Lines!J37)-LEN($A$2)-1))</f>
        <v/>
      </c>
      <c r="K37" s="30" t="str">
        <f>IF(ISERROR(FIND($A$2,Lines!K37))=TRUE,"",MID(Lines!K37,FIND($A$2,Lines!K37)+LEN($A$2)+1,FIND(",",_xlfn.CONCAT(Lines!K37,","),FIND($A$2,Lines!K37))-FIND($A$2,Lines!K37)-LEN($A$2)-1))</f>
        <v/>
      </c>
      <c r="L37" s="30" t="str">
        <f>IF(ISERROR(FIND($A$2,Lines!L37))=TRUE,"",MID(Lines!L37,FIND($A$2,Lines!L37)+LEN($A$2)+1,FIND(",",_xlfn.CONCAT(Lines!L37,","),FIND($A$2,Lines!L37))-FIND($A$2,Lines!L37)-LEN($A$2)-1))</f>
        <v/>
      </c>
      <c r="M37" s="30" t="str">
        <f>IF(ISERROR(FIND($A$2,Lines!M37))=TRUE,"",MID(Lines!M37,FIND($A$2,Lines!M37)+LEN($A$2)+1,FIND(",",_xlfn.CONCAT(Lines!M37,","),FIND($A$2,Lines!M37))-FIND($A$2,Lines!M37)-LEN($A$2)-1))</f>
        <v/>
      </c>
      <c r="N37" s="30" t="str">
        <f>IF(ISERROR(FIND($A$2,Lines!N37))=TRUE,"",MID(Lines!N37,FIND($A$2,Lines!N37)+LEN($A$2)+1,FIND(",",_xlfn.CONCAT(Lines!N37,","),FIND($A$2,Lines!N37))-FIND($A$2,Lines!N37)-LEN($A$2)-1))</f>
        <v/>
      </c>
      <c r="O37" s="30" t="str">
        <f>IF(ISERROR(FIND($A$2,Lines!O37))=TRUE,"",MID(Lines!O37,FIND($A$2,Lines!O37)+LEN($A$2)+1,FIND(",",_xlfn.CONCAT(Lines!O37,","),FIND($A$2,Lines!O37))-FIND($A$2,Lines!O37)-LEN($A$2)-1))</f>
        <v/>
      </c>
      <c r="P37" s="30" t="str">
        <f>IF(ISERROR(FIND($A$2,Lines!P37))=TRUE,"",MID(Lines!P37,FIND($A$2,Lines!P37)+LEN($A$2)+1,FIND(",",_xlfn.CONCAT(Lines!P37,","),FIND($A$2,Lines!P37))-FIND($A$2,Lines!P37)-LEN($A$2)-1))</f>
        <v/>
      </c>
      <c r="Q37" s="30" t="str">
        <f>IF(ISERROR(FIND($A$2,Lines!Q37))=TRUE,"",MID(Lines!Q37,FIND($A$2,Lines!Q37)+LEN($A$2)+1,FIND(",",_xlfn.CONCAT(Lines!Q37,","),FIND($A$2,Lines!Q37))-FIND($A$2,Lines!Q37)-LEN($A$2)-1))</f>
        <v/>
      </c>
      <c r="R37" s="30" t="str">
        <f>IF(ISERROR(FIND($A$2,Lines!R37))=TRUE,"",MID(Lines!R37,FIND($A$2,Lines!R37)+LEN($A$2)+1,FIND(",",_xlfn.CONCAT(Lines!R37,","),FIND($A$2,Lines!R37))-FIND($A$2,Lines!R37)-LEN($A$2)-1))</f>
        <v/>
      </c>
      <c r="S37" s="30" t="str">
        <f>IF(ISERROR(FIND($A$2,Lines!S37))=TRUE,"",MID(Lines!S37,FIND($A$2,Lines!S37)+LEN($A$2)+1,FIND(",",_xlfn.CONCAT(Lines!S37,","),FIND($A$2,Lines!S37))-FIND($A$2,Lines!S37)-LEN($A$2)-1))</f>
        <v/>
      </c>
      <c r="T37" s="30" t="str">
        <f>IF(ISERROR(FIND($A$2,Lines!T37))=TRUE,"",MID(Lines!T37,FIND($A$2,Lines!T37)+LEN($A$2)+1,FIND(",",_xlfn.CONCAT(Lines!T37,","),FIND($A$2,Lines!T37))-FIND($A$2,Lines!T37)-LEN($A$2)-1))</f>
        <v/>
      </c>
      <c r="U37" s="30" t="str">
        <f>IF(ISERROR(FIND($A$2,Lines!U37))=TRUE,"",MID(Lines!U37,FIND($A$2,Lines!U37)+LEN($A$2)+1,FIND(",",_xlfn.CONCAT(Lines!U37,","),FIND($A$2,Lines!U37))-FIND($A$2,Lines!U37)-LEN($A$2)-1))</f>
        <v/>
      </c>
      <c r="V37" s="30" t="str">
        <f>IF(ISERROR(FIND($A$2,Lines!V37))=TRUE,"",MID(Lines!V37,FIND($A$2,Lines!V37)+LEN($A$2)+1,FIND(",",_xlfn.CONCAT(Lines!V37,","),FIND($A$2,Lines!V37))-FIND($A$2,Lines!V37)-LEN($A$2)-1))</f>
        <v/>
      </c>
      <c r="W37" s="36" t="str">
        <f>IF(ISERROR(FIND($A$2,Lines!W37))=TRUE,"",MID(Lines!W37,FIND($A$2,Lines!W37)+LEN($A$2)+1,FIND(",",_xlfn.CONCAT(Lines!W37,","),FIND($A$2,Lines!W37))-FIND($A$2,Lines!W37)-LEN($A$2)-1))</f>
        <v/>
      </c>
      <c r="X37" s="30" t="str">
        <f>IF(ISERROR(FIND($A$2,Lines!X37))=TRUE,"",MID(Lines!X37,FIND($A$2,Lines!X37)+LEN($A$2)+1,FIND(",",_xlfn.CONCAT(Lines!X37,","),FIND($A$2,Lines!X37))-FIND($A$2,Lines!X37)-LEN($A$2)-1))</f>
        <v/>
      </c>
      <c r="Y37" s="30" t="str">
        <f>IF(ISERROR(FIND($A$2,Lines!Y37))=TRUE,"",MID(Lines!Y37,FIND($A$2,Lines!Y37)+LEN($A$2)+1,FIND(",",_xlfn.CONCAT(Lines!Y37,","),FIND($A$2,Lines!Y37))-FIND($A$2,Lines!Y37)-LEN($A$2)-1))</f>
        <v/>
      </c>
      <c r="Z37" s="30" t="str">
        <f>IF(ISERROR(FIND($A$2,Lines!Z37))=TRUE,"",MID(Lines!Z37,FIND($A$2,Lines!Z37)+LEN($A$2)+1,FIND(",",_xlfn.CONCAT(Lines!Z37,","),FIND($A$2,Lines!Z37))-FIND($A$2,Lines!Z37)-LEN($A$2)-1))</f>
        <v/>
      </c>
      <c r="AA37" s="30" t="str">
        <f>IF(ISERROR(FIND($A$2,Lines!AA37))=TRUE,"",MID(Lines!AA37,FIND($A$2,Lines!AA37)+LEN($A$2)+1,FIND(",",_xlfn.CONCAT(Lines!AA37,","),FIND($A$2,Lines!AA37))-FIND($A$2,Lines!AA37)-LEN($A$2)-1))</f>
        <v/>
      </c>
      <c r="AB37" s="30" t="str">
        <f>IF(ISERROR(FIND($A$2,Lines!AB37))=TRUE,"",MID(Lines!AB37,FIND($A$2,Lines!AB37)+LEN($A$2)+1,FIND(",",_xlfn.CONCAT(Lines!AB37,","),FIND($A$2,Lines!AB37))-FIND($A$2,Lines!AB37)-LEN($A$2)-1))</f>
        <v/>
      </c>
      <c r="AC37" s="30" t="str">
        <f>IF(ISERROR(FIND($A$2,Lines!AC37))=TRUE,"",MID(Lines!AC37,FIND($A$2,Lines!AC37)+LEN($A$2)+1,FIND(",",_xlfn.CONCAT(Lines!AC37,","),FIND($A$2,Lines!AC37))-FIND($A$2,Lines!AC37)-LEN($A$2)-1))</f>
        <v/>
      </c>
      <c r="AD37" s="30" t="str">
        <f>IF(ISERROR(FIND($A$2,Lines!AD37))=TRUE,"",MID(Lines!AD37,FIND($A$2,Lines!AD37)+LEN($A$2)+1,FIND(",",_xlfn.CONCAT(Lines!AD37,","),FIND($A$2,Lines!AD37))-FIND($A$2,Lines!AD37)-LEN($A$2)-1))</f>
        <v/>
      </c>
      <c r="AE37" s="51" t="str">
        <f>IF(ISERROR(FIND($A$2,Lines!AE37))=TRUE,"",MID(Lines!AE37,FIND($A$2,Lines!AE37)+LEN($A$2)+1,FIND(",",_xlfn.CONCAT(Lines!AE37,","),FIND($A$2,Lines!AE37))-FIND($A$2,Lines!AE37)-LEN($A$2)-1))</f>
        <v/>
      </c>
      <c r="AF37" s="42" t="str">
        <f>IF(ISERROR(FIND($A$2,Lines!AF37))=TRUE,"",MID(Lines!AF37,FIND($A$2,Lines!AF37)+LEN($A$2)+1,FIND(",",_xlfn.CONCAT(Lines!AF37,","),FIND($A$2,Lines!AF37))-FIND($A$2,Lines!AF37)-LEN($A$2)-1))</f>
        <v/>
      </c>
      <c r="AG37" s="42" t="str">
        <f>IF(ISERROR(FIND($A$2,Lines!AG37))=TRUE,"",MID(Lines!AG37,FIND($A$2,Lines!AG37)+LEN($A$2)+1,FIND(",",_xlfn.CONCAT(Lines!AG37,","),FIND($A$2,Lines!AG37))-FIND($A$2,Lines!AG37)-LEN($A$2)-1))</f>
        <v/>
      </c>
      <c r="AH37" s="42" t="str">
        <f>IF(ISERROR(FIND($A$2,Lines!AH37))=TRUE,"",MID(Lines!AH37,FIND($A$2,Lines!AH37)+LEN($A$2)+1,FIND(",",_xlfn.CONCAT(Lines!AH37,","),FIND($A$2,Lines!AH37))-FIND($A$2,Lines!AH37)-LEN($A$2)-1))</f>
        <v/>
      </c>
      <c r="AI37" s="66" t="str">
        <f>IF(ISERROR(FIND($A$2,Lines!AI37))=TRUE,"",MID(Lines!AI37,FIND($A$2,Lines!AI37)+LEN($A$2)+1,FIND(",",_xlfn.CONCAT(Lines!AI37,","),FIND($A$2,Lines!AI37))-FIND($A$2,Lines!AI37)-LEN($A$2)-1))</f>
        <v/>
      </c>
      <c r="AJ37" s="49" t="str">
        <f>IF(ISERROR(FIND($A$2,Lines!AJ37))=TRUE,"",MID(Lines!AJ37,FIND($A$2,Lines!AJ37)+LEN($A$2)+1,FIND(",",_xlfn.CONCAT(Lines!AJ37,","),FIND($A$2,Lines!AJ37))-FIND($A$2,Lines!AJ37)-LEN($A$2)-1))</f>
        <v/>
      </c>
      <c r="AK37" s="30" t="str">
        <f>IF(ISERROR(FIND($A$2,Lines!AK37))=TRUE,"",MID(Lines!AK37,FIND($A$2,Lines!AK37)+LEN($A$2)+1,FIND(",",_xlfn.CONCAT(Lines!AK37,","),FIND($A$2,Lines!AK37))-FIND($A$2,Lines!AK37)-LEN($A$2)-1))</f>
        <v/>
      </c>
      <c r="AL37" s="30" t="str">
        <f>IF(ISERROR(FIND($A$2,Lines!AL37))=TRUE,"",MID(Lines!AL37,FIND($A$2,Lines!AL37)+LEN($A$2)+1,FIND(",",_xlfn.CONCAT(Lines!AL37,","),FIND($A$2,Lines!AL37))-FIND($A$2,Lines!AL37)-LEN($A$2)-1))</f>
        <v/>
      </c>
      <c r="AM37" s="30" t="str">
        <f>IF(ISERROR(FIND($A$2,Lines!AM37))=TRUE,"",MID(Lines!AM37,FIND($A$2,Lines!AM37)+LEN($A$2)+1,FIND(",",_xlfn.CONCAT(Lines!AM37,","),FIND($A$2,Lines!AM37))-FIND($A$2,Lines!AM37)-LEN($A$2)-1))</f>
        <v/>
      </c>
      <c r="AN37" s="30" t="str">
        <f>IF(ISERROR(FIND($A$2,Lines!AN37))=TRUE,"",MID(Lines!AN37,FIND($A$2,Lines!AN37)+LEN($A$2)+1,FIND(",",_xlfn.CONCAT(Lines!AN37,","),FIND($A$2,Lines!AN37))-FIND($A$2,Lines!AN37)-LEN($A$2)-1))</f>
        <v/>
      </c>
      <c r="AO37" s="30" t="str">
        <f>IF(ISERROR(FIND($A$2,Lines!AO37))=TRUE,"",MID(Lines!AO37,FIND($A$2,Lines!AO37)+LEN($A$2)+1,FIND(",",_xlfn.CONCAT(Lines!AO37,","),FIND($A$2,Lines!AO37))-FIND($A$2,Lines!AO37)-LEN($A$2)-1))</f>
        <v/>
      </c>
      <c r="AP37" s="30" t="str">
        <f>IF(ISERROR(FIND($A$2,Lines!AP37))=TRUE,"",MID(Lines!AP37,FIND($A$2,Lines!AP37)+LEN($A$2)+1,FIND(",",_xlfn.CONCAT(Lines!AP37,","),FIND($A$2,Lines!AP37))-FIND($A$2,Lines!AP37)-LEN($A$2)-1))</f>
        <v/>
      </c>
      <c r="AQ37" s="30" t="str">
        <f>IF(ISERROR(FIND($A$2,Lines!AQ37))=TRUE,"",MID(Lines!AQ37,FIND($A$2,Lines!AQ37)+LEN($A$2)+1,FIND(",",_xlfn.CONCAT(Lines!AQ37,","),FIND($A$2,Lines!AQ37))-FIND($A$2,Lines!AQ37)-LEN($A$2)-1))</f>
        <v/>
      </c>
      <c r="AR37" s="30" t="str">
        <f>IF(ISERROR(FIND($A$2,Lines!AR37))=TRUE,"",MID(Lines!AR37,FIND($A$2,Lines!AR37)+LEN($A$2)+1,FIND(",",_xlfn.CONCAT(Lines!AR37,","),FIND($A$2,Lines!AR37))-FIND($A$2,Lines!AR37)-LEN($A$2)-1))</f>
        <v/>
      </c>
      <c r="AS37" s="30" t="str">
        <f>IF(ISERROR(FIND($A$2,Lines!AS37))=TRUE,"",MID(Lines!AS37,FIND($A$2,Lines!AS37)+LEN($A$2)+1,FIND(",",_xlfn.CONCAT(Lines!AS37,","),FIND($A$2,Lines!AS37))-FIND($A$2,Lines!AS37)-LEN($A$2)-1))</f>
        <v/>
      </c>
      <c r="AT37" s="30" t="str">
        <f>IF(ISERROR(FIND($A$2,Lines!AT37))=TRUE,"",MID(Lines!AT37,FIND($A$2,Lines!AT37)+LEN($A$2)+1,FIND(",",_xlfn.CONCAT(Lines!AT37,","),FIND($A$2,Lines!AT37))-FIND($A$2,Lines!AT37)-LEN($A$2)-1))</f>
        <v/>
      </c>
    </row>
    <row r="38" spans="1:46" ht="20.25" customHeight="1">
      <c r="A38" s="2" t="s">
        <v>86</v>
      </c>
      <c r="B38" s="30" t="str">
        <f>IF(ISERROR(FIND($A$2,Lines!B38))=TRUE,"",MID(Lines!B38,FIND($A$2,Lines!B38)+LEN($A$2)+1,FIND(",",_xlfn.CONCAT(Lines!B38,","),FIND($A$2,Lines!B38))-FIND($A$2,Lines!B38)-LEN($A$2)-1))</f>
        <v/>
      </c>
      <c r="C38" s="30" t="str">
        <f>IF(ISERROR(FIND($A$2,Lines!C38))=TRUE,"",MID(Lines!C38,FIND($A$2,Lines!C38)+LEN($A$2)+1,FIND(",",_xlfn.CONCAT(Lines!C38,","),FIND($A$2,Lines!C38))-FIND($A$2,Lines!C38)-LEN($A$2)-1))</f>
        <v/>
      </c>
      <c r="D38" s="30" t="str">
        <f>IF(ISERROR(FIND($A$2,Lines!D38))=TRUE,"",MID(Lines!D38,FIND($A$2,Lines!D38)+LEN($A$2)+1,FIND(",",_xlfn.CONCAT(Lines!D38,","),FIND($A$2,Lines!D38))-FIND($A$2,Lines!D38)-LEN($A$2)-1))</f>
        <v/>
      </c>
      <c r="E38" s="30" t="str">
        <f>IF(ISERROR(FIND($A$2,Lines!E38))=TRUE,"",MID(Lines!E38,FIND($A$2,Lines!E38)+LEN($A$2)+1,FIND(",",_xlfn.CONCAT(Lines!E38,","),FIND($A$2,Lines!E38))-FIND($A$2,Lines!E38)-LEN($A$2)-1))</f>
        <v/>
      </c>
      <c r="F38" s="30" t="str">
        <f>IF(ISERROR(FIND($A$2,Lines!F38))=TRUE,"",MID(Lines!F38,FIND($A$2,Lines!F38)+LEN($A$2)+1,FIND(",",_xlfn.CONCAT(Lines!F38,","),FIND($A$2,Lines!F38))-FIND($A$2,Lines!F38)-LEN($A$2)-1))</f>
        <v/>
      </c>
      <c r="G38" s="30" t="str">
        <f>IF(ISERROR(FIND($A$2,Lines!G38))=TRUE,"",MID(Lines!G38,FIND($A$2,Lines!G38)+LEN($A$2)+1,FIND(",",_xlfn.CONCAT(Lines!G38,","),FIND($A$2,Lines!G38))-FIND($A$2,Lines!G38)-LEN($A$2)-1))</f>
        <v/>
      </c>
      <c r="H38" s="30" t="str">
        <f>IF(ISERROR(FIND($A$2,Lines!H38))=TRUE,"",MID(Lines!H38,FIND($A$2,Lines!H38)+LEN($A$2)+1,FIND(",",_xlfn.CONCAT(Lines!H38,","),FIND($A$2,Lines!H38))-FIND($A$2,Lines!H38)-LEN($A$2)-1))</f>
        <v/>
      </c>
      <c r="I38" s="30" t="str">
        <f>IF(ISERROR(FIND($A$2,Lines!I38))=TRUE,"",MID(Lines!I38,FIND($A$2,Lines!I38)+LEN($A$2)+1,FIND(",",_xlfn.CONCAT(Lines!I38,","),FIND($A$2,Lines!I38))-FIND($A$2,Lines!I38)-LEN($A$2)-1))</f>
        <v/>
      </c>
      <c r="J38" s="30" t="str">
        <f>IF(ISERROR(FIND($A$2,Lines!J38))=TRUE,"",MID(Lines!J38,FIND($A$2,Lines!J38)+LEN($A$2)+1,FIND(",",_xlfn.CONCAT(Lines!J38,","),FIND($A$2,Lines!J38))-FIND($A$2,Lines!J38)-LEN($A$2)-1))</f>
        <v/>
      </c>
      <c r="K38" s="30" t="str">
        <f>IF(ISERROR(FIND($A$2,Lines!K38))=TRUE,"",MID(Lines!K38,FIND($A$2,Lines!K38)+LEN($A$2)+1,FIND(",",_xlfn.CONCAT(Lines!K38,","),FIND($A$2,Lines!K38))-FIND($A$2,Lines!K38)-LEN($A$2)-1))</f>
        <v/>
      </c>
      <c r="L38" s="30" t="str">
        <f>IF(ISERROR(FIND($A$2,Lines!L38))=TRUE,"",MID(Lines!L38,FIND($A$2,Lines!L38)+LEN($A$2)+1,FIND(",",_xlfn.CONCAT(Lines!L38,","),FIND($A$2,Lines!L38))-FIND($A$2,Lines!L38)-LEN($A$2)-1))</f>
        <v/>
      </c>
      <c r="M38" s="30" t="str">
        <f>IF(ISERROR(FIND($A$2,Lines!M38))=TRUE,"",MID(Lines!M38,FIND($A$2,Lines!M38)+LEN($A$2)+1,FIND(",",_xlfn.CONCAT(Lines!M38,","),FIND($A$2,Lines!M38))-FIND($A$2,Lines!M38)-LEN($A$2)-1))</f>
        <v/>
      </c>
      <c r="N38" s="30" t="str">
        <f>IF(ISERROR(FIND($A$2,Lines!N38))=TRUE,"",MID(Lines!N38,FIND($A$2,Lines!N38)+LEN($A$2)+1,FIND(",",_xlfn.CONCAT(Lines!N38,","),FIND($A$2,Lines!N38))-FIND($A$2,Lines!N38)-LEN($A$2)-1))</f>
        <v/>
      </c>
      <c r="O38" s="45" t="str">
        <f>IF(ISERROR(FIND($A$2,Lines!O38))=TRUE,"",MID(Lines!O38,FIND($A$2,Lines!O38)+LEN($A$2)+1,FIND(",",_xlfn.CONCAT(Lines!O38,","),FIND($A$2,Lines!O38))-FIND($A$2,Lines!O38)-LEN($A$2)-1))</f>
        <v/>
      </c>
      <c r="P38" s="30" t="str">
        <f>IF(ISERROR(FIND($A$2,Lines!P38))=TRUE,"",MID(Lines!P38,FIND($A$2,Lines!P38)+LEN($A$2)+1,FIND(",",_xlfn.CONCAT(Lines!P38,","),FIND($A$2,Lines!P38))-FIND($A$2,Lines!P38)-LEN($A$2)-1))</f>
        <v/>
      </c>
      <c r="Q38" s="30" t="str">
        <f>IF(ISERROR(FIND($A$2,Lines!Q38))=TRUE,"",MID(Lines!Q38,FIND($A$2,Lines!Q38)+LEN($A$2)+1,FIND(",",_xlfn.CONCAT(Lines!Q38,","),FIND($A$2,Lines!Q38))-FIND($A$2,Lines!Q38)-LEN($A$2)-1))</f>
        <v/>
      </c>
      <c r="R38" s="30" t="str">
        <f>IF(ISERROR(FIND($A$2,Lines!R38))=TRUE,"",MID(Lines!R38,FIND($A$2,Lines!R38)+LEN($A$2)+1,FIND(",",_xlfn.CONCAT(Lines!R38,","),FIND($A$2,Lines!R38))-FIND($A$2,Lines!R38)-LEN($A$2)-1))</f>
        <v/>
      </c>
      <c r="S38" s="30" t="str">
        <f>IF(ISERROR(FIND($A$2,Lines!S38))=TRUE,"",MID(Lines!S38,FIND($A$2,Lines!S38)+LEN($A$2)+1,FIND(",",_xlfn.CONCAT(Lines!S38,","),FIND($A$2,Lines!S38))-FIND($A$2,Lines!S38)-LEN($A$2)-1))</f>
        <v/>
      </c>
      <c r="T38" s="30" t="str">
        <f>IF(ISERROR(FIND($A$2,Lines!T38))=TRUE,"",MID(Lines!T38,FIND($A$2,Lines!T38)+LEN($A$2)+1,FIND(",",_xlfn.CONCAT(Lines!T38,","),FIND($A$2,Lines!T38))-FIND($A$2,Lines!T38)-LEN($A$2)-1))</f>
        <v/>
      </c>
      <c r="U38" s="30" t="str">
        <f>IF(ISERROR(FIND($A$2,Lines!U38))=TRUE,"",MID(Lines!U38,FIND($A$2,Lines!U38)+LEN($A$2)+1,FIND(",",_xlfn.CONCAT(Lines!U38,","),FIND($A$2,Lines!U38))-FIND($A$2,Lines!U38)-LEN($A$2)-1))</f>
        <v/>
      </c>
      <c r="V38" s="30" t="str">
        <f>IF(ISERROR(FIND($A$2,Lines!V38))=TRUE,"",MID(Lines!V38,FIND($A$2,Lines!V38)+LEN($A$2)+1,FIND(",",_xlfn.CONCAT(Lines!V38,","),FIND($A$2,Lines!V38))-FIND($A$2,Lines!V38)-LEN($A$2)-1))</f>
        <v/>
      </c>
      <c r="W38" s="36" t="str">
        <f>IF(ISERROR(FIND($A$2,Lines!W38))=TRUE,"",MID(Lines!W38,FIND($A$2,Lines!W38)+LEN($A$2)+1,FIND(",",_xlfn.CONCAT(Lines!W38,","),FIND($A$2,Lines!W38))-FIND($A$2,Lines!W38)-LEN($A$2)-1))</f>
        <v/>
      </c>
      <c r="X38" s="30" t="str">
        <f>IF(ISERROR(FIND($A$2,Lines!X38))=TRUE,"",MID(Lines!X38,FIND($A$2,Lines!X38)+LEN($A$2)+1,FIND(",",_xlfn.CONCAT(Lines!X38,","),FIND($A$2,Lines!X38))-FIND($A$2,Lines!X38)-LEN($A$2)-1))</f>
        <v/>
      </c>
      <c r="Y38" s="30" t="str">
        <f>IF(ISERROR(FIND($A$2,Lines!Y38))=TRUE,"",MID(Lines!Y38,FIND($A$2,Lines!Y38)+LEN($A$2)+1,FIND(",",_xlfn.CONCAT(Lines!Y38,","),FIND($A$2,Lines!Y38))-FIND($A$2,Lines!Y38)-LEN($A$2)-1))</f>
        <v/>
      </c>
      <c r="Z38" s="30" t="str">
        <f>IF(ISERROR(FIND($A$2,Lines!Z38))=TRUE,"",MID(Lines!Z38,FIND($A$2,Lines!Z38)+LEN($A$2)+1,FIND(",",_xlfn.CONCAT(Lines!Z38,","),FIND($A$2,Lines!Z38))-FIND($A$2,Lines!Z38)-LEN($A$2)-1))</f>
        <v/>
      </c>
      <c r="AA38" s="30" t="str">
        <f>IF(ISERROR(FIND($A$2,Lines!AA38))=TRUE,"",MID(Lines!AA38,FIND($A$2,Lines!AA38)+LEN($A$2)+1,FIND(",",_xlfn.CONCAT(Lines!AA38,","),FIND($A$2,Lines!AA38))-FIND($A$2,Lines!AA38)-LEN($A$2)-1))</f>
        <v/>
      </c>
      <c r="AB38" s="30" t="str">
        <f>IF(ISERROR(FIND($A$2,Lines!AB38))=TRUE,"",MID(Lines!AB38,FIND($A$2,Lines!AB38)+LEN($A$2)+1,FIND(",",_xlfn.CONCAT(Lines!AB38,","),FIND($A$2,Lines!AB38))-FIND($A$2,Lines!AB38)-LEN($A$2)-1))</f>
        <v/>
      </c>
      <c r="AC38" s="30" t="str">
        <f>IF(ISERROR(FIND($A$2,Lines!AC38))=TRUE,"",MID(Lines!AC38,FIND($A$2,Lines!AC38)+LEN($A$2)+1,FIND(",",_xlfn.CONCAT(Lines!AC38,","),FIND($A$2,Lines!AC38))-FIND($A$2,Lines!AC38)-LEN($A$2)-1))</f>
        <v/>
      </c>
      <c r="AD38" s="30" t="str">
        <f>IF(ISERROR(FIND($A$2,Lines!AD38))=TRUE,"",MID(Lines!AD38,FIND($A$2,Lines!AD38)+LEN($A$2)+1,FIND(",",_xlfn.CONCAT(Lines!AD38,","),FIND($A$2,Lines!AD38))-FIND($A$2,Lines!AD38)-LEN($A$2)-1))</f>
        <v/>
      </c>
      <c r="AE38" s="55" t="str">
        <f>IF(ISERROR(FIND($A$2,Lines!AE38))=TRUE,"",MID(Lines!AE38,FIND($A$2,Lines!AE38)+LEN($A$2)+1,FIND(",",_xlfn.CONCAT(Lines!AE38,","),FIND($A$2,Lines!AE38))-FIND($A$2,Lines!AE38)-LEN($A$2)-1))</f>
        <v/>
      </c>
      <c r="AF38" s="56" t="str">
        <f>IF(ISERROR(FIND($A$2,Lines!AF38))=TRUE,"",MID(Lines!AF38,FIND($A$2,Lines!AF38)+LEN($A$2)+1,FIND(",",_xlfn.CONCAT(Lines!AF38,","),FIND($A$2,Lines!AF38))-FIND($A$2,Lines!AF38)-LEN($A$2)-1))</f>
        <v/>
      </c>
      <c r="AG38" s="56" t="str">
        <f>IF(ISERROR(FIND($A$2,Lines!AG38))=TRUE,"",MID(Lines!AG38,FIND($A$2,Lines!AG38)+LEN($A$2)+1,FIND(",",_xlfn.CONCAT(Lines!AG38,","),FIND($A$2,Lines!AG38))-FIND($A$2,Lines!AG38)-LEN($A$2)-1))</f>
        <v/>
      </c>
      <c r="AH38" s="56" t="str">
        <f>IF(ISERROR(FIND($A$2,Lines!AH38))=TRUE,"",MID(Lines!AH38,FIND($A$2,Lines!AH38)+LEN($A$2)+1,FIND(",",_xlfn.CONCAT(Lines!AH38,","),FIND($A$2,Lines!AH38))-FIND($A$2,Lines!AH38)-LEN($A$2)-1))</f>
        <v/>
      </c>
      <c r="AI38" s="56" t="str">
        <f>IF(ISERROR(FIND($A$2,Lines!AI38))=TRUE,"",MID(Lines!AI38,FIND($A$2,Lines!AI38)+LEN($A$2)+1,FIND(",",_xlfn.CONCAT(Lines!AI38,","),FIND($A$2,Lines!AI38))-FIND($A$2,Lines!AI38)-LEN($A$2)-1))</f>
        <v/>
      </c>
      <c r="AJ38" s="67" t="str">
        <f>IF(ISERROR(FIND($A$2,Lines!AJ38))=TRUE,"",MID(Lines!AJ38,FIND($A$2,Lines!AJ38)+LEN($A$2)+1,FIND(",",_xlfn.CONCAT(Lines!AJ38,","),FIND($A$2,Lines!AJ38))-FIND($A$2,Lines!AJ38)-LEN($A$2)-1))</f>
        <v/>
      </c>
      <c r="AK38" s="30" t="str">
        <f>IF(ISERROR(FIND($A$2,Lines!AK38))=TRUE,"",MID(Lines!AK38,FIND($A$2,Lines!AK38)+LEN($A$2)+1,FIND(",",_xlfn.CONCAT(Lines!AK38,","),FIND($A$2,Lines!AK38))-FIND($A$2,Lines!AK38)-LEN($A$2)-1))</f>
        <v/>
      </c>
      <c r="AL38" s="30" t="str">
        <f>IF(ISERROR(FIND($A$2,Lines!AL38))=TRUE,"",MID(Lines!AL38,FIND($A$2,Lines!AL38)+LEN($A$2)+1,FIND(",",_xlfn.CONCAT(Lines!AL38,","),FIND($A$2,Lines!AL38))-FIND($A$2,Lines!AL38)-LEN($A$2)-1))</f>
        <v/>
      </c>
      <c r="AM38" s="30" t="str">
        <f>IF(ISERROR(FIND($A$2,Lines!AM38))=TRUE,"",MID(Lines!AM38,FIND($A$2,Lines!AM38)+LEN($A$2)+1,FIND(",",_xlfn.CONCAT(Lines!AM38,","),FIND($A$2,Lines!AM38))-FIND($A$2,Lines!AM38)-LEN($A$2)-1))</f>
        <v/>
      </c>
      <c r="AN38" s="30" t="str">
        <f>IF(ISERROR(FIND($A$2,Lines!AN38))=TRUE,"",MID(Lines!AN38,FIND($A$2,Lines!AN38)+LEN($A$2)+1,FIND(",",_xlfn.CONCAT(Lines!AN38,","),FIND($A$2,Lines!AN38))-FIND($A$2,Lines!AN38)-LEN($A$2)-1))</f>
        <v/>
      </c>
      <c r="AO38" s="30" t="str">
        <f>IF(ISERROR(FIND($A$2,Lines!AO38))=TRUE,"",MID(Lines!AO38,FIND($A$2,Lines!AO38)+LEN($A$2)+1,FIND(",",_xlfn.CONCAT(Lines!AO38,","),FIND($A$2,Lines!AO38))-FIND($A$2,Lines!AO38)-LEN($A$2)-1))</f>
        <v/>
      </c>
      <c r="AP38" s="30" t="str">
        <f>IF(ISERROR(FIND($A$2,Lines!AP38))=TRUE,"",MID(Lines!AP38,FIND($A$2,Lines!AP38)+LEN($A$2)+1,FIND(",",_xlfn.CONCAT(Lines!AP38,","),FIND($A$2,Lines!AP38))-FIND($A$2,Lines!AP38)-LEN($A$2)-1))</f>
        <v/>
      </c>
      <c r="AQ38" s="30" t="str">
        <f>IF(ISERROR(FIND($A$2,Lines!AQ38))=TRUE,"",MID(Lines!AQ38,FIND($A$2,Lines!AQ38)+LEN($A$2)+1,FIND(",",_xlfn.CONCAT(Lines!AQ38,","),FIND($A$2,Lines!AQ38))-FIND($A$2,Lines!AQ38)-LEN($A$2)-1))</f>
        <v/>
      </c>
      <c r="AR38" s="30" t="str">
        <f>IF(ISERROR(FIND($A$2,Lines!AR38))=TRUE,"",MID(Lines!AR38,FIND($A$2,Lines!AR38)+LEN($A$2)+1,FIND(",",_xlfn.CONCAT(Lines!AR38,","),FIND($A$2,Lines!AR38))-FIND($A$2,Lines!AR38)-LEN($A$2)-1))</f>
        <v/>
      </c>
      <c r="AS38" s="30" t="str">
        <f>IF(ISERROR(FIND($A$2,Lines!AS38))=TRUE,"",MID(Lines!AS38,FIND($A$2,Lines!AS38)+LEN($A$2)+1,FIND(",",_xlfn.CONCAT(Lines!AS38,","),FIND($A$2,Lines!AS38))-FIND($A$2,Lines!AS38)-LEN($A$2)-1))</f>
        <v/>
      </c>
      <c r="AT38" s="30" t="str">
        <f>IF(ISERROR(FIND($A$2,Lines!AT38))=TRUE,"",MID(Lines!AT38,FIND($A$2,Lines!AT38)+LEN($A$2)+1,FIND(",",_xlfn.CONCAT(Lines!AT38,","),FIND($A$2,Lines!AT38))-FIND($A$2,Lines!AT38)-LEN($A$2)-1))</f>
        <v/>
      </c>
    </row>
    <row r="39" spans="1:46" ht="20.25" customHeight="1">
      <c r="A39" s="2" t="s">
        <v>87</v>
      </c>
      <c r="B39" s="30" t="str">
        <f>IF(ISERROR(FIND($A$2,Lines!B39))=TRUE,"",MID(Lines!B39,FIND($A$2,Lines!B39)+LEN($A$2)+1,FIND(",",_xlfn.CONCAT(Lines!B39,","),FIND($A$2,Lines!B39))-FIND($A$2,Lines!B39)-LEN($A$2)-1))</f>
        <v/>
      </c>
      <c r="C39" s="30" t="str">
        <f>IF(ISERROR(FIND($A$2,Lines!C39))=TRUE,"",MID(Lines!C39,FIND($A$2,Lines!C39)+LEN($A$2)+1,FIND(",",_xlfn.CONCAT(Lines!C39,","),FIND($A$2,Lines!C39))-FIND($A$2,Lines!C39)-LEN($A$2)-1))</f>
        <v/>
      </c>
      <c r="D39" s="30" t="str">
        <f>IF(ISERROR(FIND($A$2,Lines!D39))=TRUE,"",MID(Lines!D39,FIND($A$2,Lines!D39)+LEN($A$2)+1,FIND(",",_xlfn.CONCAT(Lines!D39,","),FIND($A$2,Lines!D39))-FIND($A$2,Lines!D39)-LEN($A$2)-1))</f>
        <v/>
      </c>
      <c r="E39" s="30" t="str">
        <f>IF(ISERROR(FIND($A$2,Lines!E39))=TRUE,"",MID(Lines!E39,FIND($A$2,Lines!E39)+LEN($A$2)+1,FIND(",",_xlfn.CONCAT(Lines!E39,","),FIND($A$2,Lines!E39))-FIND($A$2,Lines!E39)-LEN($A$2)-1))</f>
        <v/>
      </c>
      <c r="F39" s="30" t="str">
        <f>IF(ISERROR(FIND($A$2,Lines!F39))=TRUE,"",MID(Lines!F39,FIND($A$2,Lines!F39)+LEN($A$2)+1,FIND(",",_xlfn.CONCAT(Lines!F39,","),FIND($A$2,Lines!F39))-FIND($A$2,Lines!F39)-LEN($A$2)-1))</f>
        <v/>
      </c>
      <c r="G39" s="30" t="str">
        <f>IF(ISERROR(FIND($A$2,Lines!G39))=TRUE,"",MID(Lines!G39,FIND($A$2,Lines!G39)+LEN($A$2)+1,FIND(",",_xlfn.CONCAT(Lines!G39,","),FIND($A$2,Lines!G39))-FIND($A$2,Lines!G39)-LEN($A$2)-1))</f>
        <v/>
      </c>
      <c r="H39" s="30" t="str">
        <f>IF(ISERROR(FIND($A$2,Lines!H39))=TRUE,"",MID(Lines!H39,FIND($A$2,Lines!H39)+LEN($A$2)+1,FIND(",",_xlfn.CONCAT(Lines!H39,","),FIND($A$2,Lines!H39))-FIND($A$2,Lines!H39)-LEN($A$2)-1))</f>
        <v/>
      </c>
      <c r="I39" s="30" t="str">
        <f>IF(ISERROR(FIND($A$2,Lines!I39))=TRUE,"",MID(Lines!I39,FIND($A$2,Lines!I39)+LEN($A$2)+1,FIND(",",_xlfn.CONCAT(Lines!I39,","),FIND($A$2,Lines!I39))-FIND($A$2,Lines!I39)-LEN($A$2)-1))</f>
        <v/>
      </c>
      <c r="J39" s="30" t="str">
        <f>IF(ISERROR(FIND($A$2,Lines!J39))=TRUE,"",MID(Lines!J39,FIND($A$2,Lines!J39)+LEN($A$2)+1,FIND(",",_xlfn.CONCAT(Lines!J39,","),FIND($A$2,Lines!J39))-FIND($A$2,Lines!J39)-LEN($A$2)-1))</f>
        <v/>
      </c>
      <c r="K39" s="30" t="str">
        <f>IF(ISERROR(FIND($A$2,Lines!K39))=TRUE,"",MID(Lines!K39,FIND($A$2,Lines!K39)+LEN($A$2)+1,FIND(",",_xlfn.CONCAT(Lines!K39,","),FIND($A$2,Lines!K39))-FIND($A$2,Lines!K39)-LEN($A$2)-1))</f>
        <v/>
      </c>
      <c r="L39" s="30" t="str">
        <f>IF(ISERROR(FIND($A$2,Lines!L39))=TRUE,"",MID(Lines!L39,FIND($A$2,Lines!L39)+LEN($A$2)+1,FIND(",",_xlfn.CONCAT(Lines!L39,","),FIND($A$2,Lines!L39))-FIND($A$2,Lines!L39)-LEN($A$2)-1))</f>
        <v/>
      </c>
      <c r="M39" s="30" t="str">
        <f>IF(ISERROR(FIND($A$2,Lines!M39))=TRUE,"",MID(Lines!M39,FIND($A$2,Lines!M39)+LEN($A$2)+1,FIND(",",_xlfn.CONCAT(Lines!M39,","),FIND($A$2,Lines!M39))-FIND($A$2,Lines!M39)-LEN($A$2)-1))</f>
        <v/>
      </c>
      <c r="N39" s="30" t="str">
        <f>IF(ISERROR(FIND($A$2,Lines!N39))=TRUE,"",MID(Lines!N39,FIND($A$2,Lines!N39)+LEN($A$2)+1,FIND(",",_xlfn.CONCAT(Lines!N39,","),FIND($A$2,Lines!N39))-FIND($A$2,Lines!N39)-LEN($A$2)-1))</f>
        <v/>
      </c>
      <c r="O39" s="30" t="str">
        <f>IF(ISERROR(FIND($A$2,Lines!O39))=TRUE,"",MID(Lines!O39,FIND($A$2,Lines!O39)+LEN($A$2)+1,FIND(",",_xlfn.CONCAT(Lines!O39,","),FIND($A$2,Lines!O39))-FIND($A$2,Lines!O39)-LEN($A$2)-1))</f>
        <v/>
      </c>
      <c r="P39" s="30" t="str">
        <f>IF(ISERROR(FIND($A$2,Lines!P39))=TRUE,"",MID(Lines!P39,FIND($A$2,Lines!P39)+LEN($A$2)+1,FIND(",",_xlfn.CONCAT(Lines!P39,","),FIND($A$2,Lines!P39))-FIND($A$2,Lines!P39)-LEN($A$2)-1))</f>
        <v/>
      </c>
      <c r="Q39" s="30" t="str">
        <f>IF(ISERROR(FIND($A$2,Lines!Q39))=TRUE,"",MID(Lines!Q39,FIND($A$2,Lines!Q39)+LEN($A$2)+1,FIND(",",_xlfn.CONCAT(Lines!Q39,","),FIND($A$2,Lines!Q39))-FIND($A$2,Lines!Q39)-LEN($A$2)-1))</f>
        <v/>
      </c>
      <c r="R39" s="30" t="str">
        <f>IF(ISERROR(FIND($A$2,Lines!R39))=TRUE,"",MID(Lines!R39,FIND($A$2,Lines!R39)+LEN($A$2)+1,FIND(",",_xlfn.CONCAT(Lines!R39,","),FIND($A$2,Lines!R39))-FIND($A$2,Lines!R39)-LEN($A$2)-1))</f>
        <v/>
      </c>
      <c r="S39" s="30" t="str">
        <f>IF(ISERROR(FIND($A$2,Lines!S39))=TRUE,"",MID(Lines!S39,FIND($A$2,Lines!S39)+LEN($A$2)+1,FIND(",",_xlfn.CONCAT(Lines!S39,","),FIND($A$2,Lines!S39))-FIND($A$2,Lines!S39)-LEN($A$2)-1))</f>
        <v/>
      </c>
      <c r="T39" s="30" t="str">
        <f>IF(ISERROR(FIND($A$2,Lines!T39))=TRUE,"",MID(Lines!T39,FIND($A$2,Lines!T39)+LEN($A$2)+1,FIND(",",_xlfn.CONCAT(Lines!T39,","),FIND($A$2,Lines!T39))-FIND($A$2,Lines!T39)-LEN($A$2)-1))</f>
        <v/>
      </c>
      <c r="U39" s="30" t="str">
        <f>IF(ISERROR(FIND($A$2,Lines!U39))=TRUE,"",MID(Lines!U39,FIND($A$2,Lines!U39)+LEN($A$2)+1,FIND(",",_xlfn.CONCAT(Lines!U39,","),FIND($A$2,Lines!U39))-FIND($A$2,Lines!U39)-LEN($A$2)-1))</f>
        <v/>
      </c>
      <c r="V39" s="30" t="str">
        <f>IF(ISERROR(FIND($A$2,Lines!V39))=TRUE,"",MID(Lines!V39,FIND($A$2,Lines!V39)+LEN($A$2)+1,FIND(",",_xlfn.CONCAT(Lines!V39,","),FIND($A$2,Lines!V39))-FIND($A$2,Lines!V39)-LEN($A$2)-1))</f>
        <v/>
      </c>
      <c r="W39" s="36" t="str">
        <f>IF(ISERROR(FIND($A$2,Lines!W39))=TRUE,"",MID(Lines!W39,FIND($A$2,Lines!W39)+LEN($A$2)+1,FIND(",",_xlfn.CONCAT(Lines!W39,","),FIND($A$2,Lines!W39))-FIND($A$2,Lines!W39)-LEN($A$2)-1))</f>
        <v/>
      </c>
      <c r="X39" s="30" t="str">
        <f>IF(ISERROR(FIND($A$2,Lines!X39))=TRUE,"",MID(Lines!X39,FIND($A$2,Lines!X39)+LEN($A$2)+1,FIND(",",_xlfn.CONCAT(Lines!X39,","),FIND($A$2,Lines!X39))-FIND($A$2,Lines!X39)-LEN($A$2)-1))</f>
        <v/>
      </c>
      <c r="Y39" s="30" t="str">
        <f>IF(ISERROR(FIND($A$2,Lines!Y39))=TRUE,"",MID(Lines!Y39,FIND($A$2,Lines!Y39)+LEN($A$2)+1,FIND(",",_xlfn.CONCAT(Lines!Y39,","),FIND($A$2,Lines!Y39))-FIND($A$2,Lines!Y39)-LEN($A$2)-1))</f>
        <v/>
      </c>
      <c r="Z39" s="30" t="str">
        <f>IF(ISERROR(FIND($A$2,Lines!Z39))=TRUE,"",MID(Lines!Z39,FIND($A$2,Lines!Z39)+LEN($A$2)+1,FIND(",",_xlfn.CONCAT(Lines!Z39,","),FIND($A$2,Lines!Z39))-FIND($A$2,Lines!Z39)-LEN($A$2)-1))</f>
        <v/>
      </c>
      <c r="AA39" s="30" t="str">
        <f>IF(ISERROR(FIND($A$2,Lines!AA39))=TRUE,"",MID(Lines!AA39,FIND($A$2,Lines!AA39)+LEN($A$2)+1,FIND(",",_xlfn.CONCAT(Lines!AA39,","),FIND($A$2,Lines!AA39))-FIND($A$2,Lines!AA39)-LEN($A$2)-1))</f>
        <v/>
      </c>
      <c r="AB39" s="30" t="str">
        <f>IF(ISERROR(FIND($A$2,Lines!AB39))=TRUE,"",MID(Lines!AB39,FIND($A$2,Lines!AB39)+LEN($A$2)+1,FIND(",",_xlfn.CONCAT(Lines!AB39,","),FIND($A$2,Lines!AB39))-FIND($A$2,Lines!AB39)-LEN($A$2)-1))</f>
        <v/>
      </c>
      <c r="AC39" s="30" t="str">
        <f>IF(ISERROR(FIND($A$2,Lines!AC39))=TRUE,"",MID(Lines!AC39,FIND($A$2,Lines!AC39)+LEN($A$2)+1,FIND(",",_xlfn.CONCAT(Lines!AC39,","),FIND($A$2,Lines!AC39))-FIND($A$2,Lines!AC39)-LEN($A$2)-1))</f>
        <v/>
      </c>
      <c r="AD39" s="30" t="str">
        <f>IF(ISERROR(FIND($A$2,Lines!AD39))=TRUE,"",MID(Lines!AD39,FIND($A$2,Lines!AD39)+LEN($A$2)+1,FIND(",",_xlfn.CONCAT(Lines!AD39,","),FIND($A$2,Lines!AD39))-FIND($A$2,Lines!AD39)-LEN($A$2)-1))</f>
        <v/>
      </c>
      <c r="AE39" s="30" t="str">
        <f>IF(ISERROR(FIND($A$2,Lines!AE39))=TRUE,"",MID(Lines!AE39,FIND($A$2,Lines!AE39)+LEN($A$2)+1,FIND(",",_xlfn.CONCAT(Lines!AE39,","),FIND($A$2,Lines!AE39))-FIND($A$2,Lines!AE39)-LEN($A$2)-1))</f>
        <v/>
      </c>
      <c r="AF39" s="30" t="str">
        <f>IF(ISERROR(FIND($A$2,Lines!AF39))=TRUE,"",MID(Lines!AF39,FIND($A$2,Lines!AF39)+LEN($A$2)+1,FIND(",",_xlfn.CONCAT(Lines!AF39,","),FIND($A$2,Lines!AF39))-FIND($A$2,Lines!AF39)-LEN($A$2)-1))</f>
        <v/>
      </c>
      <c r="AG39" s="30" t="str">
        <f>IF(ISERROR(FIND($A$2,Lines!AG39))=TRUE,"",MID(Lines!AG39,FIND($A$2,Lines!AG39)+LEN($A$2)+1,FIND(",",_xlfn.CONCAT(Lines!AG39,","),FIND($A$2,Lines!AG39))-FIND($A$2,Lines!AG39)-LEN($A$2)-1))</f>
        <v/>
      </c>
      <c r="AH39" s="30" t="str">
        <f>IF(ISERROR(FIND($A$2,Lines!AH39))=TRUE,"",MID(Lines!AH39,FIND($A$2,Lines!AH39)+LEN($A$2)+1,FIND(",",_xlfn.CONCAT(Lines!AH39,","),FIND($A$2,Lines!AH39))-FIND($A$2,Lines!AH39)-LEN($A$2)-1))</f>
        <v/>
      </c>
      <c r="AI39" s="30" t="str">
        <f>IF(ISERROR(FIND($A$2,Lines!AI39))=TRUE,"",MID(Lines!AI39,FIND($A$2,Lines!AI39)+LEN($A$2)+1,FIND(",",_xlfn.CONCAT(Lines!AI39,","),FIND($A$2,Lines!AI39))-FIND($A$2,Lines!AI39)-LEN($A$2)-1))</f>
        <v/>
      </c>
      <c r="AJ39" s="30" t="str">
        <f>IF(ISERROR(FIND($A$2,Lines!AJ39))=TRUE,"",MID(Lines!AJ39,FIND($A$2,Lines!AJ39)+LEN($A$2)+1,FIND(",",_xlfn.CONCAT(Lines!AJ39,","),FIND($A$2,Lines!AJ39))-FIND($A$2,Lines!AJ39)-LEN($A$2)-1))</f>
        <v/>
      </c>
      <c r="AK39" s="65" t="str">
        <f>IF(ISERROR(FIND($A$2,Lines!AK39))=TRUE,"",MID(Lines!AK39,FIND($A$2,Lines!AK39)+LEN($A$2)+1,FIND(",",_xlfn.CONCAT(Lines!AK39,","),FIND($A$2,Lines!AK39))-FIND($A$2,Lines!AK39)-LEN($A$2)-1))</f>
        <v/>
      </c>
      <c r="AL39" s="50" t="str">
        <f>IF(ISERROR(FIND($A$2,Lines!AL39))=TRUE,"",MID(Lines!AL39,FIND($A$2,Lines!AL39)+LEN($A$2)+1,FIND(",",_xlfn.CONCAT(Lines!AL39,","),FIND($A$2,Lines!AL39))-FIND($A$2,Lines!AL39)-LEN($A$2)-1))</f>
        <v/>
      </c>
      <c r="AM39" s="50" t="str">
        <f>IF(ISERROR(FIND($A$2,Lines!AM39))=TRUE,"",MID(Lines!AM39,FIND($A$2,Lines!AM39)+LEN($A$2)+1,FIND(",",_xlfn.CONCAT(Lines!AM39,","),FIND($A$2,Lines!AM39))-FIND($A$2,Lines!AM39)-LEN($A$2)-1))</f>
        <v/>
      </c>
      <c r="AN39" s="50" t="str">
        <f>IF(ISERROR(FIND($A$2,Lines!AN39))=TRUE,"",MID(Lines!AN39,FIND($A$2,Lines!AN39)+LEN($A$2)+1,FIND(",",_xlfn.CONCAT(Lines!AN39,","),FIND($A$2,Lines!AN39))-FIND($A$2,Lines!AN39)-LEN($A$2)-1))</f>
        <v/>
      </c>
      <c r="AO39" s="60" t="str">
        <f>IF(ISERROR(FIND($A$2,Lines!AO39))=TRUE,"",MID(Lines!AO39,FIND($A$2,Lines!AO39)+LEN($A$2)+1,FIND(",",_xlfn.CONCAT(Lines!AO39,","),FIND($A$2,Lines!AO39))-FIND($A$2,Lines!AO39)-LEN($A$2)-1))</f>
        <v/>
      </c>
      <c r="AP39" s="30" t="str">
        <f>IF(ISERROR(FIND($A$2,Lines!AP39))=TRUE,"",MID(Lines!AP39,FIND($A$2,Lines!AP39)+LEN($A$2)+1,FIND(",",_xlfn.CONCAT(Lines!AP39,","),FIND($A$2,Lines!AP39))-FIND($A$2,Lines!AP39)-LEN($A$2)-1))</f>
        <v/>
      </c>
      <c r="AQ39" s="30" t="str">
        <f>IF(ISERROR(FIND($A$2,Lines!AQ39))=TRUE,"",MID(Lines!AQ39,FIND($A$2,Lines!AQ39)+LEN($A$2)+1,FIND(",",_xlfn.CONCAT(Lines!AQ39,","),FIND($A$2,Lines!AQ39))-FIND($A$2,Lines!AQ39)-LEN($A$2)-1))</f>
        <v/>
      </c>
      <c r="AR39" s="30" t="str">
        <f>IF(ISERROR(FIND($A$2,Lines!AR39))=TRUE,"",MID(Lines!AR39,FIND($A$2,Lines!AR39)+LEN($A$2)+1,FIND(",",_xlfn.CONCAT(Lines!AR39,","),FIND($A$2,Lines!AR39))-FIND($A$2,Lines!AR39)-LEN($A$2)-1))</f>
        <v/>
      </c>
      <c r="AS39" s="30" t="str">
        <f>IF(ISERROR(FIND($A$2,Lines!AS39))=TRUE,"",MID(Lines!AS39,FIND($A$2,Lines!AS39)+LEN($A$2)+1,FIND(",",_xlfn.CONCAT(Lines!AS39,","),FIND($A$2,Lines!AS39))-FIND($A$2,Lines!AS39)-LEN($A$2)-1))</f>
        <v/>
      </c>
      <c r="AT39" s="30" t="str">
        <f>IF(ISERROR(FIND($A$2,Lines!AT39))=TRUE,"",MID(Lines!AT39,FIND($A$2,Lines!AT39)+LEN($A$2)+1,FIND(",",_xlfn.CONCAT(Lines!AT39,","),FIND($A$2,Lines!AT39))-FIND($A$2,Lines!AT39)-LEN($A$2)-1))</f>
        <v/>
      </c>
    </row>
    <row r="40" spans="1:46" ht="20.25" customHeight="1">
      <c r="A40" s="2" t="s">
        <v>88</v>
      </c>
      <c r="B40" s="30" t="str">
        <f>IF(ISERROR(FIND($A$2,Lines!B40))=TRUE,"",MID(Lines!B40,FIND($A$2,Lines!B40)+LEN($A$2)+1,FIND(",",_xlfn.CONCAT(Lines!B40,","),FIND($A$2,Lines!B40))-FIND($A$2,Lines!B40)-LEN($A$2)-1))</f>
        <v/>
      </c>
      <c r="C40" s="30" t="str">
        <f>IF(ISERROR(FIND($A$2,Lines!C40))=TRUE,"",MID(Lines!C40,FIND($A$2,Lines!C40)+LEN($A$2)+1,FIND(",",_xlfn.CONCAT(Lines!C40,","),FIND($A$2,Lines!C40))-FIND($A$2,Lines!C40)-LEN($A$2)-1))</f>
        <v/>
      </c>
      <c r="D40" s="30" t="str">
        <f>IF(ISERROR(FIND($A$2,Lines!D40))=TRUE,"",MID(Lines!D40,FIND($A$2,Lines!D40)+LEN($A$2)+1,FIND(",",_xlfn.CONCAT(Lines!D40,","),FIND($A$2,Lines!D40))-FIND($A$2,Lines!D40)-LEN($A$2)-1))</f>
        <v/>
      </c>
      <c r="E40" s="30" t="str">
        <f>IF(ISERROR(FIND($A$2,Lines!E40))=TRUE,"",MID(Lines!E40,FIND($A$2,Lines!E40)+LEN($A$2)+1,FIND(",",_xlfn.CONCAT(Lines!E40,","),FIND($A$2,Lines!E40))-FIND($A$2,Lines!E40)-LEN($A$2)-1))</f>
        <v/>
      </c>
      <c r="F40" s="30" t="str">
        <f>IF(ISERROR(FIND($A$2,Lines!F40))=TRUE,"",MID(Lines!F40,FIND($A$2,Lines!F40)+LEN($A$2)+1,FIND(",",_xlfn.CONCAT(Lines!F40,","),FIND($A$2,Lines!F40))-FIND($A$2,Lines!F40)-LEN($A$2)-1))</f>
        <v/>
      </c>
      <c r="G40" s="30" t="str">
        <f>IF(ISERROR(FIND($A$2,Lines!G40))=TRUE,"",MID(Lines!G40,FIND($A$2,Lines!G40)+LEN($A$2)+1,FIND(",",_xlfn.CONCAT(Lines!G40,","),FIND($A$2,Lines!G40))-FIND($A$2,Lines!G40)-LEN($A$2)-1))</f>
        <v/>
      </c>
      <c r="H40" s="30" t="str">
        <f>IF(ISERROR(FIND($A$2,Lines!H40))=TRUE,"",MID(Lines!H40,FIND($A$2,Lines!H40)+LEN($A$2)+1,FIND(",",_xlfn.CONCAT(Lines!H40,","),FIND($A$2,Lines!H40))-FIND($A$2,Lines!H40)-LEN($A$2)-1))</f>
        <v/>
      </c>
      <c r="I40" s="30" t="str">
        <f>IF(ISERROR(FIND($A$2,Lines!I40))=TRUE,"",MID(Lines!I40,FIND($A$2,Lines!I40)+LEN($A$2)+1,FIND(",",_xlfn.CONCAT(Lines!I40,","),FIND($A$2,Lines!I40))-FIND($A$2,Lines!I40)-LEN($A$2)-1))</f>
        <v/>
      </c>
      <c r="J40" s="30" t="str">
        <f>IF(ISERROR(FIND($A$2,Lines!J40))=TRUE,"",MID(Lines!J40,FIND($A$2,Lines!J40)+LEN($A$2)+1,FIND(",",_xlfn.CONCAT(Lines!J40,","),FIND($A$2,Lines!J40))-FIND($A$2,Lines!J40)-LEN($A$2)-1))</f>
        <v/>
      </c>
      <c r="K40" s="30" t="str">
        <f>IF(ISERROR(FIND($A$2,Lines!K40))=TRUE,"",MID(Lines!K40,FIND($A$2,Lines!K40)+LEN($A$2)+1,FIND(",",_xlfn.CONCAT(Lines!K40,","),FIND($A$2,Lines!K40))-FIND($A$2,Lines!K40)-LEN($A$2)-1))</f>
        <v/>
      </c>
      <c r="L40" s="30" t="str">
        <f>IF(ISERROR(FIND($A$2,Lines!L40))=TRUE,"",MID(Lines!L40,FIND($A$2,Lines!L40)+LEN($A$2)+1,FIND(",",_xlfn.CONCAT(Lines!L40,","),FIND($A$2,Lines!L40))-FIND($A$2,Lines!L40)-LEN($A$2)-1))</f>
        <v/>
      </c>
      <c r="M40" s="30" t="str">
        <f>IF(ISERROR(FIND($A$2,Lines!M40))=TRUE,"",MID(Lines!M40,FIND($A$2,Lines!M40)+LEN($A$2)+1,FIND(",",_xlfn.CONCAT(Lines!M40,","),FIND($A$2,Lines!M40))-FIND($A$2,Lines!M40)-LEN($A$2)-1))</f>
        <v/>
      </c>
      <c r="N40" s="30" t="str">
        <f>IF(ISERROR(FIND($A$2,Lines!N40))=TRUE,"",MID(Lines!N40,FIND($A$2,Lines!N40)+LEN($A$2)+1,FIND(",",_xlfn.CONCAT(Lines!N40,","),FIND($A$2,Lines!N40))-FIND($A$2,Lines!N40)-LEN($A$2)-1))</f>
        <v/>
      </c>
      <c r="O40" s="30" t="str">
        <f>IF(ISERROR(FIND($A$2,Lines!O40))=TRUE,"",MID(Lines!O40,FIND($A$2,Lines!O40)+LEN($A$2)+1,FIND(",",_xlfn.CONCAT(Lines!O40,","),FIND($A$2,Lines!O40))-FIND($A$2,Lines!O40)-LEN($A$2)-1))</f>
        <v/>
      </c>
      <c r="P40" s="30" t="str">
        <f>IF(ISERROR(FIND($A$2,Lines!P40))=TRUE,"",MID(Lines!P40,FIND($A$2,Lines!P40)+LEN($A$2)+1,FIND(",",_xlfn.CONCAT(Lines!P40,","),FIND($A$2,Lines!P40))-FIND($A$2,Lines!P40)-LEN($A$2)-1))</f>
        <v/>
      </c>
      <c r="Q40" s="30" t="str">
        <f>IF(ISERROR(FIND($A$2,Lines!Q40))=TRUE,"",MID(Lines!Q40,FIND($A$2,Lines!Q40)+LEN($A$2)+1,FIND(",",_xlfn.CONCAT(Lines!Q40,","),FIND($A$2,Lines!Q40))-FIND($A$2,Lines!Q40)-LEN($A$2)-1))</f>
        <v/>
      </c>
      <c r="R40" s="30" t="str">
        <f>IF(ISERROR(FIND($A$2,Lines!R40))=TRUE,"",MID(Lines!R40,FIND($A$2,Lines!R40)+LEN($A$2)+1,FIND(",",_xlfn.CONCAT(Lines!R40,","),FIND($A$2,Lines!R40))-FIND($A$2,Lines!R40)-LEN($A$2)-1))</f>
        <v/>
      </c>
      <c r="S40" s="30" t="str">
        <f>IF(ISERROR(FIND($A$2,Lines!S40))=TRUE,"",MID(Lines!S40,FIND($A$2,Lines!S40)+LEN($A$2)+1,FIND(",",_xlfn.CONCAT(Lines!S40,","),FIND($A$2,Lines!S40))-FIND($A$2,Lines!S40)-LEN($A$2)-1))</f>
        <v/>
      </c>
      <c r="T40" s="30" t="str">
        <f>IF(ISERROR(FIND($A$2,Lines!T40))=TRUE,"",MID(Lines!T40,FIND($A$2,Lines!T40)+LEN($A$2)+1,FIND(",",_xlfn.CONCAT(Lines!T40,","),FIND($A$2,Lines!T40))-FIND($A$2,Lines!T40)-LEN($A$2)-1))</f>
        <v/>
      </c>
      <c r="U40" s="30" t="str">
        <f>IF(ISERROR(FIND($A$2,Lines!U40))=TRUE,"",MID(Lines!U40,FIND($A$2,Lines!U40)+LEN($A$2)+1,FIND(",",_xlfn.CONCAT(Lines!U40,","),FIND($A$2,Lines!U40))-FIND($A$2,Lines!U40)-LEN($A$2)-1))</f>
        <v/>
      </c>
      <c r="V40" s="30" t="str">
        <f>IF(ISERROR(FIND($A$2,Lines!V40))=TRUE,"",MID(Lines!V40,FIND($A$2,Lines!V40)+LEN($A$2)+1,FIND(",",_xlfn.CONCAT(Lines!V40,","),FIND($A$2,Lines!V40))-FIND($A$2,Lines!V40)-LEN($A$2)-1))</f>
        <v/>
      </c>
      <c r="W40" s="36" t="str">
        <f>IF(ISERROR(FIND($A$2,Lines!W40))=TRUE,"",MID(Lines!W40,FIND($A$2,Lines!W40)+LEN($A$2)+1,FIND(",",_xlfn.CONCAT(Lines!W40,","),FIND($A$2,Lines!W40))-FIND($A$2,Lines!W40)-LEN($A$2)-1))</f>
        <v/>
      </c>
      <c r="X40" s="30" t="str">
        <f>IF(ISERROR(FIND($A$2,Lines!X40))=TRUE,"",MID(Lines!X40,FIND($A$2,Lines!X40)+LEN($A$2)+1,FIND(",",_xlfn.CONCAT(Lines!X40,","),FIND($A$2,Lines!X40))-FIND($A$2,Lines!X40)-LEN($A$2)-1))</f>
        <v/>
      </c>
      <c r="Y40" s="30" t="str">
        <f>IF(ISERROR(FIND($A$2,Lines!Y40))=TRUE,"",MID(Lines!Y40,FIND($A$2,Lines!Y40)+LEN($A$2)+1,FIND(",",_xlfn.CONCAT(Lines!Y40,","),FIND($A$2,Lines!Y40))-FIND($A$2,Lines!Y40)-LEN($A$2)-1))</f>
        <v/>
      </c>
      <c r="Z40" s="30" t="str">
        <f>IF(ISERROR(FIND($A$2,Lines!Z40))=TRUE,"",MID(Lines!Z40,FIND($A$2,Lines!Z40)+LEN($A$2)+1,FIND(",",_xlfn.CONCAT(Lines!Z40,","),FIND($A$2,Lines!Z40))-FIND($A$2,Lines!Z40)-LEN($A$2)-1))</f>
        <v/>
      </c>
      <c r="AA40" s="30" t="str">
        <f>IF(ISERROR(FIND($A$2,Lines!AA40))=TRUE,"",MID(Lines!AA40,FIND($A$2,Lines!AA40)+LEN($A$2)+1,FIND(",",_xlfn.CONCAT(Lines!AA40,","),FIND($A$2,Lines!AA40))-FIND($A$2,Lines!AA40)-LEN($A$2)-1))</f>
        <v/>
      </c>
      <c r="AB40" s="30" t="str">
        <f>IF(ISERROR(FIND($A$2,Lines!AB40))=TRUE,"",MID(Lines!AB40,FIND($A$2,Lines!AB40)+LEN($A$2)+1,FIND(",",_xlfn.CONCAT(Lines!AB40,","),FIND($A$2,Lines!AB40))-FIND($A$2,Lines!AB40)-LEN($A$2)-1))</f>
        <v/>
      </c>
      <c r="AC40" s="30" t="str">
        <f>IF(ISERROR(FIND($A$2,Lines!AC40))=TRUE,"",MID(Lines!AC40,FIND($A$2,Lines!AC40)+LEN($A$2)+1,FIND(",",_xlfn.CONCAT(Lines!AC40,","),FIND($A$2,Lines!AC40))-FIND($A$2,Lines!AC40)-LEN($A$2)-1))</f>
        <v/>
      </c>
      <c r="AD40" s="30" t="str">
        <f>IF(ISERROR(FIND($A$2,Lines!AD40))=TRUE,"",MID(Lines!AD40,FIND($A$2,Lines!AD40)+LEN($A$2)+1,FIND(",",_xlfn.CONCAT(Lines!AD40,","),FIND($A$2,Lines!AD40))-FIND($A$2,Lines!AD40)-LEN($A$2)-1))</f>
        <v/>
      </c>
      <c r="AE40" s="30" t="str">
        <f>IF(ISERROR(FIND($A$2,Lines!AE40))=TRUE,"",MID(Lines!AE40,FIND($A$2,Lines!AE40)+LEN($A$2)+1,FIND(",",_xlfn.CONCAT(Lines!AE40,","),FIND($A$2,Lines!AE40))-FIND($A$2,Lines!AE40)-LEN($A$2)-1))</f>
        <v/>
      </c>
      <c r="AF40" s="30" t="str">
        <f>IF(ISERROR(FIND($A$2,Lines!AF40))=TRUE,"",MID(Lines!AF40,FIND($A$2,Lines!AF40)+LEN($A$2)+1,FIND(",",_xlfn.CONCAT(Lines!AF40,","),FIND($A$2,Lines!AF40))-FIND($A$2,Lines!AF40)-LEN($A$2)-1))</f>
        <v/>
      </c>
      <c r="AG40" s="30" t="str">
        <f>IF(ISERROR(FIND($A$2,Lines!AG40))=TRUE,"",MID(Lines!AG40,FIND($A$2,Lines!AG40)+LEN($A$2)+1,FIND(",",_xlfn.CONCAT(Lines!AG40,","),FIND($A$2,Lines!AG40))-FIND($A$2,Lines!AG40)-LEN($A$2)-1))</f>
        <v/>
      </c>
      <c r="AH40" s="30" t="str">
        <f>IF(ISERROR(FIND($A$2,Lines!AH40))=TRUE,"",MID(Lines!AH40,FIND($A$2,Lines!AH40)+LEN($A$2)+1,FIND(",",_xlfn.CONCAT(Lines!AH40,","),FIND($A$2,Lines!AH40))-FIND($A$2,Lines!AH40)-LEN($A$2)-1))</f>
        <v/>
      </c>
      <c r="AI40" s="30" t="str">
        <f>IF(ISERROR(FIND($A$2,Lines!AI40))=TRUE,"",MID(Lines!AI40,FIND($A$2,Lines!AI40)+LEN($A$2)+1,FIND(",",_xlfn.CONCAT(Lines!AI40,","),FIND($A$2,Lines!AI40))-FIND($A$2,Lines!AI40)-LEN($A$2)-1))</f>
        <v/>
      </c>
      <c r="AJ40" s="30" t="str">
        <f>IF(ISERROR(FIND($A$2,Lines!AJ40))=TRUE,"",MID(Lines!AJ40,FIND($A$2,Lines!AJ40)+LEN($A$2)+1,FIND(",",_xlfn.CONCAT(Lines!AJ40,","),FIND($A$2,Lines!AJ40))-FIND($A$2,Lines!AJ40)-LEN($A$2)-1))</f>
        <v/>
      </c>
      <c r="AK40" s="54" t="str">
        <f>IF(ISERROR(FIND($A$2,Lines!AK40))=TRUE,"",MID(Lines!AK40,FIND($A$2,Lines!AK40)+LEN($A$2)+1,FIND(",",_xlfn.CONCAT(Lines!AK40,","),FIND($A$2,Lines!AK40))-FIND($A$2,Lines!AK40)-LEN($A$2)-1))</f>
        <v/>
      </c>
      <c r="AL40" s="66" t="str">
        <f>IF(ISERROR(FIND($A$2,Lines!AL40))=TRUE,"",MID(Lines!AL40,FIND($A$2,Lines!AL40)+LEN($A$2)+1,FIND(",",_xlfn.CONCAT(Lines!AL40,","),FIND($A$2,Lines!AL40))-FIND($A$2,Lines!AL40)-LEN($A$2)-1))</f>
        <v/>
      </c>
      <c r="AM40" s="43" t="str">
        <f>IF(ISERROR(FIND($A$2,Lines!AM40))=TRUE,"",MID(Lines!AM40,FIND($A$2,Lines!AM40)+LEN($A$2)+1,FIND(",",_xlfn.CONCAT(Lines!AM40,","),FIND($A$2,Lines!AM40))-FIND($A$2,Lines!AM40)-LEN($A$2)-1))</f>
        <v/>
      </c>
      <c r="AN40" s="43" t="str">
        <f>IF(ISERROR(FIND($A$2,Lines!AN40))=TRUE,"",MID(Lines!AN40,FIND($A$2,Lines!AN40)+LEN($A$2)+1,FIND(",",_xlfn.CONCAT(Lines!AN40,","),FIND($A$2,Lines!AN40))-FIND($A$2,Lines!AN40)-LEN($A$2)-1))</f>
        <v/>
      </c>
      <c r="AO40" s="61" t="str">
        <f>IF(ISERROR(FIND($A$2,Lines!AO40))=TRUE,"",MID(Lines!AO40,FIND($A$2,Lines!AO40)+LEN($A$2)+1,FIND(",",_xlfn.CONCAT(Lines!AO40,","),FIND($A$2,Lines!AO40))-FIND($A$2,Lines!AO40)-LEN($A$2)-1))</f>
        <v/>
      </c>
      <c r="AP40" s="30" t="str">
        <f>IF(ISERROR(FIND($A$2,Lines!AP40))=TRUE,"",MID(Lines!AP40,FIND($A$2,Lines!AP40)+LEN($A$2)+1,FIND(",",_xlfn.CONCAT(Lines!AP40,","),FIND($A$2,Lines!AP40))-FIND($A$2,Lines!AP40)-LEN($A$2)-1))</f>
        <v/>
      </c>
      <c r="AQ40" s="30" t="str">
        <f>IF(ISERROR(FIND($A$2,Lines!AQ40))=TRUE,"",MID(Lines!AQ40,FIND($A$2,Lines!AQ40)+LEN($A$2)+1,FIND(",",_xlfn.CONCAT(Lines!AQ40,","),FIND($A$2,Lines!AQ40))-FIND($A$2,Lines!AQ40)-LEN($A$2)-1))</f>
        <v/>
      </c>
      <c r="AR40" s="30" t="str">
        <f>IF(ISERROR(FIND($A$2,Lines!AR40))=TRUE,"",MID(Lines!AR40,FIND($A$2,Lines!AR40)+LEN($A$2)+1,FIND(",",_xlfn.CONCAT(Lines!AR40,","),FIND($A$2,Lines!AR40))-FIND($A$2,Lines!AR40)-LEN($A$2)-1))</f>
        <v/>
      </c>
      <c r="AS40" s="30" t="str">
        <f>IF(ISERROR(FIND($A$2,Lines!AS40))=TRUE,"",MID(Lines!AS40,FIND($A$2,Lines!AS40)+LEN($A$2)+1,FIND(",",_xlfn.CONCAT(Lines!AS40,","),FIND($A$2,Lines!AS40))-FIND($A$2,Lines!AS40)-LEN($A$2)-1))</f>
        <v/>
      </c>
      <c r="AT40" s="30" t="str">
        <f>IF(ISERROR(FIND($A$2,Lines!AT40))=TRUE,"",MID(Lines!AT40,FIND($A$2,Lines!AT40)+LEN($A$2)+1,FIND(",",_xlfn.CONCAT(Lines!AT40,","),FIND($A$2,Lines!AT40))-FIND($A$2,Lines!AT40)-LEN($A$2)-1))</f>
        <v/>
      </c>
    </row>
    <row r="41" spans="1:46" ht="20.25" customHeight="1">
      <c r="A41" s="2" t="s">
        <v>89</v>
      </c>
      <c r="B41" s="30" t="str">
        <f>IF(ISERROR(FIND($A$2,Lines!B41))=TRUE,"",MID(Lines!B41,FIND($A$2,Lines!B41)+LEN($A$2)+1,FIND(",",_xlfn.CONCAT(Lines!B41,","),FIND($A$2,Lines!B41))-FIND($A$2,Lines!B41)-LEN($A$2)-1))</f>
        <v/>
      </c>
      <c r="C41" s="30" t="str">
        <f>IF(ISERROR(FIND($A$2,Lines!C41))=TRUE,"",MID(Lines!C41,FIND($A$2,Lines!C41)+LEN($A$2)+1,FIND(",",_xlfn.CONCAT(Lines!C41,","),FIND($A$2,Lines!C41))-FIND($A$2,Lines!C41)-LEN($A$2)-1))</f>
        <v/>
      </c>
      <c r="D41" s="30" t="str">
        <f>IF(ISERROR(FIND($A$2,Lines!D41))=TRUE,"",MID(Lines!D41,FIND($A$2,Lines!D41)+LEN($A$2)+1,FIND(",",_xlfn.CONCAT(Lines!D41,","),FIND($A$2,Lines!D41))-FIND($A$2,Lines!D41)-LEN($A$2)-1))</f>
        <v/>
      </c>
      <c r="E41" s="30" t="str">
        <f>IF(ISERROR(FIND($A$2,Lines!E41))=TRUE,"",MID(Lines!E41,FIND($A$2,Lines!E41)+LEN($A$2)+1,FIND(",",_xlfn.CONCAT(Lines!E41,","),FIND($A$2,Lines!E41))-FIND($A$2,Lines!E41)-LEN($A$2)-1))</f>
        <v/>
      </c>
      <c r="F41" s="30" t="str">
        <f>IF(ISERROR(FIND($A$2,Lines!F41))=TRUE,"",MID(Lines!F41,FIND($A$2,Lines!F41)+LEN($A$2)+1,FIND(",",_xlfn.CONCAT(Lines!F41,","),FIND($A$2,Lines!F41))-FIND($A$2,Lines!F41)-LEN($A$2)-1))</f>
        <v/>
      </c>
      <c r="G41" s="30" t="str">
        <f>IF(ISERROR(FIND($A$2,Lines!G41))=TRUE,"",MID(Lines!G41,FIND($A$2,Lines!G41)+LEN($A$2)+1,FIND(",",_xlfn.CONCAT(Lines!G41,","),FIND($A$2,Lines!G41))-FIND($A$2,Lines!G41)-LEN($A$2)-1))</f>
        <v/>
      </c>
      <c r="H41" s="30" t="str">
        <f>IF(ISERROR(FIND($A$2,Lines!H41))=TRUE,"",MID(Lines!H41,FIND($A$2,Lines!H41)+LEN($A$2)+1,FIND(",",_xlfn.CONCAT(Lines!H41,","),FIND($A$2,Lines!H41))-FIND($A$2,Lines!H41)-LEN($A$2)-1))</f>
        <v/>
      </c>
      <c r="I41" s="30" t="str">
        <f>IF(ISERROR(FIND($A$2,Lines!I41))=TRUE,"",MID(Lines!I41,FIND($A$2,Lines!I41)+LEN($A$2)+1,FIND(",",_xlfn.CONCAT(Lines!I41,","),FIND($A$2,Lines!I41))-FIND($A$2,Lines!I41)-LEN($A$2)-1))</f>
        <v/>
      </c>
      <c r="J41" s="30" t="str">
        <f>IF(ISERROR(FIND($A$2,Lines!J41))=TRUE,"",MID(Lines!J41,FIND($A$2,Lines!J41)+LEN($A$2)+1,FIND(",",_xlfn.CONCAT(Lines!J41,","),FIND($A$2,Lines!J41))-FIND($A$2,Lines!J41)-LEN($A$2)-1))</f>
        <v/>
      </c>
      <c r="K41" s="30" t="str">
        <f>IF(ISERROR(FIND($A$2,Lines!K41))=TRUE,"",MID(Lines!K41,FIND($A$2,Lines!K41)+LEN($A$2)+1,FIND(",",_xlfn.CONCAT(Lines!K41,","),FIND($A$2,Lines!K41))-FIND($A$2,Lines!K41)-LEN($A$2)-1))</f>
        <v/>
      </c>
      <c r="L41" s="30" t="str">
        <f>IF(ISERROR(FIND($A$2,Lines!L41))=TRUE,"",MID(Lines!L41,FIND($A$2,Lines!L41)+LEN($A$2)+1,FIND(",",_xlfn.CONCAT(Lines!L41,","),FIND($A$2,Lines!L41))-FIND($A$2,Lines!L41)-LEN($A$2)-1))</f>
        <v/>
      </c>
      <c r="M41" s="30" t="str">
        <f>IF(ISERROR(FIND($A$2,Lines!M41))=TRUE,"",MID(Lines!M41,FIND($A$2,Lines!M41)+LEN($A$2)+1,FIND(",",_xlfn.CONCAT(Lines!M41,","),FIND($A$2,Lines!M41))-FIND($A$2,Lines!M41)-LEN($A$2)-1))</f>
        <v/>
      </c>
      <c r="N41" s="30" t="str">
        <f>IF(ISERROR(FIND($A$2,Lines!N41))=TRUE,"",MID(Lines!N41,FIND($A$2,Lines!N41)+LEN($A$2)+1,FIND(",",_xlfn.CONCAT(Lines!N41,","),FIND($A$2,Lines!N41))-FIND($A$2,Lines!N41)-LEN($A$2)-1))</f>
        <v/>
      </c>
      <c r="O41" s="30" t="str">
        <f>IF(ISERROR(FIND($A$2,Lines!O41))=TRUE,"",MID(Lines!O41,FIND($A$2,Lines!O41)+LEN($A$2)+1,FIND(",",_xlfn.CONCAT(Lines!O41,","),FIND($A$2,Lines!O41))-FIND($A$2,Lines!O41)-LEN($A$2)-1))</f>
        <v/>
      </c>
      <c r="P41" s="30" t="str">
        <f>IF(ISERROR(FIND($A$2,Lines!P41))=TRUE,"",MID(Lines!P41,FIND($A$2,Lines!P41)+LEN($A$2)+1,FIND(",",_xlfn.CONCAT(Lines!P41,","),FIND($A$2,Lines!P41))-FIND($A$2,Lines!P41)-LEN($A$2)-1))</f>
        <v/>
      </c>
      <c r="Q41" s="30" t="str">
        <f>IF(ISERROR(FIND($A$2,Lines!Q41))=TRUE,"",MID(Lines!Q41,FIND($A$2,Lines!Q41)+LEN($A$2)+1,FIND(",",_xlfn.CONCAT(Lines!Q41,","),FIND($A$2,Lines!Q41))-FIND($A$2,Lines!Q41)-LEN($A$2)-1))</f>
        <v/>
      </c>
      <c r="R41" s="30" t="str">
        <f>IF(ISERROR(FIND($A$2,Lines!R41))=TRUE,"",MID(Lines!R41,FIND($A$2,Lines!R41)+LEN($A$2)+1,FIND(",",_xlfn.CONCAT(Lines!R41,","),FIND($A$2,Lines!R41))-FIND($A$2,Lines!R41)-LEN($A$2)-1))</f>
        <v/>
      </c>
      <c r="S41" s="30" t="str">
        <f>IF(ISERROR(FIND($A$2,Lines!S41))=TRUE,"",MID(Lines!S41,FIND($A$2,Lines!S41)+LEN($A$2)+1,FIND(",",_xlfn.CONCAT(Lines!S41,","),FIND($A$2,Lines!S41))-FIND($A$2,Lines!S41)-LEN($A$2)-1))</f>
        <v/>
      </c>
      <c r="T41" s="30" t="str">
        <f>IF(ISERROR(FIND($A$2,Lines!T41))=TRUE,"",MID(Lines!T41,FIND($A$2,Lines!T41)+LEN($A$2)+1,FIND(",",_xlfn.CONCAT(Lines!T41,","),FIND($A$2,Lines!T41))-FIND($A$2,Lines!T41)-LEN($A$2)-1))</f>
        <v/>
      </c>
      <c r="U41" s="30" t="str">
        <f>IF(ISERROR(FIND($A$2,Lines!U41))=TRUE,"",MID(Lines!U41,FIND($A$2,Lines!U41)+LEN($A$2)+1,FIND(",",_xlfn.CONCAT(Lines!U41,","),FIND($A$2,Lines!U41))-FIND($A$2,Lines!U41)-LEN($A$2)-1))</f>
        <v/>
      </c>
      <c r="V41" s="30" t="str">
        <f>IF(ISERROR(FIND($A$2,Lines!V41))=TRUE,"",MID(Lines!V41,FIND($A$2,Lines!V41)+LEN($A$2)+1,FIND(",",_xlfn.CONCAT(Lines!V41,","),FIND($A$2,Lines!V41))-FIND($A$2,Lines!V41)-LEN($A$2)-1))</f>
        <v/>
      </c>
      <c r="W41" s="36" t="str">
        <f>IF(ISERROR(FIND($A$2,Lines!W41))=TRUE,"",MID(Lines!W41,FIND($A$2,Lines!W41)+LEN($A$2)+1,FIND(",",_xlfn.CONCAT(Lines!W41,","),FIND($A$2,Lines!W41))-FIND($A$2,Lines!W41)-LEN($A$2)-1))</f>
        <v/>
      </c>
      <c r="X41" s="30" t="str">
        <f>IF(ISERROR(FIND($A$2,Lines!X41))=TRUE,"",MID(Lines!X41,FIND($A$2,Lines!X41)+LEN($A$2)+1,FIND(",",_xlfn.CONCAT(Lines!X41,","),FIND($A$2,Lines!X41))-FIND($A$2,Lines!X41)-LEN($A$2)-1))</f>
        <v/>
      </c>
      <c r="Y41" s="30" t="str">
        <f>IF(ISERROR(FIND($A$2,Lines!Y41))=TRUE,"",MID(Lines!Y41,FIND($A$2,Lines!Y41)+LEN($A$2)+1,FIND(",",_xlfn.CONCAT(Lines!Y41,","),FIND($A$2,Lines!Y41))-FIND($A$2,Lines!Y41)-LEN($A$2)-1))</f>
        <v/>
      </c>
      <c r="Z41" s="30" t="str">
        <f>IF(ISERROR(FIND($A$2,Lines!Z41))=TRUE,"",MID(Lines!Z41,FIND($A$2,Lines!Z41)+LEN($A$2)+1,FIND(",",_xlfn.CONCAT(Lines!Z41,","),FIND($A$2,Lines!Z41))-FIND($A$2,Lines!Z41)-LEN($A$2)-1))</f>
        <v/>
      </c>
      <c r="AA41" s="30" t="str">
        <f>IF(ISERROR(FIND($A$2,Lines!AA41))=TRUE,"",MID(Lines!AA41,FIND($A$2,Lines!AA41)+LEN($A$2)+1,FIND(",",_xlfn.CONCAT(Lines!AA41,","),FIND($A$2,Lines!AA41))-FIND($A$2,Lines!AA41)-LEN($A$2)-1))</f>
        <v/>
      </c>
      <c r="AB41" s="30" t="str">
        <f>IF(ISERROR(FIND($A$2,Lines!AB41))=TRUE,"",MID(Lines!AB41,FIND($A$2,Lines!AB41)+LEN($A$2)+1,FIND(",",_xlfn.CONCAT(Lines!AB41,","),FIND($A$2,Lines!AB41))-FIND($A$2,Lines!AB41)-LEN($A$2)-1))</f>
        <v/>
      </c>
      <c r="AC41" s="30" t="str">
        <f>IF(ISERROR(FIND($A$2,Lines!AC41))=TRUE,"",MID(Lines!AC41,FIND($A$2,Lines!AC41)+LEN($A$2)+1,FIND(",",_xlfn.CONCAT(Lines!AC41,","),FIND($A$2,Lines!AC41))-FIND($A$2,Lines!AC41)-LEN($A$2)-1))</f>
        <v/>
      </c>
      <c r="AD41" s="30" t="str">
        <f>IF(ISERROR(FIND($A$2,Lines!AD41))=TRUE,"",MID(Lines!AD41,FIND($A$2,Lines!AD41)+LEN($A$2)+1,FIND(",",_xlfn.CONCAT(Lines!AD41,","),FIND($A$2,Lines!AD41))-FIND($A$2,Lines!AD41)-LEN($A$2)-1))</f>
        <v/>
      </c>
      <c r="AE41" s="30" t="str">
        <f>IF(ISERROR(FIND($A$2,Lines!AE41))=TRUE,"",MID(Lines!AE41,FIND($A$2,Lines!AE41)+LEN($A$2)+1,FIND(",",_xlfn.CONCAT(Lines!AE41,","),FIND($A$2,Lines!AE41))-FIND($A$2,Lines!AE41)-LEN($A$2)-1))</f>
        <v/>
      </c>
      <c r="AF41" s="30" t="str">
        <f>IF(ISERROR(FIND($A$2,Lines!AF41))=TRUE,"",MID(Lines!AF41,FIND($A$2,Lines!AF41)+LEN($A$2)+1,FIND(",",_xlfn.CONCAT(Lines!AF41,","),FIND($A$2,Lines!AF41))-FIND($A$2,Lines!AF41)-LEN($A$2)-1))</f>
        <v/>
      </c>
      <c r="AG41" s="30" t="str">
        <f>IF(ISERROR(FIND($A$2,Lines!AG41))=TRUE,"",MID(Lines!AG41,FIND($A$2,Lines!AG41)+LEN($A$2)+1,FIND(",",_xlfn.CONCAT(Lines!AG41,","),FIND($A$2,Lines!AG41))-FIND($A$2,Lines!AG41)-LEN($A$2)-1))</f>
        <v/>
      </c>
      <c r="AH41" s="30" t="str">
        <f>IF(ISERROR(FIND($A$2,Lines!AH41))=TRUE,"",MID(Lines!AH41,FIND($A$2,Lines!AH41)+LEN($A$2)+1,FIND(",",_xlfn.CONCAT(Lines!AH41,","),FIND($A$2,Lines!AH41))-FIND($A$2,Lines!AH41)-LEN($A$2)-1))</f>
        <v/>
      </c>
      <c r="AI41" s="30" t="str">
        <f>IF(ISERROR(FIND($A$2,Lines!AI41))=TRUE,"",MID(Lines!AI41,FIND($A$2,Lines!AI41)+LEN($A$2)+1,FIND(",",_xlfn.CONCAT(Lines!AI41,","),FIND($A$2,Lines!AI41))-FIND($A$2,Lines!AI41)-LEN($A$2)-1))</f>
        <v/>
      </c>
      <c r="AJ41" s="30" t="str">
        <f>IF(ISERROR(FIND($A$2,Lines!AJ41))=TRUE,"",MID(Lines!AJ41,FIND($A$2,Lines!AJ41)+LEN($A$2)+1,FIND(",",_xlfn.CONCAT(Lines!AJ41,","),FIND($A$2,Lines!AJ41))-FIND($A$2,Lines!AJ41)-LEN($A$2)-1))</f>
        <v/>
      </c>
      <c r="AK41" s="54" t="str">
        <f>IF(ISERROR(FIND($A$2,Lines!AK41))=TRUE,"",MID(Lines!AK41,FIND($A$2,Lines!AK41)+LEN($A$2)+1,FIND(",",_xlfn.CONCAT(Lines!AK41,","),FIND($A$2,Lines!AK41))-FIND($A$2,Lines!AK41)-LEN($A$2)-1))</f>
        <v/>
      </c>
      <c r="AL41" s="43" t="str">
        <f>IF(ISERROR(FIND($A$2,Lines!AL41))=TRUE,"",MID(Lines!AL41,FIND($A$2,Lines!AL41)+LEN($A$2)+1,FIND(",",_xlfn.CONCAT(Lines!AL41,","),FIND($A$2,Lines!AL41))-FIND($A$2,Lines!AL41)-LEN($A$2)-1))</f>
        <v/>
      </c>
      <c r="AM41" s="66" t="str">
        <f>IF(ISERROR(FIND($A$2,Lines!AM41))=TRUE,"",MID(Lines!AM41,FIND($A$2,Lines!AM41)+LEN($A$2)+1,FIND(",",_xlfn.CONCAT(Lines!AM41,","),FIND($A$2,Lines!AM41))-FIND($A$2,Lines!AM41)-LEN($A$2)-1))</f>
        <v/>
      </c>
      <c r="AN41" s="43" t="str">
        <f>IF(ISERROR(FIND($A$2,Lines!AN41))=TRUE,"",MID(Lines!AN41,FIND($A$2,Lines!AN41)+LEN($A$2)+1,FIND(",",_xlfn.CONCAT(Lines!AN41,","),FIND($A$2,Lines!AN41))-FIND($A$2,Lines!AN41)-LEN($A$2)-1))</f>
        <v/>
      </c>
      <c r="AO41" s="61" t="str">
        <f>IF(ISERROR(FIND($A$2,Lines!AO41))=TRUE,"",MID(Lines!AO41,FIND($A$2,Lines!AO41)+LEN($A$2)+1,FIND(",",_xlfn.CONCAT(Lines!AO41,","),FIND($A$2,Lines!AO41))-FIND($A$2,Lines!AO41)-LEN($A$2)-1))</f>
        <v/>
      </c>
      <c r="AP41" s="30" t="str">
        <f>IF(ISERROR(FIND($A$2,Lines!AP41))=TRUE,"",MID(Lines!AP41,FIND($A$2,Lines!AP41)+LEN($A$2)+1,FIND(",",_xlfn.CONCAT(Lines!AP41,","),FIND($A$2,Lines!AP41))-FIND($A$2,Lines!AP41)-LEN($A$2)-1))</f>
        <v/>
      </c>
      <c r="AQ41" s="30" t="str">
        <f>IF(ISERROR(FIND($A$2,Lines!AQ41))=TRUE,"",MID(Lines!AQ41,FIND($A$2,Lines!AQ41)+LEN($A$2)+1,FIND(",",_xlfn.CONCAT(Lines!AQ41,","),FIND($A$2,Lines!AQ41))-FIND($A$2,Lines!AQ41)-LEN($A$2)-1))</f>
        <v/>
      </c>
      <c r="AR41" s="30" t="str">
        <f>IF(ISERROR(FIND($A$2,Lines!AR41))=TRUE,"",MID(Lines!AR41,FIND($A$2,Lines!AR41)+LEN($A$2)+1,FIND(",",_xlfn.CONCAT(Lines!AR41,","),FIND($A$2,Lines!AR41))-FIND($A$2,Lines!AR41)-LEN($A$2)-1))</f>
        <v/>
      </c>
      <c r="AS41" s="30" t="str">
        <f>IF(ISERROR(FIND($A$2,Lines!AS41))=TRUE,"",MID(Lines!AS41,FIND($A$2,Lines!AS41)+LEN($A$2)+1,FIND(",",_xlfn.CONCAT(Lines!AS41,","),FIND($A$2,Lines!AS41))-FIND($A$2,Lines!AS41)-LEN($A$2)-1))</f>
        <v/>
      </c>
      <c r="AT41" s="30" t="str">
        <f>IF(ISERROR(FIND($A$2,Lines!AT41))=TRUE,"",MID(Lines!AT41,FIND($A$2,Lines!AT41)+LEN($A$2)+1,FIND(",",_xlfn.CONCAT(Lines!AT41,","),FIND($A$2,Lines!AT41))-FIND($A$2,Lines!AT41)-LEN($A$2)-1))</f>
        <v/>
      </c>
    </row>
    <row r="42" spans="1:46" ht="20.25" customHeight="1">
      <c r="A42" s="2" t="s">
        <v>90</v>
      </c>
      <c r="B42" s="30" t="str">
        <f>IF(ISERROR(FIND($A$2,Lines!B42))=TRUE,"",MID(Lines!B42,FIND($A$2,Lines!B42)+LEN($A$2)+1,FIND(",",_xlfn.CONCAT(Lines!B42,","),FIND($A$2,Lines!B42))-FIND($A$2,Lines!B42)-LEN($A$2)-1))</f>
        <v/>
      </c>
      <c r="C42" s="30" t="str">
        <f>IF(ISERROR(FIND($A$2,Lines!C42))=TRUE,"",MID(Lines!C42,FIND($A$2,Lines!C42)+LEN($A$2)+1,FIND(",",_xlfn.CONCAT(Lines!C42,","),FIND($A$2,Lines!C42))-FIND($A$2,Lines!C42)-LEN($A$2)-1))</f>
        <v/>
      </c>
      <c r="D42" s="30" t="str">
        <f>IF(ISERROR(FIND($A$2,Lines!D42))=TRUE,"",MID(Lines!D42,FIND($A$2,Lines!D42)+LEN($A$2)+1,FIND(",",_xlfn.CONCAT(Lines!D42,","),FIND($A$2,Lines!D42))-FIND($A$2,Lines!D42)-LEN($A$2)-1))</f>
        <v/>
      </c>
      <c r="E42" s="30" t="str">
        <f>IF(ISERROR(FIND($A$2,Lines!E42))=TRUE,"",MID(Lines!E42,FIND($A$2,Lines!E42)+LEN($A$2)+1,FIND(",",_xlfn.CONCAT(Lines!E42,","),FIND($A$2,Lines!E42))-FIND($A$2,Lines!E42)-LEN($A$2)-1))</f>
        <v/>
      </c>
      <c r="F42" s="30" t="str">
        <f>IF(ISERROR(FIND($A$2,Lines!F42))=TRUE,"",MID(Lines!F42,FIND($A$2,Lines!F42)+LEN($A$2)+1,FIND(",",_xlfn.CONCAT(Lines!F42,","),FIND($A$2,Lines!F42))-FIND($A$2,Lines!F42)-LEN($A$2)-1))</f>
        <v/>
      </c>
      <c r="G42" s="30" t="str">
        <f>IF(ISERROR(FIND($A$2,Lines!G42))=TRUE,"",MID(Lines!G42,FIND($A$2,Lines!G42)+LEN($A$2)+1,FIND(",",_xlfn.CONCAT(Lines!G42,","),FIND($A$2,Lines!G42))-FIND($A$2,Lines!G42)-LEN($A$2)-1))</f>
        <v/>
      </c>
      <c r="H42" s="30" t="str">
        <f>IF(ISERROR(FIND($A$2,Lines!H42))=TRUE,"",MID(Lines!H42,FIND($A$2,Lines!H42)+LEN($A$2)+1,FIND(",",_xlfn.CONCAT(Lines!H42,","),FIND($A$2,Lines!H42))-FIND($A$2,Lines!H42)-LEN($A$2)-1))</f>
        <v/>
      </c>
      <c r="I42" s="30" t="str">
        <f>IF(ISERROR(FIND($A$2,Lines!I42))=TRUE,"",MID(Lines!I42,FIND($A$2,Lines!I42)+LEN($A$2)+1,FIND(",",_xlfn.CONCAT(Lines!I42,","),FIND($A$2,Lines!I42))-FIND($A$2,Lines!I42)-LEN($A$2)-1))</f>
        <v/>
      </c>
      <c r="J42" s="30" t="str">
        <f>IF(ISERROR(FIND($A$2,Lines!J42))=TRUE,"",MID(Lines!J42,FIND($A$2,Lines!J42)+LEN($A$2)+1,FIND(",",_xlfn.CONCAT(Lines!J42,","),FIND($A$2,Lines!J42))-FIND($A$2,Lines!J42)-LEN($A$2)-1))</f>
        <v/>
      </c>
      <c r="K42" s="30" t="str">
        <f>IF(ISERROR(FIND($A$2,Lines!K42))=TRUE,"",MID(Lines!K42,FIND($A$2,Lines!K42)+LEN($A$2)+1,FIND(",",_xlfn.CONCAT(Lines!K42,","),FIND($A$2,Lines!K42))-FIND($A$2,Lines!K42)-LEN($A$2)-1))</f>
        <v/>
      </c>
      <c r="L42" s="30" t="str">
        <f>IF(ISERROR(FIND($A$2,Lines!L42))=TRUE,"",MID(Lines!L42,FIND($A$2,Lines!L42)+LEN($A$2)+1,FIND(",",_xlfn.CONCAT(Lines!L42,","),FIND($A$2,Lines!L42))-FIND($A$2,Lines!L42)-LEN($A$2)-1))</f>
        <v/>
      </c>
      <c r="M42" s="30" t="str">
        <f>IF(ISERROR(FIND($A$2,Lines!M42))=TRUE,"",MID(Lines!M42,FIND($A$2,Lines!M42)+LEN($A$2)+1,FIND(",",_xlfn.CONCAT(Lines!M42,","),FIND($A$2,Lines!M42))-FIND($A$2,Lines!M42)-LEN($A$2)-1))</f>
        <v/>
      </c>
      <c r="N42" s="30" t="str">
        <f>IF(ISERROR(FIND($A$2,Lines!N42))=TRUE,"",MID(Lines!N42,FIND($A$2,Lines!N42)+LEN($A$2)+1,FIND(",",_xlfn.CONCAT(Lines!N42,","),FIND($A$2,Lines!N42))-FIND($A$2,Lines!N42)-LEN($A$2)-1))</f>
        <v/>
      </c>
      <c r="O42" s="30" t="str">
        <f>IF(ISERROR(FIND($A$2,Lines!O42))=TRUE,"",MID(Lines!O42,FIND($A$2,Lines!O42)+LEN($A$2)+1,FIND(",",_xlfn.CONCAT(Lines!O42,","),FIND($A$2,Lines!O42))-FIND($A$2,Lines!O42)-LEN($A$2)-1))</f>
        <v/>
      </c>
      <c r="P42" s="30" t="str">
        <f>IF(ISERROR(FIND($A$2,Lines!P42))=TRUE,"",MID(Lines!P42,FIND($A$2,Lines!P42)+LEN($A$2)+1,FIND(",",_xlfn.CONCAT(Lines!P42,","),FIND($A$2,Lines!P42))-FIND($A$2,Lines!P42)-LEN($A$2)-1))</f>
        <v/>
      </c>
      <c r="Q42" s="30" t="str">
        <f>IF(ISERROR(FIND($A$2,Lines!Q42))=TRUE,"",MID(Lines!Q42,FIND($A$2,Lines!Q42)+LEN($A$2)+1,FIND(",",_xlfn.CONCAT(Lines!Q42,","),FIND($A$2,Lines!Q42))-FIND($A$2,Lines!Q42)-LEN($A$2)-1))</f>
        <v/>
      </c>
      <c r="R42" s="30" t="str">
        <f>IF(ISERROR(FIND($A$2,Lines!R42))=TRUE,"",MID(Lines!R42,FIND($A$2,Lines!R42)+LEN($A$2)+1,FIND(",",_xlfn.CONCAT(Lines!R42,","),FIND($A$2,Lines!R42))-FIND($A$2,Lines!R42)-LEN($A$2)-1))</f>
        <v/>
      </c>
      <c r="S42" s="30" t="str">
        <f>IF(ISERROR(FIND($A$2,Lines!S42))=TRUE,"",MID(Lines!S42,FIND($A$2,Lines!S42)+LEN($A$2)+1,FIND(",",_xlfn.CONCAT(Lines!S42,","),FIND($A$2,Lines!S42))-FIND($A$2,Lines!S42)-LEN($A$2)-1))</f>
        <v/>
      </c>
      <c r="T42" s="30" t="str">
        <f>IF(ISERROR(FIND($A$2,Lines!T42))=TRUE,"",MID(Lines!T42,FIND($A$2,Lines!T42)+LEN($A$2)+1,FIND(",",_xlfn.CONCAT(Lines!T42,","),FIND($A$2,Lines!T42))-FIND($A$2,Lines!T42)-LEN($A$2)-1))</f>
        <v/>
      </c>
      <c r="U42" s="30" t="str">
        <f>IF(ISERROR(FIND($A$2,Lines!U42))=TRUE,"",MID(Lines!U42,FIND($A$2,Lines!U42)+LEN($A$2)+1,FIND(",",_xlfn.CONCAT(Lines!U42,","),FIND($A$2,Lines!U42))-FIND($A$2,Lines!U42)-LEN($A$2)-1))</f>
        <v/>
      </c>
      <c r="V42" s="30" t="str">
        <f>IF(ISERROR(FIND($A$2,Lines!V42))=TRUE,"",MID(Lines!V42,FIND($A$2,Lines!V42)+LEN($A$2)+1,FIND(",",_xlfn.CONCAT(Lines!V42,","),FIND($A$2,Lines!V42))-FIND($A$2,Lines!V42)-LEN($A$2)-1))</f>
        <v/>
      </c>
      <c r="W42" s="36" t="str">
        <f>IF(ISERROR(FIND($A$2,Lines!W42))=TRUE,"",MID(Lines!W42,FIND($A$2,Lines!W42)+LEN($A$2)+1,FIND(",",_xlfn.CONCAT(Lines!W42,","),FIND($A$2,Lines!W42))-FIND($A$2,Lines!W42)-LEN($A$2)-1))</f>
        <v/>
      </c>
      <c r="X42" s="30" t="str">
        <f>IF(ISERROR(FIND($A$2,Lines!X42))=TRUE,"",MID(Lines!X42,FIND($A$2,Lines!X42)+LEN($A$2)+1,FIND(",",_xlfn.CONCAT(Lines!X42,","),FIND($A$2,Lines!X42))-FIND($A$2,Lines!X42)-LEN($A$2)-1))</f>
        <v/>
      </c>
      <c r="Y42" s="30" t="str">
        <f>IF(ISERROR(FIND($A$2,Lines!Y42))=TRUE,"",MID(Lines!Y42,FIND($A$2,Lines!Y42)+LEN($A$2)+1,FIND(",",_xlfn.CONCAT(Lines!Y42,","),FIND($A$2,Lines!Y42))-FIND($A$2,Lines!Y42)-LEN($A$2)-1))</f>
        <v/>
      </c>
      <c r="Z42" s="30" t="str">
        <f>IF(ISERROR(FIND($A$2,Lines!Z42))=TRUE,"",MID(Lines!Z42,FIND($A$2,Lines!Z42)+LEN($A$2)+1,FIND(",",_xlfn.CONCAT(Lines!Z42,","),FIND($A$2,Lines!Z42))-FIND($A$2,Lines!Z42)-LEN($A$2)-1))</f>
        <v/>
      </c>
      <c r="AA42" s="30" t="str">
        <f>IF(ISERROR(FIND($A$2,Lines!AA42))=TRUE,"",MID(Lines!AA42,FIND($A$2,Lines!AA42)+LEN($A$2)+1,FIND(",",_xlfn.CONCAT(Lines!AA42,","),FIND($A$2,Lines!AA42))-FIND($A$2,Lines!AA42)-LEN($A$2)-1))</f>
        <v/>
      </c>
      <c r="AB42" s="30" t="str">
        <f>IF(ISERROR(FIND($A$2,Lines!AB42))=TRUE,"",MID(Lines!AB42,FIND($A$2,Lines!AB42)+LEN($A$2)+1,FIND(",",_xlfn.CONCAT(Lines!AB42,","),FIND($A$2,Lines!AB42))-FIND($A$2,Lines!AB42)-LEN($A$2)-1))</f>
        <v/>
      </c>
      <c r="AC42" s="30" t="str">
        <f>IF(ISERROR(FIND($A$2,Lines!AC42))=TRUE,"",MID(Lines!AC42,FIND($A$2,Lines!AC42)+LEN($A$2)+1,FIND(",",_xlfn.CONCAT(Lines!AC42,","),FIND($A$2,Lines!AC42))-FIND($A$2,Lines!AC42)-LEN($A$2)-1))</f>
        <v/>
      </c>
      <c r="AD42" s="30" t="str">
        <f>IF(ISERROR(FIND($A$2,Lines!AD42))=TRUE,"",MID(Lines!AD42,FIND($A$2,Lines!AD42)+LEN($A$2)+1,FIND(",",_xlfn.CONCAT(Lines!AD42,","),FIND($A$2,Lines!AD42))-FIND($A$2,Lines!AD42)-LEN($A$2)-1))</f>
        <v/>
      </c>
      <c r="AE42" s="30" t="str">
        <f>IF(ISERROR(FIND($A$2,Lines!AE42))=TRUE,"",MID(Lines!AE42,FIND($A$2,Lines!AE42)+LEN($A$2)+1,FIND(",",_xlfn.CONCAT(Lines!AE42,","),FIND($A$2,Lines!AE42))-FIND($A$2,Lines!AE42)-LEN($A$2)-1))</f>
        <v/>
      </c>
      <c r="AF42" s="30" t="str">
        <f>IF(ISERROR(FIND($A$2,Lines!AF42))=TRUE,"",MID(Lines!AF42,FIND($A$2,Lines!AF42)+LEN($A$2)+1,FIND(",",_xlfn.CONCAT(Lines!AF42,","),FIND($A$2,Lines!AF42))-FIND($A$2,Lines!AF42)-LEN($A$2)-1))</f>
        <v/>
      </c>
      <c r="AG42" s="30" t="str">
        <f>IF(ISERROR(FIND($A$2,Lines!AG42))=TRUE,"",MID(Lines!AG42,FIND($A$2,Lines!AG42)+LEN($A$2)+1,FIND(",",_xlfn.CONCAT(Lines!AG42,","),FIND($A$2,Lines!AG42))-FIND($A$2,Lines!AG42)-LEN($A$2)-1))</f>
        <v/>
      </c>
      <c r="AH42" s="30" t="str">
        <f>IF(ISERROR(FIND($A$2,Lines!AH42))=TRUE,"",MID(Lines!AH42,FIND($A$2,Lines!AH42)+LEN($A$2)+1,FIND(",",_xlfn.CONCAT(Lines!AH42,","),FIND($A$2,Lines!AH42))-FIND($A$2,Lines!AH42)-LEN($A$2)-1))</f>
        <v/>
      </c>
      <c r="AI42" s="30" t="str">
        <f>IF(ISERROR(FIND($A$2,Lines!AI42))=TRUE,"",MID(Lines!AI42,FIND($A$2,Lines!AI42)+LEN($A$2)+1,FIND(",",_xlfn.CONCAT(Lines!AI42,","),FIND($A$2,Lines!AI42))-FIND($A$2,Lines!AI42)-LEN($A$2)-1))</f>
        <v/>
      </c>
      <c r="AJ42" s="30" t="str">
        <f>IF(ISERROR(FIND($A$2,Lines!AJ42))=TRUE,"",MID(Lines!AJ42,FIND($A$2,Lines!AJ42)+LEN($A$2)+1,FIND(",",_xlfn.CONCAT(Lines!AJ42,","),FIND($A$2,Lines!AJ42))-FIND($A$2,Lines!AJ42)-LEN($A$2)-1))</f>
        <v/>
      </c>
      <c r="AK42" s="54" t="str">
        <f>IF(ISERROR(FIND($A$2,Lines!AK42))=TRUE,"",MID(Lines!AK42,FIND($A$2,Lines!AK42)+LEN($A$2)+1,FIND(",",_xlfn.CONCAT(Lines!AK42,","),FIND($A$2,Lines!AK42))-FIND($A$2,Lines!AK42)-LEN($A$2)-1))</f>
        <v/>
      </c>
      <c r="AL42" s="43" t="str">
        <f>IF(ISERROR(FIND($A$2,Lines!AL42))=TRUE,"",MID(Lines!AL42,FIND($A$2,Lines!AL42)+LEN($A$2)+1,FIND(",",_xlfn.CONCAT(Lines!AL42,","),FIND($A$2,Lines!AL42))-FIND($A$2,Lines!AL42)-LEN($A$2)-1))</f>
        <v/>
      </c>
      <c r="AM42" s="43" t="str">
        <f>IF(ISERROR(FIND($A$2,Lines!AM42))=TRUE,"",MID(Lines!AM42,FIND($A$2,Lines!AM42)+LEN($A$2)+1,FIND(",",_xlfn.CONCAT(Lines!AM42,","),FIND($A$2,Lines!AM42))-FIND($A$2,Lines!AM42)-LEN($A$2)-1))</f>
        <v/>
      </c>
      <c r="AN42" s="66" t="str">
        <f>IF(ISERROR(FIND($A$2,Lines!AN42))=TRUE,"",MID(Lines!AN42,FIND($A$2,Lines!AN42)+LEN($A$2)+1,FIND(",",_xlfn.CONCAT(Lines!AN42,","),FIND($A$2,Lines!AN42))-FIND($A$2,Lines!AN42)-LEN($A$2)-1))</f>
        <v/>
      </c>
      <c r="AO42" s="61" t="str">
        <f>IF(ISERROR(FIND($A$2,Lines!AO42))=TRUE,"",MID(Lines!AO42,FIND($A$2,Lines!AO42)+LEN($A$2)+1,FIND(",",_xlfn.CONCAT(Lines!AO42,","),FIND($A$2,Lines!AO42))-FIND($A$2,Lines!AO42)-LEN($A$2)-1))</f>
        <v/>
      </c>
      <c r="AP42" s="30" t="str">
        <f>IF(ISERROR(FIND($A$2,Lines!AP42))=TRUE,"",MID(Lines!AP42,FIND($A$2,Lines!AP42)+LEN($A$2)+1,FIND(",",_xlfn.CONCAT(Lines!AP42,","),FIND($A$2,Lines!AP42))-FIND($A$2,Lines!AP42)-LEN($A$2)-1))</f>
        <v/>
      </c>
      <c r="AQ42" s="30" t="str">
        <f>IF(ISERROR(FIND($A$2,Lines!AQ42))=TRUE,"",MID(Lines!AQ42,FIND($A$2,Lines!AQ42)+LEN($A$2)+1,FIND(",",_xlfn.CONCAT(Lines!AQ42,","),FIND($A$2,Lines!AQ42))-FIND($A$2,Lines!AQ42)-LEN($A$2)-1))</f>
        <v/>
      </c>
      <c r="AR42" s="30" t="str">
        <f>IF(ISERROR(FIND($A$2,Lines!AR42))=TRUE,"",MID(Lines!AR42,FIND($A$2,Lines!AR42)+LEN($A$2)+1,FIND(",",_xlfn.CONCAT(Lines!AR42,","),FIND($A$2,Lines!AR42))-FIND($A$2,Lines!AR42)-LEN($A$2)-1))</f>
        <v/>
      </c>
      <c r="AS42" s="30" t="str">
        <f>IF(ISERROR(FIND($A$2,Lines!AS42))=TRUE,"",MID(Lines!AS42,FIND($A$2,Lines!AS42)+LEN($A$2)+1,FIND(",",_xlfn.CONCAT(Lines!AS42,","),FIND($A$2,Lines!AS42))-FIND($A$2,Lines!AS42)-LEN($A$2)-1))</f>
        <v/>
      </c>
      <c r="AT42" s="30" t="str">
        <f>IF(ISERROR(FIND($A$2,Lines!AT42))=TRUE,"",MID(Lines!AT42,FIND($A$2,Lines!AT42)+LEN($A$2)+1,FIND(",",_xlfn.CONCAT(Lines!AT42,","),FIND($A$2,Lines!AT42))-FIND($A$2,Lines!AT42)-LEN($A$2)-1))</f>
        <v/>
      </c>
    </row>
    <row r="43" spans="1:46" ht="20.25" customHeight="1">
      <c r="A43" s="2" t="s">
        <v>91</v>
      </c>
      <c r="B43" s="30" t="str">
        <f>IF(ISERROR(FIND($A$2,Lines!B43))=TRUE,"",MID(Lines!B43,FIND($A$2,Lines!B43)+LEN($A$2)+1,FIND(",",_xlfn.CONCAT(Lines!B43,","),FIND($A$2,Lines!B43))-FIND($A$2,Lines!B43)-LEN($A$2)-1))</f>
        <v/>
      </c>
      <c r="C43" s="30" t="str">
        <f>IF(ISERROR(FIND($A$2,Lines!C43))=TRUE,"",MID(Lines!C43,FIND($A$2,Lines!C43)+LEN($A$2)+1,FIND(",",_xlfn.CONCAT(Lines!C43,","),FIND($A$2,Lines!C43))-FIND($A$2,Lines!C43)-LEN($A$2)-1))</f>
        <v/>
      </c>
      <c r="D43" s="30" t="str">
        <f>IF(ISERROR(FIND($A$2,Lines!D43))=TRUE,"",MID(Lines!D43,FIND($A$2,Lines!D43)+LEN($A$2)+1,FIND(",",_xlfn.CONCAT(Lines!D43,","),FIND($A$2,Lines!D43))-FIND($A$2,Lines!D43)-LEN($A$2)-1))</f>
        <v/>
      </c>
      <c r="E43" s="30" t="str">
        <f>IF(ISERROR(FIND($A$2,Lines!E43))=TRUE,"",MID(Lines!E43,FIND($A$2,Lines!E43)+LEN($A$2)+1,FIND(",",_xlfn.CONCAT(Lines!E43,","),FIND($A$2,Lines!E43))-FIND($A$2,Lines!E43)-LEN($A$2)-1))</f>
        <v/>
      </c>
      <c r="F43" s="30" t="str">
        <f>IF(ISERROR(FIND($A$2,Lines!F43))=TRUE,"",MID(Lines!F43,FIND($A$2,Lines!F43)+LEN($A$2)+1,FIND(",",_xlfn.CONCAT(Lines!F43,","),FIND($A$2,Lines!F43))-FIND($A$2,Lines!F43)-LEN($A$2)-1))</f>
        <v/>
      </c>
      <c r="G43" s="30" t="str">
        <f>IF(ISERROR(FIND($A$2,Lines!G43))=TRUE,"",MID(Lines!G43,FIND($A$2,Lines!G43)+LEN($A$2)+1,FIND(",",_xlfn.CONCAT(Lines!G43,","),FIND($A$2,Lines!G43))-FIND($A$2,Lines!G43)-LEN($A$2)-1))</f>
        <v/>
      </c>
      <c r="H43" s="30" t="str">
        <f>IF(ISERROR(FIND($A$2,Lines!H43))=TRUE,"",MID(Lines!H43,FIND($A$2,Lines!H43)+LEN($A$2)+1,FIND(",",_xlfn.CONCAT(Lines!H43,","),FIND($A$2,Lines!H43))-FIND($A$2,Lines!H43)-LEN($A$2)-1))</f>
        <v/>
      </c>
      <c r="I43" s="30" t="str">
        <f>IF(ISERROR(FIND($A$2,Lines!I43))=TRUE,"",MID(Lines!I43,FIND($A$2,Lines!I43)+LEN($A$2)+1,FIND(",",_xlfn.CONCAT(Lines!I43,","),FIND($A$2,Lines!I43))-FIND($A$2,Lines!I43)-LEN($A$2)-1))</f>
        <v/>
      </c>
      <c r="J43" s="30" t="str">
        <f>IF(ISERROR(FIND($A$2,Lines!J43))=TRUE,"",MID(Lines!J43,FIND($A$2,Lines!J43)+LEN($A$2)+1,FIND(",",_xlfn.CONCAT(Lines!J43,","),FIND($A$2,Lines!J43))-FIND($A$2,Lines!J43)-LEN($A$2)-1))</f>
        <v/>
      </c>
      <c r="K43" s="30" t="str">
        <f>IF(ISERROR(FIND($A$2,Lines!K43))=TRUE,"",MID(Lines!K43,FIND($A$2,Lines!K43)+LEN($A$2)+1,FIND(",",_xlfn.CONCAT(Lines!K43,","),FIND($A$2,Lines!K43))-FIND($A$2,Lines!K43)-LEN($A$2)-1))</f>
        <v/>
      </c>
      <c r="L43" s="30" t="str">
        <f>IF(ISERROR(FIND($A$2,Lines!L43))=TRUE,"",MID(Lines!L43,FIND($A$2,Lines!L43)+LEN($A$2)+1,FIND(",",_xlfn.CONCAT(Lines!L43,","),FIND($A$2,Lines!L43))-FIND($A$2,Lines!L43)-LEN($A$2)-1))</f>
        <v/>
      </c>
      <c r="M43" s="30" t="str">
        <f>IF(ISERROR(FIND($A$2,Lines!M43))=TRUE,"",MID(Lines!M43,FIND($A$2,Lines!M43)+LEN($A$2)+1,FIND(",",_xlfn.CONCAT(Lines!M43,","),FIND($A$2,Lines!M43))-FIND($A$2,Lines!M43)-LEN($A$2)-1))</f>
        <v/>
      </c>
      <c r="N43" s="30" t="str">
        <f>IF(ISERROR(FIND($A$2,Lines!N43))=TRUE,"",MID(Lines!N43,FIND($A$2,Lines!N43)+LEN($A$2)+1,FIND(",",_xlfn.CONCAT(Lines!N43,","),FIND($A$2,Lines!N43))-FIND($A$2,Lines!N43)-LEN($A$2)-1))</f>
        <v/>
      </c>
      <c r="O43" s="30" t="str">
        <f>IF(ISERROR(FIND($A$2,Lines!O43))=TRUE,"",MID(Lines!O43,FIND($A$2,Lines!O43)+LEN($A$2)+1,FIND(",",_xlfn.CONCAT(Lines!O43,","),FIND($A$2,Lines!O43))-FIND($A$2,Lines!O43)-LEN($A$2)-1))</f>
        <v/>
      </c>
      <c r="P43" s="30" t="str">
        <f>IF(ISERROR(FIND($A$2,Lines!P43))=TRUE,"",MID(Lines!P43,FIND($A$2,Lines!P43)+LEN($A$2)+1,FIND(",",_xlfn.CONCAT(Lines!P43,","),FIND($A$2,Lines!P43))-FIND($A$2,Lines!P43)-LEN($A$2)-1))</f>
        <v/>
      </c>
      <c r="Q43" s="30" t="str">
        <f>IF(ISERROR(FIND($A$2,Lines!Q43))=TRUE,"",MID(Lines!Q43,FIND($A$2,Lines!Q43)+LEN($A$2)+1,FIND(",",_xlfn.CONCAT(Lines!Q43,","),FIND($A$2,Lines!Q43))-FIND($A$2,Lines!Q43)-LEN($A$2)-1))</f>
        <v/>
      </c>
      <c r="R43" s="30" t="str">
        <f>IF(ISERROR(FIND($A$2,Lines!R43))=TRUE,"",MID(Lines!R43,FIND($A$2,Lines!R43)+LEN($A$2)+1,FIND(",",_xlfn.CONCAT(Lines!R43,","),FIND($A$2,Lines!R43))-FIND($A$2,Lines!R43)-LEN($A$2)-1))</f>
        <v/>
      </c>
      <c r="S43" s="30" t="str">
        <f>IF(ISERROR(FIND($A$2,Lines!S43))=TRUE,"",MID(Lines!S43,FIND($A$2,Lines!S43)+LEN($A$2)+1,FIND(",",_xlfn.CONCAT(Lines!S43,","),FIND($A$2,Lines!S43))-FIND($A$2,Lines!S43)-LEN($A$2)-1))</f>
        <v/>
      </c>
      <c r="T43" s="30" t="str">
        <f>IF(ISERROR(FIND($A$2,Lines!T43))=TRUE,"",MID(Lines!T43,FIND($A$2,Lines!T43)+LEN($A$2)+1,FIND(",",_xlfn.CONCAT(Lines!T43,","),FIND($A$2,Lines!T43))-FIND($A$2,Lines!T43)-LEN($A$2)-1))</f>
        <v/>
      </c>
      <c r="U43" s="30" t="str">
        <f>IF(ISERROR(FIND($A$2,Lines!U43))=TRUE,"",MID(Lines!U43,FIND($A$2,Lines!U43)+LEN($A$2)+1,FIND(",",_xlfn.CONCAT(Lines!U43,","),FIND($A$2,Lines!U43))-FIND($A$2,Lines!U43)-LEN($A$2)-1))</f>
        <v/>
      </c>
      <c r="V43" s="30" t="str">
        <f>IF(ISERROR(FIND($A$2,Lines!V43))=TRUE,"",MID(Lines!V43,FIND($A$2,Lines!V43)+LEN($A$2)+1,FIND(",",_xlfn.CONCAT(Lines!V43,","),FIND($A$2,Lines!V43))-FIND($A$2,Lines!V43)-LEN($A$2)-1))</f>
        <v/>
      </c>
      <c r="W43" s="36" t="str">
        <f>IF(ISERROR(FIND($A$2,Lines!W43))=TRUE,"",MID(Lines!W43,FIND($A$2,Lines!W43)+LEN($A$2)+1,FIND(",",_xlfn.CONCAT(Lines!W43,","),FIND($A$2,Lines!W43))-FIND($A$2,Lines!W43)-LEN($A$2)-1))</f>
        <v/>
      </c>
      <c r="X43" s="30" t="str">
        <f>IF(ISERROR(FIND($A$2,Lines!X43))=TRUE,"",MID(Lines!X43,FIND($A$2,Lines!X43)+LEN($A$2)+1,FIND(",",_xlfn.CONCAT(Lines!X43,","),FIND($A$2,Lines!X43))-FIND($A$2,Lines!X43)-LEN($A$2)-1))</f>
        <v/>
      </c>
      <c r="Y43" s="30" t="str">
        <f>IF(ISERROR(FIND($A$2,Lines!Y43))=TRUE,"",MID(Lines!Y43,FIND($A$2,Lines!Y43)+LEN($A$2)+1,FIND(",",_xlfn.CONCAT(Lines!Y43,","),FIND($A$2,Lines!Y43))-FIND($A$2,Lines!Y43)-LEN($A$2)-1))</f>
        <v/>
      </c>
      <c r="Z43" s="30" t="str">
        <f>IF(ISERROR(FIND($A$2,Lines!Z43))=TRUE,"",MID(Lines!Z43,FIND($A$2,Lines!Z43)+LEN($A$2)+1,FIND(",",_xlfn.CONCAT(Lines!Z43,","),FIND($A$2,Lines!Z43))-FIND($A$2,Lines!Z43)-LEN($A$2)-1))</f>
        <v/>
      </c>
      <c r="AA43" s="30" t="str">
        <f>IF(ISERROR(FIND($A$2,Lines!AA43))=TRUE,"",MID(Lines!AA43,FIND($A$2,Lines!AA43)+LEN($A$2)+1,FIND(",",_xlfn.CONCAT(Lines!AA43,","),FIND($A$2,Lines!AA43))-FIND($A$2,Lines!AA43)-LEN($A$2)-1))</f>
        <v/>
      </c>
      <c r="AB43" s="30" t="str">
        <f>IF(ISERROR(FIND($A$2,Lines!AB43))=TRUE,"",MID(Lines!AB43,FIND($A$2,Lines!AB43)+LEN($A$2)+1,FIND(",",_xlfn.CONCAT(Lines!AB43,","),FIND($A$2,Lines!AB43))-FIND($A$2,Lines!AB43)-LEN($A$2)-1))</f>
        <v/>
      </c>
      <c r="AC43" s="30" t="str">
        <f>IF(ISERROR(FIND($A$2,Lines!AC43))=TRUE,"",MID(Lines!AC43,FIND($A$2,Lines!AC43)+LEN($A$2)+1,FIND(",",_xlfn.CONCAT(Lines!AC43,","),FIND($A$2,Lines!AC43))-FIND($A$2,Lines!AC43)-LEN($A$2)-1))</f>
        <v/>
      </c>
      <c r="AD43" s="30" t="str">
        <f>IF(ISERROR(FIND($A$2,Lines!AD43))=TRUE,"",MID(Lines!AD43,FIND($A$2,Lines!AD43)+LEN($A$2)+1,FIND(",",_xlfn.CONCAT(Lines!AD43,","),FIND($A$2,Lines!AD43))-FIND($A$2,Lines!AD43)-LEN($A$2)-1))</f>
        <v/>
      </c>
      <c r="AE43" s="30" t="str">
        <f>IF(ISERROR(FIND($A$2,Lines!AE43))=TRUE,"",MID(Lines!AE43,FIND($A$2,Lines!AE43)+LEN($A$2)+1,FIND(",",_xlfn.CONCAT(Lines!AE43,","),FIND($A$2,Lines!AE43))-FIND($A$2,Lines!AE43)-LEN($A$2)-1))</f>
        <v/>
      </c>
      <c r="AF43" s="30" t="str">
        <f>IF(ISERROR(FIND($A$2,Lines!AF43))=TRUE,"",MID(Lines!AF43,FIND($A$2,Lines!AF43)+LEN($A$2)+1,FIND(",",_xlfn.CONCAT(Lines!AF43,","),FIND($A$2,Lines!AF43))-FIND($A$2,Lines!AF43)-LEN($A$2)-1))</f>
        <v/>
      </c>
      <c r="AG43" s="30" t="str">
        <f>IF(ISERROR(FIND($A$2,Lines!AG43))=TRUE,"",MID(Lines!AG43,FIND($A$2,Lines!AG43)+LEN($A$2)+1,FIND(",",_xlfn.CONCAT(Lines!AG43,","),FIND($A$2,Lines!AG43))-FIND($A$2,Lines!AG43)-LEN($A$2)-1))</f>
        <v/>
      </c>
      <c r="AH43" s="30" t="str">
        <f>IF(ISERROR(FIND($A$2,Lines!AH43))=TRUE,"",MID(Lines!AH43,FIND($A$2,Lines!AH43)+LEN($A$2)+1,FIND(",",_xlfn.CONCAT(Lines!AH43,","),FIND($A$2,Lines!AH43))-FIND($A$2,Lines!AH43)-LEN($A$2)-1))</f>
        <v/>
      </c>
      <c r="AI43" s="30" t="str">
        <f>IF(ISERROR(FIND($A$2,Lines!AI43))=TRUE,"",MID(Lines!AI43,FIND($A$2,Lines!AI43)+LEN($A$2)+1,FIND(",",_xlfn.CONCAT(Lines!AI43,","),FIND($A$2,Lines!AI43))-FIND($A$2,Lines!AI43)-LEN($A$2)-1))</f>
        <v/>
      </c>
      <c r="AJ43" s="30" t="str">
        <f>IF(ISERROR(FIND($A$2,Lines!AJ43))=TRUE,"",MID(Lines!AJ43,FIND($A$2,Lines!AJ43)+LEN($A$2)+1,FIND(",",_xlfn.CONCAT(Lines!AJ43,","),FIND($A$2,Lines!AJ43))-FIND($A$2,Lines!AJ43)-LEN($A$2)-1))</f>
        <v/>
      </c>
      <c r="AK43" s="58" t="str">
        <f>IF(ISERROR(FIND($A$2,Lines!AK43))=TRUE,"",MID(Lines!AK43,FIND($A$2,Lines!AK43)+LEN($A$2)+1,FIND(",",_xlfn.CONCAT(Lines!AK43,","),FIND($A$2,Lines!AK43))-FIND($A$2,Lines!AK43)-LEN($A$2)-1))</f>
        <v/>
      </c>
      <c r="AL43" s="59" t="str">
        <f>IF(ISERROR(FIND($A$2,Lines!AL43))=TRUE,"",MID(Lines!AL43,FIND($A$2,Lines!AL43)+LEN($A$2)+1,FIND(",",_xlfn.CONCAT(Lines!AL43,","),FIND($A$2,Lines!AL43))-FIND($A$2,Lines!AL43)-LEN($A$2)-1))</f>
        <v/>
      </c>
      <c r="AM43" s="59" t="str">
        <f>IF(ISERROR(FIND($A$2,Lines!AM43))=TRUE,"",MID(Lines!AM43,FIND($A$2,Lines!AM43)+LEN($A$2)+1,FIND(",",_xlfn.CONCAT(Lines!AM43,","),FIND($A$2,Lines!AM43))-FIND($A$2,Lines!AM43)-LEN($A$2)-1))</f>
        <v/>
      </c>
      <c r="AN43" s="59" t="str">
        <f>IF(ISERROR(FIND($A$2,Lines!AN43))=TRUE,"",MID(Lines!AN43,FIND($A$2,Lines!AN43)+LEN($A$2)+1,FIND(",",_xlfn.CONCAT(Lines!AN43,","),FIND($A$2,Lines!AN43))-FIND($A$2,Lines!AN43)-LEN($A$2)-1))</f>
        <v/>
      </c>
      <c r="AO43" s="67" t="str">
        <f>IF(ISERROR(FIND($A$2,Lines!AO43))=TRUE,"",MID(Lines!AO43,FIND($A$2,Lines!AO43)+LEN($A$2)+1,FIND(",",_xlfn.CONCAT(Lines!AO43,","),FIND($A$2,Lines!AO43))-FIND($A$2,Lines!AO43)-LEN($A$2)-1))</f>
        <v/>
      </c>
      <c r="AP43" s="45" t="str">
        <f>IF(ISERROR(FIND($A$2,Lines!AP43))=TRUE,"",MID(Lines!AP43,FIND($A$2,Lines!AP43)+LEN($A$2)+1,FIND(",",_xlfn.CONCAT(Lines!AP43,","),FIND($A$2,Lines!AP43))-FIND($A$2,Lines!AP43)-LEN($A$2)-1))</f>
        <v/>
      </c>
      <c r="AQ43" s="30" t="str">
        <f>IF(ISERROR(FIND($A$2,Lines!AQ43))=TRUE,"",MID(Lines!AQ43,FIND($A$2,Lines!AQ43)+LEN($A$2)+1,FIND(",",_xlfn.CONCAT(Lines!AQ43,","),FIND($A$2,Lines!AQ43))-FIND($A$2,Lines!AQ43)-LEN($A$2)-1))</f>
        <v/>
      </c>
      <c r="AR43" s="30" t="str">
        <f>IF(ISERROR(FIND($A$2,Lines!AR43))=TRUE,"",MID(Lines!AR43,FIND($A$2,Lines!AR43)+LEN($A$2)+1,FIND(",",_xlfn.CONCAT(Lines!AR43,","),FIND($A$2,Lines!AR43))-FIND($A$2,Lines!AR43)-LEN($A$2)-1))</f>
        <v/>
      </c>
      <c r="AS43" s="30" t="str">
        <f>IF(ISERROR(FIND($A$2,Lines!AS43))=TRUE,"",MID(Lines!AS43,FIND($A$2,Lines!AS43)+LEN($A$2)+1,FIND(",",_xlfn.CONCAT(Lines!AS43,","),FIND($A$2,Lines!AS43))-FIND($A$2,Lines!AS43)-LEN($A$2)-1))</f>
        <v/>
      </c>
      <c r="AT43" s="30" t="str">
        <f>IF(ISERROR(FIND($A$2,Lines!AT43))=TRUE,"",MID(Lines!AT43,FIND($A$2,Lines!AT43)+LEN($A$2)+1,FIND(",",_xlfn.CONCAT(Lines!AT43,","),FIND($A$2,Lines!AT43))-FIND($A$2,Lines!AT43)-LEN($A$2)-1))</f>
        <v/>
      </c>
    </row>
    <row r="44" spans="1:46" ht="20.25" customHeight="1">
      <c r="A44" s="2" t="s">
        <v>92</v>
      </c>
      <c r="B44" s="30" t="str">
        <f>IF(ISERROR(FIND($A$2,Lines!B44))=TRUE,"",MID(Lines!B44,FIND($A$2,Lines!B44)+LEN($A$2)+1,FIND(",",_xlfn.CONCAT(Lines!B44,","),FIND($A$2,Lines!B44))-FIND($A$2,Lines!B44)-LEN($A$2)-1))</f>
        <v/>
      </c>
      <c r="C44" s="30" t="str">
        <f>IF(ISERROR(FIND($A$2,Lines!C44))=TRUE,"",MID(Lines!C44,FIND($A$2,Lines!C44)+LEN($A$2)+1,FIND(",",_xlfn.CONCAT(Lines!C44,","),FIND($A$2,Lines!C44))-FIND($A$2,Lines!C44)-LEN($A$2)-1))</f>
        <v/>
      </c>
      <c r="D44" s="30" t="str">
        <f>IF(ISERROR(FIND($A$2,Lines!D44))=TRUE,"",MID(Lines!D44,FIND($A$2,Lines!D44)+LEN($A$2)+1,FIND(",",_xlfn.CONCAT(Lines!D44,","),FIND($A$2,Lines!D44))-FIND($A$2,Lines!D44)-LEN($A$2)-1))</f>
        <v/>
      </c>
      <c r="E44" s="30" t="str">
        <f>IF(ISERROR(FIND($A$2,Lines!E44))=TRUE,"",MID(Lines!E44,FIND($A$2,Lines!E44)+LEN($A$2)+1,FIND(",",_xlfn.CONCAT(Lines!E44,","),FIND($A$2,Lines!E44))-FIND($A$2,Lines!E44)-LEN($A$2)-1))</f>
        <v/>
      </c>
      <c r="F44" s="30" t="str">
        <f>IF(ISERROR(FIND($A$2,Lines!F44))=TRUE,"",MID(Lines!F44,FIND($A$2,Lines!F44)+LEN($A$2)+1,FIND(",",_xlfn.CONCAT(Lines!F44,","),FIND($A$2,Lines!F44))-FIND($A$2,Lines!F44)-LEN($A$2)-1))</f>
        <v/>
      </c>
      <c r="G44" s="30" t="str">
        <f>IF(ISERROR(FIND($A$2,Lines!G44))=TRUE,"",MID(Lines!G44,FIND($A$2,Lines!G44)+LEN($A$2)+1,FIND(",",_xlfn.CONCAT(Lines!G44,","),FIND($A$2,Lines!G44))-FIND($A$2,Lines!G44)-LEN($A$2)-1))</f>
        <v/>
      </c>
      <c r="H44" s="30" t="str">
        <f>IF(ISERROR(FIND($A$2,Lines!H44))=TRUE,"",MID(Lines!H44,FIND($A$2,Lines!H44)+LEN($A$2)+1,FIND(",",_xlfn.CONCAT(Lines!H44,","),FIND($A$2,Lines!H44))-FIND($A$2,Lines!H44)-LEN($A$2)-1))</f>
        <v/>
      </c>
      <c r="I44" s="30" t="str">
        <f>IF(ISERROR(FIND($A$2,Lines!I44))=TRUE,"",MID(Lines!I44,FIND($A$2,Lines!I44)+LEN($A$2)+1,FIND(",",_xlfn.CONCAT(Lines!I44,","),FIND($A$2,Lines!I44))-FIND($A$2,Lines!I44)-LEN($A$2)-1))</f>
        <v/>
      </c>
      <c r="J44" s="30" t="str">
        <f>IF(ISERROR(FIND($A$2,Lines!J44))=TRUE,"",MID(Lines!J44,FIND($A$2,Lines!J44)+LEN($A$2)+1,FIND(",",_xlfn.CONCAT(Lines!J44,","),FIND($A$2,Lines!J44))-FIND($A$2,Lines!J44)-LEN($A$2)-1))</f>
        <v/>
      </c>
      <c r="K44" s="30" t="str">
        <f>IF(ISERROR(FIND($A$2,Lines!K44))=TRUE,"",MID(Lines!K44,FIND($A$2,Lines!K44)+LEN($A$2)+1,FIND(",",_xlfn.CONCAT(Lines!K44,","),FIND($A$2,Lines!K44))-FIND($A$2,Lines!K44)-LEN($A$2)-1))</f>
        <v/>
      </c>
      <c r="L44" s="30" t="str">
        <f>IF(ISERROR(FIND($A$2,Lines!L44))=TRUE,"",MID(Lines!L44,FIND($A$2,Lines!L44)+LEN($A$2)+1,FIND(",",_xlfn.CONCAT(Lines!L44,","),FIND($A$2,Lines!L44))-FIND($A$2,Lines!L44)-LEN($A$2)-1))</f>
        <v/>
      </c>
      <c r="M44" s="30" t="str">
        <f>IF(ISERROR(FIND($A$2,Lines!M44))=TRUE,"",MID(Lines!M44,FIND($A$2,Lines!M44)+LEN($A$2)+1,FIND(",",_xlfn.CONCAT(Lines!M44,","),FIND($A$2,Lines!M44))-FIND($A$2,Lines!M44)-LEN($A$2)-1))</f>
        <v/>
      </c>
      <c r="N44" s="30" t="str">
        <f>IF(ISERROR(FIND($A$2,Lines!N44))=TRUE,"",MID(Lines!N44,FIND($A$2,Lines!N44)+LEN($A$2)+1,FIND(",",_xlfn.CONCAT(Lines!N44,","),FIND($A$2,Lines!N44))-FIND($A$2,Lines!N44)-LEN($A$2)-1))</f>
        <v/>
      </c>
      <c r="O44" s="30" t="str">
        <f>IF(ISERROR(FIND($A$2,Lines!O44))=TRUE,"",MID(Lines!O44,FIND($A$2,Lines!O44)+LEN($A$2)+1,FIND(",",_xlfn.CONCAT(Lines!O44,","),FIND($A$2,Lines!O44))-FIND($A$2,Lines!O44)-LEN($A$2)-1))</f>
        <v/>
      </c>
      <c r="P44" s="30" t="str">
        <f>IF(ISERROR(FIND($A$2,Lines!P44))=TRUE,"",MID(Lines!P44,FIND($A$2,Lines!P44)+LEN($A$2)+1,FIND(",",_xlfn.CONCAT(Lines!P44,","),FIND($A$2,Lines!P44))-FIND($A$2,Lines!P44)-LEN($A$2)-1))</f>
        <v/>
      </c>
      <c r="Q44" s="30" t="str">
        <f>IF(ISERROR(FIND($A$2,Lines!Q44))=TRUE,"",MID(Lines!Q44,FIND($A$2,Lines!Q44)+LEN($A$2)+1,FIND(",",_xlfn.CONCAT(Lines!Q44,","),FIND($A$2,Lines!Q44))-FIND($A$2,Lines!Q44)-LEN($A$2)-1))</f>
        <v/>
      </c>
      <c r="R44" s="30" t="str">
        <f>IF(ISERROR(FIND($A$2,Lines!R44))=TRUE,"",MID(Lines!R44,FIND($A$2,Lines!R44)+LEN($A$2)+1,FIND(",",_xlfn.CONCAT(Lines!R44,","),FIND($A$2,Lines!R44))-FIND($A$2,Lines!R44)-LEN($A$2)-1))</f>
        <v/>
      </c>
      <c r="S44" s="30" t="str">
        <f>IF(ISERROR(FIND($A$2,Lines!S44))=TRUE,"",MID(Lines!S44,FIND($A$2,Lines!S44)+LEN($A$2)+1,FIND(",",_xlfn.CONCAT(Lines!S44,","),FIND($A$2,Lines!S44))-FIND($A$2,Lines!S44)-LEN($A$2)-1))</f>
        <v/>
      </c>
      <c r="T44" s="30" t="str">
        <f>IF(ISERROR(FIND($A$2,Lines!T44))=TRUE,"",MID(Lines!T44,FIND($A$2,Lines!T44)+LEN($A$2)+1,FIND(",",_xlfn.CONCAT(Lines!T44,","),FIND($A$2,Lines!T44))-FIND($A$2,Lines!T44)-LEN($A$2)-1))</f>
        <v/>
      </c>
      <c r="U44" s="30" t="str">
        <f>IF(ISERROR(FIND($A$2,Lines!U44))=TRUE,"",MID(Lines!U44,FIND($A$2,Lines!U44)+LEN($A$2)+1,FIND(",",_xlfn.CONCAT(Lines!U44,","),FIND($A$2,Lines!U44))-FIND($A$2,Lines!U44)-LEN($A$2)-1))</f>
        <v/>
      </c>
      <c r="V44" s="30" t="str">
        <f>IF(ISERROR(FIND($A$2,Lines!V44))=TRUE,"",MID(Lines!V44,FIND($A$2,Lines!V44)+LEN($A$2)+1,FIND(",",_xlfn.CONCAT(Lines!V44,","),FIND($A$2,Lines!V44))-FIND($A$2,Lines!V44)-LEN($A$2)-1))</f>
        <v/>
      </c>
      <c r="W44" s="36" t="str">
        <f>IF(ISERROR(FIND($A$2,Lines!W44))=TRUE,"",MID(Lines!W44,FIND($A$2,Lines!W44)+LEN($A$2)+1,FIND(",",_xlfn.CONCAT(Lines!W44,","),FIND($A$2,Lines!W44))-FIND($A$2,Lines!W44)-LEN($A$2)-1))</f>
        <v/>
      </c>
      <c r="X44" s="30" t="str">
        <f>IF(ISERROR(FIND($A$2,Lines!X44))=TRUE,"",MID(Lines!X44,FIND($A$2,Lines!X44)+LEN($A$2)+1,FIND(",",_xlfn.CONCAT(Lines!X44,","),FIND($A$2,Lines!X44))-FIND($A$2,Lines!X44)-LEN($A$2)-1))</f>
        <v/>
      </c>
      <c r="Y44" s="30" t="str">
        <f>IF(ISERROR(FIND($A$2,Lines!Y44))=TRUE,"",MID(Lines!Y44,FIND($A$2,Lines!Y44)+LEN($A$2)+1,FIND(",",_xlfn.CONCAT(Lines!Y44,","),FIND($A$2,Lines!Y44))-FIND($A$2,Lines!Y44)-LEN($A$2)-1))</f>
        <v/>
      </c>
      <c r="Z44" s="30" t="str">
        <f>IF(ISERROR(FIND($A$2,Lines!Z44))=TRUE,"",MID(Lines!Z44,FIND($A$2,Lines!Z44)+LEN($A$2)+1,FIND(",",_xlfn.CONCAT(Lines!Z44,","),FIND($A$2,Lines!Z44))-FIND($A$2,Lines!Z44)-LEN($A$2)-1))</f>
        <v/>
      </c>
      <c r="AA44" s="30" t="str">
        <f>IF(ISERROR(FIND($A$2,Lines!AA44))=TRUE,"",MID(Lines!AA44,FIND($A$2,Lines!AA44)+LEN($A$2)+1,FIND(",",_xlfn.CONCAT(Lines!AA44,","),FIND($A$2,Lines!AA44))-FIND($A$2,Lines!AA44)-LEN($A$2)-1))</f>
        <v/>
      </c>
      <c r="AB44" s="30" t="str">
        <f>IF(ISERROR(FIND($A$2,Lines!AB44))=TRUE,"",MID(Lines!AB44,FIND($A$2,Lines!AB44)+LEN($A$2)+1,FIND(",",_xlfn.CONCAT(Lines!AB44,","),FIND($A$2,Lines!AB44))-FIND($A$2,Lines!AB44)-LEN($A$2)-1))</f>
        <v/>
      </c>
      <c r="AC44" s="30" t="str">
        <f>IF(ISERROR(FIND($A$2,Lines!AC44))=TRUE,"",MID(Lines!AC44,FIND($A$2,Lines!AC44)+LEN($A$2)+1,FIND(",",_xlfn.CONCAT(Lines!AC44,","),FIND($A$2,Lines!AC44))-FIND($A$2,Lines!AC44)-LEN($A$2)-1))</f>
        <v/>
      </c>
      <c r="AD44" s="30" t="str">
        <f>IF(ISERROR(FIND($A$2,Lines!AD44))=TRUE,"",MID(Lines!AD44,FIND($A$2,Lines!AD44)+LEN($A$2)+1,FIND(",",_xlfn.CONCAT(Lines!AD44,","),FIND($A$2,Lines!AD44))-FIND($A$2,Lines!AD44)-LEN($A$2)-1))</f>
        <v/>
      </c>
      <c r="AE44" s="30" t="str">
        <f>IF(ISERROR(FIND($A$2,Lines!AE44))=TRUE,"",MID(Lines!AE44,FIND($A$2,Lines!AE44)+LEN($A$2)+1,FIND(",",_xlfn.CONCAT(Lines!AE44,","),FIND($A$2,Lines!AE44))-FIND($A$2,Lines!AE44)-LEN($A$2)-1))</f>
        <v/>
      </c>
      <c r="AF44" s="30" t="str">
        <f>IF(ISERROR(FIND($A$2,Lines!AF44))=TRUE,"",MID(Lines!AF44,FIND($A$2,Lines!AF44)+LEN($A$2)+1,FIND(",",_xlfn.CONCAT(Lines!AF44,","),FIND($A$2,Lines!AF44))-FIND($A$2,Lines!AF44)-LEN($A$2)-1))</f>
        <v/>
      </c>
      <c r="AG44" s="30" t="str">
        <f>IF(ISERROR(FIND($A$2,Lines!AG44))=TRUE,"",MID(Lines!AG44,FIND($A$2,Lines!AG44)+LEN($A$2)+1,FIND(",",_xlfn.CONCAT(Lines!AG44,","),FIND($A$2,Lines!AG44))-FIND($A$2,Lines!AG44)-LEN($A$2)-1))</f>
        <v/>
      </c>
      <c r="AH44" s="30" t="str">
        <f>IF(ISERROR(FIND($A$2,Lines!AH44))=TRUE,"",MID(Lines!AH44,FIND($A$2,Lines!AH44)+LEN($A$2)+1,FIND(",",_xlfn.CONCAT(Lines!AH44,","),FIND($A$2,Lines!AH44))-FIND($A$2,Lines!AH44)-LEN($A$2)-1))</f>
        <v/>
      </c>
      <c r="AI44" s="30" t="str">
        <f>IF(ISERROR(FIND($A$2,Lines!AI44))=TRUE,"",MID(Lines!AI44,FIND($A$2,Lines!AI44)+LEN($A$2)+1,FIND(",",_xlfn.CONCAT(Lines!AI44,","),FIND($A$2,Lines!AI44))-FIND($A$2,Lines!AI44)-LEN($A$2)-1))</f>
        <v/>
      </c>
      <c r="AJ44" s="30" t="str">
        <f>IF(ISERROR(FIND($A$2,Lines!AJ44))=TRUE,"",MID(Lines!AJ44,FIND($A$2,Lines!AJ44)+LEN($A$2)+1,FIND(",",_xlfn.CONCAT(Lines!AJ44,","),FIND($A$2,Lines!AJ44))-FIND($A$2,Lines!AJ44)-LEN($A$2)-1))</f>
        <v/>
      </c>
      <c r="AK44" s="30" t="str">
        <f>IF(ISERROR(FIND($A$2,Lines!AK44))=TRUE,"",MID(Lines!AK44,FIND($A$2,Lines!AK44)+LEN($A$2)+1,FIND(",",_xlfn.CONCAT(Lines!AK44,","),FIND($A$2,Lines!AK44))-FIND($A$2,Lines!AK44)-LEN($A$2)-1))</f>
        <v/>
      </c>
      <c r="AL44" s="30" t="str">
        <f>IF(ISERROR(FIND($A$2,Lines!AL44))=TRUE,"",MID(Lines!AL44,FIND($A$2,Lines!AL44)+LEN($A$2)+1,FIND(",",_xlfn.CONCAT(Lines!AL44,","),FIND($A$2,Lines!AL44))-FIND($A$2,Lines!AL44)-LEN($A$2)-1))</f>
        <v/>
      </c>
      <c r="AM44" s="30" t="str">
        <f>IF(ISERROR(FIND($A$2,Lines!AM44))=TRUE,"",MID(Lines!AM44,FIND($A$2,Lines!AM44)+LEN($A$2)+1,FIND(",",_xlfn.CONCAT(Lines!AM44,","),FIND($A$2,Lines!AM44))-FIND($A$2,Lines!AM44)-LEN($A$2)-1))</f>
        <v/>
      </c>
      <c r="AN44" s="30" t="str">
        <f>IF(ISERROR(FIND($A$2,Lines!AN44))=TRUE,"",MID(Lines!AN44,FIND($A$2,Lines!AN44)+LEN($A$2)+1,FIND(",",_xlfn.CONCAT(Lines!AN44,","),FIND($A$2,Lines!AN44))-FIND($A$2,Lines!AN44)-LEN($A$2)-1))</f>
        <v/>
      </c>
      <c r="AO44" s="45" t="str">
        <f>IF(ISERROR(FIND($A$2,Lines!AO44))=TRUE,"",MID(Lines!AO44,FIND($A$2,Lines!AO44)+LEN($A$2)+1,FIND(",",_xlfn.CONCAT(Lines!AO44,","),FIND($A$2,Lines!AO44))-FIND($A$2,Lines!AO44)-LEN($A$2)-1))</f>
        <v/>
      </c>
      <c r="AP44" s="65" t="str">
        <f>IF(ISERROR(FIND($A$2,Lines!AP44))=TRUE,"",MID(Lines!AP44,FIND($A$2,Lines!AP44)+LEN($A$2)+1,FIND(",",_xlfn.CONCAT(Lines!AP44,","),FIND($A$2,Lines!AP44))-FIND($A$2,Lines!AP44)-LEN($A$2)-1))</f>
        <v/>
      </c>
      <c r="AQ44" s="62" t="str">
        <f>IF(ISERROR(FIND($A$2,Lines!AQ44))=TRUE,"",MID(Lines!AQ44,FIND($A$2,Lines!AQ44)+LEN($A$2)+1,FIND(",",_xlfn.CONCAT(Lines!AQ44,","),FIND($A$2,Lines!AQ44))-FIND($A$2,Lines!AQ44)-LEN($A$2)-1))</f>
        <v/>
      </c>
      <c r="AR44" s="62" t="str">
        <f>IF(ISERROR(FIND($A$2,Lines!AR44))=TRUE,"",MID(Lines!AR44,FIND($A$2,Lines!AR44)+LEN($A$2)+1,FIND(",",_xlfn.CONCAT(Lines!AR44,","),FIND($A$2,Lines!AR44))-FIND($A$2,Lines!AR44)-LEN($A$2)-1))</f>
        <v/>
      </c>
      <c r="AS44" s="62" t="str">
        <f>IF(ISERROR(FIND($A$2,Lines!AS44))=TRUE,"",MID(Lines!AS44,FIND($A$2,Lines!AS44)+LEN($A$2)+1,FIND(",",_xlfn.CONCAT(Lines!AS44,","),FIND($A$2,Lines!AS44))-FIND($A$2,Lines!AS44)-LEN($A$2)-1))</f>
        <v/>
      </c>
      <c r="AT44" s="62" t="str">
        <f>IF(ISERROR(FIND($A$2,Lines!AT44))=TRUE,"",MID(Lines!AT44,FIND($A$2,Lines!AT44)+LEN($A$2)+1,FIND(",",_xlfn.CONCAT(Lines!AT44,","),FIND($A$2,Lines!AT44))-FIND($A$2,Lines!AT44)-LEN($A$2)-1))</f>
        <v/>
      </c>
    </row>
    <row r="45" spans="1:46" ht="20.25" customHeight="1">
      <c r="A45" s="2" t="s">
        <v>93</v>
      </c>
      <c r="B45" s="30" t="str">
        <f>IF(ISERROR(FIND($A$2,Lines!B45))=TRUE,"",MID(Lines!B45,FIND($A$2,Lines!B45)+LEN($A$2)+1,FIND(",",_xlfn.CONCAT(Lines!B45,","),FIND($A$2,Lines!B45))-FIND($A$2,Lines!B45)-LEN($A$2)-1))</f>
        <v/>
      </c>
      <c r="C45" s="30" t="str">
        <f>IF(ISERROR(FIND($A$2,Lines!C45))=TRUE,"",MID(Lines!C45,FIND($A$2,Lines!C45)+LEN($A$2)+1,FIND(",",_xlfn.CONCAT(Lines!C45,","),FIND($A$2,Lines!C45))-FIND($A$2,Lines!C45)-LEN($A$2)-1))</f>
        <v/>
      </c>
      <c r="D45" s="30" t="str">
        <f>IF(ISERROR(FIND($A$2,Lines!D45))=TRUE,"",MID(Lines!D45,FIND($A$2,Lines!D45)+LEN($A$2)+1,FIND(",",_xlfn.CONCAT(Lines!D45,","),FIND($A$2,Lines!D45))-FIND($A$2,Lines!D45)-LEN($A$2)-1))</f>
        <v/>
      </c>
      <c r="E45" s="30" t="str">
        <f>IF(ISERROR(FIND($A$2,Lines!E45))=TRUE,"",MID(Lines!E45,FIND($A$2,Lines!E45)+LEN($A$2)+1,FIND(",",_xlfn.CONCAT(Lines!E45,","),FIND($A$2,Lines!E45))-FIND($A$2,Lines!E45)-LEN($A$2)-1))</f>
        <v/>
      </c>
      <c r="F45" s="30" t="str">
        <f>IF(ISERROR(FIND($A$2,Lines!F45))=TRUE,"",MID(Lines!F45,FIND($A$2,Lines!F45)+LEN($A$2)+1,FIND(",",_xlfn.CONCAT(Lines!F45,","),FIND($A$2,Lines!F45))-FIND($A$2,Lines!F45)-LEN($A$2)-1))</f>
        <v/>
      </c>
      <c r="G45" s="30" t="str">
        <f>IF(ISERROR(FIND($A$2,Lines!G45))=TRUE,"",MID(Lines!G45,FIND($A$2,Lines!G45)+LEN($A$2)+1,FIND(",",_xlfn.CONCAT(Lines!G45,","),FIND($A$2,Lines!G45))-FIND($A$2,Lines!G45)-LEN($A$2)-1))</f>
        <v/>
      </c>
      <c r="H45" s="30" t="str">
        <f>IF(ISERROR(FIND($A$2,Lines!H45))=TRUE,"",MID(Lines!H45,FIND($A$2,Lines!H45)+LEN($A$2)+1,FIND(",",_xlfn.CONCAT(Lines!H45,","),FIND($A$2,Lines!H45))-FIND($A$2,Lines!H45)-LEN($A$2)-1))</f>
        <v/>
      </c>
      <c r="I45" s="30" t="str">
        <f>IF(ISERROR(FIND($A$2,Lines!I45))=TRUE,"",MID(Lines!I45,FIND($A$2,Lines!I45)+LEN($A$2)+1,FIND(",",_xlfn.CONCAT(Lines!I45,","),FIND($A$2,Lines!I45))-FIND($A$2,Lines!I45)-LEN($A$2)-1))</f>
        <v/>
      </c>
      <c r="J45" s="30" t="str">
        <f>IF(ISERROR(FIND($A$2,Lines!J45))=TRUE,"",MID(Lines!J45,FIND($A$2,Lines!J45)+LEN($A$2)+1,FIND(",",_xlfn.CONCAT(Lines!J45,","),FIND($A$2,Lines!J45))-FIND($A$2,Lines!J45)-LEN($A$2)-1))</f>
        <v/>
      </c>
      <c r="K45" s="30" t="str">
        <f>IF(ISERROR(FIND($A$2,Lines!K45))=TRUE,"",MID(Lines!K45,FIND($A$2,Lines!K45)+LEN($A$2)+1,FIND(",",_xlfn.CONCAT(Lines!K45,","),FIND($A$2,Lines!K45))-FIND($A$2,Lines!K45)-LEN($A$2)-1))</f>
        <v/>
      </c>
      <c r="L45" s="30" t="str">
        <f>IF(ISERROR(FIND($A$2,Lines!L45))=TRUE,"",MID(Lines!L45,FIND($A$2,Lines!L45)+LEN($A$2)+1,FIND(",",_xlfn.CONCAT(Lines!L45,","),FIND($A$2,Lines!L45))-FIND($A$2,Lines!L45)-LEN($A$2)-1))</f>
        <v/>
      </c>
      <c r="M45" s="30" t="str">
        <f>IF(ISERROR(FIND($A$2,Lines!M45))=TRUE,"",MID(Lines!M45,FIND($A$2,Lines!M45)+LEN($A$2)+1,FIND(",",_xlfn.CONCAT(Lines!M45,","),FIND($A$2,Lines!M45))-FIND($A$2,Lines!M45)-LEN($A$2)-1))</f>
        <v/>
      </c>
      <c r="N45" s="30" t="str">
        <f>IF(ISERROR(FIND($A$2,Lines!N45))=TRUE,"",MID(Lines!N45,FIND($A$2,Lines!N45)+LEN($A$2)+1,FIND(",",_xlfn.CONCAT(Lines!N45,","),FIND($A$2,Lines!N45))-FIND($A$2,Lines!N45)-LEN($A$2)-1))</f>
        <v/>
      </c>
      <c r="O45" s="30" t="str">
        <f>IF(ISERROR(FIND($A$2,Lines!O45))=TRUE,"",MID(Lines!O45,FIND($A$2,Lines!O45)+LEN($A$2)+1,FIND(",",_xlfn.CONCAT(Lines!O45,","),FIND($A$2,Lines!O45))-FIND($A$2,Lines!O45)-LEN($A$2)-1))</f>
        <v/>
      </c>
      <c r="P45" s="30" t="str">
        <f>IF(ISERROR(FIND($A$2,Lines!P45))=TRUE,"",MID(Lines!P45,FIND($A$2,Lines!P45)+LEN($A$2)+1,FIND(",",_xlfn.CONCAT(Lines!P45,","),FIND($A$2,Lines!P45))-FIND($A$2,Lines!P45)-LEN($A$2)-1))</f>
        <v/>
      </c>
      <c r="Q45" s="30" t="str">
        <f>IF(ISERROR(FIND($A$2,Lines!Q45))=TRUE,"",MID(Lines!Q45,FIND($A$2,Lines!Q45)+LEN($A$2)+1,FIND(",",_xlfn.CONCAT(Lines!Q45,","),FIND($A$2,Lines!Q45))-FIND($A$2,Lines!Q45)-LEN($A$2)-1))</f>
        <v/>
      </c>
      <c r="R45" s="30" t="str">
        <f>IF(ISERROR(FIND($A$2,Lines!R45))=TRUE,"",MID(Lines!R45,FIND($A$2,Lines!R45)+LEN($A$2)+1,FIND(",",_xlfn.CONCAT(Lines!R45,","),FIND($A$2,Lines!R45))-FIND($A$2,Lines!R45)-LEN($A$2)-1))</f>
        <v/>
      </c>
      <c r="S45" s="30" t="str">
        <f>IF(ISERROR(FIND($A$2,Lines!S45))=TRUE,"",MID(Lines!S45,FIND($A$2,Lines!S45)+LEN($A$2)+1,FIND(",",_xlfn.CONCAT(Lines!S45,","),FIND($A$2,Lines!S45))-FIND($A$2,Lines!S45)-LEN($A$2)-1))</f>
        <v/>
      </c>
      <c r="T45" s="30" t="str">
        <f>IF(ISERROR(FIND($A$2,Lines!T45))=TRUE,"",MID(Lines!T45,FIND($A$2,Lines!T45)+LEN($A$2)+1,FIND(",",_xlfn.CONCAT(Lines!T45,","),FIND($A$2,Lines!T45))-FIND($A$2,Lines!T45)-LEN($A$2)-1))</f>
        <v/>
      </c>
      <c r="U45" s="30" t="str">
        <f>IF(ISERROR(FIND($A$2,Lines!U45))=TRUE,"",MID(Lines!U45,FIND($A$2,Lines!U45)+LEN($A$2)+1,FIND(",",_xlfn.CONCAT(Lines!U45,","),FIND($A$2,Lines!U45))-FIND($A$2,Lines!U45)-LEN($A$2)-1))</f>
        <v/>
      </c>
      <c r="V45" s="30" t="str">
        <f>IF(ISERROR(FIND($A$2,Lines!V45))=TRUE,"",MID(Lines!V45,FIND($A$2,Lines!V45)+LEN($A$2)+1,FIND(",",_xlfn.CONCAT(Lines!V45,","),FIND($A$2,Lines!V45))-FIND($A$2,Lines!V45)-LEN($A$2)-1))</f>
        <v/>
      </c>
      <c r="W45" s="36" t="str">
        <f>IF(ISERROR(FIND($A$2,Lines!W45))=TRUE,"",MID(Lines!W45,FIND($A$2,Lines!W45)+LEN($A$2)+1,FIND(",",_xlfn.CONCAT(Lines!W45,","),FIND($A$2,Lines!W45))-FIND($A$2,Lines!W45)-LEN($A$2)-1))</f>
        <v/>
      </c>
      <c r="X45" s="30" t="str">
        <f>IF(ISERROR(FIND($A$2,Lines!X45))=TRUE,"",MID(Lines!X45,FIND($A$2,Lines!X45)+LEN($A$2)+1,FIND(",",_xlfn.CONCAT(Lines!X45,","),FIND($A$2,Lines!X45))-FIND($A$2,Lines!X45)-LEN($A$2)-1))</f>
        <v/>
      </c>
      <c r="Y45" s="30" t="str">
        <f>IF(ISERROR(FIND($A$2,Lines!Y45))=TRUE,"",MID(Lines!Y45,FIND($A$2,Lines!Y45)+LEN($A$2)+1,FIND(",",_xlfn.CONCAT(Lines!Y45,","),FIND($A$2,Lines!Y45))-FIND($A$2,Lines!Y45)-LEN($A$2)-1))</f>
        <v/>
      </c>
      <c r="Z45" s="30" t="str">
        <f>IF(ISERROR(FIND($A$2,Lines!Z45))=TRUE,"",MID(Lines!Z45,FIND($A$2,Lines!Z45)+LEN($A$2)+1,FIND(",",_xlfn.CONCAT(Lines!Z45,","),FIND($A$2,Lines!Z45))-FIND($A$2,Lines!Z45)-LEN($A$2)-1))</f>
        <v/>
      </c>
      <c r="AA45" s="30" t="str">
        <f>IF(ISERROR(FIND($A$2,Lines!AA45))=TRUE,"",MID(Lines!AA45,FIND($A$2,Lines!AA45)+LEN($A$2)+1,FIND(",",_xlfn.CONCAT(Lines!AA45,","),FIND($A$2,Lines!AA45))-FIND($A$2,Lines!AA45)-LEN($A$2)-1))</f>
        <v/>
      </c>
      <c r="AB45" s="30" t="str">
        <f>IF(ISERROR(FIND($A$2,Lines!AB45))=TRUE,"",MID(Lines!AB45,FIND($A$2,Lines!AB45)+LEN($A$2)+1,FIND(",",_xlfn.CONCAT(Lines!AB45,","),FIND($A$2,Lines!AB45))-FIND($A$2,Lines!AB45)-LEN($A$2)-1))</f>
        <v/>
      </c>
      <c r="AC45" s="30" t="str">
        <f>IF(ISERROR(FIND($A$2,Lines!AC45))=TRUE,"",MID(Lines!AC45,FIND($A$2,Lines!AC45)+LEN($A$2)+1,FIND(",",_xlfn.CONCAT(Lines!AC45,","),FIND($A$2,Lines!AC45))-FIND($A$2,Lines!AC45)-LEN($A$2)-1))</f>
        <v/>
      </c>
      <c r="AD45" s="30" t="str">
        <f>IF(ISERROR(FIND($A$2,Lines!AD45))=TRUE,"",MID(Lines!AD45,FIND($A$2,Lines!AD45)+LEN($A$2)+1,FIND(",",_xlfn.CONCAT(Lines!AD45,","),FIND($A$2,Lines!AD45))-FIND($A$2,Lines!AD45)-LEN($A$2)-1))</f>
        <v/>
      </c>
      <c r="AE45" s="30" t="str">
        <f>IF(ISERROR(FIND($A$2,Lines!AE45))=TRUE,"",MID(Lines!AE45,FIND($A$2,Lines!AE45)+LEN($A$2)+1,FIND(",",_xlfn.CONCAT(Lines!AE45,","),FIND($A$2,Lines!AE45))-FIND($A$2,Lines!AE45)-LEN($A$2)-1))</f>
        <v/>
      </c>
      <c r="AF45" s="30" t="str">
        <f>IF(ISERROR(FIND($A$2,Lines!AF45))=TRUE,"",MID(Lines!AF45,FIND($A$2,Lines!AF45)+LEN($A$2)+1,FIND(",",_xlfn.CONCAT(Lines!AF45,","),FIND($A$2,Lines!AF45))-FIND($A$2,Lines!AF45)-LEN($A$2)-1))</f>
        <v/>
      </c>
      <c r="AG45" s="30" t="str">
        <f>IF(ISERROR(FIND($A$2,Lines!AG45))=TRUE,"",MID(Lines!AG45,FIND($A$2,Lines!AG45)+LEN($A$2)+1,FIND(",",_xlfn.CONCAT(Lines!AG45,","),FIND($A$2,Lines!AG45))-FIND($A$2,Lines!AG45)-LEN($A$2)-1))</f>
        <v/>
      </c>
      <c r="AH45" s="30" t="str">
        <f>IF(ISERROR(FIND($A$2,Lines!AH45))=TRUE,"",MID(Lines!AH45,FIND($A$2,Lines!AH45)+LEN($A$2)+1,FIND(",",_xlfn.CONCAT(Lines!AH45,","),FIND($A$2,Lines!AH45))-FIND($A$2,Lines!AH45)-LEN($A$2)-1))</f>
        <v/>
      </c>
      <c r="AI45" s="30" t="str">
        <f>IF(ISERROR(FIND($A$2,Lines!AI45))=TRUE,"",MID(Lines!AI45,FIND($A$2,Lines!AI45)+LEN($A$2)+1,FIND(",",_xlfn.CONCAT(Lines!AI45,","),FIND($A$2,Lines!AI45))-FIND($A$2,Lines!AI45)-LEN($A$2)-1))</f>
        <v/>
      </c>
      <c r="AJ45" s="30" t="str">
        <f>IF(ISERROR(FIND($A$2,Lines!AJ45))=TRUE,"",MID(Lines!AJ45,FIND($A$2,Lines!AJ45)+LEN($A$2)+1,FIND(",",_xlfn.CONCAT(Lines!AJ45,","),FIND($A$2,Lines!AJ45))-FIND($A$2,Lines!AJ45)-LEN($A$2)-1))</f>
        <v/>
      </c>
      <c r="AK45" s="30" t="str">
        <f>IF(ISERROR(FIND($A$2,Lines!AK45))=TRUE,"",MID(Lines!AK45,FIND($A$2,Lines!AK45)+LEN($A$2)+1,FIND(",",_xlfn.CONCAT(Lines!AK45,","),FIND($A$2,Lines!AK45))-FIND($A$2,Lines!AK45)-LEN($A$2)-1))</f>
        <v/>
      </c>
      <c r="AL45" s="30" t="str">
        <f>IF(ISERROR(FIND($A$2,Lines!AL45))=TRUE,"",MID(Lines!AL45,FIND($A$2,Lines!AL45)+LEN($A$2)+1,FIND(",",_xlfn.CONCAT(Lines!AL45,","),FIND($A$2,Lines!AL45))-FIND($A$2,Lines!AL45)-LEN($A$2)-1))</f>
        <v/>
      </c>
      <c r="AM45" s="30" t="str">
        <f>IF(ISERROR(FIND($A$2,Lines!AM45))=TRUE,"",MID(Lines!AM45,FIND($A$2,Lines!AM45)+LEN($A$2)+1,FIND(",",_xlfn.CONCAT(Lines!AM45,","),FIND($A$2,Lines!AM45))-FIND($A$2,Lines!AM45)-LEN($A$2)-1))</f>
        <v/>
      </c>
      <c r="AN45" s="30" t="str">
        <f>IF(ISERROR(FIND($A$2,Lines!AN45))=TRUE,"",MID(Lines!AN45,FIND($A$2,Lines!AN45)+LEN($A$2)+1,FIND(",",_xlfn.CONCAT(Lines!AN45,","),FIND($A$2,Lines!AN45))-FIND($A$2,Lines!AN45)-LEN($A$2)-1))</f>
        <v/>
      </c>
      <c r="AO45" s="30" t="str">
        <f>IF(ISERROR(FIND($A$2,Lines!AO45))=TRUE,"",MID(Lines!AO45,FIND($A$2,Lines!AO45)+LEN($A$2)+1,FIND(",",_xlfn.CONCAT(Lines!AO45,","),FIND($A$2,Lines!AO45))-FIND($A$2,Lines!AO45)-LEN($A$2)-1))</f>
        <v/>
      </c>
      <c r="AP45" s="57" t="str">
        <f>IF(ISERROR(FIND($A$2,Lines!AP45))=TRUE,"",MID(Lines!AP45,FIND($A$2,Lines!AP45)+LEN($A$2)+1,FIND(",",_xlfn.CONCAT(Lines!AP45,","),FIND($A$2,Lines!AP45))-FIND($A$2,Lines!AP45)-LEN($A$2)-1))</f>
        <v/>
      </c>
      <c r="AQ45" s="66" t="str">
        <f>IF(ISERROR(FIND($A$2,Lines!AQ45))=TRUE,"",MID(Lines!AQ45,FIND($A$2,Lines!AQ45)+LEN($A$2)+1,FIND(",",_xlfn.CONCAT(Lines!AQ45,","),FIND($A$2,Lines!AQ45))-FIND($A$2,Lines!AQ45)-LEN($A$2)-1))</f>
        <v/>
      </c>
      <c r="AR45" s="44" t="str">
        <f>IF(ISERROR(FIND($A$2,Lines!AR45))=TRUE,"",MID(Lines!AR45,FIND($A$2,Lines!AR45)+LEN($A$2)+1,FIND(",",_xlfn.CONCAT(Lines!AR45,","),FIND($A$2,Lines!AR45))-FIND($A$2,Lines!AR45)-LEN($A$2)-1))</f>
        <v/>
      </c>
      <c r="AS45" s="44" t="str">
        <f>IF(ISERROR(FIND($A$2,Lines!AS45))=TRUE,"",MID(Lines!AS45,FIND($A$2,Lines!AS45)+LEN($A$2)+1,FIND(",",_xlfn.CONCAT(Lines!AS45,","),FIND($A$2,Lines!AS45))-FIND($A$2,Lines!AS45)-LEN($A$2)-1))</f>
        <v/>
      </c>
      <c r="AT45" s="44" t="str">
        <f>IF(ISERROR(FIND($A$2,Lines!AT45))=TRUE,"",MID(Lines!AT45,FIND($A$2,Lines!AT45)+LEN($A$2)+1,FIND(",",_xlfn.CONCAT(Lines!AT45,","),FIND($A$2,Lines!AT45))-FIND($A$2,Lines!AT45)-LEN($A$2)-1))</f>
        <v/>
      </c>
    </row>
    <row r="46" spans="1:46" ht="20.25" customHeight="1">
      <c r="A46" s="2" t="s">
        <v>94</v>
      </c>
      <c r="B46" s="30" t="str">
        <f>IF(ISERROR(FIND($A$2,Lines!B46))=TRUE,"",MID(Lines!B46,FIND($A$2,Lines!B46)+LEN($A$2)+1,FIND(",",_xlfn.CONCAT(Lines!B46,","),FIND($A$2,Lines!B46))-FIND($A$2,Lines!B46)-LEN($A$2)-1))</f>
        <v/>
      </c>
      <c r="C46" s="30" t="str">
        <f>IF(ISERROR(FIND($A$2,Lines!C46))=TRUE,"",MID(Lines!C46,FIND($A$2,Lines!C46)+LEN($A$2)+1,FIND(",",_xlfn.CONCAT(Lines!C46,","),FIND($A$2,Lines!C46))-FIND($A$2,Lines!C46)-LEN($A$2)-1))</f>
        <v/>
      </c>
      <c r="D46" s="30" t="str">
        <f>IF(ISERROR(FIND($A$2,Lines!D46))=TRUE,"",MID(Lines!D46,FIND($A$2,Lines!D46)+LEN($A$2)+1,FIND(",",_xlfn.CONCAT(Lines!D46,","),FIND($A$2,Lines!D46))-FIND($A$2,Lines!D46)-LEN($A$2)-1))</f>
        <v/>
      </c>
      <c r="E46" s="30" t="str">
        <f>IF(ISERROR(FIND($A$2,Lines!E46))=TRUE,"",MID(Lines!E46,FIND($A$2,Lines!E46)+LEN($A$2)+1,FIND(",",_xlfn.CONCAT(Lines!E46,","),FIND($A$2,Lines!E46))-FIND($A$2,Lines!E46)-LEN($A$2)-1))</f>
        <v/>
      </c>
      <c r="F46" s="30" t="str">
        <f>IF(ISERROR(FIND($A$2,Lines!F46))=TRUE,"",MID(Lines!F46,FIND($A$2,Lines!F46)+LEN($A$2)+1,FIND(",",_xlfn.CONCAT(Lines!F46,","),FIND($A$2,Lines!F46))-FIND($A$2,Lines!F46)-LEN($A$2)-1))</f>
        <v/>
      </c>
      <c r="G46" s="30" t="str">
        <f>IF(ISERROR(FIND($A$2,Lines!G46))=TRUE,"",MID(Lines!G46,FIND($A$2,Lines!G46)+LEN($A$2)+1,FIND(",",_xlfn.CONCAT(Lines!G46,","),FIND($A$2,Lines!G46))-FIND($A$2,Lines!G46)-LEN($A$2)-1))</f>
        <v/>
      </c>
      <c r="H46" s="30" t="str">
        <f>IF(ISERROR(FIND($A$2,Lines!H46))=TRUE,"",MID(Lines!H46,FIND($A$2,Lines!H46)+LEN($A$2)+1,FIND(",",_xlfn.CONCAT(Lines!H46,","),FIND($A$2,Lines!H46))-FIND($A$2,Lines!H46)-LEN($A$2)-1))</f>
        <v/>
      </c>
      <c r="I46" s="30" t="str">
        <f>IF(ISERROR(FIND($A$2,Lines!I46))=TRUE,"",MID(Lines!I46,FIND($A$2,Lines!I46)+LEN($A$2)+1,FIND(",",_xlfn.CONCAT(Lines!I46,","),FIND($A$2,Lines!I46))-FIND($A$2,Lines!I46)-LEN($A$2)-1))</f>
        <v/>
      </c>
      <c r="J46" s="30" t="str">
        <f>IF(ISERROR(FIND($A$2,Lines!J46))=TRUE,"",MID(Lines!J46,FIND($A$2,Lines!J46)+LEN($A$2)+1,FIND(",",_xlfn.CONCAT(Lines!J46,","),FIND($A$2,Lines!J46))-FIND($A$2,Lines!J46)-LEN($A$2)-1))</f>
        <v/>
      </c>
      <c r="K46" s="30" t="str">
        <f>IF(ISERROR(FIND($A$2,Lines!K46))=TRUE,"",MID(Lines!K46,FIND($A$2,Lines!K46)+LEN($A$2)+1,FIND(",",_xlfn.CONCAT(Lines!K46,","),FIND($A$2,Lines!K46))-FIND($A$2,Lines!K46)-LEN($A$2)-1))</f>
        <v/>
      </c>
      <c r="L46" s="30" t="str">
        <f>IF(ISERROR(FIND($A$2,Lines!L46))=TRUE,"",MID(Lines!L46,FIND($A$2,Lines!L46)+LEN($A$2)+1,FIND(",",_xlfn.CONCAT(Lines!L46,","),FIND($A$2,Lines!L46))-FIND($A$2,Lines!L46)-LEN($A$2)-1))</f>
        <v/>
      </c>
      <c r="M46" s="30" t="str">
        <f>IF(ISERROR(FIND($A$2,Lines!M46))=TRUE,"",MID(Lines!M46,FIND($A$2,Lines!M46)+LEN($A$2)+1,FIND(",",_xlfn.CONCAT(Lines!M46,","),FIND($A$2,Lines!M46))-FIND($A$2,Lines!M46)-LEN($A$2)-1))</f>
        <v/>
      </c>
      <c r="N46" s="30" t="str">
        <f>IF(ISERROR(FIND($A$2,Lines!N46))=TRUE,"",MID(Lines!N46,FIND($A$2,Lines!N46)+LEN($A$2)+1,FIND(",",_xlfn.CONCAT(Lines!N46,","),FIND($A$2,Lines!N46))-FIND($A$2,Lines!N46)-LEN($A$2)-1))</f>
        <v/>
      </c>
      <c r="O46" s="30" t="str">
        <f>IF(ISERROR(FIND($A$2,Lines!O46))=TRUE,"",MID(Lines!O46,FIND($A$2,Lines!O46)+LEN($A$2)+1,FIND(",",_xlfn.CONCAT(Lines!O46,","),FIND($A$2,Lines!O46))-FIND($A$2,Lines!O46)-LEN($A$2)-1))</f>
        <v/>
      </c>
      <c r="P46" s="30" t="str">
        <f>IF(ISERROR(FIND($A$2,Lines!P46))=TRUE,"",MID(Lines!P46,FIND($A$2,Lines!P46)+LEN($A$2)+1,FIND(",",_xlfn.CONCAT(Lines!P46,","),FIND($A$2,Lines!P46))-FIND($A$2,Lines!P46)-LEN($A$2)-1))</f>
        <v/>
      </c>
      <c r="Q46" s="30" t="str">
        <f>IF(ISERROR(FIND($A$2,Lines!Q46))=TRUE,"",MID(Lines!Q46,FIND($A$2,Lines!Q46)+LEN($A$2)+1,FIND(",",_xlfn.CONCAT(Lines!Q46,","),FIND($A$2,Lines!Q46))-FIND($A$2,Lines!Q46)-LEN($A$2)-1))</f>
        <v/>
      </c>
      <c r="R46" s="30" t="str">
        <f>IF(ISERROR(FIND($A$2,Lines!R46))=TRUE,"",MID(Lines!R46,FIND($A$2,Lines!R46)+LEN($A$2)+1,FIND(",",_xlfn.CONCAT(Lines!R46,","),FIND($A$2,Lines!R46))-FIND($A$2,Lines!R46)-LEN($A$2)-1))</f>
        <v/>
      </c>
      <c r="S46" s="30" t="str">
        <f>IF(ISERROR(FIND($A$2,Lines!S46))=TRUE,"",MID(Lines!S46,FIND($A$2,Lines!S46)+LEN($A$2)+1,FIND(",",_xlfn.CONCAT(Lines!S46,","),FIND($A$2,Lines!S46))-FIND($A$2,Lines!S46)-LEN($A$2)-1))</f>
        <v/>
      </c>
      <c r="T46" s="30" t="str">
        <f>IF(ISERROR(FIND($A$2,Lines!T46))=TRUE,"",MID(Lines!T46,FIND($A$2,Lines!T46)+LEN($A$2)+1,FIND(",",_xlfn.CONCAT(Lines!T46,","),FIND($A$2,Lines!T46))-FIND($A$2,Lines!T46)-LEN($A$2)-1))</f>
        <v/>
      </c>
      <c r="U46" s="30" t="str">
        <f>IF(ISERROR(FIND($A$2,Lines!U46))=TRUE,"",MID(Lines!U46,FIND($A$2,Lines!U46)+LEN($A$2)+1,FIND(",",_xlfn.CONCAT(Lines!U46,","),FIND($A$2,Lines!U46))-FIND($A$2,Lines!U46)-LEN($A$2)-1))</f>
        <v/>
      </c>
      <c r="V46" s="30" t="str">
        <f>IF(ISERROR(FIND($A$2,Lines!V46))=TRUE,"",MID(Lines!V46,FIND($A$2,Lines!V46)+LEN($A$2)+1,FIND(",",_xlfn.CONCAT(Lines!V46,","),FIND($A$2,Lines!V46))-FIND($A$2,Lines!V46)-LEN($A$2)-1))</f>
        <v/>
      </c>
      <c r="W46" s="36" t="str">
        <f>IF(ISERROR(FIND($A$2,Lines!W46))=TRUE,"",MID(Lines!W46,FIND($A$2,Lines!W46)+LEN($A$2)+1,FIND(",",_xlfn.CONCAT(Lines!W46,","),FIND($A$2,Lines!W46))-FIND($A$2,Lines!W46)-LEN($A$2)-1))</f>
        <v/>
      </c>
      <c r="X46" s="30" t="str">
        <f>IF(ISERROR(FIND($A$2,Lines!X46))=TRUE,"",MID(Lines!X46,FIND($A$2,Lines!X46)+LEN($A$2)+1,FIND(",",_xlfn.CONCAT(Lines!X46,","),FIND($A$2,Lines!X46))-FIND($A$2,Lines!X46)-LEN($A$2)-1))</f>
        <v/>
      </c>
      <c r="Y46" s="30" t="str">
        <f>IF(ISERROR(FIND($A$2,Lines!Y46))=TRUE,"",MID(Lines!Y46,FIND($A$2,Lines!Y46)+LEN($A$2)+1,FIND(",",_xlfn.CONCAT(Lines!Y46,","),FIND($A$2,Lines!Y46))-FIND($A$2,Lines!Y46)-LEN($A$2)-1))</f>
        <v/>
      </c>
      <c r="Z46" s="30" t="str">
        <f>IF(ISERROR(FIND($A$2,Lines!Z46))=TRUE,"",MID(Lines!Z46,FIND($A$2,Lines!Z46)+LEN($A$2)+1,FIND(",",_xlfn.CONCAT(Lines!Z46,","),FIND($A$2,Lines!Z46))-FIND($A$2,Lines!Z46)-LEN($A$2)-1))</f>
        <v/>
      </c>
      <c r="AA46" s="30" t="str">
        <f>IF(ISERROR(FIND($A$2,Lines!AA46))=TRUE,"",MID(Lines!AA46,FIND($A$2,Lines!AA46)+LEN($A$2)+1,FIND(",",_xlfn.CONCAT(Lines!AA46,","),FIND($A$2,Lines!AA46))-FIND($A$2,Lines!AA46)-LEN($A$2)-1))</f>
        <v/>
      </c>
      <c r="AB46" s="30" t="str">
        <f>IF(ISERROR(FIND($A$2,Lines!AB46))=TRUE,"",MID(Lines!AB46,FIND($A$2,Lines!AB46)+LEN($A$2)+1,FIND(",",_xlfn.CONCAT(Lines!AB46,","),FIND($A$2,Lines!AB46))-FIND($A$2,Lines!AB46)-LEN($A$2)-1))</f>
        <v/>
      </c>
      <c r="AC46" s="30" t="str">
        <f>IF(ISERROR(FIND($A$2,Lines!AC46))=TRUE,"",MID(Lines!AC46,FIND($A$2,Lines!AC46)+LEN($A$2)+1,FIND(",",_xlfn.CONCAT(Lines!AC46,","),FIND($A$2,Lines!AC46))-FIND($A$2,Lines!AC46)-LEN($A$2)-1))</f>
        <v/>
      </c>
      <c r="AD46" s="30" t="str">
        <f>IF(ISERROR(FIND($A$2,Lines!AD46))=TRUE,"",MID(Lines!AD46,FIND($A$2,Lines!AD46)+LEN($A$2)+1,FIND(",",_xlfn.CONCAT(Lines!AD46,","),FIND($A$2,Lines!AD46))-FIND($A$2,Lines!AD46)-LEN($A$2)-1))</f>
        <v/>
      </c>
      <c r="AE46" s="30" t="str">
        <f>IF(ISERROR(FIND($A$2,Lines!AE46))=TRUE,"",MID(Lines!AE46,FIND($A$2,Lines!AE46)+LEN($A$2)+1,FIND(",",_xlfn.CONCAT(Lines!AE46,","),FIND($A$2,Lines!AE46))-FIND($A$2,Lines!AE46)-LEN($A$2)-1))</f>
        <v/>
      </c>
      <c r="AF46" s="30" t="str">
        <f>IF(ISERROR(FIND($A$2,Lines!AF46))=TRUE,"",MID(Lines!AF46,FIND($A$2,Lines!AF46)+LEN($A$2)+1,FIND(",",_xlfn.CONCAT(Lines!AF46,","),FIND($A$2,Lines!AF46))-FIND($A$2,Lines!AF46)-LEN($A$2)-1))</f>
        <v/>
      </c>
      <c r="AG46" s="30" t="str">
        <f>IF(ISERROR(FIND($A$2,Lines!AG46))=TRUE,"",MID(Lines!AG46,FIND($A$2,Lines!AG46)+LEN($A$2)+1,FIND(",",_xlfn.CONCAT(Lines!AG46,","),FIND($A$2,Lines!AG46))-FIND($A$2,Lines!AG46)-LEN($A$2)-1))</f>
        <v/>
      </c>
      <c r="AH46" s="30" t="str">
        <f>IF(ISERROR(FIND($A$2,Lines!AH46))=TRUE,"",MID(Lines!AH46,FIND($A$2,Lines!AH46)+LEN($A$2)+1,FIND(",",_xlfn.CONCAT(Lines!AH46,","),FIND($A$2,Lines!AH46))-FIND($A$2,Lines!AH46)-LEN($A$2)-1))</f>
        <v/>
      </c>
      <c r="AI46" s="30" t="str">
        <f>IF(ISERROR(FIND($A$2,Lines!AI46))=TRUE,"",MID(Lines!AI46,FIND($A$2,Lines!AI46)+LEN($A$2)+1,FIND(",",_xlfn.CONCAT(Lines!AI46,","),FIND($A$2,Lines!AI46))-FIND($A$2,Lines!AI46)-LEN($A$2)-1))</f>
        <v/>
      </c>
      <c r="AJ46" s="30" t="str">
        <f>IF(ISERROR(FIND($A$2,Lines!AJ46))=TRUE,"",MID(Lines!AJ46,FIND($A$2,Lines!AJ46)+LEN($A$2)+1,FIND(",",_xlfn.CONCAT(Lines!AJ46,","),FIND($A$2,Lines!AJ46))-FIND($A$2,Lines!AJ46)-LEN($A$2)-1))</f>
        <v/>
      </c>
      <c r="AK46" s="30" t="str">
        <f>IF(ISERROR(FIND($A$2,Lines!AK46))=TRUE,"",MID(Lines!AK46,FIND($A$2,Lines!AK46)+LEN($A$2)+1,FIND(",",_xlfn.CONCAT(Lines!AK46,","),FIND($A$2,Lines!AK46))-FIND($A$2,Lines!AK46)-LEN($A$2)-1))</f>
        <v/>
      </c>
      <c r="AL46" s="30" t="str">
        <f>IF(ISERROR(FIND($A$2,Lines!AL46))=TRUE,"",MID(Lines!AL46,FIND($A$2,Lines!AL46)+LEN($A$2)+1,FIND(",",_xlfn.CONCAT(Lines!AL46,","),FIND($A$2,Lines!AL46))-FIND($A$2,Lines!AL46)-LEN($A$2)-1))</f>
        <v/>
      </c>
      <c r="AM46" s="30" t="str">
        <f>IF(ISERROR(FIND($A$2,Lines!AM46))=TRUE,"",MID(Lines!AM46,FIND($A$2,Lines!AM46)+LEN($A$2)+1,FIND(",",_xlfn.CONCAT(Lines!AM46,","),FIND($A$2,Lines!AM46))-FIND($A$2,Lines!AM46)-LEN($A$2)-1))</f>
        <v/>
      </c>
      <c r="AN46" s="30" t="str">
        <f>IF(ISERROR(FIND($A$2,Lines!AN46))=TRUE,"",MID(Lines!AN46,FIND($A$2,Lines!AN46)+LEN($A$2)+1,FIND(",",_xlfn.CONCAT(Lines!AN46,","),FIND($A$2,Lines!AN46))-FIND($A$2,Lines!AN46)-LEN($A$2)-1))</f>
        <v/>
      </c>
      <c r="AO46" s="30" t="str">
        <f>IF(ISERROR(FIND($A$2,Lines!AO46))=TRUE,"",MID(Lines!AO46,FIND($A$2,Lines!AO46)+LEN($A$2)+1,FIND(",",_xlfn.CONCAT(Lines!AO46,","),FIND($A$2,Lines!AO46))-FIND($A$2,Lines!AO46)-LEN($A$2)-1))</f>
        <v/>
      </c>
      <c r="AP46" s="57" t="str">
        <f>IF(ISERROR(FIND($A$2,Lines!AP46))=TRUE,"",MID(Lines!AP46,FIND($A$2,Lines!AP46)+LEN($A$2)+1,FIND(",",_xlfn.CONCAT(Lines!AP46,","),FIND($A$2,Lines!AP46))-FIND($A$2,Lines!AP46)-LEN($A$2)-1))</f>
        <v/>
      </c>
      <c r="AQ46" s="44" t="str">
        <f>IF(ISERROR(FIND($A$2,Lines!AQ46))=TRUE,"",MID(Lines!AQ46,FIND($A$2,Lines!AQ46)+LEN($A$2)+1,FIND(",",_xlfn.CONCAT(Lines!AQ46,","),FIND($A$2,Lines!AQ46))-FIND($A$2,Lines!AQ46)-LEN($A$2)-1))</f>
        <v/>
      </c>
      <c r="AR46" s="66" t="str">
        <f>IF(ISERROR(FIND($A$2,Lines!AR46))=TRUE,"",MID(Lines!AR46,FIND($A$2,Lines!AR46)+LEN($A$2)+1,FIND(",",_xlfn.CONCAT(Lines!AR46,","),FIND($A$2,Lines!AR46))-FIND($A$2,Lines!AR46)-LEN($A$2)-1))</f>
        <v/>
      </c>
      <c r="AS46" s="44" t="str">
        <f>IF(ISERROR(FIND($A$2,Lines!AS46))=TRUE,"",MID(Lines!AS46,FIND($A$2,Lines!AS46)+LEN($A$2)+1,FIND(",",_xlfn.CONCAT(Lines!AS46,","),FIND($A$2,Lines!AS46))-FIND($A$2,Lines!AS46)-LEN($A$2)-1))</f>
        <v/>
      </c>
      <c r="AT46" s="44" t="str">
        <f>IF(ISERROR(FIND($A$2,Lines!AT46))=TRUE,"",MID(Lines!AT46,FIND($A$2,Lines!AT46)+LEN($A$2)+1,FIND(",",_xlfn.CONCAT(Lines!AT46,","),FIND($A$2,Lines!AT46))-FIND($A$2,Lines!AT46)-LEN($A$2)-1))</f>
        <v/>
      </c>
    </row>
    <row r="47" spans="1:46" ht="20.25" customHeight="1">
      <c r="A47" s="2" t="s">
        <v>95</v>
      </c>
      <c r="B47" s="30" t="str">
        <f>IF(ISERROR(FIND($A$2,Lines!B47))=TRUE,"",MID(Lines!B47,FIND($A$2,Lines!B47)+LEN($A$2)+1,FIND(",",_xlfn.CONCAT(Lines!B47,","),FIND($A$2,Lines!B47))-FIND($A$2,Lines!B47)-LEN($A$2)-1))</f>
        <v/>
      </c>
      <c r="C47" s="30" t="str">
        <f>IF(ISERROR(FIND($A$2,Lines!C47))=TRUE,"",MID(Lines!C47,FIND($A$2,Lines!C47)+LEN($A$2)+1,FIND(",",_xlfn.CONCAT(Lines!C47,","),FIND($A$2,Lines!C47))-FIND($A$2,Lines!C47)-LEN($A$2)-1))</f>
        <v/>
      </c>
      <c r="D47" s="30" t="str">
        <f>IF(ISERROR(FIND($A$2,Lines!D47))=TRUE,"",MID(Lines!D47,FIND($A$2,Lines!D47)+LEN($A$2)+1,FIND(",",_xlfn.CONCAT(Lines!D47,","),FIND($A$2,Lines!D47))-FIND($A$2,Lines!D47)-LEN($A$2)-1))</f>
        <v/>
      </c>
      <c r="E47" s="30" t="str">
        <f>IF(ISERROR(FIND($A$2,Lines!E47))=TRUE,"",MID(Lines!E47,FIND($A$2,Lines!E47)+LEN($A$2)+1,FIND(",",_xlfn.CONCAT(Lines!E47,","),FIND($A$2,Lines!E47))-FIND($A$2,Lines!E47)-LEN($A$2)-1))</f>
        <v/>
      </c>
      <c r="F47" s="30" t="str">
        <f>IF(ISERROR(FIND($A$2,Lines!F47))=TRUE,"",MID(Lines!F47,FIND($A$2,Lines!F47)+LEN($A$2)+1,FIND(",",_xlfn.CONCAT(Lines!F47,","),FIND($A$2,Lines!F47))-FIND($A$2,Lines!F47)-LEN($A$2)-1))</f>
        <v/>
      </c>
      <c r="G47" s="30" t="str">
        <f>IF(ISERROR(FIND($A$2,Lines!G47))=TRUE,"",MID(Lines!G47,FIND($A$2,Lines!G47)+LEN($A$2)+1,FIND(",",_xlfn.CONCAT(Lines!G47,","),FIND($A$2,Lines!G47))-FIND($A$2,Lines!G47)-LEN($A$2)-1))</f>
        <v/>
      </c>
      <c r="H47" s="30" t="str">
        <f>IF(ISERROR(FIND($A$2,Lines!H47))=TRUE,"",MID(Lines!H47,FIND($A$2,Lines!H47)+LEN($A$2)+1,FIND(",",_xlfn.CONCAT(Lines!H47,","),FIND($A$2,Lines!H47))-FIND($A$2,Lines!H47)-LEN($A$2)-1))</f>
        <v/>
      </c>
      <c r="I47" s="30" t="str">
        <f>IF(ISERROR(FIND($A$2,Lines!I47))=TRUE,"",MID(Lines!I47,FIND($A$2,Lines!I47)+LEN($A$2)+1,FIND(",",_xlfn.CONCAT(Lines!I47,","),FIND($A$2,Lines!I47))-FIND($A$2,Lines!I47)-LEN($A$2)-1))</f>
        <v/>
      </c>
      <c r="J47" s="30" t="str">
        <f>IF(ISERROR(FIND($A$2,Lines!J47))=TRUE,"",MID(Lines!J47,FIND($A$2,Lines!J47)+LEN($A$2)+1,FIND(",",_xlfn.CONCAT(Lines!J47,","),FIND($A$2,Lines!J47))-FIND($A$2,Lines!J47)-LEN($A$2)-1))</f>
        <v/>
      </c>
      <c r="K47" s="30" t="str">
        <f>IF(ISERROR(FIND($A$2,Lines!K47))=TRUE,"",MID(Lines!K47,FIND($A$2,Lines!K47)+LEN($A$2)+1,FIND(",",_xlfn.CONCAT(Lines!K47,","),FIND($A$2,Lines!K47))-FIND($A$2,Lines!K47)-LEN($A$2)-1))</f>
        <v/>
      </c>
      <c r="L47" s="30" t="str">
        <f>IF(ISERROR(FIND($A$2,Lines!L47))=TRUE,"",MID(Lines!L47,FIND($A$2,Lines!L47)+LEN($A$2)+1,FIND(",",_xlfn.CONCAT(Lines!L47,","),FIND($A$2,Lines!L47))-FIND($A$2,Lines!L47)-LEN($A$2)-1))</f>
        <v/>
      </c>
      <c r="M47" s="30" t="str">
        <f>IF(ISERROR(FIND($A$2,Lines!M47))=TRUE,"",MID(Lines!M47,FIND($A$2,Lines!M47)+LEN($A$2)+1,FIND(",",_xlfn.CONCAT(Lines!M47,","),FIND($A$2,Lines!M47))-FIND($A$2,Lines!M47)-LEN($A$2)-1))</f>
        <v/>
      </c>
      <c r="N47" s="30" t="str">
        <f>IF(ISERROR(FIND($A$2,Lines!N47))=TRUE,"",MID(Lines!N47,FIND($A$2,Lines!N47)+LEN($A$2)+1,FIND(",",_xlfn.CONCAT(Lines!N47,","),FIND($A$2,Lines!N47))-FIND($A$2,Lines!N47)-LEN($A$2)-1))</f>
        <v/>
      </c>
      <c r="O47" s="30" t="str">
        <f>IF(ISERROR(FIND($A$2,Lines!O47))=TRUE,"",MID(Lines!O47,FIND($A$2,Lines!O47)+LEN($A$2)+1,FIND(",",_xlfn.CONCAT(Lines!O47,","),FIND($A$2,Lines!O47))-FIND($A$2,Lines!O47)-LEN($A$2)-1))</f>
        <v/>
      </c>
      <c r="P47" s="30" t="str">
        <f>IF(ISERROR(FIND($A$2,Lines!P47))=TRUE,"",MID(Lines!P47,FIND($A$2,Lines!P47)+LEN($A$2)+1,FIND(",",_xlfn.CONCAT(Lines!P47,","),FIND($A$2,Lines!P47))-FIND($A$2,Lines!P47)-LEN($A$2)-1))</f>
        <v/>
      </c>
      <c r="Q47" s="30" t="str">
        <f>IF(ISERROR(FIND($A$2,Lines!Q47))=TRUE,"",MID(Lines!Q47,FIND($A$2,Lines!Q47)+LEN($A$2)+1,FIND(",",_xlfn.CONCAT(Lines!Q47,","),FIND($A$2,Lines!Q47))-FIND($A$2,Lines!Q47)-LEN($A$2)-1))</f>
        <v/>
      </c>
      <c r="R47" s="30" t="str">
        <f>IF(ISERROR(FIND($A$2,Lines!R47))=TRUE,"",MID(Lines!R47,FIND($A$2,Lines!R47)+LEN($A$2)+1,FIND(",",_xlfn.CONCAT(Lines!R47,","),FIND($A$2,Lines!R47))-FIND($A$2,Lines!R47)-LEN($A$2)-1))</f>
        <v/>
      </c>
      <c r="S47" s="30" t="str">
        <f>IF(ISERROR(FIND($A$2,Lines!S47))=TRUE,"",MID(Lines!S47,FIND($A$2,Lines!S47)+LEN($A$2)+1,FIND(",",_xlfn.CONCAT(Lines!S47,","),FIND($A$2,Lines!S47))-FIND($A$2,Lines!S47)-LEN($A$2)-1))</f>
        <v/>
      </c>
      <c r="T47" s="30" t="str">
        <f>IF(ISERROR(FIND($A$2,Lines!T47))=TRUE,"",MID(Lines!T47,FIND($A$2,Lines!T47)+LEN($A$2)+1,FIND(",",_xlfn.CONCAT(Lines!T47,","),FIND($A$2,Lines!T47))-FIND($A$2,Lines!T47)-LEN($A$2)-1))</f>
        <v/>
      </c>
      <c r="U47" s="30" t="str">
        <f>IF(ISERROR(FIND($A$2,Lines!U47))=TRUE,"",MID(Lines!U47,FIND($A$2,Lines!U47)+LEN($A$2)+1,FIND(",",_xlfn.CONCAT(Lines!U47,","),FIND($A$2,Lines!U47))-FIND($A$2,Lines!U47)-LEN($A$2)-1))</f>
        <v/>
      </c>
      <c r="V47" s="30" t="str">
        <f>IF(ISERROR(FIND($A$2,Lines!V47))=TRUE,"",MID(Lines!V47,FIND($A$2,Lines!V47)+LEN($A$2)+1,FIND(",",_xlfn.CONCAT(Lines!V47,","),FIND($A$2,Lines!V47))-FIND($A$2,Lines!V47)-LEN($A$2)-1))</f>
        <v/>
      </c>
      <c r="W47" s="36" t="str">
        <f>IF(ISERROR(FIND($A$2,Lines!W47))=TRUE,"",MID(Lines!W47,FIND($A$2,Lines!W47)+LEN($A$2)+1,FIND(",",_xlfn.CONCAT(Lines!W47,","),FIND($A$2,Lines!W47))-FIND($A$2,Lines!W47)-LEN($A$2)-1))</f>
        <v/>
      </c>
      <c r="X47" s="30" t="str">
        <f>IF(ISERROR(FIND($A$2,Lines!X47))=TRUE,"",MID(Lines!X47,FIND($A$2,Lines!X47)+LEN($A$2)+1,FIND(",",_xlfn.CONCAT(Lines!X47,","),FIND($A$2,Lines!X47))-FIND($A$2,Lines!X47)-LEN($A$2)-1))</f>
        <v/>
      </c>
      <c r="Y47" s="30" t="str">
        <f>IF(ISERROR(FIND($A$2,Lines!Y47))=TRUE,"",MID(Lines!Y47,FIND($A$2,Lines!Y47)+LEN($A$2)+1,FIND(",",_xlfn.CONCAT(Lines!Y47,","),FIND($A$2,Lines!Y47))-FIND($A$2,Lines!Y47)-LEN($A$2)-1))</f>
        <v/>
      </c>
      <c r="Z47" s="30" t="str">
        <f>IF(ISERROR(FIND($A$2,Lines!Z47))=TRUE,"",MID(Lines!Z47,FIND($A$2,Lines!Z47)+LEN($A$2)+1,FIND(",",_xlfn.CONCAT(Lines!Z47,","),FIND($A$2,Lines!Z47))-FIND($A$2,Lines!Z47)-LEN($A$2)-1))</f>
        <v/>
      </c>
      <c r="AA47" s="30" t="str">
        <f>IF(ISERROR(FIND($A$2,Lines!AA47))=TRUE,"",MID(Lines!AA47,FIND($A$2,Lines!AA47)+LEN($A$2)+1,FIND(",",_xlfn.CONCAT(Lines!AA47,","),FIND($A$2,Lines!AA47))-FIND($A$2,Lines!AA47)-LEN($A$2)-1))</f>
        <v/>
      </c>
      <c r="AB47" s="30" t="str">
        <f>IF(ISERROR(FIND($A$2,Lines!AB47))=TRUE,"",MID(Lines!AB47,FIND($A$2,Lines!AB47)+LEN($A$2)+1,FIND(",",_xlfn.CONCAT(Lines!AB47,","),FIND($A$2,Lines!AB47))-FIND($A$2,Lines!AB47)-LEN($A$2)-1))</f>
        <v/>
      </c>
      <c r="AC47" s="30" t="str">
        <f>IF(ISERROR(FIND($A$2,Lines!AC47))=TRUE,"",MID(Lines!AC47,FIND($A$2,Lines!AC47)+LEN($A$2)+1,FIND(",",_xlfn.CONCAT(Lines!AC47,","),FIND($A$2,Lines!AC47))-FIND($A$2,Lines!AC47)-LEN($A$2)-1))</f>
        <v/>
      </c>
      <c r="AD47" s="30" t="str">
        <f>IF(ISERROR(FIND($A$2,Lines!AD47))=TRUE,"",MID(Lines!AD47,FIND($A$2,Lines!AD47)+LEN($A$2)+1,FIND(",",_xlfn.CONCAT(Lines!AD47,","),FIND($A$2,Lines!AD47))-FIND($A$2,Lines!AD47)-LEN($A$2)-1))</f>
        <v/>
      </c>
      <c r="AE47" s="30" t="str">
        <f>IF(ISERROR(FIND($A$2,Lines!AE47))=TRUE,"",MID(Lines!AE47,FIND($A$2,Lines!AE47)+LEN($A$2)+1,FIND(",",_xlfn.CONCAT(Lines!AE47,","),FIND($A$2,Lines!AE47))-FIND($A$2,Lines!AE47)-LEN($A$2)-1))</f>
        <v/>
      </c>
      <c r="AF47" s="30" t="str">
        <f>IF(ISERROR(FIND($A$2,Lines!AF47))=TRUE,"",MID(Lines!AF47,FIND($A$2,Lines!AF47)+LEN($A$2)+1,FIND(",",_xlfn.CONCAT(Lines!AF47,","),FIND($A$2,Lines!AF47))-FIND($A$2,Lines!AF47)-LEN($A$2)-1))</f>
        <v/>
      </c>
      <c r="AG47" s="30" t="str">
        <f>IF(ISERROR(FIND($A$2,Lines!AG47))=TRUE,"",MID(Lines!AG47,FIND($A$2,Lines!AG47)+LEN($A$2)+1,FIND(",",_xlfn.CONCAT(Lines!AG47,","),FIND($A$2,Lines!AG47))-FIND($A$2,Lines!AG47)-LEN($A$2)-1))</f>
        <v/>
      </c>
      <c r="AH47" s="30" t="str">
        <f>IF(ISERROR(FIND($A$2,Lines!AH47))=TRUE,"",MID(Lines!AH47,FIND($A$2,Lines!AH47)+LEN($A$2)+1,FIND(",",_xlfn.CONCAT(Lines!AH47,","),FIND($A$2,Lines!AH47))-FIND($A$2,Lines!AH47)-LEN($A$2)-1))</f>
        <v/>
      </c>
      <c r="AI47" s="30" t="str">
        <f>IF(ISERROR(FIND($A$2,Lines!AI47))=TRUE,"",MID(Lines!AI47,FIND($A$2,Lines!AI47)+LEN($A$2)+1,FIND(",",_xlfn.CONCAT(Lines!AI47,","),FIND($A$2,Lines!AI47))-FIND($A$2,Lines!AI47)-LEN($A$2)-1))</f>
        <v/>
      </c>
      <c r="AJ47" s="30" t="str">
        <f>IF(ISERROR(FIND($A$2,Lines!AJ47))=TRUE,"",MID(Lines!AJ47,FIND($A$2,Lines!AJ47)+LEN($A$2)+1,FIND(",",_xlfn.CONCAT(Lines!AJ47,","),FIND($A$2,Lines!AJ47))-FIND($A$2,Lines!AJ47)-LEN($A$2)-1))</f>
        <v/>
      </c>
      <c r="AK47" s="30" t="str">
        <f>IF(ISERROR(FIND($A$2,Lines!AK47))=TRUE,"",MID(Lines!AK47,FIND($A$2,Lines!AK47)+LEN($A$2)+1,FIND(",",_xlfn.CONCAT(Lines!AK47,","),FIND($A$2,Lines!AK47))-FIND($A$2,Lines!AK47)-LEN($A$2)-1))</f>
        <v/>
      </c>
      <c r="AL47" s="30" t="str">
        <f>IF(ISERROR(FIND($A$2,Lines!AL47))=TRUE,"",MID(Lines!AL47,FIND($A$2,Lines!AL47)+LEN($A$2)+1,FIND(",",_xlfn.CONCAT(Lines!AL47,","),FIND($A$2,Lines!AL47))-FIND($A$2,Lines!AL47)-LEN($A$2)-1))</f>
        <v/>
      </c>
      <c r="AM47" s="30" t="str">
        <f>IF(ISERROR(FIND($A$2,Lines!AM47))=TRUE,"",MID(Lines!AM47,FIND($A$2,Lines!AM47)+LEN($A$2)+1,FIND(",",_xlfn.CONCAT(Lines!AM47,","),FIND($A$2,Lines!AM47))-FIND($A$2,Lines!AM47)-LEN($A$2)-1))</f>
        <v/>
      </c>
      <c r="AN47" s="30" t="str">
        <f>IF(ISERROR(FIND($A$2,Lines!AN47))=TRUE,"",MID(Lines!AN47,FIND($A$2,Lines!AN47)+LEN($A$2)+1,FIND(",",_xlfn.CONCAT(Lines!AN47,","),FIND($A$2,Lines!AN47))-FIND($A$2,Lines!AN47)-LEN($A$2)-1))</f>
        <v/>
      </c>
      <c r="AO47" s="30" t="str">
        <f>IF(ISERROR(FIND($A$2,Lines!AO47))=TRUE,"",MID(Lines!AO47,FIND($A$2,Lines!AO47)+LEN($A$2)+1,FIND(",",_xlfn.CONCAT(Lines!AO47,","),FIND($A$2,Lines!AO47))-FIND($A$2,Lines!AO47)-LEN($A$2)-1))</f>
        <v/>
      </c>
      <c r="AP47" s="57" t="str">
        <f>IF(ISERROR(FIND($A$2,Lines!AP47))=TRUE,"",MID(Lines!AP47,FIND($A$2,Lines!AP47)+LEN($A$2)+1,FIND(",",_xlfn.CONCAT(Lines!AP47,","),FIND($A$2,Lines!AP47))-FIND($A$2,Lines!AP47)-LEN($A$2)-1))</f>
        <v/>
      </c>
      <c r="AQ47" s="44" t="str">
        <f>IF(ISERROR(FIND($A$2,Lines!AQ47))=TRUE,"",MID(Lines!AQ47,FIND($A$2,Lines!AQ47)+LEN($A$2)+1,FIND(",",_xlfn.CONCAT(Lines!AQ47,","),FIND($A$2,Lines!AQ47))-FIND($A$2,Lines!AQ47)-LEN($A$2)-1))</f>
        <v/>
      </c>
      <c r="AR47" s="44" t="str">
        <f>IF(ISERROR(FIND($A$2,Lines!AR47))=TRUE,"",MID(Lines!AR47,FIND($A$2,Lines!AR47)+LEN($A$2)+1,FIND(",",_xlfn.CONCAT(Lines!AR47,","),FIND($A$2,Lines!AR47))-FIND($A$2,Lines!AR47)-LEN($A$2)-1))</f>
        <v/>
      </c>
      <c r="AS47" s="66" t="str">
        <f>IF(ISERROR(FIND($A$2,Lines!AS47))=TRUE,"",MID(Lines!AS47,FIND($A$2,Lines!AS47)+LEN($A$2)+1,FIND(",",_xlfn.CONCAT(Lines!AS47,","),FIND($A$2,Lines!AS47))-FIND($A$2,Lines!AS47)-LEN($A$2)-1))</f>
        <v/>
      </c>
      <c r="AT47" s="44" t="str">
        <f>IF(ISERROR(FIND($A$2,Lines!AT47))=TRUE,"",MID(Lines!AT47,FIND($A$2,Lines!AT47)+LEN($A$2)+1,FIND(",",_xlfn.CONCAT(Lines!AT47,","),FIND($A$2,Lines!AT47))-FIND($A$2,Lines!AT47)-LEN($A$2)-1))</f>
        <v/>
      </c>
    </row>
    <row r="48" spans="1:46" ht="20.25" customHeight="1">
      <c r="A48" s="2" t="s">
        <v>96</v>
      </c>
      <c r="B48" s="30" t="str">
        <f>IF(ISERROR(FIND($A$2,Lines!B48))=TRUE,"",MID(Lines!B48,FIND($A$2,Lines!B48)+LEN($A$2)+1,FIND(",",_xlfn.CONCAT(Lines!B48,","),FIND($A$2,Lines!B48))-FIND($A$2,Lines!B48)-LEN($A$2)-1))</f>
        <v/>
      </c>
      <c r="C48" s="30" t="str">
        <f>IF(ISERROR(FIND($A$2,Lines!C48))=TRUE,"",MID(Lines!C48,FIND($A$2,Lines!C48)+LEN($A$2)+1,FIND(",",_xlfn.CONCAT(Lines!C48,","),FIND($A$2,Lines!C48))-FIND($A$2,Lines!C48)-LEN($A$2)-1))</f>
        <v/>
      </c>
      <c r="D48" s="30" t="str">
        <f>IF(ISERROR(FIND($A$2,Lines!D48))=TRUE,"",MID(Lines!D48,FIND($A$2,Lines!D48)+LEN($A$2)+1,FIND(",",_xlfn.CONCAT(Lines!D48,","),FIND($A$2,Lines!D48))-FIND($A$2,Lines!D48)-LEN($A$2)-1))</f>
        <v/>
      </c>
      <c r="E48" s="30" t="str">
        <f>IF(ISERROR(FIND($A$2,Lines!E48))=TRUE,"",MID(Lines!E48,FIND($A$2,Lines!E48)+LEN($A$2)+1,FIND(",",_xlfn.CONCAT(Lines!E48,","),FIND($A$2,Lines!E48))-FIND($A$2,Lines!E48)-LEN($A$2)-1))</f>
        <v/>
      </c>
      <c r="F48" s="30" t="str">
        <f>IF(ISERROR(FIND($A$2,Lines!F48))=TRUE,"",MID(Lines!F48,FIND($A$2,Lines!F48)+LEN($A$2)+1,FIND(",",_xlfn.CONCAT(Lines!F48,","),FIND($A$2,Lines!F48))-FIND($A$2,Lines!F48)-LEN($A$2)-1))</f>
        <v/>
      </c>
      <c r="G48" s="30" t="str">
        <f>IF(ISERROR(FIND($A$2,Lines!G48))=TRUE,"",MID(Lines!G48,FIND($A$2,Lines!G48)+LEN($A$2)+1,FIND(",",_xlfn.CONCAT(Lines!G48,","),FIND($A$2,Lines!G48))-FIND($A$2,Lines!G48)-LEN($A$2)-1))</f>
        <v/>
      </c>
      <c r="H48" s="30" t="str">
        <f>IF(ISERROR(FIND($A$2,Lines!H48))=TRUE,"",MID(Lines!H48,FIND($A$2,Lines!H48)+LEN($A$2)+1,FIND(",",_xlfn.CONCAT(Lines!H48,","),FIND($A$2,Lines!H48))-FIND($A$2,Lines!H48)-LEN($A$2)-1))</f>
        <v/>
      </c>
      <c r="I48" s="30" t="str">
        <f>IF(ISERROR(FIND($A$2,Lines!I48))=TRUE,"",MID(Lines!I48,FIND($A$2,Lines!I48)+LEN($A$2)+1,FIND(",",_xlfn.CONCAT(Lines!I48,","),FIND($A$2,Lines!I48))-FIND($A$2,Lines!I48)-LEN($A$2)-1))</f>
        <v/>
      </c>
      <c r="J48" s="30" t="str">
        <f>IF(ISERROR(FIND($A$2,Lines!J48))=TRUE,"",MID(Lines!J48,FIND($A$2,Lines!J48)+LEN($A$2)+1,FIND(",",_xlfn.CONCAT(Lines!J48,","),FIND($A$2,Lines!J48))-FIND($A$2,Lines!J48)-LEN($A$2)-1))</f>
        <v/>
      </c>
      <c r="K48" s="30" t="str">
        <f>IF(ISERROR(FIND($A$2,Lines!K48))=TRUE,"",MID(Lines!K48,FIND($A$2,Lines!K48)+LEN($A$2)+1,FIND(",",_xlfn.CONCAT(Lines!K48,","),FIND($A$2,Lines!K48))-FIND($A$2,Lines!K48)-LEN($A$2)-1))</f>
        <v/>
      </c>
      <c r="L48" s="30" t="str">
        <f>IF(ISERROR(FIND($A$2,Lines!L48))=TRUE,"",MID(Lines!L48,FIND($A$2,Lines!L48)+LEN($A$2)+1,FIND(",",_xlfn.CONCAT(Lines!L48,","),FIND($A$2,Lines!L48))-FIND($A$2,Lines!L48)-LEN($A$2)-1))</f>
        <v/>
      </c>
      <c r="M48" s="30" t="str">
        <f>IF(ISERROR(FIND($A$2,Lines!M48))=TRUE,"",MID(Lines!M48,FIND($A$2,Lines!M48)+LEN($A$2)+1,FIND(",",_xlfn.CONCAT(Lines!M48,","),FIND($A$2,Lines!M48))-FIND($A$2,Lines!M48)-LEN($A$2)-1))</f>
        <v/>
      </c>
      <c r="N48" s="30" t="str">
        <f>IF(ISERROR(FIND($A$2,Lines!N48))=TRUE,"",MID(Lines!N48,FIND($A$2,Lines!N48)+LEN($A$2)+1,FIND(",",_xlfn.CONCAT(Lines!N48,","),FIND($A$2,Lines!N48))-FIND($A$2,Lines!N48)-LEN($A$2)-1))</f>
        <v/>
      </c>
      <c r="O48" s="30" t="str">
        <f>IF(ISERROR(FIND($A$2,Lines!O48))=TRUE,"",MID(Lines!O48,FIND($A$2,Lines!O48)+LEN($A$2)+1,FIND(",",_xlfn.CONCAT(Lines!O48,","),FIND($A$2,Lines!O48))-FIND($A$2,Lines!O48)-LEN($A$2)-1))</f>
        <v/>
      </c>
      <c r="P48" s="30" t="str">
        <f>IF(ISERROR(FIND($A$2,Lines!P48))=TRUE,"",MID(Lines!P48,FIND($A$2,Lines!P48)+LEN($A$2)+1,FIND(",",_xlfn.CONCAT(Lines!P48,","),FIND($A$2,Lines!P48))-FIND($A$2,Lines!P48)-LEN($A$2)-1))</f>
        <v/>
      </c>
      <c r="Q48" s="30" t="str">
        <f>IF(ISERROR(FIND($A$2,Lines!Q48))=TRUE,"",MID(Lines!Q48,FIND($A$2,Lines!Q48)+LEN($A$2)+1,FIND(",",_xlfn.CONCAT(Lines!Q48,","),FIND($A$2,Lines!Q48))-FIND($A$2,Lines!Q48)-LEN($A$2)-1))</f>
        <v/>
      </c>
      <c r="R48" s="30" t="str">
        <f>IF(ISERROR(FIND($A$2,Lines!R48))=TRUE,"",MID(Lines!R48,FIND($A$2,Lines!R48)+LEN($A$2)+1,FIND(",",_xlfn.CONCAT(Lines!R48,","),FIND($A$2,Lines!R48))-FIND($A$2,Lines!R48)-LEN($A$2)-1))</f>
        <v/>
      </c>
      <c r="S48" s="30" t="str">
        <f>IF(ISERROR(FIND($A$2,Lines!S48))=TRUE,"",MID(Lines!S48,FIND($A$2,Lines!S48)+LEN($A$2)+1,FIND(",",_xlfn.CONCAT(Lines!S48,","),FIND($A$2,Lines!S48))-FIND($A$2,Lines!S48)-LEN($A$2)-1))</f>
        <v/>
      </c>
      <c r="T48" s="30" t="str">
        <f>IF(ISERROR(FIND($A$2,Lines!T48))=TRUE,"",MID(Lines!T48,FIND($A$2,Lines!T48)+LEN($A$2)+1,FIND(",",_xlfn.CONCAT(Lines!T48,","),FIND($A$2,Lines!T48))-FIND($A$2,Lines!T48)-LEN($A$2)-1))</f>
        <v/>
      </c>
      <c r="U48" s="30" t="str">
        <f>IF(ISERROR(FIND($A$2,Lines!U48))=TRUE,"",MID(Lines!U48,FIND($A$2,Lines!U48)+LEN($A$2)+1,FIND(",",_xlfn.CONCAT(Lines!U48,","),FIND($A$2,Lines!U48))-FIND($A$2,Lines!U48)-LEN($A$2)-1))</f>
        <v/>
      </c>
      <c r="V48" s="30" t="str">
        <f>IF(ISERROR(FIND($A$2,Lines!V48))=TRUE,"",MID(Lines!V48,FIND($A$2,Lines!V48)+LEN($A$2)+1,FIND(",",_xlfn.CONCAT(Lines!V48,","),FIND($A$2,Lines!V48))-FIND($A$2,Lines!V48)-LEN($A$2)-1))</f>
        <v/>
      </c>
      <c r="W48" s="36" t="str">
        <f>IF(ISERROR(FIND($A$2,Lines!W48))=TRUE,"",MID(Lines!W48,FIND($A$2,Lines!W48)+LEN($A$2)+1,FIND(",",_xlfn.CONCAT(Lines!W48,","),FIND($A$2,Lines!W48))-FIND($A$2,Lines!W48)-LEN($A$2)-1))</f>
        <v/>
      </c>
      <c r="X48" s="30" t="str">
        <f>IF(ISERROR(FIND($A$2,Lines!X48))=TRUE,"",MID(Lines!X48,FIND($A$2,Lines!X48)+LEN($A$2)+1,FIND(",",_xlfn.CONCAT(Lines!X48,","),FIND($A$2,Lines!X48))-FIND($A$2,Lines!X48)-LEN($A$2)-1))</f>
        <v/>
      </c>
      <c r="Y48" s="30" t="str">
        <f>IF(ISERROR(FIND($A$2,Lines!Y48))=TRUE,"",MID(Lines!Y48,FIND($A$2,Lines!Y48)+LEN($A$2)+1,FIND(",",_xlfn.CONCAT(Lines!Y48,","),FIND($A$2,Lines!Y48))-FIND($A$2,Lines!Y48)-LEN($A$2)-1))</f>
        <v/>
      </c>
      <c r="Z48" s="30" t="str">
        <f>IF(ISERROR(FIND($A$2,Lines!Z48))=TRUE,"",MID(Lines!Z48,FIND($A$2,Lines!Z48)+LEN($A$2)+1,FIND(",",_xlfn.CONCAT(Lines!Z48,","),FIND($A$2,Lines!Z48))-FIND($A$2,Lines!Z48)-LEN($A$2)-1))</f>
        <v/>
      </c>
      <c r="AA48" s="30" t="str">
        <f>IF(ISERROR(FIND($A$2,Lines!AA48))=TRUE,"",MID(Lines!AA48,FIND($A$2,Lines!AA48)+LEN($A$2)+1,FIND(",",_xlfn.CONCAT(Lines!AA48,","),FIND($A$2,Lines!AA48))-FIND($A$2,Lines!AA48)-LEN($A$2)-1))</f>
        <v/>
      </c>
      <c r="AB48" s="30" t="str">
        <f>IF(ISERROR(FIND($A$2,Lines!AB48))=TRUE,"",MID(Lines!AB48,FIND($A$2,Lines!AB48)+LEN($A$2)+1,FIND(",",_xlfn.CONCAT(Lines!AB48,","),FIND($A$2,Lines!AB48))-FIND($A$2,Lines!AB48)-LEN($A$2)-1))</f>
        <v/>
      </c>
      <c r="AC48" s="30" t="str">
        <f>IF(ISERROR(FIND($A$2,Lines!AC48))=TRUE,"",MID(Lines!AC48,FIND($A$2,Lines!AC48)+LEN($A$2)+1,FIND(",",_xlfn.CONCAT(Lines!AC48,","),FIND($A$2,Lines!AC48))-FIND($A$2,Lines!AC48)-LEN($A$2)-1))</f>
        <v/>
      </c>
      <c r="AD48" s="30" t="str">
        <f>IF(ISERROR(FIND($A$2,Lines!AD48))=TRUE,"",MID(Lines!AD48,FIND($A$2,Lines!AD48)+LEN($A$2)+1,FIND(",",_xlfn.CONCAT(Lines!AD48,","),FIND($A$2,Lines!AD48))-FIND($A$2,Lines!AD48)-LEN($A$2)-1))</f>
        <v/>
      </c>
      <c r="AE48" s="30" t="str">
        <f>IF(ISERROR(FIND($A$2,Lines!AE48))=TRUE,"",MID(Lines!AE48,FIND($A$2,Lines!AE48)+LEN($A$2)+1,FIND(",",_xlfn.CONCAT(Lines!AE48,","),FIND($A$2,Lines!AE48))-FIND($A$2,Lines!AE48)-LEN($A$2)-1))</f>
        <v/>
      </c>
      <c r="AF48" s="30" t="str">
        <f>IF(ISERROR(FIND($A$2,Lines!AF48))=TRUE,"",MID(Lines!AF48,FIND($A$2,Lines!AF48)+LEN($A$2)+1,FIND(",",_xlfn.CONCAT(Lines!AF48,","),FIND($A$2,Lines!AF48))-FIND($A$2,Lines!AF48)-LEN($A$2)-1))</f>
        <v/>
      </c>
      <c r="AG48" s="30" t="str">
        <f>IF(ISERROR(FIND($A$2,Lines!AG48))=TRUE,"",MID(Lines!AG48,FIND($A$2,Lines!AG48)+LEN($A$2)+1,FIND(",",_xlfn.CONCAT(Lines!AG48,","),FIND($A$2,Lines!AG48))-FIND($A$2,Lines!AG48)-LEN($A$2)-1))</f>
        <v/>
      </c>
      <c r="AH48" s="30" t="str">
        <f>IF(ISERROR(FIND($A$2,Lines!AH48))=TRUE,"",MID(Lines!AH48,FIND($A$2,Lines!AH48)+LEN($A$2)+1,FIND(",",_xlfn.CONCAT(Lines!AH48,","),FIND($A$2,Lines!AH48))-FIND($A$2,Lines!AH48)-LEN($A$2)-1))</f>
        <v/>
      </c>
      <c r="AI48" s="30" t="str">
        <f>IF(ISERROR(FIND($A$2,Lines!AI48))=TRUE,"",MID(Lines!AI48,FIND($A$2,Lines!AI48)+LEN($A$2)+1,FIND(",",_xlfn.CONCAT(Lines!AI48,","),FIND($A$2,Lines!AI48))-FIND($A$2,Lines!AI48)-LEN($A$2)-1))</f>
        <v/>
      </c>
      <c r="AJ48" s="30" t="str">
        <f>IF(ISERROR(FIND($A$2,Lines!AJ48))=TRUE,"",MID(Lines!AJ48,FIND($A$2,Lines!AJ48)+LEN($A$2)+1,FIND(",",_xlfn.CONCAT(Lines!AJ48,","),FIND($A$2,Lines!AJ48))-FIND($A$2,Lines!AJ48)-LEN($A$2)-1))</f>
        <v/>
      </c>
      <c r="AK48" s="30" t="str">
        <f>IF(ISERROR(FIND($A$2,Lines!AK48))=TRUE,"",MID(Lines!AK48,FIND($A$2,Lines!AK48)+LEN($A$2)+1,FIND(",",_xlfn.CONCAT(Lines!AK48,","),FIND($A$2,Lines!AK48))-FIND($A$2,Lines!AK48)-LEN($A$2)-1))</f>
        <v/>
      </c>
      <c r="AL48" s="30" t="str">
        <f>IF(ISERROR(FIND($A$2,Lines!AL48))=TRUE,"",MID(Lines!AL48,FIND($A$2,Lines!AL48)+LEN($A$2)+1,FIND(",",_xlfn.CONCAT(Lines!AL48,","),FIND($A$2,Lines!AL48))-FIND($A$2,Lines!AL48)-LEN($A$2)-1))</f>
        <v/>
      </c>
      <c r="AM48" s="30" t="str">
        <f>IF(ISERROR(FIND($A$2,Lines!AM48))=TRUE,"",MID(Lines!AM48,FIND($A$2,Lines!AM48)+LEN($A$2)+1,FIND(",",_xlfn.CONCAT(Lines!AM48,","),FIND($A$2,Lines!AM48))-FIND($A$2,Lines!AM48)-LEN($A$2)-1))</f>
        <v/>
      </c>
      <c r="AN48" s="30" t="str">
        <f>IF(ISERROR(FIND($A$2,Lines!AN48))=TRUE,"",MID(Lines!AN48,FIND($A$2,Lines!AN48)+LEN($A$2)+1,FIND(",",_xlfn.CONCAT(Lines!AN48,","),FIND($A$2,Lines!AN48))-FIND($A$2,Lines!AN48)-LEN($A$2)-1))</f>
        <v/>
      </c>
      <c r="AO48" s="30" t="str">
        <f>IF(ISERROR(FIND($A$2,Lines!AO48))=TRUE,"",MID(Lines!AO48,FIND($A$2,Lines!AO48)+LEN($A$2)+1,FIND(",",_xlfn.CONCAT(Lines!AO48,","),FIND($A$2,Lines!AO48))-FIND($A$2,Lines!AO48)-LEN($A$2)-1))</f>
        <v/>
      </c>
      <c r="AP48" s="57" t="str">
        <f>IF(ISERROR(FIND($A$2,Lines!AP48))=TRUE,"",MID(Lines!AP48,FIND($A$2,Lines!AP48)+LEN($A$2)+1,FIND(",",_xlfn.CONCAT(Lines!AP48,","),FIND($A$2,Lines!AP48))-FIND($A$2,Lines!AP48)-LEN($A$2)-1))</f>
        <v/>
      </c>
      <c r="AQ48" s="44" t="str">
        <f>IF(ISERROR(FIND($A$2,Lines!AQ48))=TRUE,"",MID(Lines!AQ48,FIND($A$2,Lines!AQ48)+LEN($A$2)+1,FIND(",",_xlfn.CONCAT(Lines!AQ48,","),FIND($A$2,Lines!AQ48))-FIND($A$2,Lines!AQ48)-LEN($A$2)-1))</f>
        <v/>
      </c>
      <c r="AR48" s="44" t="str">
        <f>IF(ISERROR(FIND($A$2,Lines!AR48))=TRUE,"",MID(Lines!AR48,FIND($A$2,Lines!AR48)+LEN($A$2)+1,FIND(",",_xlfn.CONCAT(Lines!AR48,","),FIND($A$2,Lines!AR48))-FIND($A$2,Lines!AR48)-LEN($A$2)-1))</f>
        <v/>
      </c>
      <c r="AS48" s="44" t="str">
        <f>IF(ISERROR(FIND($A$2,Lines!AS48))=TRUE,"",MID(Lines!AS48,FIND($A$2,Lines!AS48)+LEN($A$2)+1,FIND(",",_xlfn.CONCAT(Lines!AS48,","),FIND($A$2,Lines!AS48))-FIND($A$2,Lines!AS48)-LEN($A$2)-1))</f>
        <v/>
      </c>
      <c r="AT48" s="66" t="str">
        <f>IF(ISERROR(FIND($A$2,Lines!AT48))=TRUE,"",MID(Lines!AT48,FIND($A$2,Lines!AT48)+LEN($A$2)+1,FIND(",",_xlfn.CONCAT(Lines!AT48,","),FIND($A$2,Lines!AT48))-FIND($A$2,Lines!AT48)-LEN($A$2)-1))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57"/>
  <sheetViews>
    <sheetView topLeftCell="C19" zoomScale="130" zoomScaleNormal="130" zoomScalePageLayoutView="190" workbookViewId="0">
      <selection sqref="A1:XFD1048576"/>
    </sheetView>
  </sheetViews>
  <sheetFormatPr baseColWidth="10" defaultColWidth="12" defaultRowHeight="20.25" customHeight="1"/>
  <cols>
    <col min="1" max="1" width="10.33203125" bestFit="1" customWidth="1"/>
    <col min="2" max="2" width="11.6640625" bestFit="1" customWidth="1"/>
    <col min="3" max="3" width="22.6640625" bestFit="1" customWidth="1"/>
    <col min="4" max="4" width="8.5" bestFit="1" customWidth="1"/>
    <col min="5" max="8" width="6.6640625" bestFit="1" customWidth="1"/>
    <col min="9" max="9" width="4.83203125" bestFit="1" customWidth="1"/>
    <col min="10" max="10" width="6.6640625" bestFit="1" customWidth="1"/>
    <col min="11" max="11" width="4.83203125" bestFit="1" customWidth="1"/>
    <col min="12" max="14" width="6.6640625" bestFit="1" customWidth="1"/>
    <col min="15" max="15" width="8.5" bestFit="1" customWidth="1"/>
    <col min="16" max="18" width="6.6640625" bestFit="1" customWidth="1"/>
    <col min="19" max="19" width="4.83203125" bestFit="1" customWidth="1"/>
    <col min="20" max="20" width="10.33203125" bestFit="1" customWidth="1"/>
    <col min="21" max="22" width="6.6640625" bestFit="1" customWidth="1"/>
    <col min="23" max="23" width="10.33203125" bestFit="1" customWidth="1"/>
    <col min="24" max="29" width="6.6640625" bestFit="1" customWidth="1"/>
    <col min="30" max="30" width="4.83203125" bestFit="1" customWidth="1"/>
    <col min="31" max="38" width="6.6640625" bestFit="1" customWidth="1"/>
    <col min="39" max="39" width="10.33203125" bestFit="1" customWidth="1"/>
    <col min="40" max="46" width="6.6640625" bestFit="1" customWidth="1"/>
  </cols>
  <sheetData>
    <row r="1" spans="1:46" ht="20.25" customHeight="1">
      <c r="B1" s="234"/>
      <c r="C1" s="234"/>
      <c r="D1" s="234"/>
      <c r="E1" s="234"/>
      <c r="F1" s="234"/>
      <c r="G1" s="1"/>
    </row>
    <row r="2" spans="1:46" ht="20.25" customHeight="1">
      <c r="A2" t="s">
        <v>215</v>
      </c>
      <c r="B2" s="1">
        <v>0.9</v>
      </c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IF(ISERROR(FIND($A$2,Lines!B4))=TRUE,"",MID(Lines!B4,FIND($A$2,Lines!B4)+LEN($A$2)+1,FIND(",",_xlfn.CONCAT(Lines!B4,","),FIND($A$2,Lines!B4))-FIND($A$2,Lines!B4)-LEN($A$2)-1))</f>
        <v/>
      </c>
      <c r="C4" s="26" t="str">
        <f>IF(ISERROR(FIND($A$2,Lines!C4))=TRUE,"",MID(Lines!C4,FIND($A$2,Lines!C4)+LEN($A$2)+1,FIND(",",_xlfn.CONCAT(Lines!C4,","),FIND($A$2,Lines!C4))-FIND($A$2,Lines!C4)-LEN($A$2)-1))</f>
        <v>3</v>
      </c>
      <c r="D4" s="26" t="str">
        <f>IF(ISERROR(FIND($A$2,Lines!D4))=TRUE,"",MID(Lines!D4,FIND($A$2,Lines!D4)+LEN($A$2)+1,FIND(",",_xlfn.CONCAT(Lines!D4,","),FIND($A$2,Lines!D4))-FIND($A$2,Lines!D4)-LEN($A$2)-1))</f>
        <v>3</v>
      </c>
      <c r="E4" s="26" t="str">
        <f>IF(ISERROR(FIND($A$2,Lines!E4))=TRUE,"",MID(Lines!E4,FIND($A$2,Lines!E4)+LEN($A$2)+1,FIND(",",_xlfn.CONCAT(Lines!E4,","),FIND($A$2,Lines!E4))-FIND($A$2,Lines!E4)-LEN($A$2)-1))</f>
        <v/>
      </c>
      <c r="F4" s="26" t="str">
        <f>IF(ISERROR(FIND($A$2,Lines!F4))=TRUE,"",MID(Lines!F4,FIND($A$2,Lines!F4)+LEN($A$2)+1,FIND(",",_xlfn.CONCAT(Lines!F4,","),FIND($A$2,Lines!F4))-FIND($A$2,Lines!F4)-LEN($A$2)-1))</f>
        <v/>
      </c>
      <c r="G4" s="26" t="str">
        <f>IF(ISERROR(FIND($A$2,Lines!G4))=TRUE,"",MID(Lines!G4,FIND($A$2,Lines!G4)+LEN($A$2)+1,FIND(",",_xlfn.CONCAT(Lines!G4,","),FIND($A$2,Lines!G4))-FIND($A$2,Lines!G4)-LEN($A$2)-1))</f>
        <v/>
      </c>
      <c r="H4" s="26" t="str">
        <f>IF(ISERROR(FIND($A$2,Lines!H4))=TRUE,"",MID(Lines!H4,FIND($A$2,Lines!H4)+LEN($A$2)+1,FIND(",",_xlfn.CONCAT(Lines!H4,","),FIND($A$2,Lines!H4))-FIND($A$2,Lines!H4)-LEN($A$2)-1))</f>
        <v>3</v>
      </c>
      <c r="I4" s="26" t="str">
        <f>IF(ISERROR(FIND($A$2,Lines!I4))=TRUE,"",MID(Lines!I4,FIND($A$2,Lines!I4)+LEN($A$2)+1,FIND(",",_xlfn.CONCAT(Lines!I4,","),FIND($A$2,Lines!I4))-FIND($A$2,Lines!I4)-LEN($A$2)-1))</f>
        <v/>
      </c>
      <c r="J4" s="26" t="str">
        <f>IF(ISERROR(FIND($A$2,Lines!J4))=TRUE,"",MID(Lines!J4,FIND($A$2,Lines!J4)+LEN($A$2)+1,FIND(",",_xlfn.CONCAT(Lines!J4,","),FIND($A$2,Lines!J4))-FIND($A$2,Lines!J4)-LEN($A$2)-1))</f>
        <v/>
      </c>
      <c r="K4" s="26" t="str">
        <f>IF(ISERROR(FIND($A$2,Lines!K4))=TRUE,"",MID(Lines!K4,FIND($A$2,Lines!K4)+LEN($A$2)+1,FIND(",",_xlfn.CONCAT(Lines!K4,","),FIND($A$2,Lines!K4))-FIND($A$2,Lines!K4)-LEN($A$2)-1))</f>
        <v/>
      </c>
      <c r="L4" s="26" t="str">
        <f>IF(ISERROR(FIND($A$2,Lines!L4))=TRUE,"",MID(Lines!L4,FIND($A$2,Lines!L4)+LEN($A$2)+1,FIND(",",_xlfn.CONCAT(Lines!L4,","),FIND($A$2,Lines!L4))-FIND($A$2,Lines!L4)-LEN($A$2)-1))</f>
        <v/>
      </c>
      <c r="M4" s="27" t="str">
        <f>IF(ISERROR(FIND($A$2,Lines!M4))=TRUE,"",MID(Lines!M4,FIND($A$2,Lines!M4)+LEN($A$2)+1,FIND(",",_xlfn.CONCAT(Lines!M4,","),FIND($A$2,Lines!M4))-FIND($A$2,Lines!M4)-LEN($A$2)-1))</f>
        <v/>
      </c>
      <c r="N4" s="30" t="str">
        <f>IF(ISERROR(FIND($A$2,Lines!N4))=TRUE,"",MID(Lines!N4,FIND($A$2,Lines!N4)+LEN($A$2)+1,FIND(",",_xlfn.CONCAT(Lines!N4,","),FIND($A$2,Lines!N4))-FIND($A$2,Lines!N4)-LEN($A$2)-1))</f>
        <v/>
      </c>
      <c r="O4" s="30" t="str">
        <f>IF(ISERROR(FIND($A$2,Lines!O4))=TRUE,"",MID(Lines!O4,FIND($A$2,Lines!O4)+LEN($A$2)+1,FIND(",",_xlfn.CONCAT(Lines!O4,","),FIND($A$2,Lines!O4))-FIND($A$2,Lines!O4)-LEN($A$2)-1))</f>
        <v/>
      </c>
      <c r="P4" s="30" t="str">
        <f>IF(ISERROR(FIND($A$2,Lines!P4))=TRUE,"",MID(Lines!P4,FIND($A$2,Lines!P4)+LEN($A$2)+1,FIND(",",_xlfn.CONCAT(Lines!P4,","),FIND($A$2,Lines!P4))-FIND($A$2,Lines!P4)-LEN($A$2)-1))</f>
        <v/>
      </c>
      <c r="Q4" s="30" t="str">
        <f>IF(ISERROR(FIND($A$2,Lines!Q4))=TRUE,"",MID(Lines!Q4,FIND($A$2,Lines!Q4)+LEN($A$2)+1,FIND(",",_xlfn.CONCAT(Lines!Q4,","),FIND($A$2,Lines!Q4))-FIND($A$2,Lines!Q4)-LEN($A$2)-1))</f>
        <v/>
      </c>
      <c r="R4" s="30" t="str">
        <f>IF(ISERROR(FIND($A$2,Lines!R4))=TRUE,"",MID(Lines!R4,FIND($A$2,Lines!R4)+LEN($A$2)+1,FIND(",",_xlfn.CONCAT(Lines!R4,","),FIND($A$2,Lines!R4))-FIND($A$2,Lines!R4)-LEN($A$2)-1))</f>
        <v/>
      </c>
      <c r="S4" s="30" t="str">
        <f>IF(ISERROR(FIND($A$2,Lines!S4))=TRUE,"",MID(Lines!S4,FIND($A$2,Lines!S4)+LEN($A$2)+1,FIND(",",_xlfn.CONCAT(Lines!S4,","),FIND($A$2,Lines!S4))-FIND($A$2,Lines!S4)-LEN($A$2)-1))</f>
        <v/>
      </c>
      <c r="T4" s="30" t="str">
        <f>IF(ISERROR(FIND($A$2,Lines!T4))=TRUE,"",MID(Lines!T4,FIND($A$2,Lines!T4)+LEN($A$2)+1,FIND(",",_xlfn.CONCAT(Lines!T4,","),FIND($A$2,Lines!T4))-FIND($A$2,Lines!T4)-LEN($A$2)-1))</f>
        <v/>
      </c>
      <c r="U4" s="30" t="str">
        <f>IF(ISERROR(FIND($A$2,Lines!U4))=TRUE,"",MID(Lines!U4,FIND($A$2,Lines!U4)+LEN($A$2)+1,FIND(",",_xlfn.CONCAT(Lines!U4,","),FIND($A$2,Lines!U4))-FIND($A$2,Lines!U4)-LEN($A$2)-1))</f>
        <v/>
      </c>
      <c r="V4" s="30" t="str">
        <f>IF(ISERROR(FIND($A$2,Lines!V4))=TRUE,"",MID(Lines!V4,FIND($A$2,Lines!V4)+LEN($A$2)+1,FIND(",",_xlfn.CONCAT(Lines!V4,","),FIND($A$2,Lines!V4))-FIND($A$2,Lines!V4)-LEN($A$2)-1))</f>
        <v/>
      </c>
      <c r="W4" s="36" t="str">
        <f>IF(ISERROR(FIND($A$2,Lines!W4))=TRUE,"",MID(Lines!W4,FIND($A$2,Lines!W4)+LEN($A$2)+1,FIND(",",_xlfn.CONCAT(Lines!W4,","),FIND($A$2,Lines!W4))-FIND($A$2,Lines!W4)-LEN($A$2)-1))</f>
        <v/>
      </c>
      <c r="X4" s="30" t="str">
        <f>IF(ISERROR(FIND($A$2,Lines!X4))=TRUE,"",MID(Lines!X4,FIND($A$2,Lines!X4)+LEN($A$2)+1,FIND(",",_xlfn.CONCAT(Lines!X4,","),FIND($A$2,Lines!X4))-FIND($A$2,Lines!X4)-LEN($A$2)-1))</f>
        <v/>
      </c>
      <c r="Y4" s="30" t="str">
        <f>IF(ISERROR(FIND($A$2,Lines!Y4))=TRUE,"",MID(Lines!Y4,FIND($A$2,Lines!Y4)+LEN($A$2)+1,FIND(",",_xlfn.CONCAT(Lines!Y4,","),FIND($A$2,Lines!Y4))-FIND($A$2,Lines!Y4)-LEN($A$2)-1))</f>
        <v/>
      </c>
      <c r="Z4" s="30" t="str">
        <f>IF(ISERROR(FIND($A$2,Lines!Z4))=TRUE,"",MID(Lines!Z4,FIND($A$2,Lines!Z4)+LEN($A$2)+1,FIND(",",_xlfn.CONCAT(Lines!Z4,","),FIND($A$2,Lines!Z4))-FIND($A$2,Lines!Z4)-LEN($A$2)-1))</f>
        <v/>
      </c>
      <c r="AA4" s="30" t="str">
        <f>IF(ISERROR(FIND($A$2,Lines!AA4))=TRUE,"",MID(Lines!AA4,FIND($A$2,Lines!AA4)+LEN($A$2)+1,FIND(",",_xlfn.CONCAT(Lines!AA4,","),FIND($A$2,Lines!AA4))-FIND($A$2,Lines!AA4)-LEN($A$2)-1))</f>
        <v/>
      </c>
      <c r="AB4" s="30" t="str">
        <f>IF(ISERROR(FIND($A$2,Lines!AB4))=TRUE,"",MID(Lines!AB4,FIND($A$2,Lines!AB4)+LEN($A$2)+1,FIND(",",_xlfn.CONCAT(Lines!AB4,","),FIND($A$2,Lines!AB4))-FIND($A$2,Lines!AB4)-LEN($A$2)-1))</f>
        <v/>
      </c>
      <c r="AC4" s="30" t="str">
        <f>IF(ISERROR(FIND($A$2,Lines!AC4))=TRUE,"",MID(Lines!AC4,FIND($A$2,Lines!AC4)+LEN($A$2)+1,FIND(",",_xlfn.CONCAT(Lines!AC4,","),FIND($A$2,Lines!AC4))-FIND($A$2,Lines!AC4)-LEN($A$2)-1))</f>
        <v/>
      </c>
      <c r="AD4" s="30" t="str">
        <f>IF(ISERROR(FIND($A$2,Lines!AD4))=TRUE,"",MID(Lines!AD4,FIND($A$2,Lines!AD4)+LEN($A$2)+1,FIND(",",_xlfn.CONCAT(Lines!AD4,","),FIND($A$2,Lines!AD4))-FIND($A$2,Lines!AD4)-LEN($A$2)-1))</f>
        <v/>
      </c>
      <c r="AE4" s="30" t="str">
        <f>IF(ISERROR(FIND($A$2,Lines!AE4))=TRUE,"",MID(Lines!AE4,FIND($A$2,Lines!AE4)+LEN($A$2)+1,FIND(",",_xlfn.CONCAT(Lines!AE4,","),FIND($A$2,Lines!AE4))-FIND($A$2,Lines!AE4)-LEN($A$2)-1))</f>
        <v/>
      </c>
      <c r="AF4" s="30" t="str">
        <f>IF(ISERROR(FIND($A$2,Lines!AF4))=TRUE,"",MID(Lines!AF4,FIND($A$2,Lines!AF4)+LEN($A$2)+1,FIND(",",_xlfn.CONCAT(Lines!AF4,","),FIND($A$2,Lines!AF4))-FIND($A$2,Lines!AF4)-LEN($A$2)-1))</f>
        <v/>
      </c>
      <c r="AG4" s="30" t="str">
        <f>IF(ISERROR(FIND($A$2,Lines!AG4))=TRUE,"",MID(Lines!AG4,FIND($A$2,Lines!AG4)+LEN($A$2)+1,FIND(",",_xlfn.CONCAT(Lines!AG4,","),FIND($A$2,Lines!AG4))-FIND($A$2,Lines!AG4)-LEN($A$2)-1))</f>
        <v/>
      </c>
      <c r="AH4" s="30" t="str">
        <f>IF(ISERROR(FIND($A$2,Lines!AH4))=TRUE,"",MID(Lines!AH4,FIND($A$2,Lines!AH4)+LEN($A$2)+1,FIND(",",_xlfn.CONCAT(Lines!AH4,","),FIND($A$2,Lines!AH4))-FIND($A$2,Lines!AH4)-LEN($A$2)-1))</f>
        <v/>
      </c>
      <c r="AI4" s="30" t="str">
        <f>IF(ISERROR(FIND($A$2,Lines!AI4))=TRUE,"",MID(Lines!AI4,FIND($A$2,Lines!AI4)+LEN($A$2)+1,FIND(",",_xlfn.CONCAT(Lines!AI4,","),FIND($A$2,Lines!AI4))-FIND($A$2,Lines!AI4)-LEN($A$2)-1))</f>
        <v/>
      </c>
      <c r="AJ4" s="30" t="str">
        <f>IF(ISERROR(FIND($A$2,Lines!AJ4))=TRUE,"",MID(Lines!AJ4,FIND($A$2,Lines!AJ4)+LEN($A$2)+1,FIND(",",_xlfn.CONCAT(Lines!AJ4,","),FIND($A$2,Lines!AJ4))-FIND($A$2,Lines!AJ4)-LEN($A$2)-1))</f>
        <v/>
      </c>
      <c r="AK4" s="30" t="str">
        <f>IF(ISERROR(FIND($A$2,Lines!AK4))=TRUE,"",MID(Lines!AK4,FIND($A$2,Lines!AK4)+LEN($A$2)+1,FIND(",",_xlfn.CONCAT(Lines!AK4,","),FIND($A$2,Lines!AK4))-FIND($A$2,Lines!AK4)-LEN($A$2)-1))</f>
        <v/>
      </c>
      <c r="AL4" s="30" t="str">
        <f>IF(ISERROR(FIND($A$2,Lines!AL4))=TRUE,"",MID(Lines!AL4,FIND($A$2,Lines!AL4)+LEN($A$2)+1,FIND(",",_xlfn.CONCAT(Lines!AL4,","),FIND($A$2,Lines!AL4))-FIND($A$2,Lines!AL4)-LEN($A$2)-1))</f>
        <v/>
      </c>
      <c r="AM4" s="30" t="str">
        <f>IF(ISERROR(FIND($A$2,Lines!AM4))=TRUE,"",MID(Lines!AM4,FIND($A$2,Lines!AM4)+LEN($A$2)+1,FIND(",",_xlfn.CONCAT(Lines!AM4,","),FIND($A$2,Lines!AM4))-FIND($A$2,Lines!AM4)-LEN($A$2)-1))</f>
        <v/>
      </c>
      <c r="AN4" s="30" t="str">
        <f>IF(ISERROR(FIND($A$2,Lines!AN4))=TRUE,"",MID(Lines!AN4,FIND($A$2,Lines!AN4)+LEN($A$2)+1,FIND(",",_xlfn.CONCAT(Lines!AN4,","),FIND($A$2,Lines!AN4))-FIND($A$2,Lines!AN4)-LEN($A$2)-1))</f>
        <v/>
      </c>
      <c r="AO4" s="30" t="str">
        <f>IF(ISERROR(FIND($A$2,Lines!AO4))=TRUE,"",MID(Lines!AO4,FIND($A$2,Lines!AO4)+LEN($A$2)+1,FIND(",",_xlfn.CONCAT(Lines!AO4,","),FIND($A$2,Lines!AO4))-FIND($A$2,Lines!AO4)-LEN($A$2)-1))</f>
        <v/>
      </c>
      <c r="AP4" s="30" t="str">
        <f>IF(ISERROR(FIND($A$2,Lines!AP4))=TRUE,"",MID(Lines!AP4,FIND($A$2,Lines!AP4)+LEN($A$2)+1,FIND(",",_xlfn.CONCAT(Lines!AP4,","),FIND($A$2,Lines!AP4))-FIND($A$2,Lines!AP4)-LEN($A$2)-1))</f>
        <v/>
      </c>
      <c r="AQ4" s="30" t="str">
        <f>IF(ISERROR(FIND($A$2,Lines!AQ4))=TRUE,"",MID(Lines!AQ4,FIND($A$2,Lines!AQ4)+LEN($A$2)+1,FIND(",",_xlfn.CONCAT(Lines!AQ4,","),FIND($A$2,Lines!AQ4))-FIND($A$2,Lines!AQ4)-LEN($A$2)-1))</f>
        <v/>
      </c>
      <c r="AR4" s="30" t="str">
        <f>IF(ISERROR(FIND($A$2,Lines!AR4))=TRUE,"",MID(Lines!AR4,FIND($A$2,Lines!AR4)+LEN($A$2)+1,FIND(",",_xlfn.CONCAT(Lines!AR4,","),FIND($A$2,Lines!AR4))-FIND($A$2,Lines!AR4)-LEN($A$2)-1))</f>
        <v/>
      </c>
      <c r="AS4" s="30" t="str">
        <f>IF(ISERROR(FIND($A$2,Lines!AS4))=TRUE,"",MID(Lines!AS4,FIND($A$2,Lines!AS4)+LEN($A$2)+1,FIND(",",_xlfn.CONCAT(Lines!AS4,","),FIND($A$2,Lines!AS4))-FIND($A$2,Lines!AS4)-LEN($A$2)-1))</f>
        <v/>
      </c>
      <c r="AT4" s="30" t="str">
        <f>IF(ISERROR(FIND($A$2,Lines!AT4))=TRUE,"",MID(Lines!AT4,FIND($A$2,Lines!AT4)+LEN($A$2)+1,FIND(",",_xlfn.CONCAT(Lines!AT4,","),FIND($A$2,Lines!AT4))-FIND($A$2,Lines!AT4)-LEN($A$2)-1))</f>
        <v/>
      </c>
    </row>
    <row r="5" spans="1:46" ht="20.25" customHeight="1">
      <c r="A5" s="2" t="s">
        <v>56</v>
      </c>
      <c r="B5" s="26" t="str">
        <f>IF(ISERROR(FIND($A$2,Lines!B5))=TRUE,"",MID(Lines!B5,FIND($A$2,Lines!B5)+LEN($A$2)+1,FIND(",",_xlfn.CONCAT(Lines!B5,","),FIND($A$2,Lines!B5))-FIND($A$2,Lines!B5)-LEN($A$2)-1))</f>
        <v>3</v>
      </c>
      <c r="C5" s="63" t="str">
        <f>IF(ISERROR(FIND($A$2,Lines!C5))=TRUE,"",MID(Lines!C5,FIND($A$2,Lines!C5)+LEN($A$2)+1,FIND(",",_xlfn.CONCAT(Lines!C5,","),FIND($A$2,Lines!C5))-FIND($A$2,Lines!C5)-LEN($A$2)-1))</f>
        <v/>
      </c>
      <c r="D5" s="26" t="str">
        <f>IF(ISERROR(FIND($A$2,Lines!D5))=TRUE,"",MID(Lines!D5,FIND($A$2,Lines!D5)+LEN($A$2)+1,FIND(",",_xlfn.CONCAT(Lines!D5,","),FIND($A$2,Lines!D5))-FIND($A$2,Lines!D5)-LEN($A$2)-1))</f>
        <v/>
      </c>
      <c r="E5" s="26" t="str">
        <f>IF(ISERROR(FIND($A$2,Lines!E5))=TRUE,"",MID(Lines!E5,FIND($A$2,Lines!E5)+LEN($A$2)+1,FIND(",",_xlfn.CONCAT(Lines!E5,","),FIND($A$2,Lines!E5))-FIND($A$2,Lines!E5)-LEN($A$2)-1))</f>
        <v/>
      </c>
      <c r="F5" s="26" t="str">
        <f>IF(ISERROR(FIND($A$2,Lines!F5))=TRUE,"",MID(Lines!F5,FIND($A$2,Lines!F5)+LEN($A$2)+1,FIND(",",_xlfn.CONCAT(Lines!F5,","),FIND($A$2,Lines!F5))-FIND($A$2,Lines!F5)-LEN($A$2)-1))</f>
        <v>3</v>
      </c>
      <c r="G5" s="26" t="str">
        <f>IF(ISERROR(FIND($A$2,Lines!G5))=TRUE,"",MID(Lines!G5,FIND($A$2,Lines!G5)+LEN($A$2)+1,FIND(",",_xlfn.CONCAT(Lines!G5,","),FIND($A$2,Lines!G5))-FIND($A$2,Lines!G5)-LEN($A$2)-1))</f>
        <v/>
      </c>
      <c r="H5" s="26" t="str">
        <f>IF(ISERROR(FIND($A$2,Lines!H5))=TRUE,"",MID(Lines!H5,FIND($A$2,Lines!H5)+LEN($A$2)+1,FIND(",",_xlfn.CONCAT(Lines!H5,","),FIND($A$2,Lines!H5))-FIND($A$2,Lines!H5)-LEN($A$2)-1))</f>
        <v/>
      </c>
      <c r="I5" s="26" t="str">
        <f>IF(ISERROR(FIND($A$2,Lines!I5))=TRUE,"",MID(Lines!I5,FIND($A$2,Lines!I5)+LEN($A$2)+1,FIND(",",_xlfn.CONCAT(Lines!I5,","),FIND($A$2,Lines!I5))-FIND($A$2,Lines!I5)-LEN($A$2)-1))</f>
        <v/>
      </c>
      <c r="J5" s="26" t="str">
        <f>IF(ISERROR(FIND($A$2,Lines!J5))=TRUE,"",MID(Lines!J5,FIND($A$2,Lines!J5)+LEN($A$2)+1,FIND(",",_xlfn.CONCAT(Lines!J5,","),FIND($A$2,Lines!J5))-FIND($A$2,Lines!J5)-LEN($A$2)-1))</f>
        <v/>
      </c>
      <c r="K5" s="26" t="str">
        <f>IF(ISERROR(FIND($A$2,Lines!K5))=TRUE,"",MID(Lines!K5,FIND($A$2,Lines!K5)+LEN($A$2)+1,FIND(",",_xlfn.CONCAT(Lines!K5,","),FIND($A$2,Lines!K5))-FIND($A$2,Lines!K5)-LEN($A$2)-1))</f>
        <v/>
      </c>
      <c r="L5" s="26" t="str">
        <f>IF(ISERROR(FIND($A$2,Lines!L5))=TRUE,"",MID(Lines!L5,FIND($A$2,Lines!L5)+LEN($A$2)+1,FIND(",",_xlfn.CONCAT(Lines!L5,","),FIND($A$2,Lines!L5))-FIND($A$2,Lines!L5)-LEN($A$2)-1))</f>
        <v/>
      </c>
      <c r="M5" s="27" t="str">
        <f>IF(ISERROR(FIND($A$2,Lines!M5))=TRUE,"",MID(Lines!M5,FIND($A$2,Lines!M5)+LEN($A$2)+1,FIND(",",_xlfn.CONCAT(Lines!M5,","),FIND($A$2,Lines!M5))-FIND($A$2,Lines!M5)-LEN($A$2)-1))</f>
        <v/>
      </c>
      <c r="N5" s="30" t="str">
        <f>IF(ISERROR(FIND($A$2,Lines!N5))=TRUE,"",MID(Lines!N5,FIND($A$2,Lines!N5)+LEN($A$2)+1,FIND(",",_xlfn.CONCAT(Lines!N5,","),FIND($A$2,Lines!N5))-FIND($A$2,Lines!N5)-LEN($A$2)-1))</f>
        <v/>
      </c>
      <c r="O5" s="30" t="str">
        <f>IF(ISERROR(FIND($A$2,Lines!O5))=TRUE,"",MID(Lines!O5,FIND($A$2,Lines!O5)+LEN($A$2)+1,FIND(",",_xlfn.CONCAT(Lines!O5,","),FIND($A$2,Lines!O5))-FIND($A$2,Lines!O5)-LEN($A$2)-1))</f>
        <v/>
      </c>
      <c r="P5" s="30" t="str">
        <f>IF(ISERROR(FIND($A$2,Lines!P5))=TRUE,"",MID(Lines!P5,FIND($A$2,Lines!P5)+LEN($A$2)+1,FIND(",",_xlfn.CONCAT(Lines!P5,","),FIND($A$2,Lines!P5))-FIND($A$2,Lines!P5)-LEN($A$2)-1))</f>
        <v/>
      </c>
      <c r="Q5" s="30" t="str">
        <f>IF(ISERROR(FIND($A$2,Lines!Q5))=TRUE,"",MID(Lines!Q5,FIND($A$2,Lines!Q5)+LEN($A$2)+1,FIND(",",_xlfn.CONCAT(Lines!Q5,","),FIND($A$2,Lines!Q5))-FIND($A$2,Lines!Q5)-LEN($A$2)-1))</f>
        <v/>
      </c>
      <c r="R5" s="30" t="str">
        <f>IF(ISERROR(FIND($A$2,Lines!R5))=TRUE,"",MID(Lines!R5,FIND($A$2,Lines!R5)+LEN($A$2)+1,FIND(",",_xlfn.CONCAT(Lines!R5,","),FIND($A$2,Lines!R5))-FIND($A$2,Lines!R5)-LEN($A$2)-1))</f>
        <v/>
      </c>
      <c r="S5" s="30" t="str">
        <f>IF(ISERROR(FIND($A$2,Lines!S5))=TRUE,"",MID(Lines!S5,FIND($A$2,Lines!S5)+LEN($A$2)+1,FIND(",",_xlfn.CONCAT(Lines!S5,","),FIND($A$2,Lines!S5))-FIND($A$2,Lines!S5)-LEN($A$2)-1))</f>
        <v/>
      </c>
      <c r="T5" s="30" t="str">
        <f>IF(ISERROR(FIND($A$2,Lines!T5))=TRUE,"",MID(Lines!T5,FIND($A$2,Lines!T5)+LEN($A$2)+1,FIND(",",_xlfn.CONCAT(Lines!T5,","),FIND($A$2,Lines!T5))-FIND($A$2,Lines!T5)-LEN($A$2)-1))</f>
        <v/>
      </c>
      <c r="U5" s="30" t="str">
        <f>IF(ISERROR(FIND($A$2,Lines!U5))=TRUE,"",MID(Lines!U5,FIND($A$2,Lines!U5)+LEN($A$2)+1,FIND(",",_xlfn.CONCAT(Lines!U5,","),FIND($A$2,Lines!U5))-FIND($A$2,Lines!U5)-LEN($A$2)-1))</f>
        <v/>
      </c>
      <c r="V5" s="30" t="str">
        <f>IF(ISERROR(FIND($A$2,Lines!V5))=TRUE,"",MID(Lines!V5,FIND($A$2,Lines!V5)+LEN($A$2)+1,FIND(",",_xlfn.CONCAT(Lines!V5,","),FIND($A$2,Lines!V5))-FIND($A$2,Lines!V5)-LEN($A$2)-1))</f>
        <v/>
      </c>
      <c r="W5" s="36" t="str">
        <f>IF(ISERROR(FIND($A$2,Lines!W5))=TRUE,"",MID(Lines!W5,FIND($A$2,Lines!W5)+LEN($A$2)+1,FIND(",",_xlfn.CONCAT(Lines!W5,","),FIND($A$2,Lines!W5))-FIND($A$2,Lines!W5)-LEN($A$2)-1))</f>
        <v/>
      </c>
      <c r="X5" s="30" t="str">
        <f>IF(ISERROR(FIND($A$2,Lines!X5))=TRUE,"",MID(Lines!X5,FIND($A$2,Lines!X5)+LEN($A$2)+1,FIND(",",_xlfn.CONCAT(Lines!X5,","),FIND($A$2,Lines!X5))-FIND($A$2,Lines!X5)-LEN($A$2)-1))</f>
        <v/>
      </c>
      <c r="Y5" s="30" t="str">
        <f>IF(ISERROR(FIND($A$2,Lines!Y5))=TRUE,"",MID(Lines!Y5,FIND($A$2,Lines!Y5)+LEN($A$2)+1,FIND(",",_xlfn.CONCAT(Lines!Y5,","),FIND($A$2,Lines!Y5))-FIND($A$2,Lines!Y5)-LEN($A$2)-1))</f>
        <v/>
      </c>
      <c r="Z5" s="30" t="str">
        <f>IF(ISERROR(FIND($A$2,Lines!Z5))=TRUE,"",MID(Lines!Z5,FIND($A$2,Lines!Z5)+LEN($A$2)+1,FIND(",",_xlfn.CONCAT(Lines!Z5,","),FIND($A$2,Lines!Z5))-FIND($A$2,Lines!Z5)-LEN($A$2)-1))</f>
        <v/>
      </c>
      <c r="AA5" s="30" t="str">
        <f>IF(ISERROR(FIND($A$2,Lines!AA5))=TRUE,"",MID(Lines!AA5,FIND($A$2,Lines!AA5)+LEN($A$2)+1,FIND(",",_xlfn.CONCAT(Lines!AA5,","),FIND($A$2,Lines!AA5))-FIND($A$2,Lines!AA5)-LEN($A$2)-1))</f>
        <v/>
      </c>
      <c r="AB5" s="30" t="str">
        <f>IF(ISERROR(FIND($A$2,Lines!AB5))=TRUE,"",MID(Lines!AB5,FIND($A$2,Lines!AB5)+LEN($A$2)+1,FIND(",",_xlfn.CONCAT(Lines!AB5,","),FIND($A$2,Lines!AB5))-FIND($A$2,Lines!AB5)-LEN($A$2)-1))</f>
        <v/>
      </c>
      <c r="AC5" s="30" t="str">
        <f>IF(ISERROR(FIND($A$2,Lines!AC5))=TRUE,"",MID(Lines!AC5,FIND($A$2,Lines!AC5)+LEN($A$2)+1,FIND(",",_xlfn.CONCAT(Lines!AC5,","),FIND($A$2,Lines!AC5))-FIND($A$2,Lines!AC5)-LEN($A$2)-1))</f>
        <v/>
      </c>
      <c r="AD5" s="30" t="str">
        <f>IF(ISERROR(FIND($A$2,Lines!AD5))=TRUE,"",MID(Lines!AD5,FIND($A$2,Lines!AD5)+LEN($A$2)+1,FIND(",",_xlfn.CONCAT(Lines!AD5,","),FIND($A$2,Lines!AD5))-FIND($A$2,Lines!AD5)-LEN($A$2)-1))</f>
        <v/>
      </c>
      <c r="AE5" s="30" t="str">
        <f>IF(ISERROR(FIND($A$2,Lines!AE5))=TRUE,"",MID(Lines!AE5,FIND($A$2,Lines!AE5)+LEN($A$2)+1,FIND(",",_xlfn.CONCAT(Lines!AE5,","),FIND($A$2,Lines!AE5))-FIND($A$2,Lines!AE5)-LEN($A$2)-1))</f>
        <v/>
      </c>
      <c r="AF5" s="30" t="str">
        <f>IF(ISERROR(FIND($A$2,Lines!AF5))=TRUE,"",MID(Lines!AF5,FIND($A$2,Lines!AF5)+LEN($A$2)+1,FIND(",",_xlfn.CONCAT(Lines!AF5,","),FIND($A$2,Lines!AF5))-FIND($A$2,Lines!AF5)-LEN($A$2)-1))</f>
        <v/>
      </c>
      <c r="AG5" s="30" t="str">
        <f>IF(ISERROR(FIND($A$2,Lines!AG5))=TRUE,"",MID(Lines!AG5,FIND($A$2,Lines!AG5)+LEN($A$2)+1,FIND(",",_xlfn.CONCAT(Lines!AG5,","),FIND($A$2,Lines!AG5))-FIND($A$2,Lines!AG5)-LEN($A$2)-1))</f>
        <v/>
      </c>
      <c r="AH5" s="30" t="str">
        <f>IF(ISERROR(FIND($A$2,Lines!AH5))=TRUE,"",MID(Lines!AH5,FIND($A$2,Lines!AH5)+LEN($A$2)+1,FIND(",",_xlfn.CONCAT(Lines!AH5,","),FIND($A$2,Lines!AH5))-FIND($A$2,Lines!AH5)-LEN($A$2)-1))</f>
        <v/>
      </c>
      <c r="AI5" s="30" t="str">
        <f>IF(ISERROR(FIND($A$2,Lines!AI5))=TRUE,"",MID(Lines!AI5,FIND($A$2,Lines!AI5)+LEN($A$2)+1,FIND(",",_xlfn.CONCAT(Lines!AI5,","),FIND($A$2,Lines!AI5))-FIND($A$2,Lines!AI5)-LEN($A$2)-1))</f>
        <v/>
      </c>
      <c r="AJ5" s="30" t="str">
        <f>IF(ISERROR(FIND($A$2,Lines!AJ5))=TRUE,"",MID(Lines!AJ5,FIND($A$2,Lines!AJ5)+LEN($A$2)+1,FIND(",",_xlfn.CONCAT(Lines!AJ5,","),FIND($A$2,Lines!AJ5))-FIND($A$2,Lines!AJ5)-LEN($A$2)-1))</f>
        <v/>
      </c>
      <c r="AK5" s="30" t="str">
        <f>IF(ISERROR(FIND($A$2,Lines!AK5))=TRUE,"",MID(Lines!AK5,FIND($A$2,Lines!AK5)+LEN($A$2)+1,FIND(",",_xlfn.CONCAT(Lines!AK5,","),FIND($A$2,Lines!AK5))-FIND($A$2,Lines!AK5)-LEN($A$2)-1))</f>
        <v/>
      </c>
      <c r="AL5" s="30" t="str">
        <f>IF(ISERROR(FIND($A$2,Lines!AL5))=TRUE,"",MID(Lines!AL5,FIND($A$2,Lines!AL5)+LEN($A$2)+1,FIND(",",_xlfn.CONCAT(Lines!AL5,","),FIND($A$2,Lines!AL5))-FIND($A$2,Lines!AL5)-LEN($A$2)-1))</f>
        <v/>
      </c>
      <c r="AM5" s="30" t="str">
        <f>IF(ISERROR(FIND($A$2,Lines!AM5))=TRUE,"",MID(Lines!AM5,FIND($A$2,Lines!AM5)+LEN($A$2)+1,FIND(",",_xlfn.CONCAT(Lines!AM5,","),FIND($A$2,Lines!AM5))-FIND($A$2,Lines!AM5)-LEN($A$2)-1))</f>
        <v/>
      </c>
      <c r="AN5" s="30" t="str">
        <f>IF(ISERROR(FIND($A$2,Lines!AN5))=TRUE,"",MID(Lines!AN5,FIND($A$2,Lines!AN5)+LEN($A$2)+1,FIND(",",_xlfn.CONCAT(Lines!AN5,","),FIND($A$2,Lines!AN5))-FIND($A$2,Lines!AN5)-LEN($A$2)-1))</f>
        <v/>
      </c>
      <c r="AO5" s="30" t="str">
        <f>IF(ISERROR(FIND($A$2,Lines!AO5))=TRUE,"",MID(Lines!AO5,FIND($A$2,Lines!AO5)+LEN($A$2)+1,FIND(",",_xlfn.CONCAT(Lines!AO5,","),FIND($A$2,Lines!AO5))-FIND($A$2,Lines!AO5)-LEN($A$2)-1))</f>
        <v/>
      </c>
      <c r="AP5" s="30" t="str">
        <f>IF(ISERROR(FIND($A$2,Lines!AP5))=TRUE,"",MID(Lines!AP5,FIND($A$2,Lines!AP5)+LEN($A$2)+1,FIND(",",_xlfn.CONCAT(Lines!AP5,","),FIND($A$2,Lines!AP5))-FIND($A$2,Lines!AP5)-LEN($A$2)-1))</f>
        <v/>
      </c>
      <c r="AQ5" s="30" t="str">
        <f>IF(ISERROR(FIND($A$2,Lines!AQ5))=TRUE,"",MID(Lines!AQ5,FIND($A$2,Lines!AQ5)+LEN($A$2)+1,FIND(",",_xlfn.CONCAT(Lines!AQ5,","),FIND($A$2,Lines!AQ5))-FIND($A$2,Lines!AQ5)-LEN($A$2)-1))</f>
        <v/>
      </c>
      <c r="AR5" s="30" t="str">
        <f>IF(ISERROR(FIND($A$2,Lines!AR5))=TRUE,"",MID(Lines!AR5,FIND($A$2,Lines!AR5)+LEN($A$2)+1,FIND(",",_xlfn.CONCAT(Lines!AR5,","),FIND($A$2,Lines!AR5))-FIND($A$2,Lines!AR5)-LEN($A$2)-1))</f>
        <v/>
      </c>
      <c r="AS5" s="30" t="str">
        <f>IF(ISERROR(FIND($A$2,Lines!AS5))=TRUE,"",MID(Lines!AS5,FIND($A$2,Lines!AS5)+LEN($A$2)+1,FIND(",",_xlfn.CONCAT(Lines!AS5,","),FIND($A$2,Lines!AS5))-FIND($A$2,Lines!AS5)-LEN($A$2)-1))</f>
        <v/>
      </c>
      <c r="AT5" s="30" t="str">
        <f>IF(ISERROR(FIND($A$2,Lines!AT5))=TRUE,"",MID(Lines!AT5,FIND($A$2,Lines!AT5)+LEN($A$2)+1,FIND(",",_xlfn.CONCAT(Lines!AT5,","),FIND($A$2,Lines!AT5))-FIND($A$2,Lines!AT5)-LEN($A$2)-1))</f>
        <v/>
      </c>
    </row>
    <row r="6" spans="1:46" ht="20.25" customHeight="1">
      <c r="A6" s="2" t="s">
        <v>57</v>
      </c>
      <c r="B6" s="26" t="str">
        <f>IF(ISERROR(FIND($A$2,Lines!B6))=TRUE,"",MID(Lines!B6,FIND($A$2,Lines!B6)+LEN($A$2)+1,FIND(",",_xlfn.CONCAT(Lines!B6,","),FIND($A$2,Lines!B6))-FIND($A$2,Lines!B6)-LEN($A$2)-1))</f>
        <v>3</v>
      </c>
      <c r="C6" s="26" t="str">
        <f>IF(ISERROR(FIND($A$2,Lines!C6))=TRUE,"",MID(Lines!C6,FIND($A$2,Lines!C6)+LEN($A$2)+1,FIND(",",_xlfn.CONCAT(Lines!C6,","),FIND($A$2,Lines!C6))-FIND($A$2,Lines!C6)-LEN($A$2)-1))</f>
        <v/>
      </c>
      <c r="D6" s="63" t="str">
        <f>IF(ISERROR(FIND($A$2,Lines!D6))=TRUE,"",MID(Lines!D6,FIND($A$2,Lines!D6)+LEN($A$2)+1,FIND(",",_xlfn.CONCAT(Lines!D6,","),FIND($A$2,Lines!D6))-FIND($A$2,Lines!D6)-LEN($A$2)-1))</f>
        <v/>
      </c>
      <c r="E6" s="26" t="str">
        <f>IF(ISERROR(FIND($A$2,Lines!E6))=TRUE,"",MID(Lines!E6,FIND($A$2,Lines!E6)+LEN($A$2)+1,FIND(",",_xlfn.CONCAT(Lines!E6,","),FIND($A$2,Lines!E6))-FIND($A$2,Lines!E6)-LEN($A$2)-1))</f>
        <v/>
      </c>
      <c r="F6" s="26" t="str">
        <f>IF(ISERROR(FIND($A$2,Lines!F6))=TRUE,"",MID(Lines!F6,FIND($A$2,Lines!F6)+LEN($A$2)+1,FIND(",",_xlfn.CONCAT(Lines!F6,","),FIND($A$2,Lines!F6))-FIND($A$2,Lines!F6)-LEN($A$2)-1))</f>
        <v/>
      </c>
      <c r="G6" s="26" t="str">
        <f>IF(ISERROR(FIND($A$2,Lines!G6))=TRUE,"",MID(Lines!G6,FIND($A$2,Lines!G6)+LEN($A$2)+1,FIND(",",_xlfn.CONCAT(Lines!G6,","),FIND($A$2,Lines!G6))-FIND($A$2,Lines!G6)-LEN($A$2)-1))</f>
        <v/>
      </c>
      <c r="H6" s="26" t="str">
        <f>IF(ISERROR(FIND($A$2,Lines!H6))=TRUE,"",MID(Lines!H6,FIND($A$2,Lines!H6)+LEN($A$2)+1,FIND(",",_xlfn.CONCAT(Lines!H6,","),FIND($A$2,Lines!H6))-FIND($A$2,Lines!H6)-LEN($A$2)-1))</f>
        <v/>
      </c>
      <c r="I6" s="26" t="str">
        <f>IF(ISERROR(FIND($A$2,Lines!I6))=TRUE,"",MID(Lines!I6,FIND($A$2,Lines!I6)+LEN($A$2)+1,FIND(",",_xlfn.CONCAT(Lines!I6,","),FIND($A$2,Lines!I6))-FIND($A$2,Lines!I6)-LEN($A$2)-1))</f>
        <v/>
      </c>
      <c r="J6" s="26" t="str">
        <f>IF(ISERROR(FIND($A$2,Lines!J6))=TRUE,"",MID(Lines!J6,FIND($A$2,Lines!J6)+LEN($A$2)+1,FIND(",",_xlfn.CONCAT(Lines!J6,","),FIND($A$2,Lines!J6))-FIND($A$2,Lines!J6)-LEN($A$2)-1))</f>
        <v/>
      </c>
      <c r="K6" s="26" t="str">
        <f>IF(ISERROR(FIND($A$2,Lines!K6))=TRUE,"",MID(Lines!K6,FIND($A$2,Lines!K6)+LEN($A$2)+1,FIND(",",_xlfn.CONCAT(Lines!K6,","),FIND($A$2,Lines!K6))-FIND($A$2,Lines!K6)-LEN($A$2)-1))</f>
        <v/>
      </c>
      <c r="L6" s="26" t="str">
        <f>IF(ISERROR(FIND($A$2,Lines!L6))=TRUE,"",MID(Lines!L6,FIND($A$2,Lines!L6)+LEN($A$2)+1,FIND(",",_xlfn.CONCAT(Lines!L6,","),FIND($A$2,Lines!L6))-FIND($A$2,Lines!L6)-LEN($A$2)-1))</f>
        <v/>
      </c>
      <c r="M6" s="27" t="str">
        <f>IF(ISERROR(FIND($A$2,Lines!M6))=TRUE,"",MID(Lines!M6,FIND($A$2,Lines!M6)+LEN($A$2)+1,FIND(",",_xlfn.CONCAT(Lines!M6,","),FIND($A$2,Lines!M6))-FIND($A$2,Lines!M6)-LEN($A$2)-1))</f>
        <v>2</v>
      </c>
      <c r="N6" s="30" t="str">
        <f>IF(ISERROR(FIND($A$2,Lines!N6))=TRUE,"",MID(Lines!N6,FIND($A$2,Lines!N6)+LEN($A$2)+1,FIND(",",_xlfn.CONCAT(Lines!N6,","),FIND($A$2,Lines!N6))-FIND($A$2,Lines!N6)-LEN($A$2)-1))</f>
        <v/>
      </c>
      <c r="O6" s="30" t="str">
        <f>IF(ISERROR(FIND($A$2,Lines!O6))=TRUE,"",MID(Lines!O6,FIND($A$2,Lines!O6)+LEN($A$2)+1,FIND(",",_xlfn.CONCAT(Lines!O6,","),FIND($A$2,Lines!O6))-FIND($A$2,Lines!O6)-LEN($A$2)-1))</f>
        <v/>
      </c>
      <c r="P6" s="30" t="str">
        <f>IF(ISERROR(FIND($A$2,Lines!P6))=TRUE,"",MID(Lines!P6,FIND($A$2,Lines!P6)+LEN($A$2)+1,FIND(",",_xlfn.CONCAT(Lines!P6,","),FIND($A$2,Lines!P6))-FIND($A$2,Lines!P6)-LEN($A$2)-1))</f>
        <v/>
      </c>
      <c r="Q6" s="30" t="str">
        <f>IF(ISERROR(FIND($A$2,Lines!Q6))=TRUE,"",MID(Lines!Q6,FIND($A$2,Lines!Q6)+LEN($A$2)+1,FIND(",",_xlfn.CONCAT(Lines!Q6,","),FIND($A$2,Lines!Q6))-FIND($A$2,Lines!Q6)-LEN($A$2)-1))</f>
        <v/>
      </c>
      <c r="R6" s="30" t="str">
        <f>IF(ISERROR(FIND($A$2,Lines!R6))=TRUE,"",MID(Lines!R6,FIND($A$2,Lines!R6)+LEN($A$2)+1,FIND(",",_xlfn.CONCAT(Lines!R6,","),FIND($A$2,Lines!R6))-FIND($A$2,Lines!R6)-LEN($A$2)-1))</f>
        <v/>
      </c>
      <c r="S6" s="30" t="str">
        <f>IF(ISERROR(FIND($A$2,Lines!S6))=TRUE,"",MID(Lines!S6,FIND($A$2,Lines!S6)+LEN($A$2)+1,FIND(",",_xlfn.CONCAT(Lines!S6,","),FIND($A$2,Lines!S6))-FIND($A$2,Lines!S6)-LEN($A$2)-1))</f>
        <v/>
      </c>
      <c r="T6" s="30" t="str">
        <f>IF(ISERROR(FIND($A$2,Lines!T6))=TRUE,"",MID(Lines!T6,FIND($A$2,Lines!T6)+LEN($A$2)+1,FIND(",",_xlfn.CONCAT(Lines!T6,","),FIND($A$2,Lines!T6))-FIND($A$2,Lines!T6)-LEN($A$2)-1))</f>
        <v/>
      </c>
      <c r="U6" s="30" t="str">
        <f>IF(ISERROR(FIND($A$2,Lines!U6))=TRUE,"",MID(Lines!U6,FIND($A$2,Lines!U6)+LEN($A$2)+1,FIND(",",_xlfn.CONCAT(Lines!U6,","),FIND($A$2,Lines!U6))-FIND($A$2,Lines!U6)-LEN($A$2)-1))</f>
        <v/>
      </c>
      <c r="V6" s="30" t="str">
        <f>IF(ISERROR(FIND($A$2,Lines!V6))=TRUE,"",MID(Lines!V6,FIND($A$2,Lines!V6)+LEN($A$2)+1,FIND(",",_xlfn.CONCAT(Lines!V6,","),FIND($A$2,Lines!V6))-FIND($A$2,Lines!V6)-LEN($A$2)-1))</f>
        <v/>
      </c>
      <c r="W6" s="36" t="str">
        <f>IF(ISERROR(FIND($A$2,Lines!W6))=TRUE,"",MID(Lines!W6,FIND($A$2,Lines!W6)+LEN($A$2)+1,FIND(",",_xlfn.CONCAT(Lines!W6,","),FIND($A$2,Lines!W6))-FIND($A$2,Lines!W6)-LEN($A$2)-1))</f>
        <v/>
      </c>
      <c r="X6" s="30" t="str">
        <f>IF(ISERROR(FIND($A$2,Lines!X6))=TRUE,"",MID(Lines!X6,FIND($A$2,Lines!X6)+LEN($A$2)+1,FIND(",",_xlfn.CONCAT(Lines!X6,","),FIND($A$2,Lines!X6))-FIND($A$2,Lines!X6)-LEN($A$2)-1))</f>
        <v/>
      </c>
      <c r="Y6" s="30" t="str">
        <f>IF(ISERROR(FIND($A$2,Lines!Y6))=TRUE,"",MID(Lines!Y6,FIND($A$2,Lines!Y6)+LEN($A$2)+1,FIND(",",_xlfn.CONCAT(Lines!Y6,","),FIND($A$2,Lines!Y6))-FIND($A$2,Lines!Y6)-LEN($A$2)-1))</f>
        <v/>
      </c>
      <c r="Z6" s="30" t="str">
        <f>IF(ISERROR(FIND($A$2,Lines!Z6))=TRUE,"",MID(Lines!Z6,FIND($A$2,Lines!Z6)+LEN($A$2)+1,FIND(",",_xlfn.CONCAT(Lines!Z6,","),FIND($A$2,Lines!Z6))-FIND($A$2,Lines!Z6)-LEN($A$2)-1))</f>
        <v/>
      </c>
      <c r="AA6" s="30" t="str">
        <f>IF(ISERROR(FIND($A$2,Lines!AA6))=TRUE,"",MID(Lines!AA6,FIND($A$2,Lines!AA6)+LEN($A$2)+1,FIND(",",_xlfn.CONCAT(Lines!AA6,","),FIND($A$2,Lines!AA6))-FIND($A$2,Lines!AA6)-LEN($A$2)-1))</f>
        <v/>
      </c>
      <c r="AB6" s="30" t="str">
        <f>IF(ISERROR(FIND($A$2,Lines!AB6))=TRUE,"",MID(Lines!AB6,FIND($A$2,Lines!AB6)+LEN($A$2)+1,FIND(",",_xlfn.CONCAT(Lines!AB6,","),FIND($A$2,Lines!AB6))-FIND($A$2,Lines!AB6)-LEN($A$2)-1))</f>
        <v/>
      </c>
      <c r="AC6" s="30" t="str">
        <f>IF(ISERROR(FIND($A$2,Lines!AC6))=TRUE,"",MID(Lines!AC6,FIND($A$2,Lines!AC6)+LEN($A$2)+1,FIND(",",_xlfn.CONCAT(Lines!AC6,","),FIND($A$2,Lines!AC6))-FIND($A$2,Lines!AC6)-LEN($A$2)-1))</f>
        <v/>
      </c>
      <c r="AD6" s="30" t="str">
        <f>IF(ISERROR(FIND($A$2,Lines!AD6))=TRUE,"",MID(Lines!AD6,FIND($A$2,Lines!AD6)+LEN($A$2)+1,FIND(",",_xlfn.CONCAT(Lines!AD6,","),FIND($A$2,Lines!AD6))-FIND($A$2,Lines!AD6)-LEN($A$2)-1))</f>
        <v/>
      </c>
      <c r="AE6" s="30" t="str">
        <f>IF(ISERROR(FIND($A$2,Lines!AE6))=TRUE,"",MID(Lines!AE6,FIND($A$2,Lines!AE6)+LEN($A$2)+1,FIND(",",_xlfn.CONCAT(Lines!AE6,","),FIND($A$2,Lines!AE6))-FIND($A$2,Lines!AE6)-LEN($A$2)-1))</f>
        <v/>
      </c>
      <c r="AF6" s="30" t="str">
        <f>IF(ISERROR(FIND($A$2,Lines!AF6))=TRUE,"",MID(Lines!AF6,FIND($A$2,Lines!AF6)+LEN($A$2)+1,FIND(",",_xlfn.CONCAT(Lines!AF6,","),FIND($A$2,Lines!AF6))-FIND($A$2,Lines!AF6)-LEN($A$2)-1))</f>
        <v/>
      </c>
      <c r="AG6" s="30" t="str">
        <f>IF(ISERROR(FIND($A$2,Lines!AG6))=TRUE,"",MID(Lines!AG6,FIND($A$2,Lines!AG6)+LEN($A$2)+1,FIND(",",_xlfn.CONCAT(Lines!AG6,","),FIND($A$2,Lines!AG6))-FIND($A$2,Lines!AG6)-LEN($A$2)-1))</f>
        <v/>
      </c>
      <c r="AH6" s="30" t="str">
        <f>IF(ISERROR(FIND($A$2,Lines!AH6))=TRUE,"",MID(Lines!AH6,FIND($A$2,Lines!AH6)+LEN($A$2)+1,FIND(",",_xlfn.CONCAT(Lines!AH6,","),FIND($A$2,Lines!AH6))-FIND($A$2,Lines!AH6)-LEN($A$2)-1))</f>
        <v/>
      </c>
      <c r="AI6" s="30" t="str">
        <f>IF(ISERROR(FIND($A$2,Lines!AI6))=TRUE,"",MID(Lines!AI6,FIND($A$2,Lines!AI6)+LEN($A$2)+1,FIND(",",_xlfn.CONCAT(Lines!AI6,","),FIND($A$2,Lines!AI6))-FIND($A$2,Lines!AI6)-LEN($A$2)-1))</f>
        <v/>
      </c>
      <c r="AJ6" s="30" t="str">
        <f>IF(ISERROR(FIND($A$2,Lines!AJ6))=TRUE,"",MID(Lines!AJ6,FIND($A$2,Lines!AJ6)+LEN($A$2)+1,FIND(",",_xlfn.CONCAT(Lines!AJ6,","),FIND($A$2,Lines!AJ6))-FIND($A$2,Lines!AJ6)-LEN($A$2)-1))</f>
        <v/>
      </c>
      <c r="AK6" s="30" t="str">
        <f>IF(ISERROR(FIND($A$2,Lines!AK6))=TRUE,"",MID(Lines!AK6,FIND($A$2,Lines!AK6)+LEN($A$2)+1,FIND(",",_xlfn.CONCAT(Lines!AK6,","),FIND($A$2,Lines!AK6))-FIND($A$2,Lines!AK6)-LEN($A$2)-1))</f>
        <v/>
      </c>
      <c r="AL6" s="30" t="str">
        <f>IF(ISERROR(FIND($A$2,Lines!AL6))=TRUE,"",MID(Lines!AL6,FIND($A$2,Lines!AL6)+LEN($A$2)+1,FIND(",",_xlfn.CONCAT(Lines!AL6,","),FIND($A$2,Lines!AL6))-FIND($A$2,Lines!AL6)-LEN($A$2)-1))</f>
        <v/>
      </c>
      <c r="AM6" s="30" t="str">
        <f>IF(ISERROR(FIND($A$2,Lines!AM6))=TRUE,"",MID(Lines!AM6,FIND($A$2,Lines!AM6)+LEN($A$2)+1,FIND(",",_xlfn.CONCAT(Lines!AM6,","),FIND($A$2,Lines!AM6))-FIND($A$2,Lines!AM6)-LEN($A$2)-1))</f>
        <v/>
      </c>
      <c r="AN6" s="30" t="str">
        <f>IF(ISERROR(FIND($A$2,Lines!AN6))=TRUE,"",MID(Lines!AN6,FIND($A$2,Lines!AN6)+LEN($A$2)+1,FIND(",",_xlfn.CONCAT(Lines!AN6,","),FIND($A$2,Lines!AN6))-FIND($A$2,Lines!AN6)-LEN($A$2)-1))</f>
        <v/>
      </c>
      <c r="AO6" s="30" t="str">
        <f>IF(ISERROR(FIND($A$2,Lines!AO6))=TRUE,"",MID(Lines!AO6,FIND($A$2,Lines!AO6)+LEN($A$2)+1,FIND(",",_xlfn.CONCAT(Lines!AO6,","),FIND($A$2,Lines!AO6))-FIND($A$2,Lines!AO6)-LEN($A$2)-1))</f>
        <v/>
      </c>
      <c r="AP6" s="30" t="str">
        <f>IF(ISERROR(FIND($A$2,Lines!AP6))=TRUE,"",MID(Lines!AP6,FIND($A$2,Lines!AP6)+LEN($A$2)+1,FIND(",",_xlfn.CONCAT(Lines!AP6,","),FIND($A$2,Lines!AP6))-FIND($A$2,Lines!AP6)-LEN($A$2)-1))</f>
        <v/>
      </c>
      <c r="AQ6" s="30" t="str">
        <f>IF(ISERROR(FIND($A$2,Lines!AQ6))=TRUE,"",MID(Lines!AQ6,FIND($A$2,Lines!AQ6)+LEN($A$2)+1,FIND(",",_xlfn.CONCAT(Lines!AQ6,","),FIND($A$2,Lines!AQ6))-FIND($A$2,Lines!AQ6)-LEN($A$2)-1))</f>
        <v/>
      </c>
      <c r="AR6" s="30" t="str">
        <f>IF(ISERROR(FIND($A$2,Lines!AR6))=TRUE,"",MID(Lines!AR6,FIND($A$2,Lines!AR6)+LEN($A$2)+1,FIND(",",_xlfn.CONCAT(Lines!AR6,","),FIND($A$2,Lines!AR6))-FIND($A$2,Lines!AR6)-LEN($A$2)-1))</f>
        <v/>
      </c>
      <c r="AS6" s="30" t="str">
        <f>IF(ISERROR(FIND($A$2,Lines!AS6))=TRUE,"",MID(Lines!AS6,FIND($A$2,Lines!AS6)+LEN($A$2)+1,FIND(",",_xlfn.CONCAT(Lines!AS6,","),FIND($A$2,Lines!AS6))-FIND($A$2,Lines!AS6)-LEN($A$2)-1))</f>
        <v/>
      </c>
      <c r="AT6" s="30" t="str">
        <f>IF(ISERROR(FIND($A$2,Lines!AT6))=TRUE,"",MID(Lines!AT6,FIND($A$2,Lines!AT6)+LEN($A$2)+1,FIND(",",_xlfn.CONCAT(Lines!AT6,","),FIND($A$2,Lines!AT6))-FIND($A$2,Lines!AT6)-LEN($A$2)-1))</f>
        <v/>
      </c>
    </row>
    <row r="7" spans="1:46" ht="20.25" customHeight="1">
      <c r="A7" s="2" t="s">
        <v>58</v>
      </c>
      <c r="B7" s="26" t="str">
        <f>IF(ISERROR(FIND($A$2,Lines!B7))=TRUE,"",MID(Lines!B7,FIND($A$2,Lines!B7)+LEN($A$2)+1,FIND(",",_xlfn.CONCAT(Lines!B7,","),FIND($A$2,Lines!B7))-FIND($A$2,Lines!B7)-LEN($A$2)-1))</f>
        <v/>
      </c>
      <c r="C7" s="26" t="str">
        <f>IF(ISERROR(FIND($A$2,Lines!C7))=TRUE,"",MID(Lines!C7,FIND($A$2,Lines!C7)+LEN($A$2)+1,FIND(",",_xlfn.CONCAT(Lines!C7,","),FIND($A$2,Lines!C7))-FIND($A$2,Lines!C7)-LEN($A$2)-1))</f>
        <v/>
      </c>
      <c r="D7" s="26" t="str">
        <f>IF(ISERROR(FIND($A$2,Lines!D7))=TRUE,"",MID(Lines!D7,FIND($A$2,Lines!D7)+LEN($A$2)+1,FIND(",",_xlfn.CONCAT(Lines!D7,","),FIND($A$2,Lines!D7))-FIND($A$2,Lines!D7)-LEN($A$2)-1))</f>
        <v/>
      </c>
      <c r="E7" s="63" t="str">
        <f>IF(ISERROR(FIND($A$2,Lines!E7))=TRUE,"",MID(Lines!E7,FIND($A$2,Lines!E7)+LEN($A$2)+1,FIND(",",_xlfn.CONCAT(Lines!E7,","),FIND($A$2,Lines!E7))-FIND($A$2,Lines!E7)-LEN($A$2)-1))</f>
        <v/>
      </c>
      <c r="F7" s="26" t="str">
        <f>IF(ISERROR(FIND($A$2,Lines!F7))=TRUE,"",MID(Lines!F7,FIND($A$2,Lines!F7)+LEN($A$2)+1,FIND(",",_xlfn.CONCAT(Lines!F7,","),FIND($A$2,Lines!F7))-FIND($A$2,Lines!F7)-LEN($A$2)-1))</f>
        <v>2</v>
      </c>
      <c r="G7" s="26" t="str">
        <f>IF(ISERROR(FIND($A$2,Lines!G7))=TRUE,"",MID(Lines!G7,FIND($A$2,Lines!G7)+LEN($A$2)+1,FIND(",",_xlfn.CONCAT(Lines!G7,","),FIND($A$2,Lines!G7))-FIND($A$2,Lines!G7)-LEN($A$2)-1))</f>
        <v/>
      </c>
      <c r="H7" s="26" t="str">
        <f>IF(ISERROR(FIND($A$2,Lines!H7))=TRUE,"",MID(Lines!H7,FIND($A$2,Lines!H7)+LEN($A$2)+1,FIND(",",_xlfn.CONCAT(Lines!H7,","),FIND($A$2,Lines!H7))-FIND($A$2,Lines!H7)-LEN($A$2)-1))</f>
        <v>1</v>
      </c>
      <c r="I7" s="26" t="str">
        <f>IF(ISERROR(FIND($A$2,Lines!I7))=TRUE,"",MID(Lines!I7,FIND($A$2,Lines!I7)+LEN($A$2)+1,FIND(",",_xlfn.CONCAT(Lines!I7,","),FIND($A$2,Lines!I7))-FIND($A$2,Lines!I7)-LEN($A$2)-1))</f>
        <v>2</v>
      </c>
      <c r="J7" s="26" t="str">
        <f>IF(ISERROR(FIND($A$2,Lines!J7))=TRUE,"",MID(Lines!J7,FIND($A$2,Lines!J7)+LEN($A$2)+1,FIND(",",_xlfn.CONCAT(Lines!J7,","),FIND($A$2,Lines!J7))-FIND($A$2,Lines!J7)-LEN($A$2)-1))</f>
        <v/>
      </c>
      <c r="K7" s="26" t="str">
        <f>IF(ISERROR(FIND($A$2,Lines!K7))=TRUE,"",MID(Lines!K7,FIND($A$2,Lines!K7)+LEN($A$2)+1,FIND(",",_xlfn.CONCAT(Lines!K7,","),FIND($A$2,Lines!K7))-FIND($A$2,Lines!K7)-LEN($A$2)-1))</f>
        <v/>
      </c>
      <c r="L7" s="26" t="str">
        <f>IF(ISERROR(FIND($A$2,Lines!L7))=TRUE,"",MID(Lines!L7,FIND($A$2,Lines!L7)+LEN($A$2)+1,FIND(",",_xlfn.CONCAT(Lines!L7,","),FIND($A$2,Lines!L7))-FIND($A$2,Lines!L7)-LEN($A$2)-1))</f>
        <v/>
      </c>
      <c r="M7" s="27" t="str">
        <f>IF(ISERROR(FIND($A$2,Lines!M7))=TRUE,"",MID(Lines!M7,FIND($A$2,Lines!M7)+LEN($A$2)+1,FIND(",",_xlfn.CONCAT(Lines!M7,","),FIND($A$2,Lines!M7))-FIND($A$2,Lines!M7)-LEN($A$2)-1))</f>
        <v/>
      </c>
      <c r="N7" s="30" t="str">
        <f>IF(ISERROR(FIND($A$2,Lines!N7))=TRUE,"",MID(Lines!N7,FIND($A$2,Lines!N7)+LEN($A$2)+1,FIND(",",_xlfn.CONCAT(Lines!N7,","),FIND($A$2,Lines!N7))-FIND($A$2,Lines!N7)-LEN($A$2)-1))</f>
        <v/>
      </c>
      <c r="O7" s="30" t="str">
        <f>IF(ISERROR(FIND($A$2,Lines!O7))=TRUE,"",MID(Lines!O7,FIND($A$2,Lines!O7)+LEN($A$2)+1,FIND(",",_xlfn.CONCAT(Lines!O7,","),FIND($A$2,Lines!O7))-FIND($A$2,Lines!O7)-LEN($A$2)-1))</f>
        <v/>
      </c>
      <c r="P7" s="30" t="str">
        <f>IF(ISERROR(FIND($A$2,Lines!P7))=TRUE,"",MID(Lines!P7,FIND($A$2,Lines!P7)+LEN($A$2)+1,FIND(",",_xlfn.CONCAT(Lines!P7,","),FIND($A$2,Lines!P7))-FIND($A$2,Lines!P7)-LEN($A$2)-1))</f>
        <v/>
      </c>
      <c r="Q7" s="30" t="str">
        <f>IF(ISERROR(FIND($A$2,Lines!Q7))=TRUE,"",MID(Lines!Q7,FIND($A$2,Lines!Q7)+LEN($A$2)+1,FIND(",",_xlfn.CONCAT(Lines!Q7,","),FIND($A$2,Lines!Q7))-FIND($A$2,Lines!Q7)-LEN($A$2)-1))</f>
        <v/>
      </c>
      <c r="R7" s="30" t="str">
        <f>IF(ISERROR(FIND($A$2,Lines!R7))=TRUE,"",MID(Lines!R7,FIND($A$2,Lines!R7)+LEN($A$2)+1,FIND(",",_xlfn.CONCAT(Lines!R7,","),FIND($A$2,Lines!R7))-FIND($A$2,Lines!R7)-LEN($A$2)-1))</f>
        <v/>
      </c>
      <c r="S7" s="30" t="str">
        <f>IF(ISERROR(FIND($A$2,Lines!S7))=TRUE,"",MID(Lines!S7,FIND($A$2,Lines!S7)+LEN($A$2)+1,FIND(",",_xlfn.CONCAT(Lines!S7,","),FIND($A$2,Lines!S7))-FIND($A$2,Lines!S7)-LEN($A$2)-1))</f>
        <v/>
      </c>
      <c r="T7" s="30" t="str">
        <f>IF(ISERROR(FIND($A$2,Lines!T7))=TRUE,"",MID(Lines!T7,FIND($A$2,Lines!T7)+LEN($A$2)+1,FIND(",",_xlfn.CONCAT(Lines!T7,","),FIND($A$2,Lines!T7))-FIND($A$2,Lines!T7)-LEN($A$2)-1))</f>
        <v/>
      </c>
      <c r="U7" s="30" t="str">
        <f>IF(ISERROR(FIND($A$2,Lines!U7))=TRUE,"",MID(Lines!U7,FIND($A$2,Lines!U7)+LEN($A$2)+1,FIND(",",_xlfn.CONCAT(Lines!U7,","),FIND($A$2,Lines!U7))-FIND($A$2,Lines!U7)-LEN($A$2)-1))</f>
        <v/>
      </c>
      <c r="V7" s="30" t="str">
        <f>IF(ISERROR(FIND($A$2,Lines!V7))=TRUE,"",MID(Lines!V7,FIND($A$2,Lines!V7)+LEN($A$2)+1,FIND(",",_xlfn.CONCAT(Lines!V7,","),FIND($A$2,Lines!V7))-FIND($A$2,Lines!V7)-LEN($A$2)-1))</f>
        <v/>
      </c>
      <c r="W7" s="36" t="str">
        <f>IF(ISERROR(FIND($A$2,Lines!W7))=TRUE,"",MID(Lines!W7,FIND($A$2,Lines!W7)+LEN($A$2)+1,FIND(",",_xlfn.CONCAT(Lines!W7,","),FIND($A$2,Lines!W7))-FIND($A$2,Lines!W7)-LEN($A$2)-1))</f>
        <v/>
      </c>
      <c r="X7" s="30" t="str">
        <f>IF(ISERROR(FIND($A$2,Lines!X7))=TRUE,"",MID(Lines!X7,FIND($A$2,Lines!X7)+LEN($A$2)+1,FIND(",",_xlfn.CONCAT(Lines!X7,","),FIND($A$2,Lines!X7))-FIND($A$2,Lines!X7)-LEN($A$2)-1))</f>
        <v/>
      </c>
      <c r="Y7" s="30" t="str">
        <f>IF(ISERROR(FIND($A$2,Lines!Y7))=TRUE,"",MID(Lines!Y7,FIND($A$2,Lines!Y7)+LEN($A$2)+1,FIND(",",_xlfn.CONCAT(Lines!Y7,","),FIND($A$2,Lines!Y7))-FIND($A$2,Lines!Y7)-LEN($A$2)-1))</f>
        <v/>
      </c>
      <c r="Z7" s="30" t="str">
        <f>IF(ISERROR(FIND($A$2,Lines!Z7))=TRUE,"",MID(Lines!Z7,FIND($A$2,Lines!Z7)+LEN($A$2)+1,FIND(",",_xlfn.CONCAT(Lines!Z7,","),FIND($A$2,Lines!Z7))-FIND($A$2,Lines!Z7)-LEN($A$2)-1))</f>
        <v/>
      </c>
      <c r="AA7" s="30" t="str">
        <f>IF(ISERROR(FIND($A$2,Lines!AA7))=TRUE,"",MID(Lines!AA7,FIND($A$2,Lines!AA7)+LEN($A$2)+1,FIND(",",_xlfn.CONCAT(Lines!AA7,","),FIND($A$2,Lines!AA7))-FIND($A$2,Lines!AA7)-LEN($A$2)-1))</f>
        <v/>
      </c>
      <c r="AB7" s="30" t="str">
        <f>IF(ISERROR(FIND($A$2,Lines!AB7))=TRUE,"",MID(Lines!AB7,FIND($A$2,Lines!AB7)+LEN($A$2)+1,FIND(",",_xlfn.CONCAT(Lines!AB7,","),FIND($A$2,Lines!AB7))-FIND($A$2,Lines!AB7)-LEN($A$2)-1))</f>
        <v/>
      </c>
      <c r="AC7" s="30" t="str">
        <f>IF(ISERROR(FIND($A$2,Lines!AC7))=TRUE,"",MID(Lines!AC7,FIND($A$2,Lines!AC7)+LEN($A$2)+1,FIND(",",_xlfn.CONCAT(Lines!AC7,","),FIND($A$2,Lines!AC7))-FIND($A$2,Lines!AC7)-LEN($A$2)-1))</f>
        <v/>
      </c>
      <c r="AD7" s="30" t="str">
        <f>IF(ISERROR(FIND($A$2,Lines!AD7))=TRUE,"",MID(Lines!AD7,FIND($A$2,Lines!AD7)+LEN($A$2)+1,FIND(",",_xlfn.CONCAT(Lines!AD7,","),FIND($A$2,Lines!AD7))-FIND($A$2,Lines!AD7)-LEN($A$2)-1))</f>
        <v/>
      </c>
      <c r="AE7" s="30" t="str">
        <f>IF(ISERROR(FIND($A$2,Lines!AE7))=TRUE,"",MID(Lines!AE7,FIND($A$2,Lines!AE7)+LEN($A$2)+1,FIND(",",_xlfn.CONCAT(Lines!AE7,","),FIND($A$2,Lines!AE7))-FIND($A$2,Lines!AE7)-LEN($A$2)-1))</f>
        <v/>
      </c>
      <c r="AF7" s="30" t="str">
        <f>IF(ISERROR(FIND($A$2,Lines!AF7))=TRUE,"",MID(Lines!AF7,FIND($A$2,Lines!AF7)+LEN($A$2)+1,FIND(",",_xlfn.CONCAT(Lines!AF7,","),FIND($A$2,Lines!AF7))-FIND($A$2,Lines!AF7)-LEN($A$2)-1))</f>
        <v/>
      </c>
      <c r="AG7" s="30" t="str">
        <f>IF(ISERROR(FIND($A$2,Lines!AG7))=TRUE,"",MID(Lines!AG7,FIND($A$2,Lines!AG7)+LEN($A$2)+1,FIND(",",_xlfn.CONCAT(Lines!AG7,","),FIND($A$2,Lines!AG7))-FIND($A$2,Lines!AG7)-LEN($A$2)-1))</f>
        <v/>
      </c>
      <c r="AH7" s="30" t="str">
        <f>IF(ISERROR(FIND($A$2,Lines!AH7))=TRUE,"",MID(Lines!AH7,FIND($A$2,Lines!AH7)+LEN($A$2)+1,FIND(",",_xlfn.CONCAT(Lines!AH7,","),FIND($A$2,Lines!AH7))-FIND($A$2,Lines!AH7)-LEN($A$2)-1))</f>
        <v/>
      </c>
      <c r="AI7" s="30" t="str">
        <f>IF(ISERROR(FIND($A$2,Lines!AI7))=TRUE,"",MID(Lines!AI7,FIND($A$2,Lines!AI7)+LEN($A$2)+1,FIND(",",_xlfn.CONCAT(Lines!AI7,","),FIND($A$2,Lines!AI7))-FIND($A$2,Lines!AI7)-LEN($A$2)-1))</f>
        <v/>
      </c>
      <c r="AJ7" s="30" t="str">
        <f>IF(ISERROR(FIND($A$2,Lines!AJ7))=TRUE,"",MID(Lines!AJ7,FIND($A$2,Lines!AJ7)+LEN($A$2)+1,FIND(",",_xlfn.CONCAT(Lines!AJ7,","),FIND($A$2,Lines!AJ7))-FIND($A$2,Lines!AJ7)-LEN($A$2)-1))</f>
        <v/>
      </c>
      <c r="AK7" s="30" t="str">
        <f>IF(ISERROR(FIND($A$2,Lines!AK7))=TRUE,"",MID(Lines!AK7,FIND($A$2,Lines!AK7)+LEN($A$2)+1,FIND(",",_xlfn.CONCAT(Lines!AK7,","),FIND($A$2,Lines!AK7))-FIND($A$2,Lines!AK7)-LEN($A$2)-1))</f>
        <v/>
      </c>
      <c r="AL7" s="30" t="str">
        <f>IF(ISERROR(FIND($A$2,Lines!AL7))=TRUE,"",MID(Lines!AL7,FIND($A$2,Lines!AL7)+LEN($A$2)+1,FIND(",",_xlfn.CONCAT(Lines!AL7,","),FIND($A$2,Lines!AL7))-FIND($A$2,Lines!AL7)-LEN($A$2)-1))</f>
        <v/>
      </c>
      <c r="AM7" s="30" t="str">
        <f>IF(ISERROR(FIND($A$2,Lines!AM7))=TRUE,"",MID(Lines!AM7,FIND($A$2,Lines!AM7)+LEN($A$2)+1,FIND(",",_xlfn.CONCAT(Lines!AM7,","),FIND($A$2,Lines!AM7))-FIND($A$2,Lines!AM7)-LEN($A$2)-1))</f>
        <v/>
      </c>
      <c r="AN7" s="30" t="str">
        <f>IF(ISERROR(FIND($A$2,Lines!AN7))=TRUE,"",MID(Lines!AN7,FIND($A$2,Lines!AN7)+LEN($A$2)+1,FIND(",",_xlfn.CONCAT(Lines!AN7,","),FIND($A$2,Lines!AN7))-FIND($A$2,Lines!AN7)-LEN($A$2)-1))</f>
        <v/>
      </c>
      <c r="AO7" s="30" t="str">
        <f>IF(ISERROR(FIND($A$2,Lines!AO7))=TRUE,"",MID(Lines!AO7,FIND($A$2,Lines!AO7)+LEN($A$2)+1,FIND(",",_xlfn.CONCAT(Lines!AO7,","),FIND($A$2,Lines!AO7))-FIND($A$2,Lines!AO7)-LEN($A$2)-1))</f>
        <v/>
      </c>
      <c r="AP7" s="30" t="str">
        <f>IF(ISERROR(FIND($A$2,Lines!AP7))=TRUE,"",MID(Lines!AP7,FIND($A$2,Lines!AP7)+LEN($A$2)+1,FIND(",",_xlfn.CONCAT(Lines!AP7,","),FIND($A$2,Lines!AP7))-FIND($A$2,Lines!AP7)-LEN($A$2)-1))</f>
        <v/>
      </c>
      <c r="AQ7" s="30" t="str">
        <f>IF(ISERROR(FIND($A$2,Lines!AQ7))=TRUE,"",MID(Lines!AQ7,FIND($A$2,Lines!AQ7)+LEN($A$2)+1,FIND(",",_xlfn.CONCAT(Lines!AQ7,","),FIND($A$2,Lines!AQ7))-FIND($A$2,Lines!AQ7)-LEN($A$2)-1))</f>
        <v/>
      </c>
      <c r="AR7" s="30" t="str">
        <f>IF(ISERROR(FIND($A$2,Lines!AR7))=TRUE,"",MID(Lines!AR7,FIND($A$2,Lines!AR7)+LEN($A$2)+1,FIND(",",_xlfn.CONCAT(Lines!AR7,","),FIND($A$2,Lines!AR7))-FIND($A$2,Lines!AR7)-LEN($A$2)-1))</f>
        <v/>
      </c>
      <c r="AS7" s="30" t="str">
        <f>IF(ISERROR(FIND($A$2,Lines!AS7))=TRUE,"",MID(Lines!AS7,FIND($A$2,Lines!AS7)+LEN($A$2)+1,FIND(",",_xlfn.CONCAT(Lines!AS7,","),FIND($A$2,Lines!AS7))-FIND($A$2,Lines!AS7)-LEN($A$2)-1))</f>
        <v/>
      </c>
      <c r="AT7" s="30" t="str">
        <f>IF(ISERROR(FIND($A$2,Lines!AT7))=TRUE,"",MID(Lines!AT7,FIND($A$2,Lines!AT7)+LEN($A$2)+1,FIND(",",_xlfn.CONCAT(Lines!AT7,","),FIND($A$2,Lines!AT7))-FIND($A$2,Lines!AT7)-LEN($A$2)-1))</f>
        <v/>
      </c>
    </row>
    <row r="8" spans="1:46" ht="20.25" customHeight="1">
      <c r="A8" s="2" t="s">
        <v>59</v>
      </c>
      <c r="B8" s="26" t="str">
        <f>IF(ISERROR(FIND($A$2,Lines!B8))=TRUE,"",MID(Lines!B8,FIND($A$2,Lines!B8)+LEN($A$2)+1,FIND(",",_xlfn.CONCAT(Lines!B8,","),FIND($A$2,Lines!B8))-FIND($A$2,Lines!B8)-LEN($A$2)-1))</f>
        <v/>
      </c>
      <c r="C8" s="26" t="str">
        <f>IF(ISERROR(FIND($A$2,Lines!C8))=TRUE,"",MID(Lines!C8,FIND($A$2,Lines!C8)+LEN($A$2)+1,FIND(",",_xlfn.CONCAT(Lines!C8,","),FIND($A$2,Lines!C8))-FIND($A$2,Lines!C8)-LEN($A$2)-1))</f>
        <v>3</v>
      </c>
      <c r="D8" s="26" t="str">
        <f>IF(ISERROR(FIND($A$2,Lines!D8))=TRUE,"",MID(Lines!D8,FIND($A$2,Lines!D8)+LEN($A$2)+1,FIND(",",_xlfn.CONCAT(Lines!D8,","),FIND($A$2,Lines!D8))-FIND($A$2,Lines!D8)-LEN($A$2)-1))</f>
        <v/>
      </c>
      <c r="E8" s="26" t="str">
        <f>IF(ISERROR(FIND($A$2,Lines!E8))=TRUE,"",MID(Lines!E8,FIND($A$2,Lines!E8)+LEN($A$2)+1,FIND(",",_xlfn.CONCAT(Lines!E8,","),FIND($A$2,Lines!E8))-FIND($A$2,Lines!E8)-LEN($A$2)-1))</f>
        <v>2</v>
      </c>
      <c r="F8" s="63" t="str">
        <f>IF(ISERROR(FIND($A$2,Lines!F8))=TRUE,"",MID(Lines!F8,FIND($A$2,Lines!F8)+LEN($A$2)+1,FIND(",",_xlfn.CONCAT(Lines!F8,","),FIND($A$2,Lines!F8))-FIND($A$2,Lines!F8)-LEN($A$2)-1))</f>
        <v/>
      </c>
      <c r="G8" s="26" t="str">
        <f>IF(ISERROR(FIND($A$2,Lines!G8))=TRUE,"",MID(Lines!G8,FIND($A$2,Lines!G8)+LEN($A$2)+1,FIND(",",_xlfn.CONCAT(Lines!G8,","),FIND($A$2,Lines!G8))-FIND($A$2,Lines!G8)-LEN($A$2)-1))</f>
        <v/>
      </c>
      <c r="H8" s="26" t="str">
        <f>IF(ISERROR(FIND($A$2,Lines!H8))=TRUE,"",MID(Lines!H8,FIND($A$2,Lines!H8)+LEN($A$2)+1,FIND(",",_xlfn.CONCAT(Lines!H8,","),FIND($A$2,Lines!H8))-FIND($A$2,Lines!H8)-LEN($A$2)-1))</f>
        <v>1</v>
      </c>
      <c r="I8" s="26" t="str">
        <f>IF(ISERROR(FIND($A$2,Lines!I8))=TRUE,"",MID(Lines!I8,FIND($A$2,Lines!I8)+LEN($A$2)+1,FIND(",",_xlfn.CONCAT(Lines!I8,","),FIND($A$2,Lines!I8))-FIND($A$2,Lines!I8)-LEN($A$2)-1))</f>
        <v/>
      </c>
      <c r="J8" s="26" t="str">
        <f>IF(ISERROR(FIND($A$2,Lines!J8))=TRUE,"",MID(Lines!J8,FIND($A$2,Lines!J8)+LEN($A$2)+1,FIND(",",_xlfn.CONCAT(Lines!J8,","),FIND($A$2,Lines!J8))-FIND($A$2,Lines!J8)-LEN($A$2)-1))</f>
        <v/>
      </c>
      <c r="K8" s="26" t="str">
        <f>IF(ISERROR(FIND($A$2,Lines!K8))=TRUE,"",MID(Lines!K8,FIND($A$2,Lines!K8)+LEN($A$2)+1,FIND(",",_xlfn.CONCAT(Lines!K8,","),FIND($A$2,Lines!K8))-FIND($A$2,Lines!K8)-LEN($A$2)-1))</f>
        <v/>
      </c>
      <c r="L8" s="26" t="str">
        <f>IF(ISERROR(FIND($A$2,Lines!L8))=TRUE,"",MID(Lines!L8,FIND($A$2,Lines!L8)+LEN($A$2)+1,FIND(",",_xlfn.CONCAT(Lines!L8,","),FIND($A$2,Lines!L8))-FIND($A$2,Lines!L8)-LEN($A$2)-1))</f>
        <v/>
      </c>
      <c r="M8" s="27" t="str">
        <f>IF(ISERROR(FIND($A$2,Lines!M8))=TRUE,"",MID(Lines!M8,FIND($A$2,Lines!M8)+LEN($A$2)+1,FIND(",",_xlfn.CONCAT(Lines!M8,","),FIND($A$2,Lines!M8))-FIND($A$2,Lines!M8)-LEN($A$2)-1))</f>
        <v/>
      </c>
      <c r="N8" s="30" t="str">
        <f>IF(ISERROR(FIND($A$2,Lines!N8))=TRUE,"",MID(Lines!N8,FIND($A$2,Lines!N8)+LEN($A$2)+1,FIND(",",_xlfn.CONCAT(Lines!N8,","),FIND($A$2,Lines!N8))-FIND($A$2,Lines!N8)-LEN($A$2)-1))</f>
        <v/>
      </c>
      <c r="O8" s="30" t="str">
        <f>IF(ISERROR(FIND($A$2,Lines!O8))=TRUE,"",MID(Lines!O8,FIND($A$2,Lines!O8)+LEN($A$2)+1,FIND(",",_xlfn.CONCAT(Lines!O8,","),FIND($A$2,Lines!O8))-FIND($A$2,Lines!O8)-LEN($A$2)-1))</f>
        <v/>
      </c>
      <c r="P8" s="30" t="str">
        <f>IF(ISERROR(FIND($A$2,Lines!P8))=TRUE,"",MID(Lines!P8,FIND($A$2,Lines!P8)+LEN($A$2)+1,FIND(",",_xlfn.CONCAT(Lines!P8,","),FIND($A$2,Lines!P8))-FIND($A$2,Lines!P8)-LEN($A$2)-1))</f>
        <v/>
      </c>
      <c r="Q8" s="30" t="str">
        <f>IF(ISERROR(FIND($A$2,Lines!Q8))=TRUE,"",MID(Lines!Q8,FIND($A$2,Lines!Q8)+LEN($A$2)+1,FIND(",",_xlfn.CONCAT(Lines!Q8,","),FIND($A$2,Lines!Q8))-FIND($A$2,Lines!Q8)-LEN($A$2)-1))</f>
        <v/>
      </c>
      <c r="R8" s="30" t="str">
        <f>IF(ISERROR(FIND($A$2,Lines!R8))=TRUE,"",MID(Lines!R8,FIND($A$2,Lines!R8)+LEN($A$2)+1,FIND(",",_xlfn.CONCAT(Lines!R8,","),FIND($A$2,Lines!R8))-FIND($A$2,Lines!R8)-LEN($A$2)-1))</f>
        <v/>
      </c>
      <c r="S8" s="30" t="str">
        <f>IF(ISERROR(FIND($A$2,Lines!S8))=TRUE,"",MID(Lines!S8,FIND($A$2,Lines!S8)+LEN($A$2)+1,FIND(",",_xlfn.CONCAT(Lines!S8,","),FIND($A$2,Lines!S8))-FIND($A$2,Lines!S8)-LEN($A$2)-1))</f>
        <v/>
      </c>
      <c r="T8" s="30" t="str">
        <f>IF(ISERROR(FIND($A$2,Lines!T8))=TRUE,"",MID(Lines!T8,FIND($A$2,Lines!T8)+LEN($A$2)+1,FIND(",",_xlfn.CONCAT(Lines!T8,","),FIND($A$2,Lines!T8))-FIND($A$2,Lines!T8)-LEN($A$2)-1))</f>
        <v/>
      </c>
      <c r="U8" s="30" t="str">
        <f>IF(ISERROR(FIND($A$2,Lines!U8))=TRUE,"",MID(Lines!U8,FIND($A$2,Lines!U8)+LEN($A$2)+1,FIND(",",_xlfn.CONCAT(Lines!U8,","),FIND($A$2,Lines!U8))-FIND($A$2,Lines!U8)-LEN($A$2)-1))</f>
        <v/>
      </c>
      <c r="V8" s="30" t="str">
        <f>IF(ISERROR(FIND($A$2,Lines!V8))=TRUE,"",MID(Lines!V8,FIND($A$2,Lines!V8)+LEN($A$2)+1,FIND(",",_xlfn.CONCAT(Lines!V8,","),FIND($A$2,Lines!V8))-FIND($A$2,Lines!V8)-LEN($A$2)-1))</f>
        <v/>
      </c>
      <c r="W8" s="36" t="str">
        <f>IF(ISERROR(FIND($A$2,Lines!W8))=TRUE,"",MID(Lines!W8,FIND($A$2,Lines!W8)+LEN($A$2)+1,FIND(",",_xlfn.CONCAT(Lines!W8,","),FIND($A$2,Lines!W8))-FIND($A$2,Lines!W8)-LEN($A$2)-1))</f>
        <v/>
      </c>
      <c r="X8" s="30" t="str">
        <f>IF(ISERROR(FIND($A$2,Lines!X8))=TRUE,"",MID(Lines!X8,FIND($A$2,Lines!X8)+LEN($A$2)+1,FIND(",",_xlfn.CONCAT(Lines!X8,","),FIND($A$2,Lines!X8))-FIND($A$2,Lines!X8)-LEN($A$2)-1))</f>
        <v/>
      </c>
      <c r="Y8" s="30" t="str">
        <f>IF(ISERROR(FIND($A$2,Lines!Y8))=TRUE,"",MID(Lines!Y8,FIND($A$2,Lines!Y8)+LEN($A$2)+1,FIND(",",_xlfn.CONCAT(Lines!Y8,","),FIND($A$2,Lines!Y8))-FIND($A$2,Lines!Y8)-LEN($A$2)-1))</f>
        <v/>
      </c>
      <c r="Z8" s="30" t="str">
        <f>IF(ISERROR(FIND($A$2,Lines!Z8))=TRUE,"",MID(Lines!Z8,FIND($A$2,Lines!Z8)+LEN($A$2)+1,FIND(",",_xlfn.CONCAT(Lines!Z8,","),FIND($A$2,Lines!Z8))-FIND($A$2,Lines!Z8)-LEN($A$2)-1))</f>
        <v/>
      </c>
      <c r="AA8" s="30" t="str">
        <f>IF(ISERROR(FIND($A$2,Lines!AA8))=TRUE,"",MID(Lines!AA8,FIND($A$2,Lines!AA8)+LEN($A$2)+1,FIND(",",_xlfn.CONCAT(Lines!AA8,","),FIND($A$2,Lines!AA8))-FIND($A$2,Lines!AA8)-LEN($A$2)-1))</f>
        <v/>
      </c>
      <c r="AB8" s="30" t="str">
        <f>IF(ISERROR(FIND($A$2,Lines!AB8))=TRUE,"",MID(Lines!AB8,FIND($A$2,Lines!AB8)+LEN($A$2)+1,FIND(",",_xlfn.CONCAT(Lines!AB8,","),FIND($A$2,Lines!AB8))-FIND($A$2,Lines!AB8)-LEN($A$2)-1))</f>
        <v/>
      </c>
      <c r="AC8" s="30" t="str">
        <f>IF(ISERROR(FIND($A$2,Lines!AC8))=TRUE,"",MID(Lines!AC8,FIND($A$2,Lines!AC8)+LEN($A$2)+1,FIND(",",_xlfn.CONCAT(Lines!AC8,","),FIND($A$2,Lines!AC8))-FIND($A$2,Lines!AC8)-LEN($A$2)-1))</f>
        <v/>
      </c>
      <c r="AD8" s="30" t="str">
        <f>IF(ISERROR(FIND($A$2,Lines!AD8))=TRUE,"",MID(Lines!AD8,FIND($A$2,Lines!AD8)+LEN($A$2)+1,FIND(",",_xlfn.CONCAT(Lines!AD8,","),FIND($A$2,Lines!AD8))-FIND($A$2,Lines!AD8)-LEN($A$2)-1))</f>
        <v/>
      </c>
      <c r="AE8" s="30" t="str">
        <f>IF(ISERROR(FIND($A$2,Lines!AE8))=TRUE,"",MID(Lines!AE8,FIND($A$2,Lines!AE8)+LEN($A$2)+1,FIND(",",_xlfn.CONCAT(Lines!AE8,","),FIND($A$2,Lines!AE8))-FIND($A$2,Lines!AE8)-LEN($A$2)-1))</f>
        <v/>
      </c>
      <c r="AF8" s="30" t="str">
        <f>IF(ISERROR(FIND($A$2,Lines!AF8))=TRUE,"",MID(Lines!AF8,FIND($A$2,Lines!AF8)+LEN($A$2)+1,FIND(",",_xlfn.CONCAT(Lines!AF8,","),FIND($A$2,Lines!AF8))-FIND($A$2,Lines!AF8)-LEN($A$2)-1))</f>
        <v/>
      </c>
      <c r="AG8" s="30" t="str">
        <f>IF(ISERROR(FIND($A$2,Lines!AG8))=TRUE,"",MID(Lines!AG8,FIND($A$2,Lines!AG8)+LEN($A$2)+1,FIND(",",_xlfn.CONCAT(Lines!AG8,","),FIND($A$2,Lines!AG8))-FIND($A$2,Lines!AG8)-LEN($A$2)-1))</f>
        <v/>
      </c>
      <c r="AH8" s="30" t="str">
        <f>IF(ISERROR(FIND($A$2,Lines!AH8))=TRUE,"",MID(Lines!AH8,FIND($A$2,Lines!AH8)+LEN($A$2)+1,FIND(",",_xlfn.CONCAT(Lines!AH8,","),FIND($A$2,Lines!AH8))-FIND($A$2,Lines!AH8)-LEN($A$2)-1))</f>
        <v/>
      </c>
      <c r="AI8" s="30" t="str">
        <f>IF(ISERROR(FIND($A$2,Lines!AI8))=TRUE,"",MID(Lines!AI8,FIND($A$2,Lines!AI8)+LEN($A$2)+1,FIND(",",_xlfn.CONCAT(Lines!AI8,","),FIND($A$2,Lines!AI8))-FIND($A$2,Lines!AI8)-LEN($A$2)-1))</f>
        <v/>
      </c>
      <c r="AJ8" s="30" t="str">
        <f>IF(ISERROR(FIND($A$2,Lines!AJ8))=TRUE,"",MID(Lines!AJ8,FIND($A$2,Lines!AJ8)+LEN($A$2)+1,FIND(",",_xlfn.CONCAT(Lines!AJ8,","),FIND($A$2,Lines!AJ8))-FIND($A$2,Lines!AJ8)-LEN($A$2)-1))</f>
        <v/>
      </c>
      <c r="AK8" s="30" t="str">
        <f>IF(ISERROR(FIND($A$2,Lines!AK8))=TRUE,"",MID(Lines!AK8,FIND($A$2,Lines!AK8)+LEN($A$2)+1,FIND(",",_xlfn.CONCAT(Lines!AK8,","),FIND($A$2,Lines!AK8))-FIND($A$2,Lines!AK8)-LEN($A$2)-1))</f>
        <v/>
      </c>
      <c r="AL8" s="30" t="str">
        <f>IF(ISERROR(FIND($A$2,Lines!AL8))=TRUE,"",MID(Lines!AL8,FIND($A$2,Lines!AL8)+LEN($A$2)+1,FIND(",",_xlfn.CONCAT(Lines!AL8,","),FIND($A$2,Lines!AL8))-FIND($A$2,Lines!AL8)-LEN($A$2)-1))</f>
        <v/>
      </c>
      <c r="AM8" s="30" t="str">
        <f>IF(ISERROR(FIND($A$2,Lines!AM8))=TRUE,"",MID(Lines!AM8,FIND($A$2,Lines!AM8)+LEN($A$2)+1,FIND(",",_xlfn.CONCAT(Lines!AM8,","),FIND($A$2,Lines!AM8))-FIND($A$2,Lines!AM8)-LEN($A$2)-1))</f>
        <v/>
      </c>
      <c r="AN8" s="30" t="str">
        <f>IF(ISERROR(FIND($A$2,Lines!AN8))=TRUE,"",MID(Lines!AN8,FIND($A$2,Lines!AN8)+LEN($A$2)+1,FIND(",",_xlfn.CONCAT(Lines!AN8,","),FIND($A$2,Lines!AN8))-FIND($A$2,Lines!AN8)-LEN($A$2)-1))</f>
        <v/>
      </c>
      <c r="AO8" s="30" t="str">
        <f>IF(ISERROR(FIND($A$2,Lines!AO8))=TRUE,"",MID(Lines!AO8,FIND($A$2,Lines!AO8)+LEN($A$2)+1,FIND(",",_xlfn.CONCAT(Lines!AO8,","),FIND($A$2,Lines!AO8))-FIND($A$2,Lines!AO8)-LEN($A$2)-1))</f>
        <v/>
      </c>
      <c r="AP8" s="30" t="str">
        <f>IF(ISERROR(FIND($A$2,Lines!AP8))=TRUE,"",MID(Lines!AP8,FIND($A$2,Lines!AP8)+LEN($A$2)+1,FIND(",",_xlfn.CONCAT(Lines!AP8,","),FIND($A$2,Lines!AP8))-FIND($A$2,Lines!AP8)-LEN($A$2)-1))</f>
        <v/>
      </c>
      <c r="AQ8" s="30" t="str">
        <f>IF(ISERROR(FIND($A$2,Lines!AQ8))=TRUE,"",MID(Lines!AQ8,FIND($A$2,Lines!AQ8)+LEN($A$2)+1,FIND(",",_xlfn.CONCAT(Lines!AQ8,","),FIND($A$2,Lines!AQ8))-FIND($A$2,Lines!AQ8)-LEN($A$2)-1))</f>
        <v/>
      </c>
      <c r="AR8" s="30" t="str">
        <f>IF(ISERROR(FIND($A$2,Lines!AR8))=TRUE,"",MID(Lines!AR8,FIND($A$2,Lines!AR8)+LEN($A$2)+1,FIND(",",_xlfn.CONCAT(Lines!AR8,","),FIND($A$2,Lines!AR8))-FIND($A$2,Lines!AR8)-LEN($A$2)-1))</f>
        <v/>
      </c>
      <c r="AS8" s="30" t="str">
        <f>IF(ISERROR(FIND($A$2,Lines!AS8))=TRUE,"",MID(Lines!AS8,FIND($A$2,Lines!AS8)+LEN($A$2)+1,FIND(",",_xlfn.CONCAT(Lines!AS8,","),FIND($A$2,Lines!AS8))-FIND($A$2,Lines!AS8)-LEN($A$2)-1))</f>
        <v/>
      </c>
      <c r="AT8" s="30" t="str">
        <f>IF(ISERROR(FIND($A$2,Lines!AT8))=TRUE,"",MID(Lines!AT8,FIND($A$2,Lines!AT8)+LEN($A$2)+1,FIND(",",_xlfn.CONCAT(Lines!AT8,","),FIND($A$2,Lines!AT8))-FIND($A$2,Lines!AT8)-LEN($A$2)-1))</f>
        <v/>
      </c>
    </row>
    <row r="9" spans="1:46" ht="20.25" customHeight="1">
      <c r="A9" s="2" t="s">
        <v>60</v>
      </c>
      <c r="B9" s="26" t="str">
        <f>IF(ISERROR(FIND($A$2,Lines!B9))=TRUE,"",MID(Lines!B9,FIND($A$2,Lines!B9)+LEN($A$2)+1,FIND(",",_xlfn.CONCAT(Lines!B9,","),FIND($A$2,Lines!B9))-FIND($A$2,Lines!B9)-LEN($A$2)-1))</f>
        <v/>
      </c>
      <c r="C9" s="26" t="str">
        <f>IF(ISERROR(FIND($A$2,Lines!C9))=TRUE,"",MID(Lines!C9,FIND($A$2,Lines!C9)+LEN($A$2)+1,FIND(",",_xlfn.CONCAT(Lines!C9,","),FIND($A$2,Lines!C9))-FIND($A$2,Lines!C9)-LEN($A$2)-1))</f>
        <v/>
      </c>
      <c r="D9" s="26" t="str">
        <f>IF(ISERROR(FIND($A$2,Lines!D9))=TRUE,"",MID(Lines!D9,FIND($A$2,Lines!D9)+LEN($A$2)+1,FIND(",",_xlfn.CONCAT(Lines!D9,","),FIND($A$2,Lines!D9))-FIND($A$2,Lines!D9)-LEN($A$2)-1))</f>
        <v/>
      </c>
      <c r="E9" s="26" t="str">
        <f>IF(ISERROR(FIND($A$2,Lines!E9))=TRUE,"",MID(Lines!E9,FIND($A$2,Lines!E9)+LEN($A$2)+1,FIND(",",_xlfn.CONCAT(Lines!E9,","),FIND($A$2,Lines!E9))-FIND($A$2,Lines!E9)-LEN($A$2)-1))</f>
        <v/>
      </c>
      <c r="F9" s="26" t="str">
        <f>IF(ISERROR(FIND($A$2,Lines!F9))=TRUE,"",MID(Lines!F9,FIND($A$2,Lines!F9)+LEN($A$2)+1,FIND(",",_xlfn.CONCAT(Lines!F9,","),FIND($A$2,Lines!F9))-FIND($A$2,Lines!F9)-LEN($A$2)-1))</f>
        <v/>
      </c>
      <c r="G9" s="63" t="str">
        <f>IF(ISERROR(FIND($A$2,Lines!G9))=TRUE,"",MID(Lines!G9,FIND($A$2,Lines!G9)+LEN($A$2)+1,FIND(",",_xlfn.CONCAT(Lines!G9,","),FIND($A$2,Lines!G9))-FIND($A$2,Lines!G9)-LEN($A$2)-1))</f>
        <v/>
      </c>
      <c r="H9" s="26" t="str">
        <f>IF(ISERROR(FIND($A$2,Lines!H9))=TRUE,"",MID(Lines!H9,FIND($A$2,Lines!H9)+LEN($A$2)+1,FIND(",",_xlfn.CONCAT(Lines!H9,","),FIND($A$2,Lines!H9))-FIND($A$2,Lines!H9)-LEN($A$2)-1))</f>
        <v>3</v>
      </c>
      <c r="I9" s="26" t="str">
        <f>IF(ISERROR(FIND($A$2,Lines!I9))=TRUE,"",MID(Lines!I9,FIND($A$2,Lines!I9)+LEN($A$2)+1,FIND(",",_xlfn.CONCAT(Lines!I9,","),FIND($A$2,Lines!I9))-FIND($A$2,Lines!I9)-LEN($A$2)-1))</f>
        <v/>
      </c>
      <c r="J9" s="26" t="str">
        <f>IF(ISERROR(FIND($A$2,Lines!J9))=TRUE,"",MID(Lines!J9,FIND($A$2,Lines!J9)+LEN($A$2)+1,FIND(",",_xlfn.CONCAT(Lines!J9,","),FIND($A$2,Lines!J9))-FIND($A$2,Lines!J9)-LEN($A$2)-1))</f>
        <v/>
      </c>
      <c r="K9" s="26" t="str">
        <f>IF(ISERROR(FIND($A$2,Lines!K9))=TRUE,"",MID(Lines!K9,FIND($A$2,Lines!K9)+LEN($A$2)+1,FIND(",",_xlfn.CONCAT(Lines!K9,","),FIND($A$2,Lines!K9))-FIND($A$2,Lines!K9)-LEN($A$2)-1))</f>
        <v/>
      </c>
      <c r="L9" s="26" t="str">
        <f>IF(ISERROR(FIND($A$2,Lines!L9))=TRUE,"",MID(Lines!L9,FIND($A$2,Lines!L9)+LEN($A$2)+1,FIND(",",_xlfn.CONCAT(Lines!L9,","),FIND($A$2,Lines!L9))-FIND($A$2,Lines!L9)-LEN($A$2)-1))</f>
        <v/>
      </c>
      <c r="M9" s="27" t="str">
        <f>IF(ISERROR(FIND($A$2,Lines!M9))=TRUE,"",MID(Lines!M9,FIND($A$2,Lines!M9)+LEN($A$2)+1,FIND(",",_xlfn.CONCAT(Lines!M9,","),FIND($A$2,Lines!M9))-FIND($A$2,Lines!M9)-LEN($A$2)-1))</f>
        <v/>
      </c>
      <c r="N9" s="30" t="str">
        <f>IF(ISERROR(FIND($A$2,Lines!N9))=TRUE,"",MID(Lines!N9,FIND($A$2,Lines!N9)+LEN($A$2)+1,FIND(",",_xlfn.CONCAT(Lines!N9,","),FIND($A$2,Lines!N9))-FIND($A$2,Lines!N9)-LEN($A$2)-1))</f>
        <v/>
      </c>
      <c r="O9" s="30" t="str">
        <f>IF(ISERROR(FIND($A$2,Lines!O9))=TRUE,"",MID(Lines!O9,FIND($A$2,Lines!O9)+LEN($A$2)+1,FIND(",",_xlfn.CONCAT(Lines!O9,","),FIND($A$2,Lines!O9))-FIND($A$2,Lines!O9)-LEN($A$2)-1))</f>
        <v/>
      </c>
      <c r="P9" s="30" t="str">
        <f>IF(ISERROR(FIND($A$2,Lines!P9))=TRUE,"",MID(Lines!P9,FIND($A$2,Lines!P9)+LEN($A$2)+1,FIND(",",_xlfn.CONCAT(Lines!P9,","),FIND($A$2,Lines!P9))-FIND($A$2,Lines!P9)-LEN($A$2)-1))</f>
        <v/>
      </c>
      <c r="Q9" s="30" t="str">
        <f>IF(ISERROR(FIND($A$2,Lines!Q9))=TRUE,"",MID(Lines!Q9,FIND($A$2,Lines!Q9)+LEN($A$2)+1,FIND(",",_xlfn.CONCAT(Lines!Q9,","),FIND($A$2,Lines!Q9))-FIND($A$2,Lines!Q9)-LEN($A$2)-1))</f>
        <v/>
      </c>
      <c r="R9" s="30" t="str">
        <f>IF(ISERROR(FIND($A$2,Lines!R9))=TRUE,"",MID(Lines!R9,FIND($A$2,Lines!R9)+LEN($A$2)+1,FIND(",",_xlfn.CONCAT(Lines!R9,","),FIND($A$2,Lines!R9))-FIND($A$2,Lines!R9)-LEN($A$2)-1))</f>
        <v/>
      </c>
      <c r="S9" s="30" t="str">
        <f>IF(ISERROR(FIND($A$2,Lines!S9))=TRUE,"",MID(Lines!S9,FIND($A$2,Lines!S9)+LEN($A$2)+1,FIND(",",_xlfn.CONCAT(Lines!S9,","),FIND($A$2,Lines!S9))-FIND($A$2,Lines!S9)-LEN($A$2)-1))</f>
        <v/>
      </c>
      <c r="T9" s="30" t="str">
        <f>IF(ISERROR(FIND($A$2,Lines!T9))=TRUE,"",MID(Lines!T9,FIND($A$2,Lines!T9)+LEN($A$2)+1,FIND(",",_xlfn.CONCAT(Lines!T9,","),FIND($A$2,Lines!T9))-FIND($A$2,Lines!T9)-LEN($A$2)-1))</f>
        <v/>
      </c>
      <c r="U9" s="30" t="str">
        <f>IF(ISERROR(FIND($A$2,Lines!U9))=TRUE,"",MID(Lines!U9,FIND($A$2,Lines!U9)+LEN($A$2)+1,FIND(",",_xlfn.CONCAT(Lines!U9,","),FIND($A$2,Lines!U9))-FIND($A$2,Lines!U9)-LEN($A$2)-1))</f>
        <v/>
      </c>
      <c r="V9" s="30" t="str">
        <f>IF(ISERROR(FIND($A$2,Lines!V9))=TRUE,"",MID(Lines!V9,FIND($A$2,Lines!V9)+LEN($A$2)+1,FIND(",",_xlfn.CONCAT(Lines!V9,","),FIND($A$2,Lines!V9))-FIND($A$2,Lines!V9)-LEN($A$2)-1))</f>
        <v/>
      </c>
      <c r="W9" s="36" t="str">
        <f>IF(ISERROR(FIND($A$2,Lines!W9))=TRUE,"",MID(Lines!W9,FIND($A$2,Lines!W9)+LEN($A$2)+1,FIND(",",_xlfn.CONCAT(Lines!W9,","),FIND($A$2,Lines!W9))-FIND($A$2,Lines!W9)-LEN($A$2)-1))</f>
        <v/>
      </c>
      <c r="X9" s="30" t="str">
        <f>IF(ISERROR(FIND($A$2,Lines!X9))=TRUE,"",MID(Lines!X9,FIND($A$2,Lines!X9)+LEN($A$2)+1,FIND(",",_xlfn.CONCAT(Lines!X9,","),FIND($A$2,Lines!X9))-FIND($A$2,Lines!X9)-LEN($A$2)-1))</f>
        <v/>
      </c>
      <c r="Y9" s="30" t="str">
        <f>IF(ISERROR(FIND($A$2,Lines!Y9))=TRUE,"",MID(Lines!Y9,FIND($A$2,Lines!Y9)+LEN($A$2)+1,FIND(",",_xlfn.CONCAT(Lines!Y9,","),FIND($A$2,Lines!Y9))-FIND($A$2,Lines!Y9)-LEN($A$2)-1))</f>
        <v/>
      </c>
      <c r="Z9" s="30" t="str">
        <f>IF(ISERROR(FIND($A$2,Lines!Z9))=TRUE,"",MID(Lines!Z9,FIND($A$2,Lines!Z9)+LEN($A$2)+1,FIND(",",_xlfn.CONCAT(Lines!Z9,","),FIND($A$2,Lines!Z9))-FIND($A$2,Lines!Z9)-LEN($A$2)-1))</f>
        <v/>
      </c>
      <c r="AA9" s="30" t="str">
        <f>IF(ISERROR(FIND($A$2,Lines!AA9))=TRUE,"",MID(Lines!AA9,FIND($A$2,Lines!AA9)+LEN($A$2)+1,FIND(",",_xlfn.CONCAT(Lines!AA9,","),FIND($A$2,Lines!AA9))-FIND($A$2,Lines!AA9)-LEN($A$2)-1))</f>
        <v/>
      </c>
      <c r="AB9" s="30" t="str">
        <f>IF(ISERROR(FIND($A$2,Lines!AB9))=TRUE,"",MID(Lines!AB9,FIND($A$2,Lines!AB9)+LEN($A$2)+1,FIND(",",_xlfn.CONCAT(Lines!AB9,","),FIND($A$2,Lines!AB9))-FIND($A$2,Lines!AB9)-LEN($A$2)-1))</f>
        <v/>
      </c>
      <c r="AC9" s="30" t="str">
        <f>IF(ISERROR(FIND($A$2,Lines!AC9))=TRUE,"",MID(Lines!AC9,FIND($A$2,Lines!AC9)+LEN($A$2)+1,FIND(",",_xlfn.CONCAT(Lines!AC9,","),FIND($A$2,Lines!AC9))-FIND($A$2,Lines!AC9)-LEN($A$2)-1))</f>
        <v/>
      </c>
      <c r="AD9" s="30" t="str">
        <f>IF(ISERROR(FIND($A$2,Lines!AD9))=TRUE,"",MID(Lines!AD9,FIND($A$2,Lines!AD9)+LEN($A$2)+1,FIND(",",_xlfn.CONCAT(Lines!AD9,","),FIND($A$2,Lines!AD9))-FIND($A$2,Lines!AD9)-LEN($A$2)-1))</f>
        <v/>
      </c>
      <c r="AE9" s="30" t="str">
        <f>IF(ISERROR(FIND($A$2,Lines!AE9))=TRUE,"",MID(Lines!AE9,FIND($A$2,Lines!AE9)+LEN($A$2)+1,FIND(",",_xlfn.CONCAT(Lines!AE9,","),FIND($A$2,Lines!AE9))-FIND($A$2,Lines!AE9)-LEN($A$2)-1))</f>
        <v/>
      </c>
      <c r="AF9" s="30" t="str">
        <f>IF(ISERROR(FIND($A$2,Lines!AF9))=TRUE,"",MID(Lines!AF9,FIND($A$2,Lines!AF9)+LEN($A$2)+1,FIND(",",_xlfn.CONCAT(Lines!AF9,","),FIND($A$2,Lines!AF9))-FIND($A$2,Lines!AF9)-LEN($A$2)-1))</f>
        <v/>
      </c>
      <c r="AG9" s="30" t="str">
        <f>IF(ISERROR(FIND($A$2,Lines!AG9))=TRUE,"",MID(Lines!AG9,FIND($A$2,Lines!AG9)+LEN($A$2)+1,FIND(",",_xlfn.CONCAT(Lines!AG9,","),FIND($A$2,Lines!AG9))-FIND($A$2,Lines!AG9)-LEN($A$2)-1))</f>
        <v/>
      </c>
      <c r="AH9" s="30" t="str">
        <f>IF(ISERROR(FIND($A$2,Lines!AH9))=TRUE,"",MID(Lines!AH9,FIND($A$2,Lines!AH9)+LEN($A$2)+1,FIND(",",_xlfn.CONCAT(Lines!AH9,","),FIND($A$2,Lines!AH9))-FIND($A$2,Lines!AH9)-LEN($A$2)-1))</f>
        <v/>
      </c>
      <c r="AI9" s="30" t="str">
        <f>IF(ISERROR(FIND($A$2,Lines!AI9))=TRUE,"",MID(Lines!AI9,FIND($A$2,Lines!AI9)+LEN($A$2)+1,FIND(",",_xlfn.CONCAT(Lines!AI9,","),FIND($A$2,Lines!AI9))-FIND($A$2,Lines!AI9)-LEN($A$2)-1))</f>
        <v/>
      </c>
      <c r="AJ9" s="30" t="str">
        <f>IF(ISERROR(FIND($A$2,Lines!AJ9))=TRUE,"",MID(Lines!AJ9,FIND($A$2,Lines!AJ9)+LEN($A$2)+1,FIND(",",_xlfn.CONCAT(Lines!AJ9,","),FIND($A$2,Lines!AJ9))-FIND($A$2,Lines!AJ9)-LEN($A$2)-1))</f>
        <v/>
      </c>
      <c r="AK9" s="30" t="str">
        <f>IF(ISERROR(FIND($A$2,Lines!AK9))=TRUE,"",MID(Lines!AK9,FIND($A$2,Lines!AK9)+LEN($A$2)+1,FIND(",",_xlfn.CONCAT(Lines!AK9,","),FIND($A$2,Lines!AK9))-FIND($A$2,Lines!AK9)-LEN($A$2)-1))</f>
        <v/>
      </c>
      <c r="AL9" s="30" t="str">
        <f>IF(ISERROR(FIND($A$2,Lines!AL9))=TRUE,"",MID(Lines!AL9,FIND($A$2,Lines!AL9)+LEN($A$2)+1,FIND(",",_xlfn.CONCAT(Lines!AL9,","),FIND($A$2,Lines!AL9))-FIND($A$2,Lines!AL9)-LEN($A$2)-1))</f>
        <v/>
      </c>
      <c r="AM9" s="30" t="str">
        <f>IF(ISERROR(FIND($A$2,Lines!AM9))=TRUE,"",MID(Lines!AM9,FIND($A$2,Lines!AM9)+LEN($A$2)+1,FIND(",",_xlfn.CONCAT(Lines!AM9,","),FIND($A$2,Lines!AM9))-FIND($A$2,Lines!AM9)-LEN($A$2)-1))</f>
        <v/>
      </c>
      <c r="AN9" s="30" t="str">
        <f>IF(ISERROR(FIND($A$2,Lines!AN9))=TRUE,"",MID(Lines!AN9,FIND($A$2,Lines!AN9)+LEN($A$2)+1,FIND(",",_xlfn.CONCAT(Lines!AN9,","),FIND($A$2,Lines!AN9))-FIND($A$2,Lines!AN9)-LEN($A$2)-1))</f>
        <v/>
      </c>
      <c r="AO9" s="30" t="str">
        <f>IF(ISERROR(FIND($A$2,Lines!AO9))=TRUE,"",MID(Lines!AO9,FIND($A$2,Lines!AO9)+LEN($A$2)+1,FIND(",",_xlfn.CONCAT(Lines!AO9,","),FIND($A$2,Lines!AO9))-FIND($A$2,Lines!AO9)-LEN($A$2)-1))</f>
        <v/>
      </c>
      <c r="AP9" s="30" t="str">
        <f>IF(ISERROR(FIND($A$2,Lines!AP9))=TRUE,"",MID(Lines!AP9,FIND($A$2,Lines!AP9)+LEN($A$2)+1,FIND(",",_xlfn.CONCAT(Lines!AP9,","),FIND($A$2,Lines!AP9))-FIND($A$2,Lines!AP9)-LEN($A$2)-1))</f>
        <v/>
      </c>
      <c r="AQ9" s="30" t="str">
        <f>IF(ISERROR(FIND($A$2,Lines!AQ9))=TRUE,"",MID(Lines!AQ9,FIND($A$2,Lines!AQ9)+LEN($A$2)+1,FIND(",",_xlfn.CONCAT(Lines!AQ9,","),FIND($A$2,Lines!AQ9))-FIND($A$2,Lines!AQ9)-LEN($A$2)-1))</f>
        <v/>
      </c>
      <c r="AR9" s="30" t="str">
        <f>IF(ISERROR(FIND($A$2,Lines!AR9))=TRUE,"",MID(Lines!AR9,FIND($A$2,Lines!AR9)+LEN($A$2)+1,FIND(",",_xlfn.CONCAT(Lines!AR9,","),FIND($A$2,Lines!AR9))-FIND($A$2,Lines!AR9)-LEN($A$2)-1))</f>
        <v/>
      </c>
      <c r="AS9" s="30" t="str">
        <f>IF(ISERROR(FIND($A$2,Lines!AS9))=TRUE,"",MID(Lines!AS9,FIND($A$2,Lines!AS9)+LEN($A$2)+1,FIND(",",_xlfn.CONCAT(Lines!AS9,","),FIND($A$2,Lines!AS9))-FIND($A$2,Lines!AS9)-LEN($A$2)-1))</f>
        <v/>
      </c>
      <c r="AT9" s="30" t="str">
        <f>IF(ISERROR(FIND($A$2,Lines!AT9))=TRUE,"",MID(Lines!AT9,FIND($A$2,Lines!AT9)+LEN($A$2)+1,FIND(",",_xlfn.CONCAT(Lines!AT9,","),FIND($A$2,Lines!AT9))-FIND($A$2,Lines!AT9)-LEN($A$2)-1))</f>
        <v/>
      </c>
    </row>
    <row r="10" spans="1:46" ht="20.25" customHeight="1">
      <c r="A10" s="2" t="s">
        <v>61</v>
      </c>
      <c r="B10" s="26" t="str">
        <f>IF(ISERROR(FIND($A$2,Lines!B10))=TRUE,"",MID(Lines!B10,FIND($A$2,Lines!B10)+LEN($A$2)+1,FIND(",",_xlfn.CONCAT(Lines!B10,","),FIND($A$2,Lines!B10))-FIND($A$2,Lines!B10)-LEN($A$2)-1))</f>
        <v>3</v>
      </c>
      <c r="C10" s="26" t="str">
        <f>IF(ISERROR(FIND($A$2,Lines!C10))=TRUE,"",MID(Lines!C10,FIND($A$2,Lines!C10)+LEN($A$2)+1,FIND(",",_xlfn.CONCAT(Lines!C10,","),FIND($A$2,Lines!C10))-FIND($A$2,Lines!C10)-LEN($A$2)-1))</f>
        <v/>
      </c>
      <c r="D10" s="26" t="str">
        <f>IF(ISERROR(FIND($A$2,Lines!D10))=TRUE,"",MID(Lines!D10,FIND($A$2,Lines!D10)+LEN($A$2)+1,FIND(",",_xlfn.CONCAT(Lines!D10,","),FIND($A$2,Lines!D10))-FIND($A$2,Lines!D10)-LEN($A$2)-1))</f>
        <v/>
      </c>
      <c r="E10" s="26" t="str">
        <f>IF(ISERROR(FIND($A$2,Lines!E10))=TRUE,"",MID(Lines!E10,FIND($A$2,Lines!E10)+LEN($A$2)+1,FIND(",",_xlfn.CONCAT(Lines!E10,","),FIND($A$2,Lines!E10))-FIND($A$2,Lines!E10)-LEN($A$2)-1))</f>
        <v>1</v>
      </c>
      <c r="F10" s="26" t="str">
        <f>IF(ISERROR(FIND($A$2,Lines!F10))=TRUE,"",MID(Lines!F10,FIND($A$2,Lines!F10)+LEN($A$2)+1,FIND(",",_xlfn.CONCAT(Lines!F10,","),FIND($A$2,Lines!F10))-FIND($A$2,Lines!F10)-LEN($A$2)-1))</f>
        <v>1</v>
      </c>
      <c r="G10" s="26" t="str">
        <f>IF(ISERROR(FIND($A$2,Lines!G10))=TRUE,"",MID(Lines!G10,FIND($A$2,Lines!G10)+LEN($A$2)+1,FIND(",",_xlfn.CONCAT(Lines!G10,","),FIND($A$2,Lines!G10))-FIND($A$2,Lines!G10)-LEN($A$2)-1))</f>
        <v>3</v>
      </c>
      <c r="H10" s="63" t="str">
        <f>IF(ISERROR(FIND($A$2,Lines!H10))=TRUE,"",MID(Lines!H10,FIND($A$2,Lines!H10)+LEN($A$2)+1,FIND(",",_xlfn.CONCAT(Lines!H10,","),FIND($A$2,Lines!H10))-FIND($A$2,Lines!H10)-LEN($A$2)-1))</f>
        <v/>
      </c>
      <c r="I10" s="26" t="str">
        <f>IF(ISERROR(FIND($A$2,Lines!I10))=TRUE,"",MID(Lines!I10,FIND($A$2,Lines!I10)+LEN($A$2)+1,FIND(",",_xlfn.CONCAT(Lines!I10,","),FIND($A$2,Lines!I10))-FIND($A$2,Lines!I10)-LEN($A$2)-1))</f>
        <v>2</v>
      </c>
      <c r="J10" s="26" t="str">
        <f>IF(ISERROR(FIND($A$2,Lines!J10))=TRUE,"",MID(Lines!J10,FIND($A$2,Lines!J10)+LEN($A$2)+1,FIND(",",_xlfn.CONCAT(Lines!J10,","),FIND($A$2,Lines!J10))-FIND($A$2,Lines!J10)-LEN($A$2)-1))</f>
        <v/>
      </c>
      <c r="K10" s="26" t="str">
        <f>IF(ISERROR(FIND($A$2,Lines!K10))=TRUE,"",MID(Lines!K10,FIND($A$2,Lines!K10)+LEN($A$2)+1,FIND(",",_xlfn.CONCAT(Lines!K10,","),FIND($A$2,Lines!K10))-FIND($A$2,Lines!K10)-LEN($A$2)-1))</f>
        <v/>
      </c>
      <c r="L10" s="26" t="str">
        <f>IF(ISERROR(FIND($A$2,Lines!L10))=TRUE,"",MID(Lines!L10,FIND($A$2,Lines!L10)+LEN($A$2)+1,FIND(",",_xlfn.CONCAT(Lines!L10,","),FIND($A$2,Lines!L10))-FIND($A$2,Lines!L10)-LEN($A$2)-1))</f>
        <v/>
      </c>
      <c r="M10" s="27" t="str">
        <f>IF(ISERROR(FIND($A$2,Lines!M10))=TRUE,"",MID(Lines!M10,FIND($A$2,Lines!M10)+LEN($A$2)+1,FIND(",",_xlfn.CONCAT(Lines!M10,","),FIND($A$2,Lines!M10))-FIND($A$2,Lines!M10)-LEN($A$2)-1))</f>
        <v/>
      </c>
      <c r="N10" s="30" t="str">
        <f>IF(ISERROR(FIND($A$2,Lines!N10))=TRUE,"",MID(Lines!N10,FIND($A$2,Lines!N10)+LEN($A$2)+1,FIND(",",_xlfn.CONCAT(Lines!N10,","),FIND($A$2,Lines!N10))-FIND($A$2,Lines!N10)-LEN($A$2)-1))</f>
        <v/>
      </c>
      <c r="O10" s="30" t="str">
        <f>IF(ISERROR(FIND($A$2,Lines!O10))=TRUE,"",MID(Lines!O10,FIND($A$2,Lines!O10)+LEN($A$2)+1,FIND(",",_xlfn.CONCAT(Lines!O10,","),FIND($A$2,Lines!O10))-FIND($A$2,Lines!O10)-LEN($A$2)-1))</f>
        <v/>
      </c>
      <c r="P10" s="30" t="str">
        <f>IF(ISERROR(FIND($A$2,Lines!P10))=TRUE,"",MID(Lines!P10,FIND($A$2,Lines!P10)+LEN($A$2)+1,FIND(",",_xlfn.CONCAT(Lines!P10,","),FIND($A$2,Lines!P10))-FIND($A$2,Lines!P10)-LEN($A$2)-1))</f>
        <v/>
      </c>
      <c r="Q10" s="30" t="str">
        <f>IF(ISERROR(FIND($A$2,Lines!Q10))=TRUE,"",MID(Lines!Q10,FIND($A$2,Lines!Q10)+LEN($A$2)+1,FIND(",",_xlfn.CONCAT(Lines!Q10,","),FIND($A$2,Lines!Q10))-FIND($A$2,Lines!Q10)-LEN($A$2)-1))</f>
        <v/>
      </c>
      <c r="R10" s="30" t="str">
        <f>IF(ISERROR(FIND($A$2,Lines!R10))=TRUE,"",MID(Lines!R10,FIND($A$2,Lines!R10)+LEN($A$2)+1,FIND(",",_xlfn.CONCAT(Lines!R10,","),FIND($A$2,Lines!R10))-FIND($A$2,Lines!R10)-LEN($A$2)-1))</f>
        <v/>
      </c>
      <c r="S10" s="30" t="str">
        <f>IF(ISERROR(FIND($A$2,Lines!S10))=TRUE,"",MID(Lines!S10,FIND($A$2,Lines!S10)+LEN($A$2)+1,FIND(",",_xlfn.CONCAT(Lines!S10,","),FIND($A$2,Lines!S10))-FIND($A$2,Lines!S10)-LEN($A$2)-1))</f>
        <v/>
      </c>
      <c r="T10" s="30" t="str">
        <f>IF(ISERROR(FIND($A$2,Lines!T10))=TRUE,"",MID(Lines!T10,FIND($A$2,Lines!T10)+LEN($A$2)+1,FIND(",",_xlfn.CONCAT(Lines!T10,","),FIND($A$2,Lines!T10))-FIND($A$2,Lines!T10)-LEN($A$2)-1))</f>
        <v/>
      </c>
      <c r="U10" s="30" t="str">
        <f>IF(ISERROR(FIND($A$2,Lines!U10))=TRUE,"",MID(Lines!U10,FIND($A$2,Lines!U10)+LEN($A$2)+1,FIND(",",_xlfn.CONCAT(Lines!U10,","),FIND($A$2,Lines!U10))-FIND($A$2,Lines!U10)-LEN($A$2)-1))</f>
        <v/>
      </c>
      <c r="V10" s="30" t="str">
        <f>IF(ISERROR(FIND($A$2,Lines!V10))=TRUE,"",MID(Lines!V10,FIND($A$2,Lines!V10)+LEN($A$2)+1,FIND(",",_xlfn.CONCAT(Lines!V10,","),FIND($A$2,Lines!V10))-FIND($A$2,Lines!V10)-LEN($A$2)-1))</f>
        <v/>
      </c>
      <c r="W10" s="36" t="str">
        <f>IF(ISERROR(FIND($A$2,Lines!W10))=TRUE,"",MID(Lines!W10,FIND($A$2,Lines!W10)+LEN($A$2)+1,FIND(",",_xlfn.CONCAT(Lines!W10,","),FIND($A$2,Lines!W10))-FIND($A$2,Lines!W10)-LEN($A$2)-1))</f>
        <v/>
      </c>
      <c r="X10" s="30" t="str">
        <f>IF(ISERROR(FIND($A$2,Lines!X10))=TRUE,"",MID(Lines!X10,FIND($A$2,Lines!X10)+LEN($A$2)+1,FIND(",",_xlfn.CONCAT(Lines!X10,","),FIND($A$2,Lines!X10))-FIND($A$2,Lines!X10)-LEN($A$2)-1))</f>
        <v/>
      </c>
      <c r="Y10" s="30" t="str">
        <f>IF(ISERROR(FIND($A$2,Lines!Y10))=TRUE,"",MID(Lines!Y10,FIND($A$2,Lines!Y10)+LEN($A$2)+1,FIND(",",_xlfn.CONCAT(Lines!Y10,","),FIND($A$2,Lines!Y10))-FIND($A$2,Lines!Y10)-LEN($A$2)-1))</f>
        <v/>
      </c>
      <c r="Z10" s="30" t="str">
        <f>IF(ISERROR(FIND($A$2,Lines!Z10))=TRUE,"",MID(Lines!Z10,FIND($A$2,Lines!Z10)+LEN($A$2)+1,FIND(",",_xlfn.CONCAT(Lines!Z10,","),FIND($A$2,Lines!Z10))-FIND($A$2,Lines!Z10)-LEN($A$2)-1))</f>
        <v/>
      </c>
      <c r="AA10" s="30" t="str">
        <f>IF(ISERROR(FIND($A$2,Lines!AA10))=TRUE,"",MID(Lines!AA10,FIND($A$2,Lines!AA10)+LEN($A$2)+1,FIND(",",_xlfn.CONCAT(Lines!AA10,","),FIND($A$2,Lines!AA10))-FIND($A$2,Lines!AA10)-LEN($A$2)-1))</f>
        <v/>
      </c>
      <c r="AB10" s="30" t="str">
        <f>IF(ISERROR(FIND($A$2,Lines!AB10))=TRUE,"",MID(Lines!AB10,FIND($A$2,Lines!AB10)+LEN($A$2)+1,FIND(",",_xlfn.CONCAT(Lines!AB10,","),FIND($A$2,Lines!AB10))-FIND($A$2,Lines!AB10)-LEN($A$2)-1))</f>
        <v/>
      </c>
      <c r="AC10" s="30" t="str">
        <f>IF(ISERROR(FIND($A$2,Lines!AC10))=TRUE,"",MID(Lines!AC10,FIND($A$2,Lines!AC10)+LEN($A$2)+1,FIND(",",_xlfn.CONCAT(Lines!AC10,","),FIND($A$2,Lines!AC10))-FIND($A$2,Lines!AC10)-LEN($A$2)-1))</f>
        <v/>
      </c>
      <c r="AD10" s="30" t="str">
        <f>IF(ISERROR(FIND($A$2,Lines!AD10))=TRUE,"",MID(Lines!AD10,FIND($A$2,Lines!AD10)+LEN($A$2)+1,FIND(",",_xlfn.CONCAT(Lines!AD10,","),FIND($A$2,Lines!AD10))-FIND($A$2,Lines!AD10)-LEN($A$2)-1))</f>
        <v/>
      </c>
      <c r="AE10" s="30" t="str">
        <f>IF(ISERROR(FIND($A$2,Lines!AE10))=TRUE,"",MID(Lines!AE10,FIND($A$2,Lines!AE10)+LEN($A$2)+1,FIND(",",_xlfn.CONCAT(Lines!AE10,","),FIND($A$2,Lines!AE10))-FIND($A$2,Lines!AE10)-LEN($A$2)-1))</f>
        <v/>
      </c>
      <c r="AF10" s="30" t="str">
        <f>IF(ISERROR(FIND($A$2,Lines!AF10))=TRUE,"",MID(Lines!AF10,FIND($A$2,Lines!AF10)+LEN($A$2)+1,FIND(",",_xlfn.CONCAT(Lines!AF10,","),FIND($A$2,Lines!AF10))-FIND($A$2,Lines!AF10)-LEN($A$2)-1))</f>
        <v/>
      </c>
      <c r="AG10" s="30" t="str">
        <f>IF(ISERROR(FIND($A$2,Lines!AG10))=TRUE,"",MID(Lines!AG10,FIND($A$2,Lines!AG10)+LEN($A$2)+1,FIND(",",_xlfn.CONCAT(Lines!AG10,","),FIND($A$2,Lines!AG10))-FIND($A$2,Lines!AG10)-LEN($A$2)-1))</f>
        <v/>
      </c>
      <c r="AH10" s="30" t="str">
        <f>IF(ISERROR(FIND($A$2,Lines!AH10))=TRUE,"",MID(Lines!AH10,FIND($A$2,Lines!AH10)+LEN($A$2)+1,FIND(",",_xlfn.CONCAT(Lines!AH10,","),FIND($A$2,Lines!AH10))-FIND($A$2,Lines!AH10)-LEN($A$2)-1))</f>
        <v/>
      </c>
      <c r="AI10" s="30" t="str">
        <f>IF(ISERROR(FIND($A$2,Lines!AI10))=TRUE,"",MID(Lines!AI10,FIND($A$2,Lines!AI10)+LEN($A$2)+1,FIND(",",_xlfn.CONCAT(Lines!AI10,","),FIND($A$2,Lines!AI10))-FIND($A$2,Lines!AI10)-LEN($A$2)-1))</f>
        <v/>
      </c>
      <c r="AJ10" s="30" t="str">
        <f>IF(ISERROR(FIND($A$2,Lines!AJ10))=TRUE,"",MID(Lines!AJ10,FIND($A$2,Lines!AJ10)+LEN($A$2)+1,FIND(",",_xlfn.CONCAT(Lines!AJ10,","),FIND($A$2,Lines!AJ10))-FIND($A$2,Lines!AJ10)-LEN($A$2)-1))</f>
        <v/>
      </c>
      <c r="AK10" s="30" t="str">
        <f>IF(ISERROR(FIND($A$2,Lines!AK10))=TRUE,"",MID(Lines!AK10,FIND($A$2,Lines!AK10)+LEN($A$2)+1,FIND(",",_xlfn.CONCAT(Lines!AK10,","),FIND($A$2,Lines!AK10))-FIND($A$2,Lines!AK10)-LEN($A$2)-1))</f>
        <v/>
      </c>
      <c r="AL10" s="30" t="str">
        <f>IF(ISERROR(FIND($A$2,Lines!AL10))=TRUE,"",MID(Lines!AL10,FIND($A$2,Lines!AL10)+LEN($A$2)+1,FIND(",",_xlfn.CONCAT(Lines!AL10,","),FIND($A$2,Lines!AL10))-FIND($A$2,Lines!AL10)-LEN($A$2)-1))</f>
        <v/>
      </c>
      <c r="AM10" s="30" t="str">
        <f>IF(ISERROR(FIND($A$2,Lines!AM10))=TRUE,"",MID(Lines!AM10,FIND($A$2,Lines!AM10)+LEN($A$2)+1,FIND(",",_xlfn.CONCAT(Lines!AM10,","),FIND($A$2,Lines!AM10))-FIND($A$2,Lines!AM10)-LEN($A$2)-1))</f>
        <v/>
      </c>
      <c r="AN10" s="30" t="str">
        <f>IF(ISERROR(FIND($A$2,Lines!AN10))=TRUE,"",MID(Lines!AN10,FIND($A$2,Lines!AN10)+LEN($A$2)+1,FIND(",",_xlfn.CONCAT(Lines!AN10,","),FIND($A$2,Lines!AN10))-FIND($A$2,Lines!AN10)-LEN($A$2)-1))</f>
        <v/>
      </c>
      <c r="AO10" s="30" t="str">
        <f>IF(ISERROR(FIND($A$2,Lines!AO10))=TRUE,"",MID(Lines!AO10,FIND($A$2,Lines!AO10)+LEN($A$2)+1,FIND(",",_xlfn.CONCAT(Lines!AO10,","),FIND($A$2,Lines!AO10))-FIND($A$2,Lines!AO10)-LEN($A$2)-1))</f>
        <v/>
      </c>
      <c r="AP10" s="30" t="str">
        <f>IF(ISERROR(FIND($A$2,Lines!AP10))=TRUE,"",MID(Lines!AP10,FIND($A$2,Lines!AP10)+LEN($A$2)+1,FIND(",",_xlfn.CONCAT(Lines!AP10,","),FIND($A$2,Lines!AP10))-FIND($A$2,Lines!AP10)-LEN($A$2)-1))</f>
        <v/>
      </c>
      <c r="AQ10" s="30" t="str">
        <f>IF(ISERROR(FIND($A$2,Lines!AQ10))=TRUE,"",MID(Lines!AQ10,FIND($A$2,Lines!AQ10)+LEN($A$2)+1,FIND(",",_xlfn.CONCAT(Lines!AQ10,","),FIND($A$2,Lines!AQ10))-FIND($A$2,Lines!AQ10)-LEN($A$2)-1))</f>
        <v/>
      </c>
      <c r="AR10" s="30" t="str">
        <f>IF(ISERROR(FIND($A$2,Lines!AR10))=TRUE,"",MID(Lines!AR10,FIND($A$2,Lines!AR10)+LEN($A$2)+1,FIND(",",_xlfn.CONCAT(Lines!AR10,","),FIND($A$2,Lines!AR10))-FIND($A$2,Lines!AR10)-LEN($A$2)-1))</f>
        <v/>
      </c>
      <c r="AS10" s="30" t="str">
        <f>IF(ISERROR(FIND($A$2,Lines!AS10))=TRUE,"",MID(Lines!AS10,FIND($A$2,Lines!AS10)+LEN($A$2)+1,FIND(",",_xlfn.CONCAT(Lines!AS10,","),FIND($A$2,Lines!AS10))-FIND($A$2,Lines!AS10)-LEN($A$2)-1))</f>
        <v/>
      </c>
      <c r="AT10" s="30" t="str">
        <f>IF(ISERROR(FIND($A$2,Lines!AT10))=TRUE,"",MID(Lines!AT10,FIND($A$2,Lines!AT10)+LEN($A$2)+1,FIND(",",_xlfn.CONCAT(Lines!AT10,","),FIND($A$2,Lines!AT10))-FIND($A$2,Lines!AT10)-LEN($A$2)-1))</f>
        <v/>
      </c>
    </row>
    <row r="11" spans="1:46" ht="20.25" customHeight="1">
      <c r="A11" s="2" t="s">
        <v>54</v>
      </c>
      <c r="B11" s="26" t="str">
        <f>IF(ISERROR(FIND($A$2,Lines!B11))=TRUE,"",MID(Lines!B11,FIND($A$2,Lines!B11)+LEN($A$2)+1,FIND(",",_xlfn.CONCAT(Lines!B11,","),FIND($A$2,Lines!B11))-FIND($A$2,Lines!B11)-LEN($A$2)-1))</f>
        <v/>
      </c>
      <c r="C11" s="26" t="str">
        <f>IF(ISERROR(FIND($A$2,Lines!C11))=TRUE,"",MID(Lines!C11,FIND($A$2,Lines!C11)+LEN($A$2)+1,FIND(",",_xlfn.CONCAT(Lines!C11,","),FIND($A$2,Lines!C11))-FIND($A$2,Lines!C11)-LEN($A$2)-1))</f>
        <v/>
      </c>
      <c r="D11" s="26" t="str">
        <f>IF(ISERROR(FIND($A$2,Lines!D11))=TRUE,"",MID(Lines!D11,FIND($A$2,Lines!D11)+LEN($A$2)+1,FIND(",",_xlfn.CONCAT(Lines!D11,","),FIND($A$2,Lines!D11))-FIND($A$2,Lines!D11)-LEN($A$2)-1))</f>
        <v/>
      </c>
      <c r="E11" s="26" t="str">
        <f>IF(ISERROR(FIND($A$2,Lines!E11))=TRUE,"",MID(Lines!E11,FIND($A$2,Lines!E11)+LEN($A$2)+1,FIND(",",_xlfn.CONCAT(Lines!E11,","),FIND($A$2,Lines!E11))-FIND($A$2,Lines!E11)-LEN($A$2)-1))</f>
        <v>2</v>
      </c>
      <c r="F11" s="26" t="str">
        <f>IF(ISERROR(FIND($A$2,Lines!F11))=TRUE,"",MID(Lines!F11,FIND($A$2,Lines!F11)+LEN($A$2)+1,FIND(",",_xlfn.CONCAT(Lines!F11,","),FIND($A$2,Lines!F11))-FIND($A$2,Lines!F11)-LEN($A$2)-1))</f>
        <v/>
      </c>
      <c r="G11" s="26" t="str">
        <f>IF(ISERROR(FIND($A$2,Lines!G11))=TRUE,"",MID(Lines!G11,FIND($A$2,Lines!G11)+LEN($A$2)+1,FIND(",",_xlfn.CONCAT(Lines!G11,","),FIND($A$2,Lines!G11))-FIND($A$2,Lines!G11)-LEN($A$2)-1))</f>
        <v/>
      </c>
      <c r="H11" s="26" t="str">
        <f>IF(ISERROR(FIND($A$2,Lines!H11))=TRUE,"",MID(Lines!H11,FIND($A$2,Lines!H11)+LEN($A$2)+1,FIND(",",_xlfn.CONCAT(Lines!H11,","),FIND($A$2,Lines!H11))-FIND($A$2,Lines!H11)-LEN($A$2)-1))</f>
        <v>2</v>
      </c>
      <c r="I11" s="63" t="str">
        <f>IF(ISERROR(FIND($A$2,Lines!I11))=TRUE,"",MID(Lines!I11,FIND($A$2,Lines!I11)+LEN($A$2)+1,FIND(",",_xlfn.CONCAT(Lines!I11,","),FIND($A$2,Lines!I11))-FIND($A$2,Lines!I11)-LEN($A$2)-1))</f>
        <v/>
      </c>
      <c r="J11" s="26" t="str">
        <f>IF(ISERROR(FIND($A$2,Lines!J11))=TRUE,"",MID(Lines!J11,FIND($A$2,Lines!J11)+LEN($A$2)+1,FIND(",",_xlfn.CONCAT(Lines!J11,","),FIND($A$2,Lines!J11))-FIND($A$2,Lines!J11)-LEN($A$2)-1))</f>
        <v>6</v>
      </c>
      <c r="K11" s="26" t="str">
        <f>IF(ISERROR(FIND($A$2,Lines!K11))=TRUE,"",MID(Lines!K11,FIND($A$2,Lines!K11)+LEN($A$2)+1,FIND(",",_xlfn.CONCAT(Lines!K11,","),FIND($A$2,Lines!K11))-FIND($A$2,Lines!K11)-LEN($A$2)-1))</f>
        <v>6</v>
      </c>
      <c r="L11" s="26" t="str">
        <f>IF(ISERROR(FIND($A$2,Lines!L11))=TRUE,"",MID(Lines!L11,FIND($A$2,Lines!L11)+LEN($A$2)+1,FIND(",",_xlfn.CONCAT(Lines!L11,","),FIND($A$2,Lines!L11))-FIND($A$2,Lines!L11)-LEN($A$2)-1))</f>
        <v>2</v>
      </c>
      <c r="M11" s="27" t="str">
        <f>IF(ISERROR(FIND($A$2,Lines!M11))=TRUE,"",MID(Lines!M11,FIND($A$2,Lines!M11)+LEN($A$2)+1,FIND(",",_xlfn.CONCAT(Lines!M11,","),FIND($A$2,Lines!M11))-FIND($A$2,Lines!M11)-LEN($A$2)-1))</f>
        <v/>
      </c>
      <c r="N11" s="30" t="str">
        <f>IF(ISERROR(FIND($A$2,Lines!N11))=TRUE,"",MID(Lines!N11,FIND($A$2,Lines!N11)+LEN($A$2)+1,FIND(",",_xlfn.CONCAT(Lines!N11,","),FIND($A$2,Lines!N11))-FIND($A$2,Lines!N11)-LEN($A$2)-1))</f>
        <v/>
      </c>
      <c r="O11" s="30" t="str">
        <f>IF(ISERROR(FIND($A$2,Lines!O11))=TRUE,"",MID(Lines!O11,FIND($A$2,Lines!O11)+LEN($A$2)+1,FIND(",",_xlfn.CONCAT(Lines!O11,","),FIND($A$2,Lines!O11))-FIND($A$2,Lines!O11)-LEN($A$2)-1))</f>
        <v/>
      </c>
      <c r="P11" s="30" t="str">
        <f>IF(ISERROR(FIND($A$2,Lines!P11))=TRUE,"",MID(Lines!P11,FIND($A$2,Lines!P11)+LEN($A$2)+1,FIND(",",_xlfn.CONCAT(Lines!P11,","),FIND($A$2,Lines!P11))-FIND($A$2,Lines!P11)-LEN($A$2)-1))</f>
        <v/>
      </c>
      <c r="Q11" s="30" t="str">
        <f>IF(ISERROR(FIND($A$2,Lines!Q11))=TRUE,"",MID(Lines!Q11,FIND($A$2,Lines!Q11)+LEN($A$2)+1,FIND(",",_xlfn.CONCAT(Lines!Q11,","),FIND($A$2,Lines!Q11))-FIND($A$2,Lines!Q11)-LEN($A$2)-1))</f>
        <v/>
      </c>
      <c r="R11" s="30" t="str">
        <f>IF(ISERROR(FIND($A$2,Lines!R11))=TRUE,"",MID(Lines!R11,FIND($A$2,Lines!R11)+LEN($A$2)+1,FIND(",",_xlfn.CONCAT(Lines!R11,","),FIND($A$2,Lines!R11))-FIND($A$2,Lines!R11)-LEN($A$2)-1))</f>
        <v/>
      </c>
      <c r="S11" s="30" t="str">
        <f>IF(ISERROR(FIND($A$2,Lines!S11))=TRUE,"",MID(Lines!S11,FIND($A$2,Lines!S11)+LEN($A$2)+1,FIND(",",_xlfn.CONCAT(Lines!S11,","),FIND($A$2,Lines!S11))-FIND($A$2,Lines!S11)-LEN($A$2)-1))</f>
        <v/>
      </c>
      <c r="T11" s="30" t="str">
        <f>IF(ISERROR(FIND($A$2,Lines!T11))=TRUE,"",MID(Lines!T11,FIND($A$2,Lines!T11)+LEN($A$2)+1,FIND(",",_xlfn.CONCAT(Lines!T11,","),FIND($A$2,Lines!T11))-FIND($A$2,Lines!T11)-LEN($A$2)-1))</f>
        <v/>
      </c>
      <c r="U11" s="30" t="str">
        <f>IF(ISERROR(FIND($A$2,Lines!U11))=TRUE,"",MID(Lines!U11,FIND($A$2,Lines!U11)+LEN($A$2)+1,FIND(",",_xlfn.CONCAT(Lines!U11,","),FIND($A$2,Lines!U11))-FIND($A$2,Lines!U11)-LEN($A$2)-1))</f>
        <v/>
      </c>
      <c r="V11" s="30" t="str">
        <f>IF(ISERROR(FIND($A$2,Lines!V11))=TRUE,"",MID(Lines!V11,FIND($A$2,Lines!V11)+LEN($A$2)+1,FIND(",",_xlfn.CONCAT(Lines!V11,","),FIND($A$2,Lines!V11))-FIND($A$2,Lines!V11)-LEN($A$2)-1))</f>
        <v/>
      </c>
      <c r="W11" s="36" t="str">
        <f>IF(ISERROR(FIND($A$2,Lines!W11))=TRUE,"",MID(Lines!W11,FIND($A$2,Lines!W11)+LEN($A$2)+1,FIND(",",_xlfn.CONCAT(Lines!W11,","),FIND($A$2,Lines!W11))-FIND($A$2,Lines!W11)-LEN($A$2)-1))</f>
        <v/>
      </c>
      <c r="X11" s="30" t="str">
        <f>IF(ISERROR(FIND($A$2,Lines!X11))=TRUE,"",MID(Lines!X11,FIND($A$2,Lines!X11)+LEN($A$2)+1,FIND(",",_xlfn.CONCAT(Lines!X11,","),FIND($A$2,Lines!X11))-FIND($A$2,Lines!X11)-LEN($A$2)-1))</f>
        <v>2</v>
      </c>
      <c r="Y11" s="30" t="str">
        <f>IF(ISERROR(FIND($A$2,Lines!Y11))=TRUE,"",MID(Lines!Y11,FIND($A$2,Lines!Y11)+LEN($A$2)+1,FIND(",",_xlfn.CONCAT(Lines!Y11,","),FIND($A$2,Lines!Y11))-FIND($A$2,Lines!Y11)-LEN($A$2)-1))</f>
        <v/>
      </c>
      <c r="Z11" s="30" t="str">
        <f>IF(ISERROR(FIND($A$2,Lines!Z11))=TRUE,"",MID(Lines!Z11,FIND($A$2,Lines!Z11)+LEN($A$2)+1,FIND(",",_xlfn.CONCAT(Lines!Z11,","),FIND($A$2,Lines!Z11))-FIND($A$2,Lines!Z11)-LEN($A$2)-1))</f>
        <v/>
      </c>
      <c r="AA11" s="30" t="str">
        <f>IF(ISERROR(FIND($A$2,Lines!AA11))=TRUE,"",MID(Lines!AA11,FIND($A$2,Lines!AA11)+LEN($A$2)+1,FIND(",",_xlfn.CONCAT(Lines!AA11,","),FIND($A$2,Lines!AA11))-FIND($A$2,Lines!AA11)-LEN($A$2)-1))</f>
        <v/>
      </c>
      <c r="AB11" s="30" t="str">
        <f>IF(ISERROR(FIND($A$2,Lines!AB11))=TRUE,"",MID(Lines!AB11,FIND($A$2,Lines!AB11)+LEN($A$2)+1,FIND(",",_xlfn.CONCAT(Lines!AB11,","),FIND($A$2,Lines!AB11))-FIND($A$2,Lines!AB11)-LEN($A$2)-1))</f>
        <v/>
      </c>
      <c r="AC11" s="30" t="str">
        <f>IF(ISERROR(FIND($A$2,Lines!AC11))=TRUE,"",MID(Lines!AC11,FIND($A$2,Lines!AC11)+LEN($A$2)+1,FIND(",",_xlfn.CONCAT(Lines!AC11,","),FIND($A$2,Lines!AC11))-FIND($A$2,Lines!AC11)-LEN($A$2)-1))</f>
        <v/>
      </c>
      <c r="AD11" s="30" t="str">
        <f>IF(ISERROR(FIND($A$2,Lines!AD11))=TRUE,"",MID(Lines!AD11,FIND($A$2,Lines!AD11)+LEN($A$2)+1,FIND(",",_xlfn.CONCAT(Lines!AD11,","),FIND($A$2,Lines!AD11))-FIND($A$2,Lines!AD11)-LEN($A$2)-1))</f>
        <v/>
      </c>
      <c r="AE11" s="30" t="str">
        <f>IF(ISERROR(FIND($A$2,Lines!AE11))=TRUE,"",MID(Lines!AE11,FIND($A$2,Lines!AE11)+LEN($A$2)+1,FIND(",",_xlfn.CONCAT(Lines!AE11,","),FIND($A$2,Lines!AE11))-FIND($A$2,Lines!AE11)-LEN($A$2)-1))</f>
        <v/>
      </c>
      <c r="AF11" s="30" t="str">
        <f>IF(ISERROR(FIND($A$2,Lines!AF11))=TRUE,"",MID(Lines!AF11,FIND($A$2,Lines!AF11)+LEN($A$2)+1,FIND(",",_xlfn.CONCAT(Lines!AF11,","),FIND($A$2,Lines!AF11))-FIND($A$2,Lines!AF11)-LEN($A$2)-1))</f>
        <v/>
      </c>
      <c r="AG11" s="30" t="str">
        <f>IF(ISERROR(FIND($A$2,Lines!AG11))=TRUE,"",MID(Lines!AG11,FIND($A$2,Lines!AG11)+LEN($A$2)+1,FIND(",",_xlfn.CONCAT(Lines!AG11,","),FIND($A$2,Lines!AG11))-FIND($A$2,Lines!AG11)-LEN($A$2)-1))</f>
        <v/>
      </c>
      <c r="AH11" s="30" t="str">
        <f>IF(ISERROR(FIND($A$2,Lines!AH11))=TRUE,"",MID(Lines!AH11,FIND($A$2,Lines!AH11)+LEN($A$2)+1,FIND(",",_xlfn.CONCAT(Lines!AH11,","),FIND($A$2,Lines!AH11))-FIND($A$2,Lines!AH11)-LEN($A$2)-1))</f>
        <v/>
      </c>
      <c r="AI11" s="30" t="str">
        <f>IF(ISERROR(FIND($A$2,Lines!AI11))=TRUE,"",MID(Lines!AI11,FIND($A$2,Lines!AI11)+LEN($A$2)+1,FIND(",",_xlfn.CONCAT(Lines!AI11,","),FIND($A$2,Lines!AI11))-FIND($A$2,Lines!AI11)-LEN($A$2)-1))</f>
        <v/>
      </c>
      <c r="AJ11" s="30" t="str">
        <f>IF(ISERROR(FIND($A$2,Lines!AJ11))=TRUE,"",MID(Lines!AJ11,FIND($A$2,Lines!AJ11)+LEN($A$2)+1,FIND(",",_xlfn.CONCAT(Lines!AJ11,","),FIND($A$2,Lines!AJ11))-FIND($A$2,Lines!AJ11)-LEN($A$2)-1))</f>
        <v/>
      </c>
      <c r="AK11" s="30" t="str">
        <f>IF(ISERROR(FIND($A$2,Lines!AK11))=TRUE,"",MID(Lines!AK11,FIND($A$2,Lines!AK11)+LEN($A$2)+1,FIND(",",_xlfn.CONCAT(Lines!AK11,","),FIND($A$2,Lines!AK11))-FIND($A$2,Lines!AK11)-LEN($A$2)-1))</f>
        <v/>
      </c>
      <c r="AL11" s="30" t="str">
        <f>IF(ISERROR(FIND($A$2,Lines!AL11))=TRUE,"",MID(Lines!AL11,FIND($A$2,Lines!AL11)+LEN($A$2)+1,FIND(",",_xlfn.CONCAT(Lines!AL11,","),FIND($A$2,Lines!AL11))-FIND($A$2,Lines!AL11)-LEN($A$2)-1))</f>
        <v/>
      </c>
      <c r="AM11" s="30" t="str">
        <f>IF(ISERROR(FIND($A$2,Lines!AM11))=TRUE,"",MID(Lines!AM11,FIND($A$2,Lines!AM11)+LEN($A$2)+1,FIND(",",_xlfn.CONCAT(Lines!AM11,","),FIND($A$2,Lines!AM11))-FIND($A$2,Lines!AM11)-LEN($A$2)-1))</f>
        <v/>
      </c>
      <c r="AN11" s="30" t="str">
        <f>IF(ISERROR(FIND($A$2,Lines!AN11))=TRUE,"",MID(Lines!AN11,FIND($A$2,Lines!AN11)+LEN($A$2)+1,FIND(",",_xlfn.CONCAT(Lines!AN11,","),FIND($A$2,Lines!AN11))-FIND($A$2,Lines!AN11)-LEN($A$2)-1))</f>
        <v/>
      </c>
      <c r="AO11" s="30" t="str">
        <f>IF(ISERROR(FIND($A$2,Lines!AO11))=TRUE,"",MID(Lines!AO11,FIND($A$2,Lines!AO11)+LEN($A$2)+1,FIND(",",_xlfn.CONCAT(Lines!AO11,","),FIND($A$2,Lines!AO11))-FIND($A$2,Lines!AO11)-LEN($A$2)-1))</f>
        <v/>
      </c>
      <c r="AP11" s="30" t="str">
        <f>IF(ISERROR(FIND($A$2,Lines!AP11))=TRUE,"",MID(Lines!AP11,FIND($A$2,Lines!AP11)+LEN($A$2)+1,FIND(",",_xlfn.CONCAT(Lines!AP11,","),FIND($A$2,Lines!AP11))-FIND($A$2,Lines!AP11)-LEN($A$2)-1))</f>
        <v/>
      </c>
      <c r="AQ11" s="30" t="str">
        <f>IF(ISERROR(FIND($A$2,Lines!AQ11))=TRUE,"",MID(Lines!AQ11,FIND($A$2,Lines!AQ11)+LEN($A$2)+1,FIND(",",_xlfn.CONCAT(Lines!AQ11,","),FIND($A$2,Lines!AQ11))-FIND($A$2,Lines!AQ11)-LEN($A$2)-1))</f>
        <v/>
      </c>
      <c r="AR11" s="30" t="str">
        <f>IF(ISERROR(FIND($A$2,Lines!AR11))=TRUE,"",MID(Lines!AR11,FIND($A$2,Lines!AR11)+LEN($A$2)+1,FIND(",",_xlfn.CONCAT(Lines!AR11,","),FIND($A$2,Lines!AR11))-FIND($A$2,Lines!AR11)-LEN($A$2)-1))</f>
        <v/>
      </c>
      <c r="AS11" s="30" t="str">
        <f>IF(ISERROR(FIND($A$2,Lines!AS11))=TRUE,"",MID(Lines!AS11,FIND($A$2,Lines!AS11)+LEN($A$2)+1,FIND(",",_xlfn.CONCAT(Lines!AS11,","),FIND($A$2,Lines!AS11))-FIND($A$2,Lines!AS11)-LEN($A$2)-1))</f>
        <v/>
      </c>
      <c r="AT11" s="30" t="str">
        <f>IF(ISERROR(FIND($A$2,Lines!AT11))=TRUE,"",MID(Lines!AT11,FIND($A$2,Lines!AT11)+LEN($A$2)+1,FIND(",",_xlfn.CONCAT(Lines!AT11,","),FIND($A$2,Lines!AT11))-FIND($A$2,Lines!AT11)-LEN($A$2)-1))</f>
        <v/>
      </c>
    </row>
    <row r="12" spans="1:46" ht="20.25" customHeight="1">
      <c r="A12" s="2" t="s">
        <v>62</v>
      </c>
      <c r="B12" s="26" t="str">
        <f>IF(ISERROR(FIND($A$2,Lines!B12))=TRUE,"",MID(Lines!B12,FIND($A$2,Lines!B12)+LEN($A$2)+1,FIND(",",_xlfn.CONCAT(Lines!B12,","),FIND($A$2,Lines!B12))-FIND($A$2,Lines!B12)-LEN($A$2)-1))</f>
        <v/>
      </c>
      <c r="C12" s="26" t="str">
        <f>IF(ISERROR(FIND($A$2,Lines!C12))=TRUE,"",MID(Lines!C12,FIND($A$2,Lines!C12)+LEN($A$2)+1,FIND(",",_xlfn.CONCAT(Lines!C12,","),FIND($A$2,Lines!C12))-FIND($A$2,Lines!C12)-LEN($A$2)-1))</f>
        <v/>
      </c>
      <c r="D12" s="26" t="str">
        <f>IF(ISERROR(FIND($A$2,Lines!D12))=TRUE,"",MID(Lines!D12,FIND($A$2,Lines!D12)+LEN($A$2)+1,FIND(",",_xlfn.CONCAT(Lines!D12,","),FIND($A$2,Lines!D12))-FIND($A$2,Lines!D12)-LEN($A$2)-1))</f>
        <v/>
      </c>
      <c r="E12" s="26" t="str">
        <f>IF(ISERROR(FIND($A$2,Lines!E12))=TRUE,"",MID(Lines!E12,FIND($A$2,Lines!E12)+LEN($A$2)+1,FIND(",",_xlfn.CONCAT(Lines!E12,","),FIND($A$2,Lines!E12))-FIND($A$2,Lines!E12)-LEN($A$2)-1))</f>
        <v/>
      </c>
      <c r="F12" s="26" t="str">
        <f>IF(ISERROR(FIND($A$2,Lines!F12))=TRUE,"",MID(Lines!F12,FIND($A$2,Lines!F12)+LEN($A$2)+1,FIND(",",_xlfn.CONCAT(Lines!F12,","),FIND($A$2,Lines!F12))-FIND($A$2,Lines!F12)-LEN($A$2)-1))</f>
        <v/>
      </c>
      <c r="G12" s="26" t="str">
        <f>IF(ISERROR(FIND($A$2,Lines!G12))=TRUE,"",MID(Lines!G12,FIND($A$2,Lines!G12)+LEN($A$2)+1,FIND(",",_xlfn.CONCAT(Lines!G12,","),FIND($A$2,Lines!G12))-FIND($A$2,Lines!G12)-LEN($A$2)-1))</f>
        <v/>
      </c>
      <c r="H12" s="26" t="str">
        <f>IF(ISERROR(FIND($A$2,Lines!H12))=TRUE,"",MID(Lines!H12,FIND($A$2,Lines!H12)+LEN($A$2)+1,FIND(",",_xlfn.CONCAT(Lines!H12,","),FIND($A$2,Lines!H12))-FIND($A$2,Lines!H12)-LEN($A$2)-1))</f>
        <v/>
      </c>
      <c r="I12" s="26" t="str">
        <f>IF(ISERROR(FIND($A$2,Lines!I12))=TRUE,"",MID(Lines!I12,FIND($A$2,Lines!I12)+LEN($A$2)+1,FIND(",",_xlfn.CONCAT(Lines!I12,","),FIND($A$2,Lines!I12))-FIND($A$2,Lines!I12)-LEN($A$2)-1))</f>
        <v>6</v>
      </c>
      <c r="J12" s="63" t="str">
        <f>IF(ISERROR(FIND($A$2,Lines!J12))=TRUE,"",MID(Lines!J12,FIND($A$2,Lines!J12)+LEN($A$2)+1,FIND(",",_xlfn.CONCAT(Lines!J12,","),FIND($A$2,Lines!J12))-FIND($A$2,Lines!J12)-LEN($A$2)-1))</f>
        <v/>
      </c>
      <c r="K12" s="26" t="str">
        <f>IF(ISERROR(FIND($A$2,Lines!K12))=TRUE,"",MID(Lines!K12,FIND($A$2,Lines!K12)+LEN($A$2)+1,FIND(",",_xlfn.CONCAT(Lines!K12,","),FIND($A$2,Lines!K12))-FIND($A$2,Lines!K12)-LEN($A$2)-1))</f>
        <v/>
      </c>
      <c r="L12" s="26" t="str">
        <f>IF(ISERROR(FIND($A$2,Lines!L12))=TRUE,"",MID(Lines!L12,FIND($A$2,Lines!L12)+LEN($A$2)+1,FIND(",",_xlfn.CONCAT(Lines!L12,","),FIND($A$2,Lines!L12))-FIND($A$2,Lines!L12)-LEN($A$2)-1))</f>
        <v>4</v>
      </c>
      <c r="M12" s="69" t="str">
        <f>IF(ISERROR(FIND($A$2,Lines!M12))=TRUE,"",MID(Lines!M12,FIND($A$2,Lines!M12)+LEN($A$2)+1,FIND(",",_xlfn.CONCAT(Lines!M12,","),FIND($A$2,Lines!M12))-FIND($A$2,Lines!M12)-LEN($A$2)-1))</f>
        <v/>
      </c>
      <c r="N12" s="30" t="str">
        <f>IF(ISERROR(FIND($A$2,Lines!N12))=TRUE,"",MID(Lines!N12,FIND($A$2,Lines!N12)+LEN($A$2)+1,FIND(",",_xlfn.CONCAT(Lines!N12,","),FIND($A$2,Lines!N12))-FIND($A$2,Lines!N12)-LEN($A$2)-1))</f>
        <v/>
      </c>
      <c r="O12" s="30" t="str">
        <f>IF(ISERROR(FIND($A$2,Lines!O12))=TRUE,"",MID(Lines!O12,FIND($A$2,Lines!O12)+LEN($A$2)+1,FIND(",",_xlfn.CONCAT(Lines!O12,","),FIND($A$2,Lines!O12))-FIND($A$2,Lines!O12)-LEN($A$2)-1))</f>
        <v/>
      </c>
      <c r="P12" s="30" t="str">
        <f>IF(ISERROR(FIND($A$2,Lines!P12))=TRUE,"",MID(Lines!P12,FIND($A$2,Lines!P12)+LEN($A$2)+1,FIND(",",_xlfn.CONCAT(Lines!P12,","),FIND($A$2,Lines!P12))-FIND($A$2,Lines!P12)-LEN($A$2)-1))</f>
        <v/>
      </c>
      <c r="Q12" s="30" t="str">
        <f>IF(ISERROR(FIND($A$2,Lines!Q12))=TRUE,"",MID(Lines!Q12,FIND($A$2,Lines!Q12)+LEN($A$2)+1,FIND(",",_xlfn.CONCAT(Lines!Q12,","),FIND($A$2,Lines!Q12))-FIND($A$2,Lines!Q12)-LEN($A$2)-1))</f>
        <v/>
      </c>
      <c r="R12" s="30" t="str">
        <f>IF(ISERROR(FIND($A$2,Lines!R12))=TRUE,"",MID(Lines!R12,FIND($A$2,Lines!R12)+LEN($A$2)+1,FIND(",",_xlfn.CONCAT(Lines!R12,","),FIND($A$2,Lines!R12))-FIND($A$2,Lines!R12)-LEN($A$2)-1))</f>
        <v/>
      </c>
      <c r="S12" s="30" t="str">
        <f>IF(ISERROR(FIND($A$2,Lines!S12))=TRUE,"",MID(Lines!S12,FIND($A$2,Lines!S12)+LEN($A$2)+1,FIND(",",_xlfn.CONCAT(Lines!S12,","),FIND($A$2,Lines!S12))-FIND($A$2,Lines!S12)-LEN($A$2)-1))</f>
        <v/>
      </c>
      <c r="T12" s="30" t="str">
        <f>IF(ISERROR(FIND($A$2,Lines!T12))=TRUE,"",MID(Lines!T12,FIND($A$2,Lines!T12)+LEN($A$2)+1,FIND(",",_xlfn.CONCAT(Lines!T12,","),FIND($A$2,Lines!T12))-FIND($A$2,Lines!T12)-LEN($A$2)-1))</f>
        <v/>
      </c>
      <c r="U12" s="30" t="str">
        <f>IF(ISERROR(FIND($A$2,Lines!U12))=TRUE,"",MID(Lines!U12,FIND($A$2,Lines!U12)+LEN($A$2)+1,FIND(",",_xlfn.CONCAT(Lines!U12,","),FIND($A$2,Lines!U12))-FIND($A$2,Lines!U12)-LEN($A$2)-1))</f>
        <v/>
      </c>
      <c r="V12" s="30" t="str">
        <f>IF(ISERROR(FIND($A$2,Lines!V12))=TRUE,"",MID(Lines!V12,FIND($A$2,Lines!V12)+LEN($A$2)+1,FIND(",",_xlfn.CONCAT(Lines!V12,","),FIND($A$2,Lines!V12))-FIND($A$2,Lines!V12)-LEN($A$2)-1))</f>
        <v/>
      </c>
      <c r="W12" s="36" t="str">
        <f>IF(ISERROR(FIND($A$2,Lines!W12))=TRUE,"",MID(Lines!W12,FIND($A$2,Lines!W12)+LEN($A$2)+1,FIND(",",_xlfn.CONCAT(Lines!W12,","),FIND($A$2,Lines!W12))-FIND($A$2,Lines!W12)-LEN($A$2)-1))</f>
        <v/>
      </c>
      <c r="X12" s="30" t="str">
        <f>IF(ISERROR(FIND($A$2,Lines!X12))=TRUE,"",MID(Lines!X12,FIND($A$2,Lines!X12)+LEN($A$2)+1,FIND(",",_xlfn.CONCAT(Lines!X12,","),FIND($A$2,Lines!X12))-FIND($A$2,Lines!X12)-LEN($A$2)-1))</f>
        <v>3</v>
      </c>
      <c r="Y12" s="30" t="str">
        <f>IF(ISERROR(FIND($A$2,Lines!Y12))=TRUE,"",MID(Lines!Y12,FIND($A$2,Lines!Y12)+LEN($A$2)+1,FIND(",",_xlfn.CONCAT(Lines!Y12,","),FIND($A$2,Lines!Y12))-FIND($A$2,Lines!Y12)-LEN($A$2)-1))</f>
        <v/>
      </c>
      <c r="Z12" s="30" t="str">
        <f>IF(ISERROR(FIND($A$2,Lines!Z12))=TRUE,"",MID(Lines!Z12,FIND($A$2,Lines!Z12)+LEN($A$2)+1,FIND(",",_xlfn.CONCAT(Lines!Z12,","),FIND($A$2,Lines!Z12))-FIND($A$2,Lines!Z12)-LEN($A$2)-1))</f>
        <v/>
      </c>
      <c r="AA12" s="30" t="str">
        <f>IF(ISERROR(FIND($A$2,Lines!AA12))=TRUE,"",MID(Lines!AA12,FIND($A$2,Lines!AA12)+LEN($A$2)+1,FIND(",",_xlfn.CONCAT(Lines!AA12,","),FIND($A$2,Lines!AA12))-FIND($A$2,Lines!AA12)-LEN($A$2)-1))</f>
        <v/>
      </c>
      <c r="AB12" s="30" t="str">
        <f>IF(ISERROR(FIND($A$2,Lines!AB12))=TRUE,"",MID(Lines!AB12,FIND($A$2,Lines!AB12)+LEN($A$2)+1,FIND(",",_xlfn.CONCAT(Lines!AB12,","),FIND($A$2,Lines!AB12))-FIND($A$2,Lines!AB12)-LEN($A$2)-1))</f>
        <v/>
      </c>
      <c r="AC12" s="30" t="str">
        <f>IF(ISERROR(FIND($A$2,Lines!AC12))=TRUE,"",MID(Lines!AC12,FIND($A$2,Lines!AC12)+LEN($A$2)+1,FIND(",",_xlfn.CONCAT(Lines!AC12,","),FIND($A$2,Lines!AC12))-FIND($A$2,Lines!AC12)-LEN($A$2)-1))</f>
        <v/>
      </c>
      <c r="AD12" s="30" t="str">
        <f>IF(ISERROR(FIND($A$2,Lines!AD12))=TRUE,"",MID(Lines!AD12,FIND($A$2,Lines!AD12)+LEN($A$2)+1,FIND(",",_xlfn.CONCAT(Lines!AD12,","),FIND($A$2,Lines!AD12))-FIND($A$2,Lines!AD12)-LEN($A$2)-1))</f>
        <v/>
      </c>
      <c r="AE12" s="30" t="str">
        <f>IF(ISERROR(FIND($A$2,Lines!AE12))=TRUE,"",MID(Lines!AE12,FIND($A$2,Lines!AE12)+LEN($A$2)+1,FIND(",",_xlfn.CONCAT(Lines!AE12,","),FIND($A$2,Lines!AE12))-FIND($A$2,Lines!AE12)-LEN($A$2)-1))</f>
        <v/>
      </c>
      <c r="AF12" s="30" t="str">
        <f>IF(ISERROR(FIND($A$2,Lines!AF12))=TRUE,"",MID(Lines!AF12,FIND($A$2,Lines!AF12)+LEN($A$2)+1,FIND(",",_xlfn.CONCAT(Lines!AF12,","),FIND($A$2,Lines!AF12))-FIND($A$2,Lines!AF12)-LEN($A$2)-1))</f>
        <v/>
      </c>
      <c r="AG12" s="30" t="str">
        <f>IF(ISERROR(FIND($A$2,Lines!AG12))=TRUE,"",MID(Lines!AG12,FIND($A$2,Lines!AG12)+LEN($A$2)+1,FIND(",",_xlfn.CONCAT(Lines!AG12,","),FIND($A$2,Lines!AG12))-FIND($A$2,Lines!AG12)-LEN($A$2)-1))</f>
        <v/>
      </c>
      <c r="AH12" s="30" t="str">
        <f>IF(ISERROR(FIND($A$2,Lines!AH12))=TRUE,"",MID(Lines!AH12,FIND($A$2,Lines!AH12)+LEN($A$2)+1,FIND(",",_xlfn.CONCAT(Lines!AH12,","),FIND($A$2,Lines!AH12))-FIND($A$2,Lines!AH12)-LEN($A$2)-1))</f>
        <v/>
      </c>
      <c r="AI12" s="30" t="str">
        <f>IF(ISERROR(FIND($A$2,Lines!AI12))=TRUE,"",MID(Lines!AI12,FIND($A$2,Lines!AI12)+LEN($A$2)+1,FIND(",",_xlfn.CONCAT(Lines!AI12,","),FIND($A$2,Lines!AI12))-FIND($A$2,Lines!AI12)-LEN($A$2)-1))</f>
        <v/>
      </c>
      <c r="AJ12" s="30" t="str">
        <f>IF(ISERROR(FIND($A$2,Lines!AJ12))=TRUE,"",MID(Lines!AJ12,FIND($A$2,Lines!AJ12)+LEN($A$2)+1,FIND(",",_xlfn.CONCAT(Lines!AJ12,","),FIND($A$2,Lines!AJ12))-FIND($A$2,Lines!AJ12)-LEN($A$2)-1))</f>
        <v/>
      </c>
      <c r="AK12" s="30" t="str">
        <f>IF(ISERROR(FIND($A$2,Lines!AK12))=TRUE,"",MID(Lines!AK12,FIND($A$2,Lines!AK12)+LEN($A$2)+1,FIND(",",_xlfn.CONCAT(Lines!AK12,","),FIND($A$2,Lines!AK12))-FIND($A$2,Lines!AK12)-LEN($A$2)-1))</f>
        <v/>
      </c>
      <c r="AL12" s="30" t="str">
        <f>IF(ISERROR(FIND($A$2,Lines!AL12))=TRUE,"",MID(Lines!AL12,FIND($A$2,Lines!AL12)+LEN($A$2)+1,FIND(",",_xlfn.CONCAT(Lines!AL12,","),FIND($A$2,Lines!AL12))-FIND($A$2,Lines!AL12)-LEN($A$2)-1))</f>
        <v/>
      </c>
      <c r="AM12" s="30" t="str">
        <f>IF(ISERROR(FIND($A$2,Lines!AM12))=TRUE,"",MID(Lines!AM12,FIND($A$2,Lines!AM12)+LEN($A$2)+1,FIND(",",_xlfn.CONCAT(Lines!AM12,","),FIND($A$2,Lines!AM12))-FIND($A$2,Lines!AM12)-LEN($A$2)-1))</f>
        <v/>
      </c>
      <c r="AN12" s="30" t="str">
        <f>IF(ISERROR(FIND($A$2,Lines!AN12))=TRUE,"",MID(Lines!AN12,FIND($A$2,Lines!AN12)+LEN($A$2)+1,FIND(",",_xlfn.CONCAT(Lines!AN12,","),FIND($A$2,Lines!AN12))-FIND($A$2,Lines!AN12)-LEN($A$2)-1))</f>
        <v/>
      </c>
      <c r="AO12" s="30" t="str">
        <f>IF(ISERROR(FIND($A$2,Lines!AO12))=TRUE,"",MID(Lines!AO12,FIND($A$2,Lines!AO12)+LEN($A$2)+1,FIND(",",_xlfn.CONCAT(Lines!AO12,","),FIND($A$2,Lines!AO12))-FIND($A$2,Lines!AO12)-LEN($A$2)-1))</f>
        <v/>
      </c>
      <c r="AP12" s="30" t="str">
        <f>IF(ISERROR(FIND($A$2,Lines!AP12))=TRUE,"",MID(Lines!AP12,FIND($A$2,Lines!AP12)+LEN($A$2)+1,FIND(",",_xlfn.CONCAT(Lines!AP12,","),FIND($A$2,Lines!AP12))-FIND($A$2,Lines!AP12)-LEN($A$2)-1))</f>
        <v/>
      </c>
      <c r="AQ12" s="30" t="str">
        <f>IF(ISERROR(FIND($A$2,Lines!AQ12))=TRUE,"",MID(Lines!AQ12,FIND($A$2,Lines!AQ12)+LEN($A$2)+1,FIND(",",_xlfn.CONCAT(Lines!AQ12,","),FIND($A$2,Lines!AQ12))-FIND($A$2,Lines!AQ12)-LEN($A$2)-1))</f>
        <v/>
      </c>
      <c r="AR12" s="30" t="str">
        <f>IF(ISERROR(FIND($A$2,Lines!AR12))=TRUE,"",MID(Lines!AR12,FIND($A$2,Lines!AR12)+LEN($A$2)+1,FIND(",",_xlfn.CONCAT(Lines!AR12,","),FIND($A$2,Lines!AR12))-FIND($A$2,Lines!AR12)-LEN($A$2)-1))</f>
        <v/>
      </c>
      <c r="AS12" s="30" t="str">
        <f>IF(ISERROR(FIND($A$2,Lines!AS12))=TRUE,"",MID(Lines!AS12,FIND($A$2,Lines!AS12)+LEN($A$2)+1,FIND(",",_xlfn.CONCAT(Lines!AS12,","),FIND($A$2,Lines!AS12))-FIND($A$2,Lines!AS12)-LEN($A$2)-1))</f>
        <v/>
      </c>
      <c r="AT12" s="30" t="str">
        <f>IF(ISERROR(FIND($A$2,Lines!AT12))=TRUE,"",MID(Lines!AT12,FIND($A$2,Lines!AT12)+LEN($A$2)+1,FIND(",",_xlfn.CONCAT(Lines!AT12,","),FIND($A$2,Lines!AT12))-FIND($A$2,Lines!AT12)-LEN($A$2)-1))</f>
        <v/>
      </c>
    </row>
    <row r="13" spans="1:46" ht="20.25" customHeight="1">
      <c r="A13" s="2" t="s">
        <v>63</v>
      </c>
      <c r="B13" s="26" t="str">
        <f>IF(ISERROR(FIND($A$2,Lines!B13))=TRUE,"",MID(Lines!B13,FIND($A$2,Lines!B13)+LEN($A$2)+1,FIND(",",_xlfn.CONCAT(Lines!B13,","),FIND($A$2,Lines!B13))-FIND($A$2,Lines!B13)-LEN($A$2)-1))</f>
        <v/>
      </c>
      <c r="C13" s="26" t="str">
        <f>IF(ISERROR(FIND($A$2,Lines!C13))=TRUE,"",MID(Lines!C13,FIND($A$2,Lines!C13)+LEN($A$2)+1,FIND(",",_xlfn.CONCAT(Lines!C13,","),FIND($A$2,Lines!C13))-FIND($A$2,Lines!C13)-LEN($A$2)-1))</f>
        <v/>
      </c>
      <c r="D13" s="26" t="str">
        <f>IF(ISERROR(FIND($A$2,Lines!D13))=TRUE,"",MID(Lines!D13,FIND($A$2,Lines!D13)+LEN($A$2)+1,FIND(",",_xlfn.CONCAT(Lines!D13,","),FIND($A$2,Lines!D13))-FIND($A$2,Lines!D13)-LEN($A$2)-1))</f>
        <v/>
      </c>
      <c r="E13" s="26" t="str">
        <f>IF(ISERROR(FIND($A$2,Lines!E13))=TRUE,"",MID(Lines!E13,FIND($A$2,Lines!E13)+LEN($A$2)+1,FIND(",",_xlfn.CONCAT(Lines!E13,","),FIND($A$2,Lines!E13))-FIND($A$2,Lines!E13)-LEN($A$2)-1))</f>
        <v/>
      </c>
      <c r="F13" s="26" t="str">
        <f>IF(ISERROR(FIND($A$2,Lines!F13))=TRUE,"",MID(Lines!F13,FIND($A$2,Lines!F13)+LEN($A$2)+1,FIND(",",_xlfn.CONCAT(Lines!F13,","),FIND($A$2,Lines!F13))-FIND($A$2,Lines!F13)-LEN($A$2)-1))</f>
        <v/>
      </c>
      <c r="G13" s="26" t="str">
        <f>IF(ISERROR(FIND($A$2,Lines!G13))=TRUE,"",MID(Lines!G13,FIND($A$2,Lines!G13)+LEN($A$2)+1,FIND(",",_xlfn.CONCAT(Lines!G13,","),FIND($A$2,Lines!G13))-FIND($A$2,Lines!G13)-LEN($A$2)-1))</f>
        <v/>
      </c>
      <c r="H13" s="26" t="str">
        <f>IF(ISERROR(FIND($A$2,Lines!H13))=TRUE,"",MID(Lines!H13,FIND($A$2,Lines!H13)+LEN($A$2)+1,FIND(",",_xlfn.CONCAT(Lines!H13,","),FIND($A$2,Lines!H13))-FIND($A$2,Lines!H13)-LEN($A$2)-1))</f>
        <v/>
      </c>
      <c r="I13" s="26" t="str">
        <f>IF(ISERROR(FIND($A$2,Lines!I13))=TRUE,"",MID(Lines!I13,FIND($A$2,Lines!I13)+LEN($A$2)+1,FIND(",",_xlfn.CONCAT(Lines!I13,","),FIND($A$2,Lines!I13))-FIND($A$2,Lines!I13)-LEN($A$2)-1))</f>
        <v>6</v>
      </c>
      <c r="J13" s="26" t="str">
        <f>IF(ISERROR(FIND($A$2,Lines!J13))=TRUE,"",MID(Lines!J13,FIND($A$2,Lines!J13)+LEN($A$2)+1,FIND(",",_xlfn.CONCAT(Lines!J13,","),FIND($A$2,Lines!J13))-FIND($A$2,Lines!J13)-LEN($A$2)-1))</f>
        <v/>
      </c>
      <c r="K13" s="63" t="str">
        <f>IF(ISERROR(FIND($A$2,Lines!K13))=TRUE,"",MID(Lines!K13,FIND($A$2,Lines!K13)+LEN($A$2)+1,FIND(",",_xlfn.CONCAT(Lines!K13,","),FIND($A$2,Lines!K13))-FIND($A$2,Lines!K13)-LEN($A$2)-1))</f>
        <v/>
      </c>
      <c r="L13" s="26" t="str">
        <f>IF(ISERROR(FIND($A$2,Lines!L13))=TRUE,"",MID(Lines!L13,FIND($A$2,Lines!L13)+LEN($A$2)+1,FIND(",",_xlfn.CONCAT(Lines!L13,","),FIND($A$2,Lines!L13))-FIND($A$2,Lines!L13)-LEN($A$2)-1))</f>
        <v/>
      </c>
      <c r="M13" s="27" t="str">
        <f>IF(ISERROR(FIND($A$2,Lines!M13))=TRUE,"",MID(Lines!M13,FIND($A$2,Lines!M13)+LEN($A$2)+1,FIND(",",_xlfn.CONCAT(Lines!M13,","),FIND($A$2,Lines!M13))-FIND($A$2,Lines!M13)-LEN($A$2)-1))</f>
        <v/>
      </c>
      <c r="N13" s="30" t="str">
        <f>IF(ISERROR(FIND($A$2,Lines!N13))=TRUE,"",MID(Lines!N13,FIND($A$2,Lines!N13)+LEN($A$2)+1,FIND(",",_xlfn.CONCAT(Lines!N13,","),FIND($A$2,Lines!N13))-FIND($A$2,Lines!N13)-LEN($A$2)-1))</f>
        <v/>
      </c>
      <c r="O13" s="30" t="str">
        <f>IF(ISERROR(FIND($A$2,Lines!O13))=TRUE,"",MID(Lines!O13,FIND($A$2,Lines!O13)+LEN($A$2)+1,FIND(",",_xlfn.CONCAT(Lines!O13,","),FIND($A$2,Lines!O13))-FIND($A$2,Lines!O13)-LEN($A$2)-1))</f>
        <v/>
      </c>
      <c r="P13" s="30" t="str">
        <f>IF(ISERROR(FIND($A$2,Lines!P13))=TRUE,"",MID(Lines!P13,FIND($A$2,Lines!P13)+LEN($A$2)+1,FIND(",",_xlfn.CONCAT(Lines!P13,","),FIND($A$2,Lines!P13))-FIND($A$2,Lines!P13)-LEN($A$2)-1))</f>
        <v/>
      </c>
      <c r="Q13" s="30" t="str">
        <f>IF(ISERROR(FIND($A$2,Lines!Q13))=TRUE,"",MID(Lines!Q13,FIND($A$2,Lines!Q13)+LEN($A$2)+1,FIND(",",_xlfn.CONCAT(Lines!Q13,","),FIND($A$2,Lines!Q13))-FIND($A$2,Lines!Q13)-LEN($A$2)-1))</f>
        <v/>
      </c>
      <c r="R13" s="30" t="str">
        <f>IF(ISERROR(FIND($A$2,Lines!R13))=TRUE,"",MID(Lines!R13,FIND($A$2,Lines!R13)+LEN($A$2)+1,FIND(",",_xlfn.CONCAT(Lines!R13,","),FIND($A$2,Lines!R13))-FIND($A$2,Lines!R13)-LEN($A$2)-1))</f>
        <v/>
      </c>
      <c r="S13" s="30" t="str">
        <f>IF(ISERROR(FIND($A$2,Lines!S13))=TRUE,"",MID(Lines!S13,FIND($A$2,Lines!S13)+LEN($A$2)+1,FIND(",",_xlfn.CONCAT(Lines!S13,","),FIND($A$2,Lines!S13))-FIND($A$2,Lines!S13)-LEN($A$2)-1))</f>
        <v/>
      </c>
      <c r="T13" s="30" t="str">
        <f>IF(ISERROR(FIND($A$2,Lines!T13))=TRUE,"",MID(Lines!T13,FIND($A$2,Lines!T13)+LEN($A$2)+1,FIND(",",_xlfn.CONCAT(Lines!T13,","),FIND($A$2,Lines!T13))-FIND($A$2,Lines!T13)-LEN($A$2)-1))</f>
        <v/>
      </c>
      <c r="U13" s="30" t="str">
        <f>IF(ISERROR(FIND($A$2,Lines!U13))=TRUE,"",MID(Lines!U13,FIND($A$2,Lines!U13)+LEN($A$2)+1,FIND(",",_xlfn.CONCAT(Lines!U13,","),FIND($A$2,Lines!U13))-FIND($A$2,Lines!U13)-LEN($A$2)-1))</f>
        <v/>
      </c>
      <c r="V13" s="30" t="str">
        <f>IF(ISERROR(FIND($A$2,Lines!V13))=TRUE,"",MID(Lines!V13,FIND($A$2,Lines!V13)+LEN($A$2)+1,FIND(",",_xlfn.CONCAT(Lines!V13,","),FIND($A$2,Lines!V13))-FIND($A$2,Lines!V13)-LEN($A$2)-1))</f>
        <v/>
      </c>
      <c r="W13" s="36" t="str">
        <f>IF(ISERROR(FIND($A$2,Lines!W13))=TRUE,"",MID(Lines!W13,FIND($A$2,Lines!W13)+LEN($A$2)+1,FIND(",",_xlfn.CONCAT(Lines!W13,","),FIND($A$2,Lines!W13))-FIND($A$2,Lines!W13)-LEN($A$2)-1))</f>
        <v/>
      </c>
      <c r="X13" s="30" t="str">
        <f>IF(ISERROR(FIND($A$2,Lines!X13))=TRUE,"",MID(Lines!X13,FIND($A$2,Lines!X13)+LEN($A$2)+1,FIND(",",_xlfn.CONCAT(Lines!X13,","),FIND($A$2,Lines!X13))-FIND($A$2,Lines!X13)-LEN($A$2)-1))</f>
        <v/>
      </c>
      <c r="Y13" s="30" t="str">
        <f>IF(ISERROR(FIND($A$2,Lines!Y13))=TRUE,"",MID(Lines!Y13,FIND($A$2,Lines!Y13)+LEN($A$2)+1,FIND(",",_xlfn.CONCAT(Lines!Y13,","),FIND($A$2,Lines!Y13))-FIND($A$2,Lines!Y13)-LEN($A$2)-1))</f>
        <v/>
      </c>
      <c r="Z13" s="30" t="str">
        <f>IF(ISERROR(FIND($A$2,Lines!Z13))=TRUE,"",MID(Lines!Z13,FIND($A$2,Lines!Z13)+LEN($A$2)+1,FIND(",",_xlfn.CONCAT(Lines!Z13,","),FIND($A$2,Lines!Z13))-FIND($A$2,Lines!Z13)-LEN($A$2)-1))</f>
        <v/>
      </c>
      <c r="AA13" s="30" t="str">
        <f>IF(ISERROR(FIND($A$2,Lines!AA13))=TRUE,"",MID(Lines!AA13,FIND($A$2,Lines!AA13)+LEN($A$2)+1,FIND(",",_xlfn.CONCAT(Lines!AA13,","),FIND($A$2,Lines!AA13))-FIND($A$2,Lines!AA13)-LEN($A$2)-1))</f>
        <v/>
      </c>
      <c r="AB13" s="30" t="str">
        <f>IF(ISERROR(FIND($A$2,Lines!AB13))=TRUE,"",MID(Lines!AB13,FIND($A$2,Lines!AB13)+LEN($A$2)+1,FIND(",",_xlfn.CONCAT(Lines!AB13,","),FIND($A$2,Lines!AB13))-FIND($A$2,Lines!AB13)-LEN($A$2)-1))</f>
        <v/>
      </c>
      <c r="AC13" s="30" t="str">
        <f>IF(ISERROR(FIND($A$2,Lines!AC13))=TRUE,"",MID(Lines!AC13,FIND($A$2,Lines!AC13)+LEN($A$2)+1,FIND(",",_xlfn.CONCAT(Lines!AC13,","),FIND($A$2,Lines!AC13))-FIND($A$2,Lines!AC13)-LEN($A$2)-1))</f>
        <v/>
      </c>
      <c r="AD13" s="30" t="str">
        <f>IF(ISERROR(FIND($A$2,Lines!AD13))=TRUE,"",MID(Lines!AD13,FIND($A$2,Lines!AD13)+LEN($A$2)+1,FIND(",",_xlfn.CONCAT(Lines!AD13,","),FIND($A$2,Lines!AD13))-FIND($A$2,Lines!AD13)-LEN($A$2)-1))</f>
        <v/>
      </c>
      <c r="AE13" s="30" t="str">
        <f>IF(ISERROR(FIND($A$2,Lines!AE13))=TRUE,"",MID(Lines!AE13,FIND($A$2,Lines!AE13)+LEN($A$2)+1,FIND(",",_xlfn.CONCAT(Lines!AE13,","),FIND($A$2,Lines!AE13))-FIND($A$2,Lines!AE13)-LEN($A$2)-1))</f>
        <v/>
      </c>
      <c r="AF13" s="30" t="str">
        <f>IF(ISERROR(FIND($A$2,Lines!AF13))=TRUE,"",MID(Lines!AF13,FIND($A$2,Lines!AF13)+LEN($A$2)+1,FIND(",",_xlfn.CONCAT(Lines!AF13,","),FIND($A$2,Lines!AF13))-FIND($A$2,Lines!AF13)-LEN($A$2)-1))</f>
        <v/>
      </c>
      <c r="AG13" s="30" t="str">
        <f>IF(ISERROR(FIND($A$2,Lines!AG13))=TRUE,"",MID(Lines!AG13,FIND($A$2,Lines!AG13)+LEN($A$2)+1,FIND(",",_xlfn.CONCAT(Lines!AG13,","),FIND($A$2,Lines!AG13))-FIND($A$2,Lines!AG13)-LEN($A$2)-1))</f>
        <v/>
      </c>
      <c r="AH13" s="30" t="str">
        <f>IF(ISERROR(FIND($A$2,Lines!AH13))=TRUE,"",MID(Lines!AH13,FIND($A$2,Lines!AH13)+LEN($A$2)+1,FIND(",",_xlfn.CONCAT(Lines!AH13,","),FIND($A$2,Lines!AH13))-FIND($A$2,Lines!AH13)-LEN($A$2)-1))</f>
        <v/>
      </c>
      <c r="AI13" s="30" t="str">
        <f>IF(ISERROR(FIND($A$2,Lines!AI13))=TRUE,"",MID(Lines!AI13,FIND($A$2,Lines!AI13)+LEN($A$2)+1,FIND(",",_xlfn.CONCAT(Lines!AI13,","),FIND($A$2,Lines!AI13))-FIND($A$2,Lines!AI13)-LEN($A$2)-1))</f>
        <v/>
      </c>
      <c r="AJ13" s="30" t="str">
        <f>IF(ISERROR(FIND($A$2,Lines!AJ13))=TRUE,"",MID(Lines!AJ13,FIND($A$2,Lines!AJ13)+LEN($A$2)+1,FIND(",",_xlfn.CONCAT(Lines!AJ13,","),FIND($A$2,Lines!AJ13))-FIND($A$2,Lines!AJ13)-LEN($A$2)-1))</f>
        <v/>
      </c>
      <c r="AK13" s="30" t="str">
        <f>IF(ISERROR(FIND($A$2,Lines!AK13))=TRUE,"",MID(Lines!AK13,FIND($A$2,Lines!AK13)+LEN($A$2)+1,FIND(",",_xlfn.CONCAT(Lines!AK13,","),FIND($A$2,Lines!AK13))-FIND($A$2,Lines!AK13)-LEN($A$2)-1))</f>
        <v/>
      </c>
      <c r="AL13" s="30" t="str">
        <f>IF(ISERROR(FIND($A$2,Lines!AL13))=TRUE,"",MID(Lines!AL13,FIND($A$2,Lines!AL13)+LEN($A$2)+1,FIND(",",_xlfn.CONCAT(Lines!AL13,","),FIND($A$2,Lines!AL13))-FIND($A$2,Lines!AL13)-LEN($A$2)-1))</f>
        <v/>
      </c>
      <c r="AM13" s="30" t="str">
        <f>IF(ISERROR(FIND($A$2,Lines!AM13))=TRUE,"",MID(Lines!AM13,FIND($A$2,Lines!AM13)+LEN($A$2)+1,FIND(",",_xlfn.CONCAT(Lines!AM13,","),FIND($A$2,Lines!AM13))-FIND($A$2,Lines!AM13)-LEN($A$2)-1))</f>
        <v/>
      </c>
      <c r="AN13" s="30" t="str">
        <f>IF(ISERROR(FIND($A$2,Lines!AN13))=TRUE,"",MID(Lines!AN13,FIND($A$2,Lines!AN13)+LEN($A$2)+1,FIND(",",_xlfn.CONCAT(Lines!AN13,","),FIND($A$2,Lines!AN13))-FIND($A$2,Lines!AN13)-LEN($A$2)-1))</f>
        <v/>
      </c>
      <c r="AO13" s="30" t="str">
        <f>IF(ISERROR(FIND($A$2,Lines!AO13))=TRUE,"",MID(Lines!AO13,FIND($A$2,Lines!AO13)+LEN($A$2)+1,FIND(",",_xlfn.CONCAT(Lines!AO13,","),FIND($A$2,Lines!AO13))-FIND($A$2,Lines!AO13)-LEN($A$2)-1))</f>
        <v/>
      </c>
      <c r="AP13" s="30" t="str">
        <f>IF(ISERROR(FIND($A$2,Lines!AP13))=TRUE,"",MID(Lines!AP13,FIND($A$2,Lines!AP13)+LEN($A$2)+1,FIND(",",_xlfn.CONCAT(Lines!AP13,","),FIND($A$2,Lines!AP13))-FIND($A$2,Lines!AP13)-LEN($A$2)-1))</f>
        <v/>
      </c>
      <c r="AQ13" s="30" t="str">
        <f>IF(ISERROR(FIND($A$2,Lines!AQ13))=TRUE,"",MID(Lines!AQ13,FIND($A$2,Lines!AQ13)+LEN($A$2)+1,FIND(",",_xlfn.CONCAT(Lines!AQ13,","),FIND($A$2,Lines!AQ13))-FIND($A$2,Lines!AQ13)-LEN($A$2)-1))</f>
        <v/>
      </c>
      <c r="AR13" s="30" t="str">
        <f>IF(ISERROR(FIND($A$2,Lines!AR13))=TRUE,"",MID(Lines!AR13,FIND($A$2,Lines!AR13)+LEN($A$2)+1,FIND(",",_xlfn.CONCAT(Lines!AR13,","),FIND($A$2,Lines!AR13))-FIND($A$2,Lines!AR13)-LEN($A$2)-1))</f>
        <v/>
      </c>
      <c r="AS13" s="30" t="str">
        <f>IF(ISERROR(FIND($A$2,Lines!AS13))=TRUE,"",MID(Lines!AS13,FIND($A$2,Lines!AS13)+LEN($A$2)+1,FIND(",",_xlfn.CONCAT(Lines!AS13,","),FIND($A$2,Lines!AS13))-FIND($A$2,Lines!AS13)-LEN($A$2)-1))</f>
        <v/>
      </c>
      <c r="AT13" s="30" t="str">
        <f>IF(ISERROR(FIND($A$2,Lines!AT13))=TRUE,"",MID(Lines!AT13,FIND($A$2,Lines!AT13)+LEN($A$2)+1,FIND(",",_xlfn.CONCAT(Lines!AT13,","),FIND($A$2,Lines!AT13))-FIND($A$2,Lines!AT13)-LEN($A$2)-1))</f>
        <v/>
      </c>
    </row>
    <row r="14" spans="1:46" ht="20.25" customHeight="1">
      <c r="A14" s="2" t="s">
        <v>64</v>
      </c>
      <c r="B14" s="26" t="str">
        <f>IF(ISERROR(FIND($A$2,Lines!B14))=TRUE,"",MID(Lines!B14,FIND($A$2,Lines!B14)+LEN($A$2)+1,FIND(",",_xlfn.CONCAT(Lines!B14,","),FIND($A$2,Lines!B14))-FIND($A$2,Lines!B14)-LEN($A$2)-1))</f>
        <v/>
      </c>
      <c r="C14" s="26" t="str">
        <f>IF(ISERROR(FIND($A$2,Lines!C14))=TRUE,"",MID(Lines!C14,FIND($A$2,Lines!C14)+LEN($A$2)+1,FIND(",",_xlfn.CONCAT(Lines!C14,","),FIND($A$2,Lines!C14))-FIND($A$2,Lines!C14)-LEN($A$2)-1))</f>
        <v/>
      </c>
      <c r="D14" s="26" t="str">
        <f>IF(ISERROR(FIND($A$2,Lines!D14))=TRUE,"",MID(Lines!D14,FIND($A$2,Lines!D14)+LEN($A$2)+1,FIND(",",_xlfn.CONCAT(Lines!D14,","),FIND($A$2,Lines!D14))-FIND($A$2,Lines!D14)-LEN($A$2)-1))</f>
        <v/>
      </c>
      <c r="E14" s="26" t="str">
        <f>IF(ISERROR(FIND($A$2,Lines!E14))=TRUE,"",MID(Lines!E14,FIND($A$2,Lines!E14)+LEN($A$2)+1,FIND(",",_xlfn.CONCAT(Lines!E14,","),FIND($A$2,Lines!E14))-FIND($A$2,Lines!E14)-LEN($A$2)-1))</f>
        <v/>
      </c>
      <c r="F14" s="26" t="str">
        <f>IF(ISERROR(FIND($A$2,Lines!F14))=TRUE,"",MID(Lines!F14,FIND($A$2,Lines!F14)+LEN($A$2)+1,FIND(",",_xlfn.CONCAT(Lines!F14,","),FIND($A$2,Lines!F14))-FIND($A$2,Lines!F14)-LEN($A$2)-1))</f>
        <v/>
      </c>
      <c r="G14" s="26" t="str">
        <f>IF(ISERROR(FIND($A$2,Lines!G14))=TRUE,"",MID(Lines!G14,FIND($A$2,Lines!G14)+LEN($A$2)+1,FIND(",",_xlfn.CONCAT(Lines!G14,","),FIND($A$2,Lines!G14))-FIND($A$2,Lines!G14)-LEN($A$2)-1))</f>
        <v/>
      </c>
      <c r="H14" s="26" t="str">
        <f>IF(ISERROR(FIND($A$2,Lines!H14))=TRUE,"",MID(Lines!H14,FIND($A$2,Lines!H14)+LEN($A$2)+1,FIND(",",_xlfn.CONCAT(Lines!H14,","),FIND($A$2,Lines!H14))-FIND($A$2,Lines!H14)-LEN($A$2)-1))</f>
        <v/>
      </c>
      <c r="I14" s="26" t="str">
        <f>IF(ISERROR(FIND($A$2,Lines!I14))=TRUE,"",MID(Lines!I14,FIND($A$2,Lines!I14)+LEN($A$2)+1,FIND(",",_xlfn.CONCAT(Lines!I14,","),FIND($A$2,Lines!I14))-FIND($A$2,Lines!I14)-LEN($A$2)-1))</f>
        <v>2</v>
      </c>
      <c r="J14" s="26" t="str">
        <f>IF(ISERROR(FIND($A$2,Lines!J14))=TRUE,"",MID(Lines!J14,FIND($A$2,Lines!J14)+LEN($A$2)+1,FIND(",",_xlfn.CONCAT(Lines!J14,","),FIND($A$2,Lines!J14))-FIND($A$2,Lines!J14)-LEN($A$2)-1))</f>
        <v>4</v>
      </c>
      <c r="K14" s="26" t="str">
        <f>IF(ISERROR(FIND($A$2,Lines!K14))=TRUE,"",MID(Lines!K14,FIND($A$2,Lines!K14)+LEN($A$2)+1,FIND(",",_xlfn.CONCAT(Lines!K14,","),FIND($A$2,Lines!K14))-FIND($A$2,Lines!K14)-LEN($A$2)-1))</f>
        <v/>
      </c>
      <c r="L14" s="63" t="str">
        <f>IF(ISERROR(FIND($A$2,Lines!L14))=TRUE,"",MID(Lines!L14,FIND($A$2,Lines!L14)+LEN($A$2)+1,FIND(",",_xlfn.CONCAT(Lines!L14,","),FIND($A$2,Lines!L14))-FIND($A$2,Lines!L14)-LEN($A$2)-1))</f>
        <v/>
      </c>
      <c r="M14" s="27" t="str">
        <f>IF(ISERROR(FIND($A$2,Lines!M14))=TRUE,"",MID(Lines!M14,FIND($A$2,Lines!M14)+LEN($A$2)+1,FIND(",",_xlfn.CONCAT(Lines!M14,","),FIND($A$2,Lines!M14))-FIND($A$2,Lines!M14)-LEN($A$2)-1))</f>
        <v/>
      </c>
      <c r="N14" s="30" t="str">
        <f>IF(ISERROR(FIND($A$2,Lines!N14))=TRUE,"",MID(Lines!N14,FIND($A$2,Lines!N14)+LEN($A$2)+1,FIND(",",_xlfn.CONCAT(Lines!N14,","),FIND($A$2,Lines!N14))-FIND($A$2,Lines!N14)-LEN($A$2)-1))</f>
        <v/>
      </c>
      <c r="O14" s="30" t="str">
        <f>IF(ISERROR(FIND($A$2,Lines!O14))=TRUE,"",MID(Lines!O14,FIND($A$2,Lines!O14)+LEN($A$2)+1,FIND(",",_xlfn.CONCAT(Lines!O14,","),FIND($A$2,Lines!O14))-FIND($A$2,Lines!O14)-LEN($A$2)-1))</f>
        <v/>
      </c>
      <c r="P14" s="30" t="str">
        <f>IF(ISERROR(FIND($A$2,Lines!P14))=TRUE,"",MID(Lines!P14,FIND($A$2,Lines!P14)+LEN($A$2)+1,FIND(",",_xlfn.CONCAT(Lines!P14,","),FIND($A$2,Lines!P14))-FIND($A$2,Lines!P14)-LEN($A$2)-1))</f>
        <v/>
      </c>
      <c r="Q14" s="30" t="str">
        <f>IF(ISERROR(FIND($A$2,Lines!Q14))=TRUE,"",MID(Lines!Q14,FIND($A$2,Lines!Q14)+LEN($A$2)+1,FIND(",",_xlfn.CONCAT(Lines!Q14,","),FIND($A$2,Lines!Q14))-FIND($A$2,Lines!Q14)-LEN($A$2)-1))</f>
        <v/>
      </c>
      <c r="R14" s="30" t="str">
        <f>IF(ISERROR(FIND($A$2,Lines!R14))=TRUE,"",MID(Lines!R14,FIND($A$2,Lines!R14)+LEN($A$2)+1,FIND(",",_xlfn.CONCAT(Lines!R14,","),FIND($A$2,Lines!R14))-FIND($A$2,Lines!R14)-LEN($A$2)-1))</f>
        <v/>
      </c>
      <c r="S14" s="30" t="str">
        <f>IF(ISERROR(FIND($A$2,Lines!S14))=TRUE,"",MID(Lines!S14,FIND($A$2,Lines!S14)+LEN($A$2)+1,FIND(",",_xlfn.CONCAT(Lines!S14,","),FIND($A$2,Lines!S14))-FIND($A$2,Lines!S14)-LEN($A$2)-1))</f>
        <v/>
      </c>
      <c r="T14" s="30" t="str">
        <f>IF(ISERROR(FIND($A$2,Lines!T14))=TRUE,"",MID(Lines!T14,FIND($A$2,Lines!T14)+LEN($A$2)+1,FIND(",",_xlfn.CONCAT(Lines!T14,","),FIND($A$2,Lines!T14))-FIND($A$2,Lines!T14)-LEN($A$2)-1))</f>
        <v/>
      </c>
      <c r="U14" s="30" t="str">
        <f>IF(ISERROR(FIND($A$2,Lines!U14))=TRUE,"",MID(Lines!U14,FIND($A$2,Lines!U14)+LEN($A$2)+1,FIND(",",_xlfn.CONCAT(Lines!U14,","),FIND($A$2,Lines!U14))-FIND($A$2,Lines!U14)-LEN($A$2)-1))</f>
        <v/>
      </c>
      <c r="V14" s="30" t="str">
        <f>IF(ISERROR(FIND($A$2,Lines!V14))=TRUE,"",MID(Lines!V14,FIND($A$2,Lines!V14)+LEN($A$2)+1,FIND(",",_xlfn.CONCAT(Lines!V14,","),FIND($A$2,Lines!V14))-FIND($A$2,Lines!V14)-LEN($A$2)-1))</f>
        <v/>
      </c>
      <c r="W14" s="36" t="str">
        <f>IF(ISERROR(FIND($A$2,Lines!W14))=TRUE,"",MID(Lines!W14,FIND($A$2,Lines!W14)+LEN($A$2)+1,FIND(",",_xlfn.CONCAT(Lines!W14,","),FIND($A$2,Lines!W14))-FIND($A$2,Lines!W14)-LEN($A$2)-1))</f>
        <v/>
      </c>
      <c r="X14" s="30" t="str">
        <f>IF(ISERROR(FIND($A$2,Lines!X14))=TRUE,"",MID(Lines!X14,FIND($A$2,Lines!X14)+LEN($A$2)+1,FIND(",",_xlfn.CONCAT(Lines!X14,","),FIND($A$2,Lines!X14))-FIND($A$2,Lines!X14)-LEN($A$2)-1))</f>
        <v/>
      </c>
      <c r="Y14" s="30" t="str">
        <f>IF(ISERROR(FIND($A$2,Lines!Y14))=TRUE,"",MID(Lines!Y14,FIND($A$2,Lines!Y14)+LEN($A$2)+1,FIND(",",_xlfn.CONCAT(Lines!Y14,","),FIND($A$2,Lines!Y14))-FIND($A$2,Lines!Y14)-LEN($A$2)-1))</f>
        <v/>
      </c>
      <c r="Z14" s="30" t="str">
        <f>IF(ISERROR(FIND($A$2,Lines!Z14))=TRUE,"",MID(Lines!Z14,FIND($A$2,Lines!Z14)+LEN($A$2)+1,FIND(",",_xlfn.CONCAT(Lines!Z14,","),FIND($A$2,Lines!Z14))-FIND($A$2,Lines!Z14)-LEN($A$2)-1))</f>
        <v/>
      </c>
      <c r="AA14" s="30" t="str">
        <f>IF(ISERROR(FIND($A$2,Lines!AA14))=TRUE,"",MID(Lines!AA14,FIND($A$2,Lines!AA14)+LEN($A$2)+1,FIND(",",_xlfn.CONCAT(Lines!AA14,","),FIND($A$2,Lines!AA14))-FIND($A$2,Lines!AA14)-LEN($A$2)-1))</f>
        <v/>
      </c>
      <c r="AB14" s="30" t="str">
        <f>IF(ISERROR(FIND($A$2,Lines!AB14))=TRUE,"",MID(Lines!AB14,FIND($A$2,Lines!AB14)+LEN($A$2)+1,FIND(",",_xlfn.CONCAT(Lines!AB14,","),FIND($A$2,Lines!AB14))-FIND($A$2,Lines!AB14)-LEN($A$2)-1))</f>
        <v/>
      </c>
      <c r="AC14" s="30" t="str">
        <f>IF(ISERROR(FIND($A$2,Lines!AC14))=TRUE,"",MID(Lines!AC14,FIND($A$2,Lines!AC14)+LEN($A$2)+1,FIND(",",_xlfn.CONCAT(Lines!AC14,","),FIND($A$2,Lines!AC14))-FIND($A$2,Lines!AC14)-LEN($A$2)-1))</f>
        <v/>
      </c>
      <c r="AD14" s="30" t="str">
        <f>IF(ISERROR(FIND($A$2,Lines!AD14))=TRUE,"",MID(Lines!AD14,FIND($A$2,Lines!AD14)+LEN($A$2)+1,FIND(",",_xlfn.CONCAT(Lines!AD14,","),FIND($A$2,Lines!AD14))-FIND($A$2,Lines!AD14)-LEN($A$2)-1))</f>
        <v/>
      </c>
      <c r="AE14" s="30" t="str">
        <f>IF(ISERROR(FIND($A$2,Lines!AE14))=TRUE,"",MID(Lines!AE14,FIND($A$2,Lines!AE14)+LEN($A$2)+1,FIND(",",_xlfn.CONCAT(Lines!AE14,","),FIND($A$2,Lines!AE14))-FIND($A$2,Lines!AE14)-LEN($A$2)-1))</f>
        <v/>
      </c>
      <c r="AF14" s="30" t="str">
        <f>IF(ISERROR(FIND($A$2,Lines!AF14))=TRUE,"",MID(Lines!AF14,FIND($A$2,Lines!AF14)+LEN($A$2)+1,FIND(",",_xlfn.CONCAT(Lines!AF14,","),FIND($A$2,Lines!AF14))-FIND($A$2,Lines!AF14)-LEN($A$2)-1))</f>
        <v/>
      </c>
      <c r="AG14" s="30" t="str">
        <f>IF(ISERROR(FIND($A$2,Lines!AG14))=TRUE,"",MID(Lines!AG14,FIND($A$2,Lines!AG14)+LEN($A$2)+1,FIND(",",_xlfn.CONCAT(Lines!AG14,","),FIND($A$2,Lines!AG14))-FIND($A$2,Lines!AG14)-LEN($A$2)-1))</f>
        <v/>
      </c>
      <c r="AH14" s="30" t="str">
        <f>IF(ISERROR(FIND($A$2,Lines!AH14))=TRUE,"",MID(Lines!AH14,FIND($A$2,Lines!AH14)+LEN($A$2)+1,FIND(",",_xlfn.CONCAT(Lines!AH14,","),FIND($A$2,Lines!AH14))-FIND($A$2,Lines!AH14)-LEN($A$2)-1))</f>
        <v/>
      </c>
      <c r="AI14" s="30" t="str">
        <f>IF(ISERROR(FIND($A$2,Lines!AI14))=TRUE,"",MID(Lines!AI14,FIND($A$2,Lines!AI14)+LEN($A$2)+1,FIND(",",_xlfn.CONCAT(Lines!AI14,","),FIND($A$2,Lines!AI14))-FIND($A$2,Lines!AI14)-LEN($A$2)-1))</f>
        <v/>
      </c>
      <c r="AJ14" s="30" t="str">
        <f>IF(ISERROR(FIND($A$2,Lines!AJ14))=TRUE,"",MID(Lines!AJ14,FIND($A$2,Lines!AJ14)+LEN($A$2)+1,FIND(",",_xlfn.CONCAT(Lines!AJ14,","),FIND($A$2,Lines!AJ14))-FIND($A$2,Lines!AJ14)-LEN($A$2)-1))</f>
        <v/>
      </c>
      <c r="AK14" s="30" t="str">
        <f>IF(ISERROR(FIND($A$2,Lines!AK14))=TRUE,"",MID(Lines!AK14,FIND($A$2,Lines!AK14)+LEN($A$2)+1,FIND(",",_xlfn.CONCAT(Lines!AK14,","),FIND($A$2,Lines!AK14))-FIND($A$2,Lines!AK14)-LEN($A$2)-1))</f>
        <v/>
      </c>
      <c r="AL14" s="30" t="str">
        <f>IF(ISERROR(FIND($A$2,Lines!AL14))=TRUE,"",MID(Lines!AL14,FIND($A$2,Lines!AL14)+LEN($A$2)+1,FIND(",",_xlfn.CONCAT(Lines!AL14,","),FIND($A$2,Lines!AL14))-FIND($A$2,Lines!AL14)-LEN($A$2)-1))</f>
        <v/>
      </c>
      <c r="AM14" s="30" t="str">
        <f>IF(ISERROR(FIND($A$2,Lines!AM14))=TRUE,"",MID(Lines!AM14,FIND($A$2,Lines!AM14)+LEN($A$2)+1,FIND(",",_xlfn.CONCAT(Lines!AM14,","),FIND($A$2,Lines!AM14))-FIND($A$2,Lines!AM14)-LEN($A$2)-1))</f>
        <v/>
      </c>
      <c r="AN14" s="30" t="str">
        <f>IF(ISERROR(FIND($A$2,Lines!AN14))=TRUE,"",MID(Lines!AN14,FIND($A$2,Lines!AN14)+LEN($A$2)+1,FIND(",",_xlfn.CONCAT(Lines!AN14,","),FIND($A$2,Lines!AN14))-FIND($A$2,Lines!AN14)-LEN($A$2)-1))</f>
        <v/>
      </c>
      <c r="AO14" s="30" t="str">
        <f>IF(ISERROR(FIND($A$2,Lines!AO14))=TRUE,"",MID(Lines!AO14,FIND($A$2,Lines!AO14)+LEN($A$2)+1,FIND(",",_xlfn.CONCAT(Lines!AO14,","),FIND($A$2,Lines!AO14))-FIND($A$2,Lines!AO14)-LEN($A$2)-1))</f>
        <v/>
      </c>
      <c r="AP14" s="30" t="str">
        <f>IF(ISERROR(FIND($A$2,Lines!AP14))=TRUE,"",MID(Lines!AP14,FIND($A$2,Lines!AP14)+LEN($A$2)+1,FIND(",",_xlfn.CONCAT(Lines!AP14,","),FIND($A$2,Lines!AP14))-FIND($A$2,Lines!AP14)-LEN($A$2)-1))</f>
        <v/>
      </c>
      <c r="AQ14" s="30" t="str">
        <f>IF(ISERROR(FIND($A$2,Lines!AQ14))=TRUE,"",MID(Lines!AQ14,FIND($A$2,Lines!AQ14)+LEN($A$2)+1,FIND(",",_xlfn.CONCAT(Lines!AQ14,","),FIND($A$2,Lines!AQ14))-FIND($A$2,Lines!AQ14)-LEN($A$2)-1))</f>
        <v/>
      </c>
      <c r="AR14" s="30" t="str">
        <f>IF(ISERROR(FIND($A$2,Lines!AR14))=TRUE,"",MID(Lines!AR14,FIND($A$2,Lines!AR14)+LEN($A$2)+1,FIND(",",_xlfn.CONCAT(Lines!AR14,","),FIND($A$2,Lines!AR14))-FIND($A$2,Lines!AR14)-LEN($A$2)-1))</f>
        <v/>
      </c>
      <c r="AS14" s="30" t="str">
        <f>IF(ISERROR(FIND($A$2,Lines!AS14))=TRUE,"",MID(Lines!AS14,FIND($A$2,Lines!AS14)+LEN($A$2)+1,FIND(",",_xlfn.CONCAT(Lines!AS14,","),FIND($A$2,Lines!AS14))-FIND($A$2,Lines!AS14)-LEN($A$2)-1))</f>
        <v/>
      </c>
      <c r="AT14" s="30" t="str">
        <f>IF(ISERROR(FIND($A$2,Lines!AT14))=TRUE,"",MID(Lines!AT14,FIND($A$2,Lines!AT14)+LEN($A$2)+1,FIND(",",_xlfn.CONCAT(Lines!AT14,","),FIND($A$2,Lines!AT14))-FIND($A$2,Lines!AT14)-LEN($A$2)-1))</f>
        <v/>
      </c>
    </row>
    <row r="15" spans="1:46" ht="20.25" customHeight="1">
      <c r="A15" s="2" t="s">
        <v>65</v>
      </c>
      <c r="B15" s="33" t="str">
        <f>IF(ISERROR(FIND($A$2,Lines!B15))=TRUE,"",MID(Lines!B15,FIND($A$2,Lines!B15)+LEN($A$2)+1,FIND(",",_xlfn.CONCAT(Lines!B15,","),FIND($A$2,Lines!B15))-FIND($A$2,Lines!B15)-LEN($A$2)-1))</f>
        <v/>
      </c>
      <c r="C15" s="33" t="str">
        <f>IF(ISERROR(FIND($A$2,Lines!C15))=TRUE,"",MID(Lines!C15,FIND($A$2,Lines!C15)+LEN($A$2)+1,FIND(",",_xlfn.CONCAT(Lines!C15,","),FIND($A$2,Lines!C15))-FIND($A$2,Lines!C15)-LEN($A$2)-1))</f>
        <v/>
      </c>
      <c r="D15" s="33" t="str">
        <f>IF(ISERROR(FIND($A$2,Lines!D15))=TRUE,"",MID(Lines!D15,FIND($A$2,Lines!D15)+LEN($A$2)+1,FIND(",",_xlfn.CONCAT(Lines!D15,","),FIND($A$2,Lines!D15))-FIND($A$2,Lines!D15)-LEN($A$2)-1))</f>
        <v>2</v>
      </c>
      <c r="E15" s="33" t="str">
        <f>IF(ISERROR(FIND($A$2,Lines!E15))=TRUE,"",MID(Lines!E15,FIND($A$2,Lines!E15)+LEN($A$2)+1,FIND(",",_xlfn.CONCAT(Lines!E15,","),FIND($A$2,Lines!E15))-FIND($A$2,Lines!E15)-LEN($A$2)-1))</f>
        <v/>
      </c>
      <c r="F15" s="33" t="str">
        <f>IF(ISERROR(FIND($A$2,Lines!F15))=TRUE,"",MID(Lines!F15,FIND($A$2,Lines!F15)+LEN($A$2)+1,FIND(",",_xlfn.CONCAT(Lines!F15,","),FIND($A$2,Lines!F15))-FIND($A$2,Lines!F15)-LEN($A$2)-1))</f>
        <v/>
      </c>
      <c r="G15" s="33" t="str">
        <f>IF(ISERROR(FIND($A$2,Lines!G15))=TRUE,"",MID(Lines!G15,FIND($A$2,Lines!G15)+LEN($A$2)+1,FIND(",",_xlfn.CONCAT(Lines!G15,","),FIND($A$2,Lines!G15))-FIND($A$2,Lines!G15)-LEN($A$2)-1))</f>
        <v/>
      </c>
      <c r="H15" s="33" t="str">
        <f>IF(ISERROR(FIND($A$2,Lines!H15))=TRUE,"",MID(Lines!H15,FIND($A$2,Lines!H15)+LEN($A$2)+1,FIND(",",_xlfn.CONCAT(Lines!H15,","),FIND($A$2,Lines!H15))-FIND($A$2,Lines!H15)-LEN($A$2)-1))</f>
        <v/>
      </c>
      <c r="I15" s="33" t="str">
        <f>IF(ISERROR(FIND($A$2,Lines!I15))=TRUE,"",MID(Lines!I15,FIND($A$2,Lines!I15)+LEN($A$2)+1,FIND(",",_xlfn.CONCAT(Lines!I15,","),FIND($A$2,Lines!I15))-FIND($A$2,Lines!I15)-LEN($A$2)-1))</f>
        <v/>
      </c>
      <c r="J15" s="68" t="str">
        <f>IF(ISERROR(FIND($A$2,Lines!J15))=TRUE,"",MID(Lines!J15,FIND($A$2,Lines!J15)+LEN($A$2)+1,FIND(",",_xlfn.CONCAT(Lines!J15,","),FIND($A$2,Lines!J15))-FIND($A$2,Lines!J15)-LEN($A$2)-1))</f>
        <v/>
      </c>
      <c r="K15" s="33" t="str">
        <f>IF(ISERROR(FIND($A$2,Lines!K15))=TRUE,"",MID(Lines!K15,FIND($A$2,Lines!K15)+LEN($A$2)+1,FIND(",",_xlfn.CONCAT(Lines!K15,","),FIND($A$2,Lines!K15))-FIND($A$2,Lines!K15)-LEN($A$2)-1))</f>
        <v/>
      </c>
      <c r="L15" s="33" t="str">
        <f>IF(ISERROR(FIND($A$2,Lines!L15))=TRUE,"",MID(Lines!L15,FIND($A$2,Lines!L15)+LEN($A$2)+1,FIND(",",_xlfn.CONCAT(Lines!L15,","),FIND($A$2,Lines!L15))-FIND($A$2,Lines!L15)-LEN($A$2)-1))</f>
        <v/>
      </c>
      <c r="M15" s="64" t="str">
        <f>IF(ISERROR(FIND($A$2,Lines!M15))=TRUE,"",MID(Lines!M15,FIND($A$2,Lines!M15)+LEN($A$2)+1,FIND(",",_xlfn.CONCAT(Lines!M15,","),FIND($A$2,Lines!M15))-FIND($A$2,Lines!M15)-LEN($A$2)-1))</f>
        <v/>
      </c>
      <c r="N15" s="30" t="str">
        <f>IF(ISERROR(FIND($A$2,Lines!N15))=TRUE,"",MID(Lines!N15,FIND($A$2,Lines!N15)+LEN($A$2)+1,FIND(",",_xlfn.CONCAT(Lines!N15,","),FIND($A$2,Lines!N15))-FIND($A$2,Lines!N15)-LEN($A$2)-1))</f>
        <v/>
      </c>
      <c r="O15" s="30" t="str">
        <f>IF(ISERROR(FIND($A$2,Lines!O15))=TRUE,"",MID(Lines!O15,FIND($A$2,Lines!O15)+LEN($A$2)+1,FIND(",",_xlfn.CONCAT(Lines!O15,","),FIND($A$2,Lines!O15))-FIND($A$2,Lines!O15)-LEN($A$2)-1))</f>
        <v/>
      </c>
      <c r="P15" s="30" t="str">
        <f>IF(ISERROR(FIND($A$2,Lines!P15))=TRUE,"",MID(Lines!P15,FIND($A$2,Lines!P15)+LEN($A$2)+1,FIND(",",_xlfn.CONCAT(Lines!P15,","),FIND($A$2,Lines!P15))-FIND($A$2,Lines!P15)-LEN($A$2)-1))</f>
        <v/>
      </c>
      <c r="Q15" s="30" t="str">
        <f>IF(ISERROR(FIND($A$2,Lines!Q15))=TRUE,"",MID(Lines!Q15,FIND($A$2,Lines!Q15)+LEN($A$2)+1,FIND(",",_xlfn.CONCAT(Lines!Q15,","),FIND($A$2,Lines!Q15))-FIND($A$2,Lines!Q15)-LEN($A$2)-1))</f>
        <v/>
      </c>
      <c r="R15" s="30" t="str">
        <f>IF(ISERROR(FIND($A$2,Lines!R15))=TRUE,"",MID(Lines!R15,FIND($A$2,Lines!R15)+LEN($A$2)+1,FIND(",",_xlfn.CONCAT(Lines!R15,","),FIND($A$2,Lines!R15))-FIND($A$2,Lines!R15)-LEN($A$2)-1))</f>
        <v/>
      </c>
      <c r="S15" s="30" t="str">
        <f>IF(ISERROR(FIND($A$2,Lines!S15))=TRUE,"",MID(Lines!S15,FIND($A$2,Lines!S15)+LEN($A$2)+1,FIND(",",_xlfn.CONCAT(Lines!S15,","),FIND($A$2,Lines!S15))-FIND($A$2,Lines!S15)-LEN($A$2)-1))</f>
        <v/>
      </c>
      <c r="T15" s="30" t="str">
        <f>IF(ISERROR(FIND($A$2,Lines!T15))=TRUE,"",MID(Lines!T15,FIND($A$2,Lines!T15)+LEN($A$2)+1,FIND(",",_xlfn.CONCAT(Lines!T15,","),FIND($A$2,Lines!T15))-FIND($A$2,Lines!T15)-LEN($A$2)-1))</f>
        <v/>
      </c>
      <c r="U15" s="30" t="str">
        <f>IF(ISERROR(FIND($A$2,Lines!U15))=TRUE,"",MID(Lines!U15,FIND($A$2,Lines!U15)+LEN($A$2)+1,FIND(",",_xlfn.CONCAT(Lines!U15,","),FIND($A$2,Lines!U15))-FIND($A$2,Lines!U15)-LEN($A$2)-1))</f>
        <v/>
      </c>
      <c r="V15" s="30" t="str">
        <f>IF(ISERROR(FIND($A$2,Lines!V15))=TRUE,"",MID(Lines!V15,FIND($A$2,Lines!V15)+LEN($A$2)+1,FIND(",",_xlfn.CONCAT(Lines!V15,","),FIND($A$2,Lines!V15))-FIND($A$2,Lines!V15)-LEN($A$2)-1))</f>
        <v/>
      </c>
      <c r="W15" s="36" t="str">
        <f>IF(ISERROR(FIND($A$2,Lines!W15))=TRUE,"",MID(Lines!W15,FIND($A$2,Lines!W15)+LEN($A$2)+1,FIND(",",_xlfn.CONCAT(Lines!W15,","),FIND($A$2,Lines!W15))-FIND($A$2,Lines!W15)-LEN($A$2)-1))</f>
        <v/>
      </c>
      <c r="X15" s="30" t="str">
        <f>IF(ISERROR(FIND($A$2,Lines!X15))=TRUE,"",MID(Lines!X15,FIND($A$2,Lines!X15)+LEN($A$2)+1,FIND(",",_xlfn.CONCAT(Lines!X15,","),FIND($A$2,Lines!X15))-FIND($A$2,Lines!X15)-LEN($A$2)-1))</f>
        <v/>
      </c>
      <c r="Y15" s="30" t="str">
        <f>IF(ISERROR(FIND($A$2,Lines!Y15))=TRUE,"",MID(Lines!Y15,FIND($A$2,Lines!Y15)+LEN($A$2)+1,FIND(",",_xlfn.CONCAT(Lines!Y15,","),FIND($A$2,Lines!Y15))-FIND($A$2,Lines!Y15)-LEN($A$2)-1))</f>
        <v/>
      </c>
      <c r="Z15" s="30" t="str">
        <f>IF(ISERROR(FIND($A$2,Lines!Z15))=TRUE,"",MID(Lines!Z15,FIND($A$2,Lines!Z15)+LEN($A$2)+1,FIND(",",_xlfn.CONCAT(Lines!Z15,","),FIND($A$2,Lines!Z15))-FIND($A$2,Lines!Z15)-LEN($A$2)-1))</f>
        <v/>
      </c>
      <c r="AA15" s="30" t="str">
        <f>IF(ISERROR(FIND($A$2,Lines!AA15))=TRUE,"",MID(Lines!AA15,FIND($A$2,Lines!AA15)+LEN($A$2)+1,FIND(",",_xlfn.CONCAT(Lines!AA15,","),FIND($A$2,Lines!AA15))-FIND($A$2,Lines!AA15)-LEN($A$2)-1))</f>
        <v/>
      </c>
      <c r="AB15" s="30" t="str">
        <f>IF(ISERROR(FIND($A$2,Lines!AB15))=TRUE,"",MID(Lines!AB15,FIND($A$2,Lines!AB15)+LEN($A$2)+1,FIND(",",_xlfn.CONCAT(Lines!AB15,","),FIND($A$2,Lines!AB15))-FIND($A$2,Lines!AB15)-LEN($A$2)-1))</f>
        <v/>
      </c>
      <c r="AC15" s="30" t="str">
        <f>IF(ISERROR(FIND($A$2,Lines!AC15))=TRUE,"",MID(Lines!AC15,FIND($A$2,Lines!AC15)+LEN($A$2)+1,FIND(",",_xlfn.CONCAT(Lines!AC15,","),FIND($A$2,Lines!AC15))-FIND($A$2,Lines!AC15)-LEN($A$2)-1))</f>
        <v/>
      </c>
      <c r="AD15" s="30" t="str">
        <f>IF(ISERROR(FIND($A$2,Lines!AD15))=TRUE,"",MID(Lines!AD15,FIND($A$2,Lines!AD15)+LEN($A$2)+1,FIND(",",_xlfn.CONCAT(Lines!AD15,","),FIND($A$2,Lines!AD15))-FIND($A$2,Lines!AD15)-LEN($A$2)-1))</f>
        <v/>
      </c>
      <c r="AE15" s="30" t="str">
        <f>IF(ISERROR(FIND($A$2,Lines!AE15))=TRUE,"",MID(Lines!AE15,FIND($A$2,Lines!AE15)+LEN($A$2)+1,FIND(",",_xlfn.CONCAT(Lines!AE15,","),FIND($A$2,Lines!AE15))-FIND($A$2,Lines!AE15)-LEN($A$2)-1))</f>
        <v/>
      </c>
      <c r="AF15" s="30" t="str">
        <f>IF(ISERROR(FIND($A$2,Lines!AF15))=TRUE,"",MID(Lines!AF15,FIND($A$2,Lines!AF15)+LEN($A$2)+1,FIND(",",_xlfn.CONCAT(Lines!AF15,","),FIND($A$2,Lines!AF15))-FIND($A$2,Lines!AF15)-LEN($A$2)-1))</f>
        <v/>
      </c>
      <c r="AG15" s="30" t="str">
        <f>IF(ISERROR(FIND($A$2,Lines!AG15))=TRUE,"",MID(Lines!AG15,FIND($A$2,Lines!AG15)+LEN($A$2)+1,FIND(",",_xlfn.CONCAT(Lines!AG15,","),FIND($A$2,Lines!AG15))-FIND($A$2,Lines!AG15)-LEN($A$2)-1))</f>
        <v/>
      </c>
      <c r="AH15" s="30" t="str">
        <f>IF(ISERROR(FIND($A$2,Lines!AH15))=TRUE,"",MID(Lines!AH15,FIND($A$2,Lines!AH15)+LEN($A$2)+1,FIND(",",_xlfn.CONCAT(Lines!AH15,","),FIND($A$2,Lines!AH15))-FIND($A$2,Lines!AH15)-LEN($A$2)-1))</f>
        <v/>
      </c>
      <c r="AI15" s="30" t="str">
        <f>IF(ISERROR(FIND($A$2,Lines!AI15))=TRUE,"",MID(Lines!AI15,FIND($A$2,Lines!AI15)+LEN($A$2)+1,FIND(",",_xlfn.CONCAT(Lines!AI15,","),FIND($A$2,Lines!AI15))-FIND($A$2,Lines!AI15)-LEN($A$2)-1))</f>
        <v/>
      </c>
      <c r="AJ15" s="30" t="str">
        <f>IF(ISERROR(FIND($A$2,Lines!AJ15))=TRUE,"",MID(Lines!AJ15,FIND($A$2,Lines!AJ15)+LEN($A$2)+1,FIND(",",_xlfn.CONCAT(Lines!AJ15,","),FIND($A$2,Lines!AJ15))-FIND($A$2,Lines!AJ15)-LEN($A$2)-1))</f>
        <v/>
      </c>
      <c r="AK15" s="30" t="str">
        <f>IF(ISERROR(FIND($A$2,Lines!AK15))=TRUE,"",MID(Lines!AK15,FIND($A$2,Lines!AK15)+LEN($A$2)+1,FIND(",",_xlfn.CONCAT(Lines!AK15,","),FIND($A$2,Lines!AK15))-FIND($A$2,Lines!AK15)-LEN($A$2)-1))</f>
        <v/>
      </c>
      <c r="AL15" s="30" t="str">
        <f>IF(ISERROR(FIND($A$2,Lines!AL15))=TRUE,"",MID(Lines!AL15,FIND($A$2,Lines!AL15)+LEN($A$2)+1,FIND(",",_xlfn.CONCAT(Lines!AL15,","),FIND($A$2,Lines!AL15))-FIND($A$2,Lines!AL15)-LEN($A$2)-1))</f>
        <v/>
      </c>
      <c r="AM15" s="30" t="str">
        <f>IF(ISERROR(FIND($A$2,Lines!AM15))=TRUE,"",MID(Lines!AM15,FIND($A$2,Lines!AM15)+LEN($A$2)+1,FIND(",",_xlfn.CONCAT(Lines!AM15,","),FIND($A$2,Lines!AM15))-FIND($A$2,Lines!AM15)-LEN($A$2)-1))</f>
        <v/>
      </c>
      <c r="AN15" s="30" t="str">
        <f>IF(ISERROR(FIND($A$2,Lines!AN15))=TRUE,"",MID(Lines!AN15,FIND($A$2,Lines!AN15)+LEN($A$2)+1,FIND(",",_xlfn.CONCAT(Lines!AN15,","),FIND($A$2,Lines!AN15))-FIND($A$2,Lines!AN15)-LEN($A$2)-1))</f>
        <v/>
      </c>
      <c r="AO15" s="30" t="str">
        <f>IF(ISERROR(FIND($A$2,Lines!AO15))=TRUE,"",MID(Lines!AO15,FIND($A$2,Lines!AO15)+LEN($A$2)+1,FIND(",",_xlfn.CONCAT(Lines!AO15,","),FIND($A$2,Lines!AO15))-FIND($A$2,Lines!AO15)-LEN($A$2)-1))</f>
        <v/>
      </c>
      <c r="AP15" s="30" t="str">
        <f>IF(ISERROR(FIND($A$2,Lines!AP15))=TRUE,"",MID(Lines!AP15,FIND($A$2,Lines!AP15)+LEN($A$2)+1,FIND(",",_xlfn.CONCAT(Lines!AP15,","),FIND($A$2,Lines!AP15))-FIND($A$2,Lines!AP15)-LEN($A$2)-1))</f>
        <v/>
      </c>
      <c r="AQ15" s="30" t="str">
        <f>IF(ISERROR(FIND($A$2,Lines!AQ15))=TRUE,"",MID(Lines!AQ15,FIND($A$2,Lines!AQ15)+LEN($A$2)+1,FIND(",",_xlfn.CONCAT(Lines!AQ15,","),FIND($A$2,Lines!AQ15))-FIND($A$2,Lines!AQ15)-LEN($A$2)-1))</f>
        <v/>
      </c>
      <c r="AR15" s="30" t="str">
        <f>IF(ISERROR(FIND($A$2,Lines!AR15))=TRUE,"",MID(Lines!AR15,FIND($A$2,Lines!AR15)+LEN($A$2)+1,FIND(",",_xlfn.CONCAT(Lines!AR15,","),FIND($A$2,Lines!AR15))-FIND($A$2,Lines!AR15)-LEN($A$2)-1))</f>
        <v/>
      </c>
      <c r="AS15" s="30" t="str">
        <f>IF(ISERROR(FIND($A$2,Lines!AS15))=TRUE,"",MID(Lines!AS15,FIND($A$2,Lines!AS15)+LEN($A$2)+1,FIND(",",_xlfn.CONCAT(Lines!AS15,","),FIND($A$2,Lines!AS15))-FIND($A$2,Lines!AS15)-LEN($A$2)-1))</f>
        <v/>
      </c>
      <c r="AT15" s="30" t="str">
        <f>IF(ISERROR(FIND($A$2,Lines!AT15))=TRUE,"",MID(Lines!AT15,FIND($A$2,Lines!AT15)+LEN($A$2)+1,FIND(",",_xlfn.CONCAT(Lines!AT15,","),FIND($A$2,Lines!AT15))-FIND($A$2,Lines!AT15)-LEN($A$2)-1))</f>
        <v/>
      </c>
    </row>
    <row r="16" spans="1:46" ht="20.25" customHeight="1">
      <c r="A16" s="2" t="s">
        <v>12</v>
      </c>
      <c r="B16" s="30" t="str">
        <f>IF(ISERROR(FIND($A$2,Lines!B16))=TRUE,"",MID(Lines!B16,FIND($A$2,Lines!B16)+LEN($A$2)+1,FIND(",",_xlfn.CONCAT(Lines!B16,","),FIND($A$2,Lines!B16))-FIND($A$2,Lines!B16)-LEN($A$2)-1))</f>
        <v/>
      </c>
      <c r="C16" s="30" t="str">
        <f>IF(ISERROR(FIND($A$2,Lines!C16))=TRUE,"",MID(Lines!C16,FIND($A$2,Lines!C16)+LEN($A$2)+1,FIND(",",_xlfn.CONCAT(Lines!C16,","),FIND($A$2,Lines!C16))-FIND($A$2,Lines!C16)-LEN($A$2)-1))</f>
        <v/>
      </c>
      <c r="D16" s="30" t="str">
        <f>IF(ISERROR(FIND($A$2,Lines!D16))=TRUE,"",MID(Lines!D16,FIND($A$2,Lines!D16)+LEN($A$2)+1,FIND(",",_xlfn.CONCAT(Lines!D16,","),FIND($A$2,Lines!D16))-FIND($A$2,Lines!D16)-LEN($A$2)-1))</f>
        <v/>
      </c>
      <c r="E16" s="30" t="str">
        <f>IF(ISERROR(FIND($A$2,Lines!E16))=TRUE,"",MID(Lines!E16,FIND($A$2,Lines!E16)+LEN($A$2)+1,FIND(",",_xlfn.CONCAT(Lines!E16,","),FIND($A$2,Lines!E16))-FIND($A$2,Lines!E16)-LEN($A$2)-1))</f>
        <v/>
      </c>
      <c r="F16" s="30" t="str">
        <f>IF(ISERROR(FIND($A$2,Lines!F16))=TRUE,"",MID(Lines!F16,FIND($A$2,Lines!F16)+LEN($A$2)+1,FIND(",",_xlfn.CONCAT(Lines!F16,","),FIND($A$2,Lines!F16))-FIND($A$2,Lines!F16)-LEN($A$2)-1))</f>
        <v/>
      </c>
      <c r="G16" s="30" t="str">
        <f>IF(ISERROR(FIND($A$2,Lines!G16))=TRUE,"",MID(Lines!G16,FIND($A$2,Lines!G16)+LEN($A$2)+1,FIND(",",_xlfn.CONCAT(Lines!G16,","),FIND($A$2,Lines!G16))-FIND($A$2,Lines!G16)-LEN($A$2)-1))</f>
        <v/>
      </c>
      <c r="H16" s="30" t="str">
        <f>IF(ISERROR(FIND($A$2,Lines!H16))=TRUE,"",MID(Lines!H16,FIND($A$2,Lines!H16)+LEN($A$2)+1,FIND(",",_xlfn.CONCAT(Lines!H16,","),FIND($A$2,Lines!H16))-FIND($A$2,Lines!H16)-LEN($A$2)-1))</f>
        <v/>
      </c>
      <c r="I16" s="30" t="str">
        <f>IF(ISERROR(FIND($A$2,Lines!I16))=TRUE,"",MID(Lines!I16,FIND($A$2,Lines!I16)+LEN($A$2)+1,FIND(",",_xlfn.CONCAT(Lines!I16,","),FIND($A$2,Lines!I16))-FIND($A$2,Lines!I16)-LEN($A$2)-1))</f>
        <v/>
      </c>
      <c r="J16" s="30" t="str">
        <f>IF(ISERROR(FIND($A$2,Lines!J16))=TRUE,"",MID(Lines!J16,FIND($A$2,Lines!J16)+LEN($A$2)+1,FIND(",",_xlfn.CONCAT(Lines!J16,","),FIND($A$2,Lines!J16))-FIND($A$2,Lines!J16)-LEN($A$2)-1))</f>
        <v/>
      </c>
      <c r="K16" s="30" t="str">
        <f>IF(ISERROR(FIND($A$2,Lines!K16))=TRUE,"",MID(Lines!K16,FIND($A$2,Lines!K16)+LEN($A$2)+1,FIND(",",_xlfn.CONCAT(Lines!K16,","),FIND($A$2,Lines!K16))-FIND($A$2,Lines!K16)-LEN($A$2)-1))</f>
        <v/>
      </c>
      <c r="L16" s="30" t="str">
        <f>IF(ISERROR(FIND($A$2,Lines!L16))=TRUE,"",MID(Lines!L16,FIND($A$2,Lines!L16)+LEN($A$2)+1,FIND(",",_xlfn.CONCAT(Lines!L16,","),FIND($A$2,Lines!L16))-FIND($A$2,Lines!L16)-LEN($A$2)-1))</f>
        <v/>
      </c>
      <c r="M16" s="30" t="str">
        <f>IF(ISERROR(FIND($A$2,Lines!M16))=TRUE,"",MID(Lines!M16,FIND($A$2,Lines!M16)+LEN($A$2)+1,FIND(",",_xlfn.CONCAT(Lines!M16,","),FIND($A$2,Lines!M16))-FIND($A$2,Lines!M16)-LEN($A$2)-1))</f>
        <v/>
      </c>
      <c r="N16" s="65" t="str">
        <f>IF(ISERROR(FIND($A$2,Lines!N16))=TRUE,"",MID(Lines!N16,FIND($A$2,Lines!N16)+LEN($A$2)+1,FIND(",",_xlfn.CONCAT(Lines!N16,","),FIND($A$2,Lines!N16))-FIND($A$2,Lines!N16)-LEN($A$2)-1))</f>
        <v/>
      </c>
      <c r="O16" s="32" t="str">
        <f>IF(ISERROR(FIND($A$2,Lines!O16))=TRUE,"",MID(Lines!O16,FIND($A$2,Lines!O16)+LEN($A$2)+1,FIND(",",_xlfn.CONCAT(Lines!O16,","),FIND($A$2,Lines!O16))-FIND($A$2,Lines!O16)-LEN($A$2)-1))</f>
        <v/>
      </c>
      <c r="P16" s="29" t="str">
        <f>IF(ISERROR(FIND($A$2,Lines!P16))=TRUE,"",MID(Lines!P16,FIND($A$2,Lines!P16)+LEN($A$2)+1,FIND(",",_xlfn.CONCAT(Lines!P16,","),FIND($A$2,Lines!P16))-FIND($A$2,Lines!P16)-LEN($A$2)-1))</f>
        <v/>
      </c>
      <c r="Q16" s="29" t="str">
        <f>IF(ISERROR(FIND($A$2,Lines!Q16))=TRUE,"",MID(Lines!Q16,FIND($A$2,Lines!Q16)+LEN($A$2)+1,FIND(",",_xlfn.CONCAT(Lines!Q16,","),FIND($A$2,Lines!Q16))-FIND($A$2,Lines!Q16)-LEN($A$2)-1))</f>
        <v/>
      </c>
      <c r="R16" s="29" t="str">
        <f>IF(ISERROR(FIND($A$2,Lines!R16))=TRUE,"",MID(Lines!R16,FIND($A$2,Lines!R16)+LEN($A$2)+1,FIND(",",_xlfn.CONCAT(Lines!R16,","),FIND($A$2,Lines!R16))-FIND($A$2,Lines!R16)-LEN($A$2)-1))</f>
        <v/>
      </c>
      <c r="S16" s="29" t="str">
        <f>IF(ISERROR(FIND($A$2,Lines!S16))=TRUE,"",MID(Lines!S16,FIND($A$2,Lines!S16)+LEN($A$2)+1,FIND(",",_xlfn.CONCAT(Lines!S16,","),FIND($A$2,Lines!S16))-FIND($A$2,Lines!S16)-LEN($A$2)-1))</f>
        <v/>
      </c>
      <c r="T16" s="29" t="str">
        <f>IF(ISERROR(FIND($A$2,Lines!T16))=TRUE,"",MID(Lines!T16,FIND($A$2,Lines!T16)+LEN($A$2)+1,FIND(",",_xlfn.CONCAT(Lines!T16,","),FIND($A$2,Lines!T16))-FIND($A$2,Lines!T16)-LEN($A$2)-1))</f>
        <v/>
      </c>
      <c r="U16" s="29" t="str">
        <f>IF(ISERROR(FIND($A$2,Lines!U16))=TRUE,"",MID(Lines!U16,FIND($A$2,Lines!U16)+LEN($A$2)+1,FIND(",",_xlfn.CONCAT(Lines!U16,","),FIND($A$2,Lines!U16))-FIND($A$2,Lines!U16)-LEN($A$2)-1))</f>
        <v/>
      </c>
      <c r="V16" s="34" t="str">
        <f>IF(ISERROR(FIND($A$2,Lines!V16))=TRUE,"",MID(Lines!V16,FIND($A$2,Lines!V16)+LEN($A$2)+1,FIND(",",_xlfn.CONCAT(Lines!V16,","),FIND($A$2,Lines!V16))-FIND($A$2,Lines!V16)-LEN($A$2)-1))</f>
        <v/>
      </c>
      <c r="W16" s="36" t="str">
        <f>IF(ISERROR(FIND($A$2,Lines!W16))=TRUE,"",MID(Lines!W16,FIND($A$2,Lines!W16)+LEN($A$2)+1,FIND(",",_xlfn.CONCAT(Lines!W16,","),FIND($A$2,Lines!W16))-FIND($A$2,Lines!W16)-LEN($A$2)-1))</f>
        <v/>
      </c>
      <c r="X16" s="30" t="str">
        <f>IF(ISERROR(FIND($A$2,Lines!X16))=TRUE,"",MID(Lines!X16,FIND($A$2,Lines!X16)+LEN($A$2)+1,FIND(",",_xlfn.CONCAT(Lines!X16,","),FIND($A$2,Lines!X16))-FIND($A$2,Lines!X16)-LEN($A$2)-1))</f>
        <v>4</v>
      </c>
      <c r="Y16" s="30" t="str">
        <f>IF(ISERROR(FIND($A$2,Lines!Y16))=TRUE,"",MID(Lines!Y16,FIND($A$2,Lines!Y16)+LEN($A$2)+1,FIND(",",_xlfn.CONCAT(Lines!Y16,","),FIND($A$2,Lines!Y16))-FIND($A$2,Lines!Y16)-LEN($A$2)-1))</f>
        <v/>
      </c>
      <c r="Z16" s="30" t="str">
        <f>IF(ISERROR(FIND($A$2,Lines!Z16))=TRUE,"",MID(Lines!Z16,FIND($A$2,Lines!Z16)+LEN($A$2)+1,FIND(",",_xlfn.CONCAT(Lines!Z16,","),FIND($A$2,Lines!Z16))-FIND($A$2,Lines!Z16)-LEN($A$2)-1))</f>
        <v/>
      </c>
      <c r="AA16" s="30" t="str">
        <f>IF(ISERROR(FIND($A$2,Lines!AA16))=TRUE,"",MID(Lines!AA16,FIND($A$2,Lines!AA16)+LEN($A$2)+1,FIND(",",_xlfn.CONCAT(Lines!AA16,","),FIND($A$2,Lines!AA16))-FIND($A$2,Lines!AA16)-LEN($A$2)-1))</f>
        <v/>
      </c>
      <c r="AB16" s="30" t="str">
        <f>IF(ISERROR(FIND($A$2,Lines!#REF!))=TRUE,"",MID(Lines!#REF!,FIND($A$2,Lines!#REF!)+LEN($A$2)+1,FIND(",",_xlfn.CONCAT(Lines!#REF!,","),FIND($A$2,Lines!#REF!))-FIND($A$2,Lines!#REF!)-LEN($A$2)-1))</f>
        <v/>
      </c>
      <c r="AC16" s="30" t="str">
        <f>IF(ISERROR(FIND($A$2,Lines!AC16))=TRUE,"",MID(Lines!AC16,FIND($A$2,Lines!AC16)+LEN($A$2)+1,FIND(",",_xlfn.CONCAT(Lines!AC16,","),FIND($A$2,Lines!AC16))-FIND($A$2,Lines!AC16)-LEN($A$2)-1))</f>
        <v/>
      </c>
      <c r="AD16" s="30" t="str">
        <f>IF(ISERROR(FIND($A$2,Lines!AD16))=TRUE,"",MID(Lines!AD16,FIND($A$2,Lines!AD16)+LEN($A$2)+1,FIND(",",_xlfn.CONCAT(Lines!AD16,","),FIND($A$2,Lines!AD16))-FIND($A$2,Lines!AD16)-LEN($A$2)-1))</f>
        <v/>
      </c>
      <c r="AE16" s="30" t="str">
        <f>IF(ISERROR(FIND($A$2,Lines!AE16))=TRUE,"",MID(Lines!AE16,FIND($A$2,Lines!AE16)+LEN($A$2)+1,FIND(",",_xlfn.CONCAT(Lines!AE16,","),FIND($A$2,Lines!AE16))-FIND($A$2,Lines!AE16)-LEN($A$2)-1))</f>
        <v/>
      </c>
      <c r="AF16" s="30" t="str">
        <f>IF(ISERROR(FIND($A$2,Lines!AF16))=TRUE,"",MID(Lines!AF16,FIND($A$2,Lines!AF16)+LEN($A$2)+1,FIND(",",_xlfn.CONCAT(Lines!AF16,","),FIND($A$2,Lines!AF16))-FIND($A$2,Lines!AF16)-LEN($A$2)-1))</f>
        <v/>
      </c>
      <c r="AG16" s="30" t="str">
        <f>IF(ISERROR(FIND($A$2,Lines!AG16))=TRUE,"",MID(Lines!AG16,FIND($A$2,Lines!AG16)+LEN($A$2)+1,FIND(",",_xlfn.CONCAT(Lines!AG16,","),FIND($A$2,Lines!AG16))-FIND($A$2,Lines!AG16)-LEN($A$2)-1))</f>
        <v/>
      </c>
      <c r="AH16" s="30" t="str">
        <f>IF(ISERROR(FIND($A$2,Lines!AH16))=TRUE,"",MID(Lines!AH16,FIND($A$2,Lines!AH16)+LEN($A$2)+1,FIND(",",_xlfn.CONCAT(Lines!AH16,","),FIND($A$2,Lines!AH16))-FIND($A$2,Lines!AH16)-LEN($A$2)-1))</f>
        <v/>
      </c>
      <c r="AI16" s="30" t="str">
        <f>IF(ISERROR(FIND($A$2,Lines!AI16))=TRUE,"",MID(Lines!AI16,FIND($A$2,Lines!AI16)+LEN($A$2)+1,FIND(",",_xlfn.CONCAT(Lines!AI16,","),FIND($A$2,Lines!AI16))-FIND($A$2,Lines!AI16)-LEN($A$2)-1))</f>
        <v/>
      </c>
      <c r="AJ16" s="30" t="str">
        <f>IF(ISERROR(FIND($A$2,Lines!AJ16))=TRUE,"",MID(Lines!AJ16,FIND($A$2,Lines!AJ16)+LEN($A$2)+1,FIND(",",_xlfn.CONCAT(Lines!AJ16,","),FIND($A$2,Lines!AJ16))-FIND($A$2,Lines!AJ16)-LEN($A$2)-1))</f>
        <v/>
      </c>
      <c r="AK16" s="30" t="str">
        <f>IF(ISERROR(FIND($A$2,Lines!AK16))=TRUE,"",MID(Lines!AK16,FIND($A$2,Lines!AK16)+LEN($A$2)+1,FIND(",",_xlfn.CONCAT(Lines!AK16,","),FIND($A$2,Lines!AK16))-FIND($A$2,Lines!AK16)-LEN($A$2)-1))</f>
        <v/>
      </c>
      <c r="AL16" s="30" t="str">
        <f>IF(ISERROR(FIND($A$2,Lines!AL16))=TRUE,"",MID(Lines!AL16,FIND($A$2,Lines!AL16)+LEN($A$2)+1,FIND(",",_xlfn.CONCAT(Lines!AL16,","),FIND($A$2,Lines!AL16))-FIND($A$2,Lines!AL16)-LEN($A$2)-1))</f>
        <v/>
      </c>
      <c r="AM16" s="30" t="str">
        <f>IF(ISERROR(FIND($A$2,Lines!AM16))=TRUE,"",MID(Lines!AM16,FIND($A$2,Lines!AM16)+LEN($A$2)+1,FIND(",",_xlfn.CONCAT(Lines!AM16,","),FIND($A$2,Lines!AM16))-FIND($A$2,Lines!AM16)-LEN($A$2)-1))</f>
        <v/>
      </c>
      <c r="AN16" s="30" t="str">
        <f>IF(ISERROR(FIND($A$2,Lines!AN16))=TRUE,"",MID(Lines!AN16,FIND($A$2,Lines!AN16)+LEN($A$2)+1,FIND(",",_xlfn.CONCAT(Lines!AN16,","),FIND($A$2,Lines!AN16))-FIND($A$2,Lines!AN16)-LEN($A$2)-1))</f>
        <v/>
      </c>
      <c r="AO16" s="30" t="str">
        <f>IF(ISERROR(FIND($A$2,Lines!AO16))=TRUE,"",MID(Lines!AO16,FIND($A$2,Lines!AO16)+LEN($A$2)+1,FIND(",",_xlfn.CONCAT(Lines!AO16,","),FIND($A$2,Lines!AO16))-FIND($A$2,Lines!AO16)-LEN($A$2)-1))</f>
        <v/>
      </c>
      <c r="AP16" s="30" t="str">
        <f>IF(ISERROR(FIND($A$2,Lines!AP16))=TRUE,"",MID(Lines!AP16,FIND($A$2,Lines!AP16)+LEN($A$2)+1,FIND(",",_xlfn.CONCAT(Lines!AP16,","),FIND($A$2,Lines!AP16))-FIND($A$2,Lines!AP16)-LEN($A$2)-1))</f>
        <v/>
      </c>
      <c r="AQ16" s="30" t="str">
        <f>IF(ISERROR(FIND($A$2,Lines!AQ16))=TRUE,"",MID(Lines!AQ16,FIND($A$2,Lines!AQ16)+LEN($A$2)+1,FIND(",",_xlfn.CONCAT(Lines!AQ16,","),FIND($A$2,Lines!AQ16))-FIND($A$2,Lines!AQ16)-LEN($A$2)-1))</f>
        <v/>
      </c>
      <c r="AR16" s="30" t="str">
        <f>IF(ISERROR(FIND($A$2,Lines!AR16))=TRUE,"",MID(Lines!AR16,FIND($A$2,Lines!AR16)+LEN($A$2)+1,FIND(",",_xlfn.CONCAT(Lines!AR16,","),FIND($A$2,Lines!AR16))-FIND($A$2,Lines!AR16)-LEN($A$2)-1))</f>
        <v/>
      </c>
      <c r="AS16" s="30" t="str">
        <f>IF(ISERROR(FIND($A$2,Lines!AS16))=TRUE,"",MID(Lines!AS16,FIND($A$2,Lines!AS16)+LEN($A$2)+1,FIND(",",_xlfn.CONCAT(Lines!AS16,","),FIND($A$2,Lines!AS16))-FIND($A$2,Lines!AS16)-LEN($A$2)-1))</f>
        <v/>
      </c>
      <c r="AT16" s="30" t="str">
        <f>IF(ISERROR(FIND($A$2,Lines!AT16))=TRUE,"",MID(Lines!AT16,FIND($A$2,Lines!AT16)+LEN($A$2)+1,FIND(",",_xlfn.CONCAT(Lines!AT16,","),FIND($A$2,Lines!AT16))-FIND($A$2,Lines!AT16)-LEN($A$2)-1))</f>
        <v/>
      </c>
    </row>
    <row r="17" spans="1:46" ht="20.25" customHeight="1">
      <c r="A17" s="2" t="s">
        <v>13</v>
      </c>
      <c r="B17" s="30" t="str">
        <f>IF(ISERROR(FIND($A$2,Lines!B17))=TRUE,"",MID(Lines!B17,FIND($A$2,Lines!B17)+LEN($A$2)+1,FIND(",",_xlfn.CONCAT(Lines!B17,","),FIND($A$2,Lines!B17))-FIND($A$2,Lines!B17)-LEN($A$2)-1))</f>
        <v/>
      </c>
      <c r="C17" s="30" t="str">
        <f>IF(ISERROR(FIND($A$2,Lines!C17))=TRUE,"",MID(Lines!C17,FIND($A$2,Lines!C17)+LEN($A$2)+1,FIND(",",_xlfn.CONCAT(Lines!C17,","),FIND($A$2,Lines!C17))-FIND($A$2,Lines!C17)-LEN($A$2)-1))</f>
        <v/>
      </c>
      <c r="D17" s="30" t="str">
        <f>IF(ISERROR(FIND($A$2,Lines!D17))=TRUE,"",MID(Lines!D17,FIND($A$2,Lines!D17)+LEN($A$2)+1,FIND(",",_xlfn.CONCAT(Lines!D17,","),FIND($A$2,Lines!D17))-FIND($A$2,Lines!D17)-LEN($A$2)-1))</f>
        <v/>
      </c>
      <c r="E17" s="30" t="str">
        <f>IF(ISERROR(FIND($A$2,Lines!E17))=TRUE,"",MID(Lines!E17,FIND($A$2,Lines!E17)+LEN($A$2)+1,FIND(",",_xlfn.CONCAT(Lines!E17,","),FIND($A$2,Lines!E17))-FIND($A$2,Lines!E17)-LEN($A$2)-1))</f>
        <v/>
      </c>
      <c r="F17" s="30" t="str">
        <f>IF(ISERROR(FIND($A$2,Lines!F17))=TRUE,"",MID(Lines!F17,FIND($A$2,Lines!F17)+LEN($A$2)+1,FIND(",",_xlfn.CONCAT(Lines!F17,","),FIND($A$2,Lines!F17))-FIND($A$2,Lines!F17)-LEN($A$2)-1))</f>
        <v/>
      </c>
      <c r="G17" s="30" t="str">
        <f>IF(ISERROR(FIND($A$2,Lines!G17))=TRUE,"",MID(Lines!G17,FIND($A$2,Lines!G17)+LEN($A$2)+1,FIND(",",_xlfn.CONCAT(Lines!G17,","),FIND($A$2,Lines!G17))-FIND($A$2,Lines!G17)-LEN($A$2)-1))</f>
        <v/>
      </c>
      <c r="H17" s="30" t="str">
        <f>IF(ISERROR(FIND($A$2,Lines!H17))=TRUE,"",MID(Lines!H17,FIND($A$2,Lines!H17)+LEN($A$2)+1,FIND(",",_xlfn.CONCAT(Lines!H17,","),FIND($A$2,Lines!H17))-FIND($A$2,Lines!H17)-LEN($A$2)-1))</f>
        <v/>
      </c>
      <c r="I17" s="30" t="str">
        <f>IF(ISERROR(FIND($A$2,Lines!I17))=TRUE,"",MID(Lines!I17,FIND($A$2,Lines!I17)+LEN($A$2)+1,FIND(",",_xlfn.CONCAT(Lines!I17,","),FIND($A$2,Lines!I17))-FIND($A$2,Lines!I17)-LEN($A$2)-1))</f>
        <v/>
      </c>
      <c r="J17" s="30" t="str">
        <f>IF(ISERROR(FIND($A$2,Lines!J17))=TRUE,"",MID(Lines!J17,FIND($A$2,Lines!J17)+LEN($A$2)+1,FIND(",",_xlfn.CONCAT(Lines!J17,","),FIND($A$2,Lines!J17))-FIND($A$2,Lines!J17)-LEN($A$2)-1))</f>
        <v/>
      </c>
      <c r="K17" s="30" t="str">
        <f>IF(ISERROR(FIND($A$2,Lines!K17))=TRUE,"",MID(Lines!K17,FIND($A$2,Lines!K17)+LEN($A$2)+1,FIND(",",_xlfn.CONCAT(Lines!K17,","),FIND($A$2,Lines!K17))-FIND($A$2,Lines!K17)-LEN($A$2)-1))</f>
        <v/>
      </c>
      <c r="L17" s="30" t="str">
        <f>IF(ISERROR(FIND($A$2,Lines!L17))=TRUE,"",MID(Lines!L17,FIND($A$2,Lines!L17)+LEN($A$2)+1,FIND(",",_xlfn.CONCAT(Lines!L17,","),FIND($A$2,Lines!L17))-FIND($A$2,Lines!L17)-LEN($A$2)-1))</f>
        <v/>
      </c>
      <c r="M17" s="30" t="str">
        <f>IF(ISERROR(FIND($A$2,Lines!M17))=TRUE,"",MID(Lines!M17,FIND($A$2,Lines!M17)+LEN($A$2)+1,FIND(",",_xlfn.CONCAT(Lines!M17,","),FIND($A$2,Lines!M17))-FIND($A$2,Lines!M17)-LEN($A$2)-1))</f>
        <v/>
      </c>
      <c r="N17" s="32" t="str">
        <f>IF(ISERROR(FIND($A$2,Lines!N17))=TRUE,"",MID(Lines!N17,FIND($A$2,Lines!N17)+LEN($A$2)+1,FIND(",",_xlfn.CONCAT(Lines!N17,","),FIND($A$2,Lines!N17))-FIND($A$2,Lines!N17)-LEN($A$2)-1))</f>
        <v/>
      </c>
      <c r="O17" s="66" t="str">
        <f>IF(ISERROR(FIND($A$2,Lines!O17))=TRUE,"",MID(Lines!O17,FIND($A$2,Lines!O17)+LEN($A$2)+1,FIND(",",_xlfn.CONCAT(Lines!O17,","),FIND($A$2,Lines!O17))-FIND($A$2,Lines!O17)-LEN($A$2)-1))</f>
        <v/>
      </c>
      <c r="P17" s="25" t="str">
        <f>IF(ISERROR(FIND($A$2,Lines!P17))=TRUE,"",MID(Lines!P17,FIND($A$2,Lines!P17)+LEN($A$2)+1,FIND(",",_xlfn.CONCAT(Lines!P17,","),FIND($A$2,Lines!P17))-FIND($A$2,Lines!P17)-LEN($A$2)-1))</f>
        <v/>
      </c>
      <c r="Q17" s="25" t="str">
        <f>IF(ISERROR(FIND($A$2,Lines!Q17))=TRUE,"",MID(Lines!Q17,FIND($A$2,Lines!Q17)+LEN($A$2)+1,FIND(",",_xlfn.CONCAT(Lines!Q17,","),FIND($A$2,Lines!Q17))-FIND($A$2,Lines!Q17)-LEN($A$2)-1))</f>
        <v/>
      </c>
      <c r="R17" s="25" t="str">
        <f>IF(ISERROR(FIND($A$2,Lines!R17))=TRUE,"",MID(Lines!R17,FIND($A$2,Lines!R17)+LEN($A$2)+1,FIND(",",_xlfn.CONCAT(Lines!R17,","),FIND($A$2,Lines!R17))-FIND($A$2,Lines!R17)-LEN($A$2)-1))</f>
        <v/>
      </c>
      <c r="S17" s="25" t="str">
        <f>IF(ISERROR(FIND($A$2,Lines!S17))=TRUE,"",MID(Lines!S17,FIND($A$2,Lines!S17)+LEN($A$2)+1,FIND(",",_xlfn.CONCAT(Lines!S17,","),FIND($A$2,Lines!S17))-FIND($A$2,Lines!S17)-LEN($A$2)-1))</f>
        <v/>
      </c>
      <c r="T17" s="25" t="str">
        <f>IF(ISERROR(FIND($A$2,Lines!T17))=TRUE,"",MID(Lines!T17,FIND($A$2,Lines!T17)+LEN($A$2)+1,FIND(",",_xlfn.CONCAT(Lines!T17,","),FIND($A$2,Lines!T17))-FIND($A$2,Lines!T17)-LEN($A$2)-1))</f>
        <v/>
      </c>
      <c r="U17" s="25" t="str">
        <f>IF(ISERROR(FIND($A$2,Lines!U17))=TRUE,"",MID(Lines!U17,FIND($A$2,Lines!U17)+LEN($A$2)+1,FIND(",",_xlfn.CONCAT(Lines!U17,","),FIND($A$2,Lines!U17))-FIND($A$2,Lines!U17)-LEN($A$2)-1))</f>
        <v/>
      </c>
      <c r="V17" s="35" t="str">
        <f>IF(ISERROR(FIND($A$2,Lines!V17))=TRUE,"",MID(Lines!V17,FIND($A$2,Lines!V17)+LEN($A$2)+1,FIND(",",_xlfn.CONCAT(Lines!V17,","),FIND($A$2,Lines!V17))-FIND($A$2,Lines!V17)-LEN($A$2)-1))</f>
        <v/>
      </c>
      <c r="W17" s="36" t="str">
        <f>IF(ISERROR(FIND($A$2,Lines!W17))=TRUE,"",MID(Lines!W17,FIND($A$2,Lines!W17)+LEN($A$2)+1,FIND(",",_xlfn.CONCAT(Lines!W17,","),FIND($A$2,Lines!W17))-FIND($A$2,Lines!W17)-LEN($A$2)-1))</f>
        <v/>
      </c>
      <c r="X17" s="30" t="str">
        <f>IF(ISERROR(FIND($A$2,Lines!X17))=TRUE,"",MID(Lines!X17,FIND($A$2,Lines!X17)+LEN($A$2)+1,FIND(",",_xlfn.CONCAT(Lines!X17,","),FIND($A$2,Lines!X17))-FIND($A$2,Lines!X17)-LEN($A$2)-1))</f>
        <v/>
      </c>
      <c r="Y17" s="30" t="str">
        <f>IF(ISERROR(FIND($A$2,Lines!Y17))=TRUE,"",MID(Lines!Y17,FIND($A$2,Lines!Y17)+LEN($A$2)+1,FIND(",",_xlfn.CONCAT(Lines!Y17,","),FIND($A$2,Lines!Y17))-FIND($A$2,Lines!Y17)-LEN($A$2)-1))</f>
        <v/>
      </c>
      <c r="Z17" s="30" t="str">
        <f>IF(ISERROR(FIND($A$2,Lines!Z17))=TRUE,"",MID(Lines!Z17,FIND($A$2,Lines!Z17)+LEN($A$2)+1,FIND(",",_xlfn.CONCAT(Lines!Z17,","),FIND($A$2,Lines!Z17))-FIND($A$2,Lines!Z17)-LEN($A$2)-1))</f>
        <v/>
      </c>
      <c r="AA17" s="30" t="str">
        <f>IF(ISERROR(FIND($A$2,Lines!AB16))=TRUE,"",MID(Lines!AB16,FIND($A$2,Lines!AB16)+LEN($A$2)+1,FIND(",",_xlfn.CONCAT(Lines!AB16,","),FIND($A$2,Lines!AB16))-FIND($A$2,Lines!AB16)-LEN($A$2)-1))</f>
        <v>3</v>
      </c>
      <c r="AB17" s="30" t="str">
        <f>IF(ISERROR(FIND($A$2,Lines!AB17))=TRUE,"",MID(Lines!AB17,FIND($A$2,Lines!AB17)+LEN($A$2)+1,FIND(",",_xlfn.CONCAT(Lines!AB17,","),FIND($A$2,Lines!AB17))-FIND($A$2,Lines!AB17)-LEN($A$2)-1))</f>
        <v/>
      </c>
      <c r="AC17" s="30" t="str">
        <f>IF(ISERROR(FIND($A$2,Lines!AC17))=TRUE,"",MID(Lines!AC17,FIND($A$2,Lines!AC17)+LEN($A$2)+1,FIND(",",_xlfn.CONCAT(Lines!AC17,","),FIND($A$2,Lines!AC17))-FIND($A$2,Lines!AC17)-LEN($A$2)-1))</f>
        <v/>
      </c>
      <c r="AD17" s="30" t="str">
        <f>IF(ISERROR(FIND($A$2,Lines!AD17))=TRUE,"",MID(Lines!AD17,FIND($A$2,Lines!AD17)+LEN($A$2)+1,FIND(",",_xlfn.CONCAT(Lines!AD17,","),FIND($A$2,Lines!AD17))-FIND($A$2,Lines!AD17)-LEN($A$2)-1))</f>
        <v/>
      </c>
      <c r="AE17" s="30" t="str">
        <f>IF(ISERROR(FIND($A$2,Lines!AE17))=TRUE,"",MID(Lines!AE17,FIND($A$2,Lines!AE17)+LEN($A$2)+1,FIND(",",_xlfn.CONCAT(Lines!AE17,","),FIND($A$2,Lines!AE17))-FIND($A$2,Lines!AE17)-LEN($A$2)-1))</f>
        <v/>
      </c>
      <c r="AF17" s="30" t="str">
        <f>IF(ISERROR(FIND($A$2,Lines!AF17))=TRUE,"",MID(Lines!AF17,FIND($A$2,Lines!AF17)+LEN($A$2)+1,FIND(",",_xlfn.CONCAT(Lines!AF17,","),FIND($A$2,Lines!AF17))-FIND($A$2,Lines!AF17)-LEN($A$2)-1))</f>
        <v/>
      </c>
      <c r="AG17" s="30" t="str">
        <f>IF(ISERROR(FIND($A$2,Lines!AG17))=TRUE,"",MID(Lines!AG17,FIND($A$2,Lines!AG17)+LEN($A$2)+1,FIND(",",_xlfn.CONCAT(Lines!AG17,","),FIND($A$2,Lines!AG17))-FIND($A$2,Lines!AG17)-LEN($A$2)-1))</f>
        <v/>
      </c>
      <c r="AH17" s="30" t="str">
        <f>IF(ISERROR(FIND($A$2,Lines!AH17))=TRUE,"",MID(Lines!AH17,FIND($A$2,Lines!AH17)+LEN($A$2)+1,FIND(",",_xlfn.CONCAT(Lines!AH17,","),FIND($A$2,Lines!AH17))-FIND($A$2,Lines!AH17)-LEN($A$2)-1))</f>
        <v>1</v>
      </c>
      <c r="AI17" s="30" t="str">
        <f>IF(ISERROR(FIND($A$2,Lines!AI17))=TRUE,"",MID(Lines!AI17,FIND($A$2,Lines!AI17)+LEN($A$2)+1,FIND(",",_xlfn.CONCAT(Lines!AI17,","),FIND($A$2,Lines!AI17))-FIND($A$2,Lines!AI17)-LEN($A$2)-1))</f>
        <v/>
      </c>
      <c r="AJ17" s="45" t="str">
        <f>IF(ISERROR(FIND($A$2,Lines!AJ17))=TRUE,"",MID(Lines!AJ17,FIND($A$2,Lines!AJ17)+LEN($A$2)+1,FIND(",",_xlfn.CONCAT(Lines!AJ17,","),FIND($A$2,Lines!AJ17))-FIND($A$2,Lines!AJ17)-LEN($A$2)-1))</f>
        <v/>
      </c>
      <c r="AK17" s="30" t="str">
        <f>IF(ISERROR(FIND($A$2,Lines!AK17))=TRUE,"",MID(Lines!AK17,FIND($A$2,Lines!AK17)+LEN($A$2)+1,FIND(",",_xlfn.CONCAT(Lines!AK17,","),FIND($A$2,Lines!AK17))-FIND($A$2,Lines!AK17)-LEN($A$2)-1))</f>
        <v/>
      </c>
      <c r="AL17" s="30" t="str">
        <f>IF(ISERROR(FIND($A$2,Lines!AL17))=TRUE,"",MID(Lines!AL17,FIND($A$2,Lines!AL17)+LEN($A$2)+1,FIND(",",_xlfn.CONCAT(Lines!AL17,","),FIND($A$2,Lines!AL17))-FIND($A$2,Lines!AL17)-LEN($A$2)-1))</f>
        <v/>
      </c>
      <c r="AM17" s="30" t="str">
        <f>IF(ISERROR(FIND($A$2,Lines!AM17))=TRUE,"",MID(Lines!AM17,FIND($A$2,Lines!AM17)+LEN($A$2)+1,FIND(",",_xlfn.CONCAT(Lines!AM17,","),FIND($A$2,Lines!AM17))-FIND($A$2,Lines!AM17)-LEN($A$2)-1))</f>
        <v/>
      </c>
      <c r="AN17" s="30" t="str">
        <f>IF(ISERROR(FIND($A$2,Lines!AN17))=TRUE,"",MID(Lines!AN17,FIND($A$2,Lines!AN17)+LEN($A$2)+1,FIND(",",_xlfn.CONCAT(Lines!AN17,","),FIND($A$2,Lines!AN17))-FIND($A$2,Lines!AN17)-LEN($A$2)-1))</f>
        <v/>
      </c>
      <c r="AO17" s="30" t="str">
        <f>IF(ISERROR(FIND($A$2,Lines!AO17))=TRUE,"",MID(Lines!AO17,FIND($A$2,Lines!AO17)+LEN($A$2)+1,FIND(",",_xlfn.CONCAT(Lines!AO17,","),FIND($A$2,Lines!AO17))-FIND($A$2,Lines!AO17)-LEN($A$2)-1))</f>
        <v/>
      </c>
      <c r="AP17" s="30" t="str">
        <f>IF(ISERROR(FIND($A$2,Lines!AP17))=TRUE,"",MID(Lines!AP17,FIND($A$2,Lines!AP17)+LEN($A$2)+1,FIND(",",_xlfn.CONCAT(Lines!AP17,","),FIND($A$2,Lines!AP17))-FIND($A$2,Lines!AP17)-LEN($A$2)-1))</f>
        <v/>
      </c>
      <c r="AQ17" s="30" t="str">
        <f>IF(ISERROR(FIND($A$2,Lines!AQ17))=TRUE,"",MID(Lines!AQ17,FIND($A$2,Lines!AQ17)+LEN($A$2)+1,FIND(",",_xlfn.CONCAT(Lines!AQ17,","),FIND($A$2,Lines!AQ17))-FIND($A$2,Lines!AQ17)-LEN($A$2)-1))</f>
        <v/>
      </c>
      <c r="AR17" s="30" t="str">
        <f>IF(ISERROR(FIND($A$2,Lines!AR17))=TRUE,"",MID(Lines!AR17,FIND($A$2,Lines!AR17)+LEN($A$2)+1,FIND(",",_xlfn.CONCAT(Lines!AR17,","),FIND($A$2,Lines!AR17))-FIND($A$2,Lines!AR17)-LEN($A$2)-1))</f>
        <v/>
      </c>
      <c r="AS17" s="30" t="str">
        <f>IF(ISERROR(FIND($A$2,Lines!AS17))=TRUE,"",MID(Lines!AS17,FIND($A$2,Lines!AS17)+LEN($A$2)+1,FIND(",",_xlfn.CONCAT(Lines!AS17,","),FIND($A$2,Lines!AS17))-FIND($A$2,Lines!AS17)-LEN($A$2)-1))</f>
        <v/>
      </c>
      <c r="AT17" s="30" t="str">
        <f>IF(ISERROR(FIND($A$2,Lines!AT17))=TRUE,"",MID(Lines!AT17,FIND($A$2,Lines!AT17)+LEN($A$2)+1,FIND(",",_xlfn.CONCAT(Lines!AT17,","),FIND($A$2,Lines!AT17))-FIND($A$2,Lines!AT17)-LEN($A$2)-1))</f>
        <v/>
      </c>
    </row>
    <row r="18" spans="1:46" ht="20.25" customHeight="1">
      <c r="A18" s="2" t="s">
        <v>66</v>
      </c>
      <c r="B18" s="30" t="str">
        <f>IF(ISERROR(FIND($A$2,Lines!B18))=TRUE,"",MID(Lines!B18,FIND($A$2,Lines!B18)+LEN($A$2)+1,FIND(",",_xlfn.CONCAT(Lines!B18,","),FIND($A$2,Lines!B18))-FIND($A$2,Lines!B18)-LEN($A$2)-1))</f>
        <v/>
      </c>
      <c r="C18" s="30" t="str">
        <f>IF(ISERROR(FIND($A$2,Lines!C18))=TRUE,"",MID(Lines!C18,FIND($A$2,Lines!C18)+LEN($A$2)+1,FIND(",",_xlfn.CONCAT(Lines!C18,","),FIND($A$2,Lines!C18))-FIND($A$2,Lines!C18)-LEN($A$2)-1))</f>
        <v/>
      </c>
      <c r="D18" s="30" t="str">
        <f>IF(ISERROR(FIND($A$2,Lines!D18))=TRUE,"",MID(Lines!D18,FIND($A$2,Lines!D18)+LEN($A$2)+1,FIND(",",_xlfn.CONCAT(Lines!D18,","),FIND($A$2,Lines!D18))-FIND($A$2,Lines!D18)-LEN($A$2)-1))</f>
        <v/>
      </c>
      <c r="E18" s="30" t="str">
        <f>IF(ISERROR(FIND($A$2,Lines!E18))=TRUE,"",MID(Lines!E18,FIND($A$2,Lines!E18)+LEN($A$2)+1,FIND(",",_xlfn.CONCAT(Lines!E18,","),FIND($A$2,Lines!E18))-FIND($A$2,Lines!E18)-LEN($A$2)-1))</f>
        <v/>
      </c>
      <c r="F18" s="30" t="str">
        <f>IF(ISERROR(FIND($A$2,Lines!F18))=TRUE,"",MID(Lines!F18,FIND($A$2,Lines!F18)+LEN($A$2)+1,FIND(",",_xlfn.CONCAT(Lines!F18,","),FIND($A$2,Lines!F18))-FIND($A$2,Lines!F18)-LEN($A$2)-1))</f>
        <v/>
      </c>
      <c r="G18" s="30" t="str">
        <f>IF(ISERROR(FIND($A$2,Lines!G18))=TRUE,"",MID(Lines!G18,FIND($A$2,Lines!G18)+LEN($A$2)+1,FIND(",",_xlfn.CONCAT(Lines!G18,","),FIND($A$2,Lines!G18))-FIND($A$2,Lines!G18)-LEN($A$2)-1))</f>
        <v/>
      </c>
      <c r="H18" s="30" t="str">
        <f>IF(ISERROR(FIND($A$2,Lines!H18))=TRUE,"",MID(Lines!H18,FIND($A$2,Lines!H18)+LEN($A$2)+1,FIND(",",_xlfn.CONCAT(Lines!H18,","),FIND($A$2,Lines!H18))-FIND($A$2,Lines!H18)-LEN($A$2)-1))</f>
        <v/>
      </c>
      <c r="I18" s="30" t="str">
        <f>IF(ISERROR(FIND($A$2,Lines!I18))=TRUE,"",MID(Lines!I18,FIND($A$2,Lines!I18)+LEN($A$2)+1,FIND(",",_xlfn.CONCAT(Lines!I18,","),FIND($A$2,Lines!I18))-FIND($A$2,Lines!I18)-LEN($A$2)-1))</f>
        <v/>
      </c>
      <c r="J18" s="30" t="str">
        <f>IF(ISERROR(FIND($A$2,Lines!J18))=TRUE,"",MID(Lines!J18,FIND($A$2,Lines!J18)+LEN($A$2)+1,FIND(",",_xlfn.CONCAT(Lines!J18,","),FIND($A$2,Lines!J18))-FIND($A$2,Lines!J18)-LEN($A$2)-1))</f>
        <v/>
      </c>
      <c r="K18" s="30" t="str">
        <f>IF(ISERROR(FIND($A$2,Lines!K18))=TRUE,"",MID(Lines!K18,FIND($A$2,Lines!K18)+LEN($A$2)+1,FIND(",",_xlfn.CONCAT(Lines!K18,","),FIND($A$2,Lines!K18))-FIND($A$2,Lines!K18)-LEN($A$2)-1))</f>
        <v/>
      </c>
      <c r="L18" s="30" t="str">
        <f>IF(ISERROR(FIND($A$2,Lines!L18))=TRUE,"",MID(Lines!L18,FIND($A$2,Lines!L18)+LEN($A$2)+1,FIND(",",_xlfn.CONCAT(Lines!L18,","),FIND($A$2,Lines!L18))-FIND($A$2,Lines!L18)-LEN($A$2)-1))</f>
        <v/>
      </c>
      <c r="M18" s="30" t="str">
        <f>IF(ISERROR(FIND($A$2,Lines!M18))=TRUE,"",MID(Lines!M18,FIND($A$2,Lines!M18)+LEN($A$2)+1,FIND(",",_xlfn.CONCAT(Lines!M18,","),FIND($A$2,Lines!M18))-FIND($A$2,Lines!M18)-LEN($A$2)-1))</f>
        <v/>
      </c>
      <c r="N18" s="32" t="str">
        <f>IF(ISERROR(FIND($A$2,Lines!N18))=TRUE,"",MID(Lines!N18,FIND($A$2,Lines!N18)+LEN($A$2)+1,FIND(",",_xlfn.CONCAT(Lines!N18,","),FIND($A$2,Lines!N18))-FIND($A$2,Lines!N18)-LEN($A$2)-1))</f>
        <v/>
      </c>
      <c r="O18" s="25" t="str">
        <f>IF(ISERROR(FIND($A$2,Lines!O18))=TRUE,"",MID(Lines!O18,FIND($A$2,Lines!O18)+LEN($A$2)+1,FIND(",",_xlfn.CONCAT(Lines!O18,","),FIND($A$2,Lines!O18))-FIND($A$2,Lines!O18)-LEN($A$2)-1))</f>
        <v/>
      </c>
      <c r="P18" s="66" t="str">
        <f>IF(ISERROR(FIND($A$2,Lines!P18))=TRUE,"",MID(Lines!P18,FIND($A$2,Lines!P18)+LEN($A$2)+1,FIND(",",_xlfn.CONCAT(Lines!P18,","),FIND($A$2,Lines!P18))-FIND($A$2,Lines!P18)-LEN($A$2)-1))</f>
        <v/>
      </c>
      <c r="Q18" s="25" t="str">
        <f>IF(ISERROR(FIND($A$2,Lines!Q18))=TRUE,"",MID(Lines!Q18,FIND($A$2,Lines!Q18)+LEN($A$2)+1,FIND(",",_xlfn.CONCAT(Lines!Q18,","),FIND($A$2,Lines!Q18))-FIND($A$2,Lines!Q18)-LEN($A$2)-1))</f>
        <v/>
      </c>
      <c r="R18" s="25" t="str">
        <f>IF(ISERROR(FIND($A$2,Lines!R18))=TRUE,"",MID(Lines!R18,FIND($A$2,Lines!R18)+LEN($A$2)+1,FIND(",",_xlfn.CONCAT(Lines!R18,","),FIND($A$2,Lines!R18))-FIND($A$2,Lines!R18)-LEN($A$2)-1))</f>
        <v/>
      </c>
      <c r="S18" s="25" t="str">
        <f>IF(ISERROR(FIND($A$2,Lines!S18))=TRUE,"",MID(Lines!S18,FIND($A$2,Lines!S18)+LEN($A$2)+1,FIND(",",_xlfn.CONCAT(Lines!S18,","),FIND($A$2,Lines!S18))-FIND($A$2,Lines!S18)-LEN($A$2)-1))</f>
        <v/>
      </c>
      <c r="T18" s="25" t="str">
        <f>IF(ISERROR(FIND($A$2,Lines!T18))=TRUE,"",MID(Lines!T18,FIND($A$2,Lines!T18)+LEN($A$2)+1,FIND(",",_xlfn.CONCAT(Lines!T18,","),FIND($A$2,Lines!T18))-FIND($A$2,Lines!T18)-LEN($A$2)-1))</f>
        <v/>
      </c>
      <c r="U18" s="25" t="str">
        <f>IF(ISERROR(FIND($A$2,Lines!U18))=TRUE,"",MID(Lines!U18,FIND($A$2,Lines!U18)+LEN($A$2)+1,FIND(",",_xlfn.CONCAT(Lines!U18,","),FIND($A$2,Lines!U18))-FIND($A$2,Lines!U18)-LEN($A$2)-1))</f>
        <v/>
      </c>
      <c r="V18" s="35" t="str">
        <f>IF(ISERROR(FIND($A$2,Lines!V18))=TRUE,"",MID(Lines!V18,FIND($A$2,Lines!V18)+LEN($A$2)+1,FIND(",",_xlfn.CONCAT(Lines!V18,","),FIND($A$2,Lines!V18))-FIND($A$2,Lines!V18)-LEN($A$2)-1))</f>
        <v/>
      </c>
      <c r="W18" s="36" t="str">
        <f>IF(ISERROR(FIND($A$2,Lines!W18))=TRUE,"",MID(Lines!W18,FIND($A$2,Lines!W18)+LEN($A$2)+1,FIND(",",_xlfn.CONCAT(Lines!W18,","),FIND($A$2,Lines!W18))-FIND($A$2,Lines!W18)-LEN($A$2)-1))</f>
        <v/>
      </c>
      <c r="X18" s="30" t="str">
        <f>IF(ISERROR(FIND($A$2,Lines!X18))=TRUE,"",MID(Lines!X18,FIND($A$2,Lines!X18)+LEN($A$2)+1,FIND(",",_xlfn.CONCAT(Lines!X18,","),FIND($A$2,Lines!X18))-FIND($A$2,Lines!X18)-LEN($A$2)-1))</f>
        <v/>
      </c>
      <c r="Y18" s="30" t="str">
        <f>IF(ISERROR(FIND($A$2,Lines!Y18))=TRUE,"",MID(Lines!Y18,FIND($A$2,Lines!Y18)+LEN($A$2)+1,FIND(",",_xlfn.CONCAT(Lines!Y18,","),FIND($A$2,Lines!Y18))-FIND($A$2,Lines!Y18)-LEN($A$2)-1))</f>
        <v/>
      </c>
      <c r="Z18" s="30" t="str">
        <f>IF(ISERROR(FIND($A$2,Lines!Z18))=TRUE,"",MID(Lines!Z18,FIND($A$2,Lines!Z18)+LEN($A$2)+1,FIND(",",_xlfn.CONCAT(Lines!Z18,","),FIND($A$2,Lines!Z18))-FIND($A$2,Lines!Z18)-LEN($A$2)-1))</f>
        <v/>
      </c>
      <c r="AA18" s="30" t="str">
        <f>IF(ISERROR(FIND($A$2,Lines!AA18))=TRUE,"",MID(Lines!AA18,FIND($A$2,Lines!AA18)+LEN($A$2)+1,FIND(",",_xlfn.CONCAT(Lines!AA18,","),FIND($A$2,Lines!AA18))-FIND($A$2,Lines!AA18)-LEN($A$2)-1))</f>
        <v/>
      </c>
      <c r="AB18" s="30" t="str">
        <f>IF(ISERROR(FIND($A$2,Lines!AB18))=TRUE,"",MID(Lines!AB18,FIND($A$2,Lines!AB18)+LEN($A$2)+1,FIND(",",_xlfn.CONCAT(Lines!AB18,","),FIND($A$2,Lines!AB18))-FIND($A$2,Lines!AB18)-LEN($A$2)-1))</f>
        <v/>
      </c>
      <c r="AC18" s="30" t="str">
        <f>IF(ISERROR(FIND($A$2,Lines!AC18))=TRUE,"",MID(Lines!AC18,FIND($A$2,Lines!AC18)+LEN($A$2)+1,FIND(",",_xlfn.CONCAT(Lines!AC18,","),FIND($A$2,Lines!AC18))-FIND($A$2,Lines!AC18)-LEN($A$2)-1))</f>
        <v/>
      </c>
      <c r="AD18" s="30" t="str">
        <f>IF(ISERROR(FIND($A$2,Lines!AD18))=TRUE,"",MID(Lines!AD18,FIND($A$2,Lines!AD18)+LEN($A$2)+1,FIND(",",_xlfn.CONCAT(Lines!AD18,","),FIND($A$2,Lines!AD18))-FIND($A$2,Lines!AD18)-LEN($A$2)-1))</f>
        <v/>
      </c>
      <c r="AE18" s="30" t="str">
        <f>IF(ISERROR(FIND($A$2,Lines!AE18))=TRUE,"",MID(Lines!AE18,FIND($A$2,Lines!AE18)+LEN($A$2)+1,FIND(",",_xlfn.CONCAT(Lines!AE18,","),FIND($A$2,Lines!AE18))-FIND($A$2,Lines!AE18)-LEN($A$2)-1))</f>
        <v/>
      </c>
      <c r="AF18" s="30" t="str">
        <f>IF(ISERROR(FIND($A$2,Lines!AF18))=TRUE,"",MID(Lines!AF18,FIND($A$2,Lines!AF18)+LEN($A$2)+1,FIND(",",_xlfn.CONCAT(Lines!AF18,","),FIND($A$2,Lines!AF18))-FIND($A$2,Lines!AF18)-LEN($A$2)-1))</f>
        <v/>
      </c>
      <c r="AG18" s="30" t="str">
        <f>IF(ISERROR(FIND($A$2,Lines!AG18))=TRUE,"",MID(Lines!AG18,FIND($A$2,Lines!AG18)+LEN($A$2)+1,FIND(",",_xlfn.CONCAT(Lines!AG18,","),FIND($A$2,Lines!AG18))-FIND($A$2,Lines!AG18)-LEN($A$2)-1))</f>
        <v/>
      </c>
      <c r="AH18" s="30" t="str">
        <f>IF(ISERROR(FIND($A$2,Lines!AH18))=TRUE,"",MID(Lines!AH18,FIND($A$2,Lines!AH18)+LEN($A$2)+1,FIND(",",_xlfn.CONCAT(Lines!AH18,","),FIND($A$2,Lines!AH18))-FIND($A$2,Lines!AH18)-LEN($A$2)-1))</f>
        <v/>
      </c>
      <c r="AI18" s="30" t="str">
        <f>IF(ISERROR(FIND($A$2,Lines!AI18))=TRUE,"",MID(Lines!AI18,FIND($A$2,Lines!AI18)+LEN($A$2)+1,FIND(",",_xlfn.CONCAT(Lines!AI18,","),FIND($A$2,Lines!AI18))-FIND($A$2,Lines!AI18)-LEN($A$2)-1))</f>
        <v/>
      </c>
      <c r="AJ18" s="30" t="str">
        <f>IF(ISERROR(FIND($A$2,Lines!AJ18))=TRUE,"",MID(Lines!AJ18,FIND($A$2,Lines!AJ18)+LEN($A$2)+1,FIND(",",_xlfn.CONCAT(Lines!AJ18,","),FIND($A$2,Lines!AJ18))-FIND($A$2,Lines!AJ18)-LEN($A$2)-1))</f>
        <v/>
      </c>
      <c r="AK18" s="30" t="str">
        <f>IF(ISERROR(FIND($A$2,Lines!AK18))=TRUE,"",MID(Lines!AK18,FIND($A$2,Lines!AK18)+LEN($A$2)+1,FIND(",",_xlfn.CONCAT(Lines!AK18,","),FIND($A$2,Lines!AK18))-FIND($A$2,Lines!AK18)-LEN($A$2)-1))</f>
        <v/>
      </c>
      <c r="AL18" s="30" t="str">
        <f>IF(ISERROR(FIND($A$2,Lines!AL18))=TRUE,"",MID(Lines!AL18,FIND($A$2,Lines!AL18)+LEN($A$2)+1,FIND(",",_xlfn.CONCAT(Lines!AL18,","),FIND($A$2,Lines!AL18))-FIND($A$2,Lines!AL18)-LEN($A$2)-1))</f>
        <v/>
      </c>
      <c r="AM18" s="30" t="str">
        <f>IF(ISERROR(FIND($A$2,Lines!AM18))=TRUE,"",MID(Lines!AM18,FIND($A$2,Lines!AM18)+LEN($A$2)+1,FIND(",",_xlfn.CONCAT(Lines!AM18,","),FIND($A$2,Lines!AM18))-FIND($A$2,Lines!AM18)-LEN($A$2)-1))</f>
        <v/>
      </c>
      <c r="AN18" s="30" t="str">
        <f>IF(ISERROR(FIND($A$2,Lines!AN18))=TRUE,"",MID(Lines!AN18,FIND($A$2,Lines!AN18)+LEN($A$2)+1,FIND(",",_xlfn.CONCAT(Lines!AN18,","),FIND($A$2,Lines!AN18))-FIND($A$2,Lines!AN18)-LEN($A$2)-1))</f>
        <v/>
      </c>
      <c r="AO18" s="30" t="str">
        <f>IF(ISERROR(FIND($A$2,Lines!AO18))=TRUE,"",MID(Lines!AO18,FIND($A$2,Lines!AO18)+LEN($A$2)+1,FIND(",",_xlfn.CONCAT(Lines!AO18,","),FIND($A$2,Lines!AO18))-FIND($A$2,Lines!AO18)-LEN($A$2)-1))</f>
        <v/>
      </c>
      <c r="AP18" s="30" t="str">
        <f>IF(ISERROR(FIND($A$2,Lines!AP18))=TRUE,"",MID(Lines!AP18,FIND($A$2,Lines!AP18)+LEN($A$2)+1,FIND(",",_xlfn.CONCAT(Lines!AP18,","),FIND($A$2,Lines!AP18))-FIND($A$2,Lines!AP18)-LEN($A$2)-1))</f>
        <v/>
      </c>
      <c r="AQ18" s="30" t="str">
        <f>IF(ISERROR(FIND($A$2,Lines!AQ18))=TRUE,"",MID(Lines!AQ18,FIND($A$2,Lines!AQ18)+LEN($A$2)+1,FIND(",",_xlfn.CONCAT(Lines!AQ18,","),FIND($A$2,Lines!AQ18))-FIND($A$2,Lines!AQ18)-LEN($A$2)-1))</f>
        <v/>
      </c>
      <c r="AR18" s="30" t="str">
        <f>IF(ISERROR(FIND($A$2,Lines!AR18))=TRUE,"",MID(Lines!AR18,FIND($A$2,Lines!AR18)+LEN($A$2)+1,FIND(",",_xlfn.CONCAT(Lines!AR18,","),FIND($A$2,Lines!AR18))-FIND($A$2,Lines!AR18)-LEN($A$2)-1))</f>
        <v/>
      </c>
      <c r="AS18" s="30" t="str">
        <f>IF(ISERROR(FIND($A$2,Lines!AS18))=TRUE,"",MID(Lines!AS18,FIND($A$2,Lines!AS18)+LEN($A$2)+1,FIND(",",_xlfn.CONCAT(Lines!AS18,","),FIND($A$2,Lines!AS18))-FIND($A$2,Lines!AS18)-LEN($A$2)-1))</f>
        <v/>
      </c>
      <c r="AT18" s="30" t="str">
        <f>IF(ISERROR(FIND($A$2,Lines!AT18))=TRUE,"",MID(Lines!AT18,FIND($A$2,Lines!AT18)+LEN($A$2)+1,FIND(",",_xlfn.CONCAT(Lines!AT18,","),FIND($A$2,Lines!AT18))-FIND($A$2,Lines!AT18)-LEN($A$2)-1))</f>
        <v/>
      </c>
    </row>
    <row r="19" spans="1:46" ht="20.25" customHeight="1">
      <c r="A19" s="2" t="s">
        <v>67</v>
      </c>
      <c r="B19" s="30" t="str">
        <f>IF(ISERROR(FIND($A$2,Lines!B19))=TRUE,"",MID(Lines!B19,FIND($A$2,Lines!B19)+LEN($A$2)+1,FIND(",",_xlfn.CONCAT(Lines!B19,","),FIND($A$2,Lines!B19))-FIND($A$2,Lines!B19)-LEN($A$2)-1))</f>
        <v/>
      </c>
      <c r="C19" s="30" t="str">
        <f>IF(ISERROR(FIND($A$2,Lines!C19))=TRUE,"",MID(Lines!C19,FIND($A$2,Lines!C19)+LEN($A$2)+1,FIND(",",_xlfn.CONCAT(Lines!C19,","),FIND($A$2,Lines!C19))-FIND($A$2,Lines!C19)-LEN($A$2)-1))</f>
        <v/>
      </c>
      <c r="D19" s="30" t="str">
        <f>IF(ISERROR(FIND($A$2,Lines!D19))=TRUE,"",MID(Lines!D19,FIND($A$2,Lines!D19)+LEN($A$2)+1,FIND(",",_xlfn.CONCAT(Lines!D19,","),FIND($A$2,Lines!D19))-FIND($A$2,Lines!D19)-LEN($A$2)-1))</f>
        <v/>
      </c>
      <c r="E19" s="30" t="str">
        <f>IF(ISERROR(FIND($A$2,Lines!E19))=TRUE,"",MID(Lines!E19,FIND($A$2,Lines!E19)+LEN($A$2)+1,FIND(",",_xlfn.CONCAT(Lines!E19,","),FIND($A$2,Lines!E19))-FIND($A$2,Lines!E19)-LEN($A$2)-1))</f>
        <v/>
      </c>
      <c r="F19" s="30" t="str">
        <f>IF(ISERROR(FIND($A$2,Lines!F19))=TRUE,"",MID(Lines!F19,FIND($A$2,Lines!F19)+LEN($A$2)+1,FIND(",",_xlfn.CONCAT(Lines!F19,","),FIND($A$2,Lines!F19))-FIND($A$2,Lines!F19)-LEN($A$2)-1))</f>
        <v/>
      </c>
      <c r="G19" s="30" t="str">
        <f>IF(ISERROR(FIND($A$2,Lines!G19))=TRUE,"",MID(Lines!G19,FIND($A$2,Lines!G19)+LEN($A$2)+1,FIND(",",_xlfn.CONCAT(Lines!G19,","),FIND($A$2,Lines!G19))-FIND($A$2,Lines!G19)-LEN($A$2)-1))</f>
        <v/>
      </c>
      <c r="H19" s="30" t="str">
        <f>IF(ISERROR(FIND($A$2,Lines!H19))=TRUE,"",MID(Lines!H19,FIND($A$2,Lines!H19)+LEN($A$2)+1,FIND(",",_xlfn.CONCAT(Lines!H19,","),FIND($A$2,Lines!H19))-FIND($A$2,Lines!H19)-LEN($A$2)-1))</f>
        <v/>
      </c>
      <c r="I19" s="30" t="str">
        <f>IF(ISERROR(FIND($A$2,Lines!I19))=TRUE,"",MID(Lines!I19,FIND($A$2,Lines!I19)+LEN($A$2)+1,FIND(",",_xlfn.CONCAT(Lines!I19,","),FIND($A$2,Lines!I19))-FIND($A$2,Lines!I19)-LEN($A$2)-1))</f>
        <v/>
      </c>
      <c r="J19" s="30" t="str">
        <f>IF(ISERROR(FIND($A$2,Lines!J19))=TRUE,"",MID(Lines!J19,FIND($A$2,Lines!J19)+LEN($A$2)+1,FIND(",",_xlfn.CONCAT(Lines!J19,","),FIND($A$2,Lines!J19))-FIND($A$2,Lines!J19)-LEN($A$2)-1))</f>
        <v/>
      </c>
      <c r="K19" s="30" t="str">
        <f>IF(ISERROR(FIND($A$2,Lines!K19))=TRUE,"",MID(Lines!K19,FIND($A$2,Lines!K19)+LEN($A$2)+1,FIND(",",_xlfn.CONCAT(Lines!K19,","),FIND($A$2,Lines!K19))-FIND($A$2,Lines!K19)-LEN($A$2)-1))</f>
        <v/>
      </c>
      <c r="L19" s="30" t="str">
        <f>IF(ISERROR(FIND($A$2,Lines!L19))=TRUE,"",MID(Lines!L19,FIND($A$2,Lines!L19)+LEN($A$2)+1,FIND(",",_xlfn.CONCAT(Lines!L19,","),FIND($A$2,Lines!L19))-FIND($A$2,Lines!L19)-LEN($A$2)-1))</f>
        <v/>
      </c>
      <c r="M19" s="30" t="str">
        <f>IF(ISERROR(FIND($A$2,Lines!M19))=TRUE,"",MID(Lines!M19,FIND($A$2,Lines!M19)+LEN($A$2)+1,FIND(",",_xlfn.CONCAT(Lines!M19,","),FIND($A$2,Lines!M19))-FIND($A$2,Lines!M19)-LEN($A$2)-1))</f>
        <v/>
      </c>
      <c r="N19" s="32" t="str">
        <f>IF(ISERROR(FIND($A$2,Lines!N19))=TRUE,"",MID(Lines!N19,FIND($A$2,Lines!N19)+LEN($A$2)+1,FIND(",",_xlfn.CONCAT(Lines!N19,","),FIND($A$2,Lines!N19))-FIND($A$2,Lines!N19)-LEN($A$2)-1))</f>
        <v/>
      </c>
      <c r="O19" s="25" t="str">
        <f>IF(ISERROR(FIND($A$2,Lines!O19))=TRUE,"",MID(Lines!O19,FIND($A$2,Lines!O19)+LEN($A$2)+1,FIND(",",_xlfn.CONCAT(Lines!O19,","),FIND($A$2,Lines!O19))-FIND($A$2,Lines!O19)-LEN($A$2)-1))</f>
        <v/>
      </c>
      <c r="P19" s="25" t="str">
        <f>IF(ISERROR(FIND($A$2,Lines!P19))=TRUE,"",MID(Lines!P19,FIND($A$2,Lines!P19)+LEN($A$2)+1,FIND(",",_xlfn.CONCAT(Lines!P19,","),FIND($A$2,Lines!P19))-FIND($A$2,Lines!P19)-LEN($A$2)-1))</f>
        <v/>
      </c>
      <c r="Q19" s="66" t="str">
        <f>IF(ISERROR(FIND($A$2,Lines!Q19))=TRUE,"",MID(Lines!Q19,FIND($A$2,Lines!Q19)+LEN($A$2)+1,FIND(",",_xlfn.CONCAT(Lines!Q19,","),FIND($A$2,Lines!Q19))-FIND($A$2,Lines!Q19)-LEN($A$2)-1))</f>
        <v/>
      </c>
      <c r="R19" s="25" t="str">
        <f>IF(ISERROR(FIND($A$2,Lines!R19))=TRUE,"",MID(Lines!R19,FIND($A$2,Lines!R19)+LEN($A$2)+1,FIND(",",_xlfn.CONCAT(Lines!R19,","),FIND($A$2,Lines!R19))-FIND($A$2,Lines!R19)-LEN($A$2)-1))</f>
        <v/>
      </c>
      <c r="S19" s="25" t="str">
        <f>IF(ISERROR(FIND($A$2,Lines!S19))=TRUE,"",MID(Lines!S19,FIND($A$2,Lines!S19)+LEN($A$2)+1,FIND(",",_xlfn.CONCAT(Lines!S19,","),FIND($A$2,Lines!S19))-FIND($A$2,Lines!S19)-LEN($A$2)-1))</f>
        <v/>
      </c>
      <c r="T19" s="25" t="str">
        <f>IF(ISERROR(FIND($A$2,Lines!T19))=TRUE,"",MID(Lines!T19,FIND($A$2,Lines!T19)+LEN($A$2)+1,FIND(",",_xlfn.CONCAT(Lines!T19,","),FIND($A$2,Lines!T19))-FIND($A$2,Lines!T19)-LEN($A$2)-1))</f>
        <v/>
      </c>
      <c r="U19" s="25" t="str">
        <f>IF(ISERROR(FIND($A$2,Lines!U19))=TRUE,"",MID(Lines!U19,FIND($A$2,Lines!U19)+LEN($A$2)+1,FIND(",",_xlfn.CONCAT(Lines!U19,","),FIND($A$2,Lines!U19))-FIND($A$2,Lines!U19)-LEN($A$2)-1))</f>
        <v/>
      </c>
      <c r="V19" s="35" t="str">
        <f>IF(ISERROR(FIND($A$2,Lines!V19))=TRUE,"",MID(Lines!V19,FIND($A$2,Lines!V19)+LEN($A$2)+1,FIND(",",_xlfn.CONCAT(Lines!V19,","),FIND($A$2,Lines!V19))-FIND($A$2,Lines!V19)-LEN($A$2)-1))</f>
        <v/>
      </c>
      <c r="W19" s="36" t="str">
        <f>IF(ISERROR(FIND($A$2,Lines!W19))=TRUE,"",MID(Lines!W19,FIND($A$2,Lines!W19)+LEN($A$2)+1,FIND(",",_xlfn.CONCAT(Lines!W19,","),FIND($A$2,Lines!W19))-FIND($A$2,Lines!W19)-LEN($A$2)-1))</f>
        <v/>
      </c>
      <c r="X19" s="30" t="str">
        <f>IF(ISERROR(FIND($A$2,Lines!X19))=TRUE,"",MID(Lines!X19,FIND($A$2,Lines!X19)+LEN($A$2)+1,FIND(",",_xlfn.CONCAT(Lines!X19,","),FIND($A$2,Lines!X19))-FIND($A$2,Lines!X19)-LEN($A$2)-1))</f>
        <v/>
      </c>
      <c r="Y19" s="30" t="str">
        <f>IF(ISERROR(FIND($A$2,Lines!Y19))=TRUE,"",MID(Lines!Y19,FIND($A$2,Lines!Y19)+LEN($A$2)+1,FIND(",",_xlfn.CONCAT(Lines!Y19,","),FIND($A$2,Lines!Y19))-FIND($A$2,Lines!Y19)-LEN($A$2)-1))</f>
        <v/>
      </c>
      <c r="Z19" s="30" t="str">
        <f>IF(ISERROR(FIND($A$2,Lines!Z19))=TRUE,"",MID(Lines!Z19,FIND($A$2,Lines!Z19)+LEN($A$2)+1,FIND(",",_xlfn.CONCAT(Lines!Z19,","),FIND($A$2,Lines!Z19))-FIND($A$2,Lines!Z19)-LEN($A$2)-1))</f>
        <v/>
      </c>
      <c r="AA19" s="30" t="str">
        <f>IF(ISERROR(FIND($A$2,Lines!AA19))=TRUE,"",MID(Lines!AA19,FIND($A$2,Lines!AA19)+LEN($A$2)+1,FIND(",",_xlfn.CONCAT(Lines!AA19,","),FIND($A$2,Lines!AA19))-FIND($A$2,Lines!AA19)-LEN($A$2)-1))</f>
        <v/>
      </c>
      <c r="AB19" s="30" t="str">
        <f>IF(ISERROR(FIND($A$2,Lines!AB19))=TRUE,"",MID(Lines!AB19,FIND($A$2,Lines!AB19)+LEN($A$2)+1,FIND(",",_xlfn.CONCAT(Lines!AB19,","),FIND($A$2,Lines!AB19))-FIND($A$2,Lines!AB19)-LEN($A$2)-1))</f>
        <v/>
      </c>
      <c r="AC19" s="30" t="str">
        <f>IF(ISERROR(FIND($A$2,Lines!AC19))=TRUE,"",MID(Lines!AC19,FIND($A$2,Lines!AC19)+LEN($A$2)+1,FIND(",",_xlfn.CONCAT(Lines!AC19,","),FIND($A$2,Lines!AC19))-FIND($A$2,Lines!AC19)-LEN($A$2)-1))</f>
        <v/>
      </c>
      <c r="AD19" s="30" t="str">
        <f>IF(ISERROR(FIND($A$2,Lines!AD19))=TRUE,"",MID(Lines!AD19,FIND($A$2,Lines!AD19)+LEN($A$2)+1,FIND(",",_xlfn.CONCAT(Lines!AD19,","),FIND($A$2,Lines!AD19))-FIND($A$2,Lines!AD19)-LEN($A$2)-1))</f>
        <v/>
      </c>
      <c r="AE19" s="30" t="str">
        <f>IF(ISERROR(FIND($A$2,Lines!AE19))=TRUE,"",MID(Lines!AE19,FIND($A$2,Lines!AE19)+LEN($A$2)+1,FIND(",",_xlfn.CONCAT(Lines!AE19,","),FIND($A$2,Lines!AE19))-FIND($A$2,Lines!AE19)-LEN($A$2)-1))</f>
        <v/>
      </c>
      <c r="AF19" s="30" t="str">
        <f>IF(ISERROR(FIND($A$2,Lines!AF19))=TRUE,"",MID(Lines!AF19,FIND($A$2,Lines!AF19)+LEN($A$2)+1,FIND(",",_xlfn.CONCAT(Lines!AF19,","),FIND($A$2,Lines!AF19))-FIND($A$2,Lines!AF19)-LEN($A$2)-1))</f>
        <v/>
      </c>
      <c r="AG19" s="30" t="str">
        <f>IF(ISERROR(FIND($A$2,Lines!AG19))=TRUE,"",MID(Lines!AG19,FIND($A$2,Lines!AG19)+LEN($A$2)+1,FIND(",",_xlfn.CONCAT(Lines!AG19,","),FIND($A$2,Lines!AG19))-FIND($A$2,Lines!AG19)-LEN($A$2)-1))</f>
        <v/>
      </c>
      <c r="AH19" s="30" t="str">
        <f>IF(ISERROR(FIND($A$2,Lines!AH19))=TRUE,"",MID(Lines!AH19,FIND($A$2,Lines!AH19)+LEN($A$2)+1,FIND(",",_xlfn.CONCAT(Lines!AH19,","),FIND($A$2,Lines!AH19))-FIND($A$2,Lines!AH19)-LEN($A$2)-1))</f>
        <v/>
      </c>
      <c r="AI19" s="30" t="str">
        <f>IF(ISERROR(FIND($A$2,Lines!AI19))=TRUE,"",MID(Lines!AI19,FIND($A$2,Lines!AI19)+LEN($A$2)+1,FIND(",",_xlfn.CONCAT(Lines!AI19,","),FIND($A$2,Lines!AI19))-FIND($A$2,Lines!AI19)-LEN($A$2)-1))</f>
        <v/>
      </c>
      <c r="AJ19" s="30" t="str">
        <f>IF(ISERROR(FIND($A$2,Lines!AJ19))=TRUE,"",MID(Lines!AJ19,FIND($A$2,Lines!AJ19)+LEN($A$2)+1,FIND(",",_xlfn.CONCAT(Lines!AJ19,","),FIND($A$2,Lines!AJ19))-FIND($A$2,Lines!AJ19)-LEN($A$2)-1))</f>
        <v/>
      </c>
      <c r="AK19" s="30" t="str">
        <f>IF(ISERROR(FIND($A$2,Lines!AK19))=TRUE,"",MID(Lines!AK19,FIND($A$2,Lines!AK19)+LEN($A$2)+1,FIND(",",_xlfn.CONCAT(Lines!AK19,","),FIND($A$2,Lines!AK19))-FIND($A$2,Lines!AK19)-LEN($A$2)-1))</f>
        <v/>
      </c>
      <c r="AL19" s="30" t="str">
        <f>IF(ISERROR(FIND($A$2,Lines!AL19))=TRUE,"",MID(Lines!AL19,FIND($A$2,Lines!AL19)+LEN($A$2)+1,FIND(",",_xlfn.CONCAT(Lines!AL19,","),FIND($A$2,Lines!AL19))-FIND($A$2,Lines!AL19)-LEN($A$2)-1))</f>
        <v/>
      </c>
      <c r="AM19" s="30" t="str">
        <f>IF(ISERROR(FIND($A$2,Lines!AM19))=TRUE,"",MID(Lines!AM19,FIND($A$2,Lines!AM19)+LEN($A$2)+1,FIND(",",_xlfn.CONCAT(Lines!AM19,","),FIND($A$2,Lines!AM19))-FIND($A$2,Lines!AM19)-LEN($A$2)-1))</f>
        <v/>
      </c>
      <c r="AN19" s="30" t="str">
        <f>IF(ISERROR(FIND($A$2,Lines!AN19))=TRUE,"",MID(Lines!AN19,FIND($A$2,Lines!AN19)+LEN($A$2)+1,FIND(",",_xlfn.CONCAT(Lines!AN19,","),FIND($A$2,Lines!AN19))-FIND($A$2,Lines!AN19)-LEN($A$2)-1))</f>
        <v/>
      </c>
      <c r="AO19" s="30" t="str">
        <f>IF(ISERROR(FIND($A$2,Lines!AO19))=TRUE,"",MID(Lines!AO19,FIND($A$2,Lines!AO19)+LEN($A$2)+1,FIND(",",_xlfn.CONCAT(Lines!AO19,","),FIND($A$2,Lines!AO19))-FIND($A$2,Lines!AO19)-LEN($A$2)-1))</f>
        <v/>
      </c>
      <c r="AP19" s="30" t="str">
        <f>IF(ISERROR(FIND($A$2,Lines!AP19))=TRUE,"",MID(Lines!AP19,FIND($A$2,Lines!AP19)+LEN($A$2)+1,FIND(",",_xlfn.CONCAT(Lines!AP19,","),FIND($A$2,Lines!AP19))-FIND($A$2,Lines!AP19)-LEN($A$2)-1))</f>
        <v/>
      </c>
      <c r="AQ19" s="30" t="str">
        <f>IF(ISERROR(FIND($A$2,Lines!AQ19))=TRUE,"",MID(Lines!AQ19,FIND($A$2,Lines!AQ19)+LEN($A$2)+1,FIND(",",_xlfn.CONCAT(Lines!AQ19,","),FIND($A$2,Lines!AQ19))-FIND($A$2,Lines!AQ19)-LEN($A$2)-1))</f>
        <v/>
      </c>
      <c r="AR19" s="30" t="str">
        <f>IF(ISERROR(FIND($A$2,Lines!AR19))=TRUE,"",MID(Lines!AR19,FIND($A$2,Lines!AR19)+LEN($A$2)+1,FIND(",",_xlfn.CONCAT(Lines!AR19,","),FIND($A$2,Lines!AR19))-FIND($A$2,Lines!AR19)-LEN($A$2)-1))</f>
        <v/>
      </c>
      <c r="AS19" s="30" t="str">
        <f>IF(ISERROR(FIND($A$2,Lines!AS19))=TRUE,"",MID(Lines!AS19,FIND($A$2,Lines!AS19)+LEN($A$2)+1,FIND(",",_xlfn.CONCAT(Lines!AS19,","),FIND($A$2,Lines!AS19))-FIND($A$2,Lines!AS19)-LEN($A$2)-1))</f>
        <v/>
      </c>
      <c r="AT19" s="30" t="str">
        <f>IF(ISERROR(FIND($A$2,Lines!AT19))=TRUE,"",MID(Lines!AT19,FIND($A$2,Lines!AT19)+LEN($A$2)+1,FIND(",",_xlfn.CONCAT(Lines!AT19,","),FIND($A$2,Lines!AT19))-FIND($A$2,Lines!AT19)-LEN($A$2)-1))</f>
        <v/>
      </c>
    </row>
    <row r="20" spans="1:46" ht="20.25" customHeight="1">
      <c r="A20" s="2" t="s">
        <v>68</v>
      </c>
      <c r="B20" s="30" t="str">
        <f>IF(ISERROR(FIND($A$2,Lines!B20))=TRUE,"",MID(Lines!B20,FIND($A$2,Lines!B20)+LEN($A$2)+1,FIND(",",_xlfn.CONCAT(Lines!B20,","),FIND($A$2,Lines!B20))-FIND($A$2,Lines!B20)-LEN($A$2)-1))</f>
        <v/>
      </c>
      <c r="C20" s="30" t="str">
        <f>IF(ISERROR(FIND($A$2,Lines!C20))=TRUE,"",MID(Lines!C20,FIND($A$2,Lines!C20)+LEN($A$2)+1,FIND(",",_xlfn.CONCAT(Lines!C20,","),FIND($A$2,Lines!C20))-FIND($A$2,Lines!C20)-LEN($A$2)-1))</f>
        <v/>
      </c>
      <c r="D20" s="30" t="str">
        <f>IF(ISERROR(FIND($A$2,Lines!D20))=TRUE,"",MID(Lines!D20,FIND($A$2,Lines!D20)+LEN($A$2)+1,FIND(",",_xlfn.CONCAT(Lines!D20,","),FIND($A$2,Lines!D20))-FIND($A$2,Lines!D20)-LEN($A$2)-1))</f>
        <v/>
      </c>
      <c r="E20" s="30" t="str">
        <f>IF(ISERROR(FIND($A$2,Lines!E20))=TRUE,"",MID(Lines!E20,FIND($A$2,Lines!E20)+LEN($A$2)+1,FIND(",",_xlfn.CONCAT(Lines!E20,","),FIND($A$2,Lines!E20))-FIND($A$2,Lines!E20)-LEN($A$2)-1))</f>
        <v/>
      </c>
      <c r="F20" s="30" t="str">
        <f>IF(ISERROR(FIND($A$2,Lines!F20))=TRUE,"",MID(Lines!F20,FIND($A$2,Lines!F20)+LEN($A$2)+1,FIND(",",_xlfn.CONCAT(Lines!F20,","),FIND($A$2,Lines!F20))-FIND($A$2,Lines!F20)-LEN($A$2)-1))</f>
        <v/>
      </c>
      <c r="G20" s="30" t="str">
        <f>IF(ISERROR(FIND($A$2,Lines!G20))=TRUE,"",MID(Lines!G20,FIND($A$2,Lines!G20)+LEN($A$2)+1,FIND(",",_xlfn.CONCAT(Lines!G20,","),FIND($A$2,Lines!G20))-FIND($A$2,Lines!G20)-LEN($A$2)-1))</f>
        <v/>
      </c>
      <c r="H20" s="30" t="str">
        <f>IF(ISERROR(FIND($A$2,Lines!H20))=TRUE,"",MID(Lines!H20,FIND($A$2,Lines!H20)+LEN($A$2)+1,FIND(",",_xlfn.CONCAT(Lines!H20,","),FIND($A$2,Lines!H20))-FIND($A$2,Lines!H20)-LEN($A$2)-1))</f>
        <v/>
      </c>
      <c r="I20" s="30" t="str">
        <f>IF(ISERROR(FIND($A$2,Lines!I20))=TRUE,"",MID(Lines!I20,FIND($A$2,Lines!I20)+LEN($A$2)+1,FIND(",",_xlfn.CONCAT(Lines!I20,","),FIND($A$2,Lines!I20))-FIND($A$2,Lines!I20)-LEN($A$2)-1))</f>
        <v/>
      </c>
      <c r="J20" s="30" t="str">
        <f>IF(ISERROR(FIND($A$2,Lines!J20))=TRUE,"",MID(Lines!J20,FIND($A$2,Lines!J20)+LEN($A$2)+1,FIND(",",_xlfn.CONCAT(Lines!J20,","),FIND($A$2,Lines!J20))-FIND($A$2,Lines!J20)-LEN($A$2)-1))</f>
        <v/>
      </c>
      <c r="K20" s="30" t="str">
        <f>IF(ISERROR(FIND($A$2,Lines!K20))=TRUE,"",MID(Lines!K20,FIND($A$2,Lines!K20)+LEN($A$2)+1,FIND(",",_xlfn.CONCAT(Lines!K20,","),FIND($A$2,Lines!K20))-FIND($A$2,Lines!K20)-LEN($A$2)-1))</f>
        <v/>
      </c>
      <c r="L20" s="30" t="str">
        <f>IF(ISERROR(FIND($A$2,Lines!L20))=TRUE,"",MID(Lines!L20,FIND($A$2,Lines!L20)+LEN($A$2)+1,FIND(",",_xlfn.CONCAT(Lines!L20,","),FIND($A$2,Lines!L20))-FIND($A$2,Lines!L20)-LEN($A$2)-1))</f>
        <v/>
      </c>
      <c r="M20" s="30" t="str">
        <f>IF(ISERROR(FIND($A$2,Lines!M20))=TRUE,"",MID(Lines!M20,FIND($A$2,Lines!M20)+LEN($A$2)+1,FIND(",",_xlfn.CONCAT(Lines!M20,","),FIND($A$2,Lines!M20))-FIND($A$2,Lines!M20)-LEN($A$2)-1))</f>
        <v/>
      </c>
      <c r="N20" s="32" t="str">
        <f>IF(ISERROR(FIND($A$2,Lines!N20))=TRUE,"",MID(Lines!N20,FIND($A$2,Lines!N20)+LEN($A$2)+1,FIND(",",_xlfn.CONCAT(Lines!N20,","),FIND($A$2,Lines!N20))-FIND($A$2,Lines!N20)-LEN($A$2)-1))</f>
        <v/>
      </c>
      <c r="O20" s="25" t="str">
        <f>IF(ISERROR(FIND($A$2,Lines!O20))=TRUE,"",MID(Lines!O20,FIND($A$2,Lines!O20)+LEN($A$2)+1,FIND(",",_xlfn.CONCAT(Lines!O20,","),FIND($A$2,Lines!O20))-FIND($A$2,Lines!O20)-LEN($A$2)-1))</f>
        <v/>
      </c>
      <c r="P20" s="25" t="str">
        <f>IF(ISERROR(FIND($A$2,Lines!P20))=TRUE,"",MID(Lines!P20,FIND($A$2,Lines!P20)+LEN($A$2)+1,FIND(",",_xlfn.CONCAT(Lines!P20,","),FIND($A$2,Lines!P20))-FIND($A$2,Lines!P20)-LEN($A$2)-1))</f>
        <v/>
      </c>
      <c r="Q20" s="25" t="str">
        <f>IF(ISERROR(FIND($A$2,Lines!Q20))=TRUE,"",MID(Lines!Q20,FIND($A$2,Lines!Q20)+LEN($A$2)+1,FIND(",",_xlfn.CONCAT(Lines!Q20,","),FIND($A$2,Lines!Q20))-FIND($A$2,Lines!Q20)-LEN($A$2)-1))</f>
        <v/>
      </c>
      <c r="R20" s="66" t="str">
        <f>IF(ISERROR(FIND($A$2,Lines!R20))=TRUE,"",MID(Lines!R20,FIND($A$2,Lines!R20)+LEN($A$2)+1,FIND(",",_xlfn.CONCAT(Lines!R20,","),FIND($A$2,Lines!R20))-FIND($A$2,Lines!R20)-LEN($A$2)-1))</f>
        <v/>
      </c>
      <c r="S20" s="25" t="str">
        <f>IF(ISERROR(FIND($A$2,Lines!S20))=TRUE,"",MID(Lines!S20,FIND($A$2,Lines!S20)+LEN($A$2)+1,FIND(",",_xlfn.CONCAT(Lines!S20,","),FIND($A$2,Lines!S20))-FIND($A$2,Lines!S20)-LEN($A$2)-1))</f>
        <v/>
      </c>
      <c r="T20" s="25" t="str">
        <f>IF(ISERROR(FIND($A$2,Lines!T20))=TRUE,"",MID(Lines!T20,FIND($A$2,Lines!T20)+LEN($A$2)+1,FIND(",",_xlfn.CONCAT(Lines!T20,","),FIND($A$2,Lines!T20))-FIND($A$2,Lines!T20)-LEN($A$2)-1))</f>
        <v/>
      </c>
      <c r="U20" s="25" t="str">
        <f>IF(ISERROR(FIND($A$2,Lines!U20))=TRUE,"",MID(Lines!U20,FIND($A$2,Lines!U20)+LEN($A$2)+1,FIND(",",_xlfn.CONCAT(Lines!U20,","),FIND($A$2,Lines!U20))-FIND($A$2,Lines!U20)-LEN($A$2)-1))</f>
        <v/>
      </c>
      <c r="V20" s="35" t="str">
        <f>IF(ISERROR(FIND($A$2,Lines!V20))=TRUE,"",MID(Lines!V20,FIND($A$2,Lines!V20)+LEN($A$2)+1,FIND(",",_xlfn.CONCAT(Lines!V20,","),FIND($A$2,Lines!V20))-FIND($A$2,Lines!V20)-LEN($A$2)-1))</f>
        <v/>
      </c>
      <c r="W20" s="36" t="str">
        <f>IF(ISERROR(FIND($A$2,Lines!W20))=TRUE,"",MID(Lines!W20,FIND($A$2,Lines!W20)+LEN($A$2)+1,FIND(",",_xlfn.CONCAT(Lines!W20,","),FIND($A$2,Lines!W20))-FIND($A$2,Lines!W20)-LEN($A$2)-1))</f>
        <v/>
      </c>
      <c r="X20" s="30" t="str">
        <f>IF(ISERROR(FIND($A$2,Lines!X20))=TRUE,"",MID(Lines!X20,FIND($A$2,Lines!X20)+LEN($A$2)+1,FIND(",",_xlfn.CONCAT(Lines!X20,","),FIND($A$2,Lines!X20))-FIND($A$2,Lines!X20)-LEN($A$2)-1))</f>
        <v/>
      </c>
      <c r="Y20" s="30" t="str">
        <f>IF(ISERROR(FIND($A$2,Lines!Y20))=TRUE,"",MID(Lines!Y20,FIND($A$2,Lines!Y20)+LEN($A$2)+1,FIND(",",_xlfn.CONCAT(Lines!Y20,","),FIND($A$2,Lines!Y20))-FIND($A$2,Lines!Y20)-LEN($A$2)-1))</f>
        <v/>
      </c>
      <c r="Z20" s="30" t="str">
        <f>IF(ISERROR(FIND($A$2,Lines!Z20))=TRUE,"",MID(Lines!Z20,FIND($A$2,Lines!Z20)+LEN($A$2)+1,FIND(",",_xlfn.CONCAT(Lines!Z20,","),FIND($A$2,Lines!Z20))-FIND($A$2,Lines!Z20)-LEN($A$2)-1))</f>
        <v/>
      </c>
      <c r="AA20" s="30" t="str">
        <f>IF(ISERROR(FIND($A$2,Lines!AA20))=TRUE,"",MID(Lines!AA20,FIND($A$2,Lines!AA20)+LEN($A$2)+1,FIND(",",_xlfn.CONCAT(Lines!AA20,","),FIND($A$2,Lines!AA20))-FIND($A$2,Lines!AA20)-LEN($A$2)-1))</f>
        <v/>
      </c>
      <c r="AB20" s="30" t="str">
        <f>IF(ISERROR(FIND($A$2,Lines!AB20))=TRUE,"",MID(Lines!AB20,FIND($A$2,Lines!AB20)+LEN($A$2)+1,FIND(",",_xlfn.CONCAT(Lines!AB20,","),FIND($A$2,Lines!AB20))-FIND($A$2,Lines!AB20)-LEN($A$2)-1))</f>
        <v/>
      </c>
      <c r="AC20" s="30" t="str">
        <f>IF(ISERROR(FIND($A$2,Lines!AC20))=TRUE,"",MID(Lines!AC20,FIND($A$2,Lines!AC20)+LEN($A$2)+1,FIND(",",_xlfn.CONCAT(Lines!AC20,","),FIND($A$2,Lines!AC20))-FIND($A$2,Lines!AC20)-LEN($A$2)-1))</f>
        <v/>
      </c>
      <c r="AD20" s="30" t="str">
        <f>IF(ISERROR(FIND($A$2,Lines!AD20))=TRUE,"",MID(Lines!AD20,FIND($A$2,Lines!AD20)+LEN($A$2)+1,FIND(",",_xlfn.CONCAT(Lines!AD20,","),FIND($A$2,Lines!AD20))-FIND($A$2,Lines!AD20)-LEN($A$2)-1))</f>
        <v/>
      </c>
      <c r="AE20" s="30" t="str">
        <f>IF(ISERROR(FIND($A$2,Lines!AE20))=TRUE,"",MID(Lines!AE20,FIND($A$2,Lines!AE20)+LEN($A$2)+1,FIND(",",_xlfn.CONCAT(Lines!AE20,","),FIND($A$2,Lines!AE20))-FIND($A$2,Lines!AE20)-LEN($A$2)-1))</f>
        <v/>
      </c>
      <c r="AF20" s="30" t="str">
        <f>IF(ISERROR(FIND($A$2,Lines!AF20))=TRUE,"",MID(Lines!AF20,FIND($A$2,Lines!AF20)+LEN($A$2)+1,FIND(",",_xlfn.CONCAT(Lines!AF20,","),FIND($A$2,Lines!AF20))-FIND($A$2,Lines!AF20)-LEN($A$2)-1))</f>
        <v/>
      </c>
      <c r="AG20" s="30" t="str">
        <f>IF(ISERROR(FIND($A$2,Lines!AG20))=TRUE,"",MID(Lines!AG20,FIND($A$2,Lines!AG20)+LEN($A$2)+1,FIND(",",_xlfn.CONCAT(Lines!AG20,","),FIND($A$2,Lines!AG20))-FIND($A$2,Lines!AG20)-LEN($A$2)-1))</f>
        <v/>
      </c>
      <c r="AH20" s="30" t="str">
        <f>IF(ISERROR(FIND($A$2,Lines!AH20))=TRUE,"",MID(Lines!AH20,FIND($A$2,Lines!AH20)+LEN($A$2)+1,FIND(",",_xlfn.CONCAT(Lines!AH20,","),FIND($A$2,Lines!AH20))-FIND($A$2,Lines!AH20)-LEN($A$2)-1))</f>
        <v/>
      </c>
      <c r="AI20" s="30" t="str">
        <f>IF(ISERROR(FIND($A$2,Lines!AI20))=TRUE,"",MID(Lines!AI20,FIND($A$2,Lines!AI20)+LEN($A$2)+1,FIND(",",_xlfn.CONCAT(Lines!AI20,","),FIND($A$2,Lines!AI20))-FIND($A$2,Lines!AI20)-LEN($A$2)-1))</f>
        <v/>
      </c>
      <c r="AJ20" s="30" t="str">
        <f>IF(ISERROR(FIND($A$2,Lines!AJ20))=TRUE,"",MID(Lines!AJ20,FIND($A$2,Lines!AJ20)+LEN($A$2)+1,FIND(",",_xlfn.CONCAT(Lines!AJ20,","),FIND($A$2,Lines!AJ20))-FIND($A$2,Lines!AJ20)-LEN($A$2)-1))</f>
        <v/>
      </c>
      <c r="AK20" s="30" t="str">
        <f>IF(ISERROR(FIND($A$2,Lines!AK20))=TRUE,"",MID(Lines!AK20,FIND($A$2,Lines!AK20)+LEN($A$2)+1,FIND(",",_xlfn.CONCAT(Lines!AK20,","),FIND($A$2,Lines!AK20))-FIND($A$2,Lines!AK20)-LEN($A$2)-1))</f>
        <v/>
      </c>
      <c r="AL20" s="30" t="str">
        <f>IF(ISERROR(FIND($A$2,Lines!AL20))=TRUE,"",MID(Lines!AL20,FIND($A$2,Lines!AL20)+LEN($A$2)+1,FIND(",",_xlfn.CONCAT(Lines!AL20,","),FIND($A$2,Lines!AL20))-FIND($A$2,Lines!AL20)-LEN($A$2)-1))</f>
        <v/>
      </c>
      <c r="AM20" s="30" t="str">
        <f>IF(ISERROR(FIND($A$2,Lines!AM20))=TRUE,"",MID(Lines!AM20,FIND($A$2,Lines!AM20)+LEN($A$2)+1,FIND(",",_xlfn.CONCAT(Lines!AM20,","),FIND($A$2,Lines!AM20))-FIND($A$2,Lines!AM20)-LEN($A$2)-1))</f>
        <v/>
      </c>
      <c r="AN20" s="30" t="str">
        <f>IF(ISERROR(FIND($A$2,Lines!AN20))=TRUE,"",MID(Lines!AN20,FIND($A$2,Lines!AN20)+LEN($A$2)+1,FIND(",",_xlfn.CONCAT(Lines!AN20,","),FIND($A$2,Lines!AN20))-FIND($A$2,Lines!AN20)-LEN($A$2)-1))</f>
        <v/>
      </c>
      <c r="AO20" s="30" t="str">
        <f>IF(ISERROR(FIND($A$2,Lines!AO20))=TRUE,"",MID(Lines!AO20,FIND($A$2,Lines!AO20)+LEN($A$2)+1,FIND(",",_xlfn.CONCAT(Lines!AO20,","),FIND($A$2,Lines!AO20))-FIND($A$2,Lines!AO20)-LEN($A$2)-1))</f>
        <v/>
      </c>
      <c r="AP20" s="30" t="str">
        <f>IF(ISERROR(FIND($A$2,Lines!AP20))=TRUE,"",MID(Lines!AP20,FIND($A$2,Lines!AP20)+LEN($A$2)+1,FIND(",",_xlfn.CONCAT(Lines!AP20,","),FIND($A$2,Lines!AP20))-FIND($A$2,Lines!AP20)-LEN($A$2)-1))</f>
        <v/>
      </c>
      <c r="AQ20" s="30" t="str">
        <f>IF(ISERROR(FIND($A$2,Lines!AQ20))=TRUE,"",MID(Lines!AQ20,FIND($A$2,Lines!AQ20)+LEN($A$2)+1,FIND(",",_xlfn.CONCAT(Lines!AQ20,","),FIND($A$2,Lines!AQ20))-FIND($A$2,Lines!AQ20)-LEN($A$2)-1))</f>
        <v/>
      </c>
      <c r="AR20" s="30" t="str">
        <f>IF(ISERROR(FIND($A$2,Lines!AR20))=TRUE,"",MID(Lines!AR20,FIND($A$2,Lines!AR20)+LEN($A$2)+1,FIND(",",_xlfn.CONCAT(Lines!AR20,","),FIND($A$2,Lines!AR20))-FIND($A$2,Lines!AR20)-LEN($A$2)-1))</f>
        <v/>
      </c>
      <c r="AS20" s="30" t="str">
        <f>IF(ISERROR(FIND($A$2,Lines!AS20))=TRUE,"",MID(Lines!AS20,FIND($A$2,Lines!AS20)+LEN($A$2)+1,FIND(",",_xlfn.CONCAT(Lines!AS20,","),FIND($A$2,Lines!AS20))-FIND($A$2,Lines!AS20)-LEN($A$2)-1))</f>
        <v/>
      </c>
      <c r="AT20" s="30" t="str">
        <f>IF(ISERROR(FIND($A$2,Lines!AT20))=TRUE,"",MID(Lines!AT20,FIND($A$2,Lines!AT20)+LEN($A$2)+1,FIND(",",_xlfn.CONCAT(Lines!AT20,","),FIND($A$2,Lines!AT20))-FIND($A$2,Lines!AT20)-LEN($A$2)-1))</f>
        <v/>
      </c>
    </row>
    <row r="21" spans="1:46" ht="20.25" customHeight="1">
      <c r="A21" s="2" t="s">
        <v>69</v>
      </c>
      <c r="B21" s="30" t="str">
        <f>IF(ISERROR(FIND($A$2,Lines!B21))=TRUE,"",MID(Lines!B21,FIND($A$2,Lines!B21)+LEN($A$2)+1,FIND(",",_xlfn.CONCAT(Lines!B21,","),FIND($A$2,Lines!B21))-FIND($A$2,Lines!B21)-LEN($A$2)-1))</f>
        <v/>
      </c>
      <c r="C21" s="30" t="str">
        <f>IF(ISERROR(FIND($A$2,Lines!C21))=TRUE,"",MID(Lines!C21,FIND($A$2,Lines!C21)+LEN($A$2)+1,FIND(",",_xlfn.CONCAT(Lines!C21,","),FIND($A$2,Lines!C21))-FIND($A$2,Lines!C21)-LEN($A$2)-1))</f>
        <v/>
      </c>
      <c r="D21" s="30" t="str">
        <f>IF(ISERROR(FIND($A$2,Lines!D21))=TRUE,"",MID(Lines!D21,FIND($A$2,Lines!D21)+LEN($A$2)+1,FIND(",",_xlfn.CONCAT(Lines!D21,","),FIND($A$2,Lines!D21))-FIND($A$2,Lines!D21)-LEN($A$2)-1))</f>
        <v/>
      </c>
      <c r="E21" s="30" t="str">
        <f>IF(ISERROR(FIND($A$2,Lines!E21))=TRUE,"",MID(Lines!E21,FIND($A$2,Lines!E21)+LEN($A$2)+1,FIND(",",_xlfn.CONCAT(Lines!E21,","),FIND($A$2,Lines!E21))-FIND($A$2,Lines!E21)-LEN($A$2)-1))</f>
        <v/>
      </c>
      <c r="F21" s="30" t="str">
        <f>IF(ISERROR(FIND($A$2,Lines!F21))=TRUE,"",MID(Lines!F21,FIND($A$2,Lines!F21)+LEN($A$2)+1,FIND(",",_xlfn.CONCAT(Lines!F21,","),FIND($A$2,Lines!F21))-FIND($A$2,Lines!F21)-LEN($A$2)-1))</f>
        <v/>
      </c>
      <c r="G21" s="30" t="str">
        <f>IF(ISERROR(FIND($A$2,Lines!G21))=TRUE,"",MID(Lines!G21,FIND($A$2,Lines!G21)+LEN($A$2)+1,FIND(",",_xlfn.CONCAT(Lines!G21,","),FIND($A$2,Lines!G21))-FIND($A$2,Lines!G21)-LEN($A$2)-1))</f>
        <v/>
      </c>
      <c r="H21" s="30" t="str">
        <f>IF(ISERROR(FIND($A$2,Lines!H21))=TRUE,"",MID(Lines!H21,FIND($A$2,Lines!H21)+LEN($A$2)+1,FIND(",",_xlfn.CONCAT(Lines!H21,","),FIND($A$2,Lines!H21))-FIND($A$2,Lines!H21)-LEN($A$2)-1))</f>
        <v/>
      </c>
      <c r="I21" s="30" t="str">
        <f>IF(ISERROR(FIND($A$2,Lines!I21))=TRUE,"",MID(Lines!I21,FIND($A$2,Lines!I21)+LEN($A$2)+1,FIND(",",_xlfn.CONCAT(Lines!I21,","),FIND($A$2,Lines!I21))-FIND($A$2,Lines!I21)-LEN($A$2)-1))</f>
        <v/>
      </c>
      <c r="J21" s="30" t="str">
        <f>IF(ISERROR(FIND($A$2,Lines!J21))=TRUE,"",MID(Lines!J21,FIND($A$2,Lines!J21)+LEN($A$2)+1,FIND(",",_xlfn.CONCAT(Lines!J21,","),FIND($A$2,Lines!J21))-FIND($A$2,Lines!J21)-LEN($A$2)-1))</f>
        <v/>
      </c>
      <c r="K21" s="30" t="str">
        <f>IF(ISERROR(FIND($A$2,Lines!K21))=TRUE,"",MID(Lines!K21,FIND($A$2,Lines!K21)+LEN($A$2)+1,FIND(",",_xlfn.CONCAT(Lines!K21,","),FIND($A$2,Lines!K21))-FIND($A$2,Lines!K21)-LEN($A$2)-1))</f>
        <v/>
      </c>
      <c r="L21" s="30" t="str">
        <f>IF(ISERROR(FIND($A$2,Lines!L21))=TRUE,"",MID(Lines!L21,FIND($A$2,Lines!L21)+LEN($A$2)+1,FIND(",",_xlfn.CONCAT(Lines!L21,","),FIND($A$2,Lines!L21))-FIND($A$2,Lines!L21)-LEN($A$2)-1))</f>
        <v/>
      </c>
      <c r="M21" s="30" t="str">
        <f>IF(ISERROR(FIND($A$2,Lines!M21))=TRUE,"",MID(Lines!M21,FIND($A$2,Lines!M21)+LEN($A$2)+1,FIND(",",_xlfn.CONCAT(Lines!M21,","),FIND($A$2,Lines!M21))-FIND($A$2,Lines!M21)-LEN($A$2)-1))</f>
        <v/>
      </c>
      <c r="N21" s="32" t="str">
        <f>IF(ISERROR(FIND($A$2,Lines!N21))=TRUE,"",MID(Lines!N21,FIND($A$2,Lines!N21)+LEN($A$2)+1,FIND(",",_xlfn.CONCAT(Lines!N21,","),FIND($A$2,Lines!N21))-FIND($A$2,Lines!N21)-LEN($A$2)-1))</f>
        <v/>
      </c>
      <c r="O21" s="25" t="str">
        <f>IF(ISERROR(FIND($A$2,Lines!O21))=TRUE,"",MID(Lines!O21,FIND($A$2,Lines!O21)+LEN($A$2)+1,FIND(",",_xlfn.CONCAT(Lines!O21,","),FIND($A$2,Lines!O21))-FIND($A$2,Lines!O21)-LEN($A$2)-1))</f>
        <v/>
      </c>
      <c r="P21" s="25" t="str">
        <f>IF(ISERROR(FIND($A$2,Lines!P21))=TRUE,"",MID(Lines!P21,FIND($A$2,Lines!P21)+LEN($A$2)+1,FIND(",",_xlfn.CONCAT(Lines!P21,","),FIND($A$2,Lines!P21))-FIND($A$2,Lines!P21)-LEN($A$2)-1))</f>
        <v/>
      </c>
      <c r="Q21" s="25" t="str">
        <f>IF(ISERROR(FIND($A$2,Lines!Q21))=TRUE,"",MID(Lines!Q21,FIND($A$2,Lines!Q21)+LEN($A$2)+1,FIND(",",_xlfn.CONCAT(Lines!Q21,","),FIND($A$2,Lines!Q21))-FIND($A$2,Lines!Q21)-LEN($A$2)-1))</f>
        <v/>
      </c>
      <c r="R21" s="25" t="str">
        <f>IF(ISERROR(FIND($A$2,Lines!R21))=TRUE,"",MID(Lines!R21,FIND($A$2,Lines!R21)+LEN($A$2)+1,FIND(",",_xlfn.CONCAT(Lines!R21,","),FIND($A$2,Lines!R21))-FIND($A$2,Lines!R21)-LEN($A$2)-1))</f>
        <v/>
      </c>
      <c r="S21" s="66" t="str">
        <f>IF(ISERROR(FIND($A$2,Lines!S21))=TRUE,"",MID(Lines!S21,FIND($A$2,Lines!S21)+LEN($A$2)+1,FIND(",",_xlfn.CONCAT(Lines!S21,","),FIND($A$2,Lines!S21))-FIND($A$2,Lines!S21)-LEN($A$2)-1))</f>
        <v/>
      </c>
      <c r="T21" s="25" t="str">
        <f>IF(ISERROR(FIND($A$2,Lines!T21))=TRUE,"",MID(Lines!T21,FIND($A$2,Lines!T21)+LEN($A$2)+1,FIND(",",_xlfn.CONCAT(Lines!T21,","),FIND($A$2,Lines!T21))-FIND($A$2,Lines!T21)-LEN($A$2)-1))</f>
        <v/>
      </c>
      <c r="U21" s="25" t="str">
        <f>IF(ISERROR(FIND($A$2,Lines!U21))=TRUE,"",MID(Lines!U21,FIND($A$2,Lines!U21)+LEN($A$2)+1,FIND(",",_xlfn.CONCAT(Lines!U21,","),FIND($A$2,Lines!U21))-FIND($A$2,Lines!U21)-LEN($A$2)-1))</f>
        <v/>
      </c>
      <c r="V21" s="35" t="str">
        <f>IF(ISERROR(FIND($A$2,Lines!V21))=TRUE,"",MID(Lines!V21,FIND($A$2,Lines!V21)+LEN($A$2)+1,FIND(",",_xlfn.CONCAT(Lines!V21,","),FIND($A$2,Lines!V21))-FIND($A$2,Lines!V21)-LEN($A$2)-1))</f>
        <v/>
      </c>
      <c r="W21" s="36" t="str">
        <f>IF(ISERROR(FIND($A$2,Lines!W21))=TRUE,"",MID(Lines!W21,FIND($A$2,Lines!W21)+LEN($A$2)+1,FIND(",",_xlfn.CONCAT(Lines!W21,","),FIND($A$2,Lines!W21))-FIND($A$2,Lines!W21)-LEN($A$2)-1))</f>
        <v/>
      </c>
      <c r="X21" s="30" t="str">
        <f>IF(ISERROR(FIND($A$2,Lines!X21))=TRUE,"",MID(Lines!X21,FIND($A$2,Lines!X21)+LEN($A$2)+1,FIND(",",_xlfn.CONCAT(Lines!X21,","),FIND($A$2,Lines!X21))-FIND($A$2,Lines!X21)-LEN($A$2)-1))</f>
        <v/>
      </c>
      <c r="Y21" s="30" t="str">
        <f>IF(ISERROR(FIND($A$2,Lines!Y21))=TRUE,"",MID(Lines!Y21,FIND($A$2,Lines!Y21)+LEN($A$2)+1,FIND(",",_xlfn.CONCAT(Lines!Y21,","),FIND($A$2,Lines!Y21))-FIND($A$2,Lines!Y21)-LEN($A$2)-1))</f>
        <v/>
      </c>
      <c r="Z21" s="30" t="str">
        <f>IF(ISERROR(FIND($A$2,Lines!Z21))=TRUE,"",MID(Lines!Z21,FIND($A$2,Lines!Z21)+LEN($A$2)+1,FIND(",",_xlfn.CONCAT(Lines!Z21,","),FIND($A$2,Lines!Z21))-FIND($A$2,Lines!Z21)-LEN($A$2)-1))</f>
        <v/>
      </c>
      <c r="AA21" s="30" t="str">
        <f>IF(ISERROR(FIND($A$2,Lines!AA21))=TRUE,"",MID(Lines!AA21,FIND($A$2,Lines!AA21)+LEN($A$2)+1,FIND(",",_xlfn.CONCAT(Lines!AA21,","),FIND($A$2,Lines!AA21))-FIND($A$2,Lines!AA21)-LEN($A$2)-1))</f>
        <v/>
      </c>
      <c r="AB21" s="30" t="str">
        <f>IF(ISERROR(FIND($A$2,Lines!AB21))=TRUE,"",MID(Lines!AB21,FIND($A$2,Lines!AB21)+LEN($A$2)+1,FIND(",",_xlfn.CONCAT(Lines!AB21,","),FIND($A$2,Lines!AB21))-FIND($A$2,Lines!AB21)-LEN($A$2)-1))</f>
        <v/>
      </c>
      <c r="AC21" s="30" t="str">
        <f>IF(ISERROR(FIND($A$2,Lines!AC21))=TRUE,"",MID(Lines!AC21,FIND($A$2,Lines!AC21)+LEN($A$2)+1,FIND(",",_xlfn.CONCAT(Lines!AC21,","),FIND($A$2,Lines!AC21))-FIND($A$2,Lines!AC21)-LEN($A$2)-1))</f>
        <v/>
      </c>
      <c r="AD21" s="30" t="str">
        <f>IF(ISERROR(FIND($A$2,Lines!AD21))=TRUE,"",MID(Lines!AD21,FIND($A$2,Lines!AD21)+LEN($A$2)+1,FIND(",",_xlfn.CONCAT(Lines!AD21,","),FIND($A$2,Lines!AD21))-FIND($A$2,Lines!AD21)-LEN($A$2)-1))</f>
        <v/>
      </c>
      <c r="AE21" s="30" t="str">
        <f>IF(ISERROR(FIND($A$2,Lines!AE21))=TRUE,"",MID(Lines!AE21,FIND($A$2,Lines!AE21)+LEN($A$2)+1,FIND(",",_xlfn.CONCAT(Lines!AE21,","),FIND($A$2,Lines!AE21))-FIND($A$2,Lines!AE21)-LEN($A$2)-1))</f>
        <v/>
      </c>
      <c r="AF21" s="30" t="str">
        <f>IF(ISERROR(FIND($A$2,Lines!AF21))=TRUE,"",MID(Lines!AF21,FIND($A$2,Lines!AF21)+LEN($A$2)+1,FIND(",",_xlfn.CONCAT(Lines!AF21,","),FIND($A$2,Lines!AF21))-FIND($A$2,Lines!AF21)-LEN($A$2)-1))</f>
        <v/>
      </c>
      <c r="AG21" s="30" t="str">
        <f>IF(ISERROR(FIND($A$2,Lines!AG21))=TRUE,"",MID(Lines!AG21,FIND($A$2,Lines!AG21)+LEN($A$2)+1,FIND(",",_xlfn.CONCAT(Lines!AG21,","),FIND($A$2,Lines!AG21))-FIND($A$2,Lines!AG21)-LEN($A$2)-1))</f>
        <v/>
      </c>
      <c r="AH21" s="30" t="str">
        <f>IF(ISERROR(FIND($A$2,Lines!AH21))=TRUE,"",MID(Lines!AH21,FIND($A$2,Lines!AH21)+LEN($A$2)+1,FIND(",",_xlfn.CONCAT(Lines!AH21,","),FIND($A$2,Lines!AH21))-FIND($A$2,Lines!AH21)-LEN($A$2)-1))</f>
        <v/>
      </c>
      <c r="AI21" s="30" t="str">
        <f>IF(ISERROR(FIND($A$2,Lines!AI21))=TRUE,"",MID(Lines!AI21,FIND($A$2,Lines!AI21)+LEN($A$2)+1,FIND(",",_xlfn.CONCAT(Lines!AI21,","),FIND($A$2,Lines!AI21))-FIND($A$2,Lines!AI21)-LEN($A$2)-1))</f>
        <v/>
      </c>
      <c r="AJ21" s="30" t="str">
        <f>IF(ISERROR(FIND($A$2,Lines!AJ21))=TRUE,"",MID(Lines!AJ21,FIND($A$2,Lines!AJ21)+LEN($A$2)+1,FIND(",",_xlfn.CONCAT(Lines!AJ21,","),FIND($A$2,Lines!AJ21))-FIND($A$2,Lines!AJ21)-LEN($A$2)-1))</f>
        <v/>
      </c>
      <c r="AK21" s="30" t="str">
        <f>IF(ISERROR(FIND($A$2,Lines!AK21))=TRUE,"",MID(Lines!AK21,FIND($A$2,Lines!AK21)+LEN($A$2)+1,FIND(",",_xlfn.CONCAT(Lines!AK21,","),FIND($A$2,Lines!AK21))-FIND($A$2,Lines!AK21)-LEN($A$2)-1))</f>
        <v/>
      </c>
      <c r="AL21" s="30" t="str">
        <f>IF(ISERROR(FIND($A$2,Lines!AL21))=TRUE,"",MID(Lines!AL21,FIND($A$2,Lines!AL21)+LEN($A$2)+1,FIND(",",_xlfn.CONCAT(Lines!AL21,","),FIND($A$2,Lines!AL21))-FIND($A$2,Lines!AL21)-LEN($A$2)-1))</f>
        <v/>
      </c>
      <c r="AM21" s="30" t="str">
        <f>IF(ISERROR(FIND($A$2,Lines!AM21))=TRUE,"",MID(Lines!AM21,FIND($A$2,Lines!AM21)+LEN($A$2)+1,FIND(",",_xlfn.CONCAT(Lines!AM21,","),FIND($A$2,Lines!AM21))-FIND($A$2,Lines!AM21)-LEN($A$2)-1))</f>
        <v/>
      </c>
      <c r="AN21" s="30" t="str">
        <f>IF(ISERROR(FIND($A$2,Lines!AN21))=TRUE,"",MID(Lines!AN21,FIND($A$2,Lines!AN21)+LEN($A$2)+1,FIND(",",_xlfn.CONCAT(Lines!AN21,","),FIND($A$2,Lines!AN21))-FIND($A$2,Lines!AN21)-LEN($A$2)-1))</f>
        <v/>
      </c>
      <c r="AO21" s="30" t="str">
        <f>IF(ISERROR(FIND($A$2,Lines!AO21))=TRUE,"",MID(Lines!AO21,FIND($A$2,Lines!AO21)+LEN($A$2)+1,FIND(",",_xlfn.CONCAT(Lines!AO21,","),FIND($A$2,Lines!AO21))-FIND($A$2,Lines!AO21)-LEN($A$2)-1))</f>
        <v/>
      </c>
      <c r="AP21" s="30" t="str">
        <f>IF(ISERROR(FIND($A$2,Lines!AP21))=TRUE,"",MID(Lines!AP21,FIND($A$2,Lines!AP21)+LEN($A$2)+1,FIND(",",_xlfn.CONCAT(Lines!AP21,","),FIND($A$2,Lines!AP21))-FIND($A$2,Lines!AP21)-LEN($A$2)-1))</f>
        <v/>
      </c>
      <c r="AQ21" s="30" t="str">
        <f>IF(ISERROR(FIND($A$2,Lines!AQ21))=TRUE,"",MID(Lines!AQ21,FIND($A$2,Lines!AQ21)+LEN($A$2)+1,FIND(",",_xlfn.CONCAT(Lines!AQ21,","),FIND($A$2,Lines!AQ21))-FIND($A$2,Lines!AQ21)-LEN($A$2)-1))</f>
        <v/>
      </c>
      <c r="AR21" s="30" t="str">
        <f>IF(ISERROR(FIND($A$2,Lines!AR21))=TRUE,"",MID(Lines!AR21,FIND($A$2,Lines!AR21)+LEN($A$2)+1,FIND(",",_xlfn.CONCAT(Lines!AR21,","),FIND($A$2,Lines!AR21))-FIND($A$2,Lines!AR21)-LEN($A$2)-1))</f>
        <v/>
      </c>
      <c r="AS21" s="30" t="str">
        <f>IF(ISERROR(FIND($A$2,Lines!AS21))=TRUE,"",MID(Lines!AS21,FIND($A$2,Lines!AS21)+LEN($A$2)+1,FIND(",",_xlfn.CONCAT(Lines!AS21,","),FIND($A$2,Lines!AS21))-FIND($A$2,Lines!AS21)-LEN($A$2)-1))</f>
        <v/>
      </c>
      <c r="AT21" s="30" t="str">
        <f>IF(ISERROR(FIND($A$2,Lines!AT21))=TRUE,"",MID(Lines!AT21,FIND($A$2,Lines!AT21)+LEN($A$2)+1,FIND(",",_xlfn.CONCAT(Lines!AT21,","),FIND($A$2,Lines!AT21))-FIND($A$2,Lines!AT21)-LEN($A$2)-1))</f>
        <v/>
      </c>
    </row>
    <row r="22" spans="1:46" ht="20.25" customHeight="1">
      <c r="A22" s="2" t="s">
        <v>70</v>
      </c>
      <c r="B22" s="30" t="str">
        <f>IF(ISERROR(FIND($A$2,Lines!B22))=TRUE,"",MID(Lines!B22,FIND($A$2,Lines!B22)+LEN($A$2)+1,FIND(",",_xlfn.CONCAT(Lines!B22,","),FIND($A$2,Lines!B22))-FIND($A$2,Lines!B22)-LEN($A$2)-1))</f>
        <v/>
      </c>
      <c r="C22" s="30" t="str">
        <f>IF(ISERROR(FIND($A$2,Lines!C22))=TRUE,"",MID(Lines!C22,FIND($A$2,Lines!C22)+LEN($A$2)+1,FIND(",",_xlfn.CONCAT(Lines!C22,","),FIND($A$2,Lines!C22))-FIND($A$2,Lines!C22)-LEN($A$2)-1))</f>
        <v/>
      </c>
      <c r="D22" s="30" t="str">
        <f>IF(ISERROR(FIND($A$2,Lines!D22))=TRUE,"",MID(Lines!D22,FIND($A$2,Lines!D22)+LEN($A$2)+1,FIND(",",_xlfn.CONCAT(Lines!D22,","),FIND($A$2,Lines!D22))-FIND($A$2,Lines!D22)-LEN($A$2)-1))</f>
        <v/>
      </c>
      <c r="E22" s="30" t="str">
        <f>IF(ISERROR(FIND($A$2,Lines!E22))=TRUE,"",MID(Lines!E22,FIND($A$2,Lines!E22)+LEN($A$2)+1,FIND(",",_xlfn.CONCAT(Lines!E22,","),FIND($A$2,Lines!E22))-FIND($A$2,Lines!E22)-LEN($A$2)-1))</f>
        <v/>
      </c>
      <c r="F22" s="30" t="str">
        <f>IF(ISERROR(FIND($A$2,Lines!F22))=TRUE,"",MID(Lines!F22,FIND($A$2,Lines!F22)+LEN($A$2)+1,FIND(",",_xlfn.CONCAT(Lines!F22,","),FIND($A$2,Lines!F22))-FIND($A$2,Lines!F22)-LEN($A$2)-1))</f>
        <v/>
      </c>
      <c r="G22" s="30" t="str">
        <f>IF(ISERROR(FIND($A$2,Lines!G22))=TRUE,"",MID(Lines!G22,FIND($A$2,Lines!G22)+LEN($A$2)+1,FIND(",",_xlfn.CONCAT(Lines!G22,","),FIND($A$2,Lines!G22))-FIND($A$2,Lines!G22)-LEN($A$2)-1))</f>
        <v/>
      </c>
      <c r="H22" s="30" t="str">
        <f>IF(ISERROR(FIND($A$2,Lines!H22))=TRUE,"",MID(Lines!H22,FIND($A$2,Lines!H22)+LEN($A$2)+1,FIND(",",_xlfn.CONCAT(Lines!H22,","),FIND($A$2,Lines!H22))-FIND($A$2,Lines!H22)-LEN($A$2)-1))</f>
        <v/>
      </c>
      <c r="I22" s="30" t="str">
        <f>IF(ISERROR(FIND($A$2,Lines!I22))=TRUE,"",MID(Lines!I22,FIND($A$2,Lines!I22)+LEN($A$2)+1,FIND(",",_xlfn.CONCAT(Lines!I22,","),FIND($A$2,Lines!I22))-FIND($A$2,Lines!I22)-LEN($A$2)-1))</f>
        <v/>
      </c>
      <c r="J22" s="30" t="str">
        <f>IF(ISERROR(FIND($A$2,Lines!J22))=TRUE,"",MID(Lines!J22,FIND($A$2,Lines!J22)+LEN($A$2)+1,FIND(",",_xlfn.CONCAT(Lines!J22,","),FIND($A$2,Lines!J22))-FIND($A$2,Lines!J22)-LEN($A$2)-1))</f>
        <v/>
      </c>
      <c r="K22" s="30" t="str">
        <f>IF(ISERROR(FIND($A$2,Lines!K22))=TRUE,"",MID(Lines!K22,FIND($A$2,Lines!K22)+LEN($A$2)+1,FIND(",",_xlfn.CONCAT(Lines!K22,","),FIND($A$2,Lines!K22))-FIND($A$2,Lines!K22)-LEN($A$2)-1))</f>
        <v/>
      </c>
      <c r="L22" s="30" t="str">
        <f>IF(ISERROR(FIND($A$2,Lines!L22))=TRUE,"",MID(Lines!L22,FIND($A$2,Lines!L22)+LEN($A$2)+1,FIND(",",_xlfn.CONCAT(Lines!L22,","),FIND($A$2,Lines!L22))-FIND($A$2,Lines!L22)-LEN($A$2)-1))</f>
        <v/>
      </c>
      <c r="M22" s="30" t="str">
        <f>IF(ISERROR(FIND($A$2,Lines!M22))=TRUE,"",MID(Lines!M22,FIND($A$2,Lines!M22)+LEN($A$2)+1,FIND(",",_xlfn.CONCAT(Lines!M22,","),FIND($A$2,Lines!M22))-FIND($A$2,Lines!M22)-LEN($A$2)-1))</f>
        <v/>
      </c>
      <c r="N22" s="32" t="str">
        <f>IF(ISERROR(FIND($A$2,Lines!N22))=TRUE,"",MID(Lines!N22,FIND($A$2,Lines!N22)+LEN($A$2)+1,FIND(",",_xlfn.CONCAT(Lines!N22,","),FIND($A$2,Lines!N22))-FIND($A$2,Lines!N22)-LEN($A$2)-1))</f>
        <v/>
      </c>
      <c r="O22" s="25" t="str">
        <f>IF(ISERROR(FIND($A$2,Lines!O22))=TRUE,"",MID(Lines!O22,FIND($A$2,Lines!O22)+LEN($A$2)+1,FIND(",",_xlfn.CONCAT(Lines!O22,","),FIND($A$2,Lines!O22))-FIND($A$2,Lines!O22)-LEN($A$2)-1))</f>
        <v/>
      </c>
      <c r="P22" s="25" t="str">
        <f>IF(ISERROR(FIND($A$2,Lines!P22))=TRUE,"",MID(Lines!P22,FIND($A$2,Lines!P22)+LEN($A$2)+1,FIND(",",_xlfn.CONCAT(Lines!P22,","),FIND($A$2,Lines!P22))-FIND($A$2,Lines!P22)-LEN($A$2)-1))</f>
        <v/>
      </c>
      <c r="Q22" s="25" t="str">
        <f>IF(ISERROR(FIND($A$2,Lines!Q22))=TRUE,"",MID(Lines!Q22,FIND($A$2,Lines!Q22)+LEN($A$2)+1,FIND(",",_xlfn.CONCAT(Lines!Q22,","),FIND($A$2,Lines!Q22))-FIND($A$2,Lines!Q22)-LEN($A$2)-1))</f>
        <v/>
      </c>
      <c r="R22" s="25" t="str">
        <f>IF(ISERROR(FIND($A$2,Lines!R22))=TRUE,"",MID(Lines!R22,FIND($A$2,Lines!R22)+LEN($A$2)+1,FIND(",",_xlfn.CONCAT(Lines!R22,","),FIND($A$2,Lines!R22))-FIND($A$2,Lines!R22)-LEN($A$2)-1))</f>
        <v/>
      </c>
      <c r="S22" s="25" t="str">
        <f>IF(ISERROR(FIND($A$2,Lines!S22))=TRUE,"",MID(Lines!S22,FIND($A$2,Lines!S22)+LEN($A$2)+1,FIND(",",_xlfn.CONCAT(Lines!S22,","),FIND($A$2,Lines!S22))-FIND($A$2,Lines!S22)-LEN($A$2)-1))</f>
        <v/>
      </c>
      <c r="T22" s="66" t="str">
        <f>IF(ISERROR(FIND($A$2,Lines!T22))=TRUE,"",MID(Lines!T22,FIND($A$2,Lines!T22)+LEN($A$2)+1,FIND(",",_xlfn.CONCAT(Lines!T22,","),FIND($A$2,Lines!T22))-FIND($A$2,Lines!T22)-LEN($A$2)-1))</f>
        <v/>
      </c>
      <c r="U22" s="25" t="str">
        <f>IF(ISERROR(FIND($A$2,Lines!U22))=TRUE,"",MID(Lines!U22,FIND($A$2,Lines!U22)+LEN($A$2)+1,FIND(",",_xlfn.CONCAT(Lines!U22,","),FIND($A$2,Lines!U22))-FIND($A$2,Lines!U22)-LEN($A$2)-1))</f>
        <v/>
      </c>
      <c r="V22" s="35" t="str">
        <f>IF(ISERROR(FIND($A$2,Lines!V22))=TRUE,"",MID(Lines!V22,FIND($A$2,Lines!V22)+LEN($A$2)+1,FIND(",",_xlfn.CONCAT(Lines!V22,","),FIND($A$2,Lines!V22))-FIND($A$2,Lines!V22)-LEN($A$2)-1))</f>
        <v/>
      </c>
      <c r="W22" s="36" t="str">
        <f>IF(ISERROR(FIND($A$2,Lines!W22))=TRUE,"",MID(Lines!W22,FIND($A$2,Lines!W22)+LEN($A$2)+1,FIND(",",_xlfn.CONCAT(Lines!W22,","),FIND($A$2,Lines!W22))-FIND($A$2,Lines!W22)-LEN($A$2)-1))</f>
        <v/>
      </c>
      <c r="X22" s="30" t="str">
        <f>IF(ISERROR(FIND($A$2,Lines!X22))=TRUE,"",MID(Lines!X22,FIND($A$2,Lines!X22)+LEN($A$2)+1,FIND(",",_xlfn.CONCAT(Lines!X22,","),FIND($A$2,Lines!X22))-FIND($A$2,Lines!X22)-LEN($A$2)-1))</f>
        <v/>
      </c>
      <c r="Y22" s="30" t="str">
        <f>IF(ISERROR(FIND($A$2,Lines!Y22))=TRUE,"",MID(Lines!Y22,FIND($A$2,Lines!Y22)+LEN($A$2)+1,FIND(",",_xlfn.CONCAT(Lines!Y22,","),FIND($A$2,Lines!Y22))-FIND($A$2,Lines!Y22)-LEN($A$2)-1))</f>
        <v/>
      </c>
      <c r="Z22" s="30" t="str">
        <f>IF(ISERROR(FIND($A$2,Lines!Z22))=TRUE,"",MID(Lines!Z22,FIND($A$2,Lines!Z22)+LEN($A$2)+1,FIND(",",_xlfn.CONCAT(Lines!Z22,","),FIND($A$2,Lines!Z22))-FIND($A$2,Lines!Z22)-LEN($A$2)-1))</f>
        <v/>
      </c>
      <c r="AA22" s="30" t="str">
        <f>IF(ISERROR(FIND($A$2,Lines!AA22))=TRUE,"",MID(Lines!AA22,FIND($A$2,Lines!AA22)+LEN($A$2)+1,FIND(",",_xlfn.CONCAT(Lines!AA22,","),FIND($A$2,Lines!AA22))-FIND($A$2,Lines!AA22)-LEN($A$2)-1))</f>
        <v/>
      </c>
      <c r="AB22" s="30" t="str">
        <f>IF(ISERROR(FIND($A$2,Lines!AB22))=TRUE,"",MID(Lines!AB22,FIND($A$2,Lines!AB22)+LEN($A$2)+1,FIND(",",_xlfn.CONCAT(Lines!AB22,","),FIND($A$2,Lines!AB22))-FIND($A$2,Lines!AB22)-LEN($A$2)-1))</f>
        <v/>
      </c>
      <c r="AC22" s="30" t="str">
        <f>IF(ISERROR(FIND($A$2,Lines!AC22))=TRUE,"",MID(Lines!AC22,FIND($A$2,Lines!AC22)+LEN($A$2)+1,FIND(",",_xlfn.CONCAT(Lines!AC22,","),FIND($A$2,Lines!AC22))-FIND($A$2,Lines!AC22)-LEN($A$2)-1))</f>
        <v/>
      </c>
      <c r="AD22" s="30" t="str">
        <f>IF(ISERROR(FIND($A$2,Lines!AD22))=TRUE,"",MID(Lines!AD22,FIND($A$2,Lines!AD22)+LEN($A$2)+1,FIND(",",_xlfn.CONCAT(Lines!AD22,","),FIND($A$2,Lines!AD22))-FIND($A$2,Lines!AD22)-LEN($A$2)-1))</f>
        <v/>
      </c>
      <c r="AE22" s="30" t="str">
        <f>IF(ISERROR(FIND($A$2,Lines!AE22))=TRUE,"",MID(Lines!AE22,FIND($A$2,Lines!AE22)+LEN($A$2)+1,FIND(",",_xlfn.CONCAT(Lines!AE22,","),FIND($A$2,Lines!AE22))-FIND($A$2,Lines!AE22)-LEN($A$2)-1))</f>
        <v/>
      </c>
      <c r="AF22" s="30" t="str">
        <f>IF(ISERROR(FIND($A$2,Lines!AF22))=TRUE,"",MID(Lines!AF22,FIND($A$2,Lines!AF22)+LEN($A$2)+1,FIND(",",_xlfn.CONCAT(Lines!AF22,","),FIND($A$2,Lines!AF22))-FIND($A$2,Lines!AF22)-LEN($A$2)-1))</f>
        <v/>
      </c>
      <c r="AG22" s="30" t="str">
        <f>IF(ISERROR(FIND($A$2,Lines!AG22))=TRUE,"",MID(Lines!AG22,FIND($A$2,Lines!AG22)+LEN($A$2)+1,FIND(",",_xlfn.CONCAT(Lines!AG22,","),FIND($A$2,Lines!AG22))-FIND($A$2,Lines!AG22)-LEN($A$2)-1))</f>
        <v/>
      </c>
      <c r="AH22" s="30" t="str">
        <f>IF(ISERROR(FIND($A$2,Lines!AH22))=TRUE,"",MID(Lines!AH22,FIND($A$2,Lines!AH22)+LEN($A$2)+1,FIND(",",_xlfn.CONCAT(Lines!AH22,","),FIND($A$2,Lines!AH22))-FIND($A$2,Lines!AH22)-LEN($A$2)-1))</f>
        <v/>
      </c>
      <c r="AI22" s="30" t="str">
        <f>IF(ISERROR(FIND($A$2,Lines!AI22))=TRUE,"",MID(Lines!AI22,FIND($A$2,Lines!AI22)+LEN($A$2)+1,FIND(",",_xlfn.CONCAT(Lines!AI22,","),FIND($A$2,Lines!AI22))-FIND($A$2,Lines!AI22)-LEN($A$2)-1))</f>
        <v/>
      </c>
      <c r="AJ22" s="30" t="str">
        <f>IF(ISERROR(FIND($A$2,Lines!AJ22))=TRUE,"",MID(Lines!AJ22,FIND($A$2,Lines!AJ22)+LEN($A$2)+1,FIND(",",_xlfn.CONCAT(Lines!AJ22,","),FIND($A$2,Lines!AJ22))-FIND($A$2,Lines!AJ22)-LEN($A$2)-1))</f>
        <v/>
      </c>
      <c r="AK22" s="30" t="str">
        <f>IF(ISERROR(FIND($A$2,Lines!AK22))=TRUE,"",MID(Lines!AK22,FIND($A$2,Lines!AK22)+LEN($A$2)+1,FIND(",",_xlfn.CONCAT(Lines!AK22,","),FIND($A$2,Lines!AK22))-FIND($A$2,Lines!AK22)-LEN($A$2)-1))</f>
        <v/>
      </c>
      <c r="AL22" s="30" t="str">
        <f>IF(ISERROR(FIND($A$2,Lines!AL22))=TRUE,"",MID(Lines!AL22,FIND($A$2,Lines!AL22)+LEN($A$2)+1,FIND(",",_xlfn.CONCAT(Lines!AL22,","),FIND($A$2,Lines!AL22))-FIND($A$2,Lines!AL22)-LEN($A$2)-1))</f>
        <v/>
      </c>
      <c r="AM22" s="30" t="str">
        <f>IF(ISERROR(FIND($A$2,Lines!AM22))=TRUE,"",MID(Lines!AM22,FIND($A$2,Lines!AM22)+LEN($A$2)+1,FIND(",",_xlfn.CONCAT(Lines!AM22,","),FIND($A$2,Lines!AM22))-FIND($A$2,Lines!AM22)-LEN($A$2)-1))</f>
        <v/>
      </c>
      <c r="AN22" s="30" t="str">
        <f>IF(ISERROR(FIND($A$2,Lines!AN22))=TRUE,"",MID(Lines!AN22,FIND($A$2,Lines!AN22)+LEN($A$2)+1,FIND(",",_xlfn.CONCAT(Lines!AN22,","),FIND($A$2,Lines!AN22))-FIND($A$2,Lines!AN22)-LEN($A$2)-1))</f>
        <v/>
      </c>
      <c r="AO22" s="30" t="str">
        <f>IF(ISERROR(FIND($A$2,Lines!AO22))=TRUE,"",MID(Lines!AO22,FIND($A$2,Lines!AO22)+LEN($A$2)+1,FIND(",",_xlfn.CONCAT(Lines!AO22,","),FIND($A$2,Lines!AO22))-FIND($A$2,Lines!AO22)-LEN($A$2)-1))</f>
        <v/>
      </c>
      <c r="AP22" s="30" t="str">
        <f>IF(ISERROR(FIND($A$2,Lines!AP22))=TRUE,"",MID(Lines!AP22,FIND($A$2,Lines!AP22)+LEN($A$2)+1,FIND(",",_xlfn.CONCAT(Lines!AP22,","),FIND($A$2,Lines!AP22))-FIND($A$2,Lines!AP22)-LEN($A$2)-1))</f>
        <v/>
      </c>
      <c r="AQ22" s="30" t="str">
        <f>IF(ISERROR(FIND($A$2,Lines!AQ22))=TRUE,"",MID(Lines!AQ22,FIND($A$2,Lines!AQ22)+LEN($A$2)+1,FIND(",",_xlfn.CONCAT(Lines!AQ22,","),FIND($A$2,Lines!AQ22))-FIND($A$2,Lines!AQ22)-LEN($A$2)-1))</f>
        <v/>
      </c>
      <c r="AR22" s="30" t="str">
        <f>IF(ISERROR(FIND($A$2,Lines!AR22))=TRUE,"",MID(Lines!AR22,FIND($A$2,Lines!AR22)+LEN($A$2)+1,FIND(",",_xlfn.CONCAT(Lines!AR22,","),FIND($A$2,Lines!AR22))-FIND($A$2,Lines!AR22)-LEN($A$2)-1))</f>
        <v/>
      </c>
      <c r="AS22" s="30" t="str">
        <f>IF(ISERROR(FIND($A$2,Lines!AS22))=TRUE,"",MID(Lines!AS22,FIND($A$2,Lines!AS22)+LEN($A$2)+1,FIND(",",_xlfn.CONCAT(Lines!AS22,","),FIND($A$2,Lines!AS22))-FIND($A$2,Lines!AS22)-LEN($A$2)-1))</f>
        <v/>
      </c>
      <c r="AT22" s="30" t="str">
        <f>IF(ISERROR(FIND($A$2,Lines!AT22))=TRUE,"",MID(Lines!AT22,FIND($A$2,Lines!AT22)+LEN($A$2)+1,FIND(",",_xlfn.CONCAT(Lines!AT22,","),FIND($A$2,Lines!AT22))-FIND($A$2,Lines!AT22)-LEN($A$2)-1))</f>
        <v/>
      </c>
    </row>
    <row r="23" spans="1:46" ht="20.25" customHeight="1">
      <c r="A23" s="2" t="s">
        <v>71</v>
      </c>
      <c r="B23" s="30" t="str">
        <f>IF(ISERROR(FIND($A$2,Lines!B23))=TRUE,"",MID(Lines!B23,FIND($A$2,Lines!B23)+LEN($A$2)+1,FIND(",",_xlfn.CONCAT(Lines!B23,","),FIND($A$2,Lines!B23))-FIND($A$2,Lines!B23)-LEN($A$2)-1))</f>
        <v/>
      </c>
      <c r="C23" s="30" t="str">
        <f>IF(ISERROR(FIND($A$2,Lines!C23))=TRUE,"",MID(Lines!C23,FIND($A$2,Lines!C23)+LEN($A$2)+1,FIND(",",_xlfn.CONCAT(Lines!C23,","),FIND($A$2,Lines!C23))-FIND($A$2,Lines!C23)-LEN($A$2)-1))</f>
        <v/>
      </c>
      <c r="D23" s="30" t="str">
        <f>IF(ISERROR(FIND($A$2,Lines!D23))=TRUE,"",MID(Lines!D23,FIND($A$2,Lines!D23)+LEN($A$2)+1,FIND(",",_xlfn.CONCAT(Lines!D23,","),FIND($A$2,Lines!D23))-FIND($A$2,Lines!D23)-LEN($A$2)-1))</f>
        <v/>
      </c>
      <c r="E23" s="30" t="str">
        <f>IF(ISERROR(FIND($A$2,Lines!E23))=TRUE,"",MID(Lines!E23,FIND($A$2,Lines!E23)+LEN($A$2)+1,FIND(",",_xlfn.CONCAT(Lines!E23,","),FIND($A$2,Lines!E23))-FIND($A$2,Lines!E23)-LEN($A$2)-1))</f>
        <v/>
      </c>
      <c r="F23" s="30" t="str">
        <f>IF(ISERROR(FIND($A$2,Lines!F23))=TRUE,"",MID(Lines!F23,FIND($A$2,Lines!F23)+LEN($A$2)+1,FIND(",",_xlfn.CONCAT(Lines!F23,","),FIND($A$2,Lines!F23))-FIND($A$2,Lines!F23)-LEN($A$2)-1))</f>
        <v/>
      </c>
      <c r="G23" s="30" t="str">
        <f>IF(ISERROR(FIND($A$2,Lines!G23))=TRUE,"",MID(Lines!G23,FIND($A$2,Lines!G23)+LEN($A$2)+1,FIND(",",_xlfn.CONCAT(Lines!G23,","),FIND($A$2,Lines!G23))-FIND($A$2,Lines!G23)-LEN($A$2)-1))</f>
        <v/>
      </c>
      <c r="H23" s="30" t="str">
        <f>IF(ISERROR(FIND($A$2,Lines!H23))=TRUE,"",MID(Lines!H23,FIND($A$2,Lines!H23)+LEN($A$2)+1,FIND(",",_xlfn.CONCAT(Lines!H23,","),FIND($A$2,Lines!H23))-FIND($A$2,Lines!H23)-LEN($A$2)-1))</f>
        <v/>
      </c>
      <c r="I23" s="30" t="str">
        <f>IF(ISERROR(FIND($A$2,Lines!I23))=TRUE,"",MID(Lines!I23,FIND($A$2,Lines!I23)+LEN($A$2)+1,FIND(",",_xlfn.CONCAT(Lines!I23,","),FIND($A$2,Lines!I23))-FIND($A$2,Lines!I23)-LEN($A$2)-1))</f>
        <v/>
      </c>
      <c r="J23" s="30" t="str">
        <f>IF(ISERROR(FIND($A$2,Lines!J23))=TRUE,"",MID(Lines!J23,FIND($A$2,Lines!J23)+LEN($A$2)+1,FIND(",",_xlfn.CONCAT(Lines!J23,","),FIND($A$2,Lines!J23))-FIND($A$2,Lines!J23)-LEN($A$2)-1))</f>
        <v/>
      </c>
      <c r="K23" s="30" t="str">
        <f>IF(ISERROR(FIND($A$2,Lines!K23))=TRUE,"",MID(Lines!K23,FIND($A$2,Lines!K23)+LEN($A$2)+1,FIND(",",_xlfn.CONCAT(Lines!K23,","),FIND($A$2,Lines!K23))-FIND($A$2,Lines!K23)-LEN($A$2)-1))</f>
        <v/>
      </c>
      <c r="L23" s="30" t="str">
        <f>IF(ISERROR(FIND($A$2,Lines!L23))=TRUE,"",MID(Lines!L23,FIND($A$2,Lines!L23)+LEN($A$2)+1,FIND(",",_xlfn.CONCAT(Lines!L23,","),FIND($A$2,Lines!L23))-FIND($A$2,Lines!L23)-LEN($A$2)-1))</f>
        <v/>
      </c>
      <c r="M23" s="30" t="str">
        <f>IF(ISERROR(FIND($A$2,Lines!M23))=TRUE,"",MID(Lines!M23,FIND($A$2,Lines!M23)+LEN($A$2)+1,FIND(",",_xlfn.CONCAT(Lines!M23,","),FIND($A$2,Lines!M23))-FIND($A$2,Lines!M23)-LEN($A$2)-1))</f>
        <v/>
      </c>
      <c r="N23" s="32" t="str">
        <f>IF(ISERROR(FIND($A$2,Lines!N23))=TRUE,"",MID(Lines!N23,FIND($A$2,Lines!N23)+LEN($A$2)+1,FIND(",",_xlfn.CONCAT(Lines!N23,","),FIND($A$2,Lines!N23))-FIND($A$2,Lines!N23)-LEN($A$2)-1))</f>
        <v/>
      </c>
      <c r="O23" s="25" t="str">
        <f>IF(ISERROR(FIND($A$2,Lines!O23))=TRUE,"",MID(Lines!O23,FIND($A$2,Lines!O23)+LEN($A$2)+1,FIND(",",_xlfn.CONCAT(Lines!O23,","),FIND($A$2,Lines!O23))-FIND($A$2,Lines!O23)-LEN($A$2)-1))</f>
        <v/>
      </c>
      <c r="P23" s="25" t="str">
        <f>IF(ISERROR(FIND($A$2,Lines!P23))=TRUE,"",MID(Lines!P23,FIND($A$2,Lines!P23)+LEN($A$2)+1,FIND(",",_xlfn.CONCAT(Lines!P23,","),FIND($A$2,Lines!P23))-FIND($A$2,Lines!P23)-LEN($A$2)-1))</f>
        <v/>
      </c>
      <c r="Q23" s="25" t="str">
        <f>IF(ISERROR(FIND($A$2,Lines!Q23))=TRUE,"",MID(Lines!Q23,FIND($A$2,Lines!Q23)+LEN($A$2)+1,FIND(",",_xlfn.CONCAT(Lines!Q23,","),FIND($A$2,Lines!Q23))-FIND($A$2,Lines!Q23)-LEN($A$2)-1))</f>
        <v/>
      </c>
      <c r="R23" s="25" t="str">
        <f>IF(ISERROR(FIND($A$2,Lines!R23))=TRUE,"",MID(Lines!R23,FIND($A$2,Lines!R23)+LEN($A$2)+1,FIND(",",_xlfn.CONCAT(Lines!R23,","),FIND($A$2,Lines!R23))-FIND($A$2,Lines!R23)-LEN($A$2)-1))</f>
        <v/>
      </c>
      <c r="S23" s="25" t="str">
        <f>IF(ISERROR(FIND($A$2,Lines!S23))=TRUE,"",MID(Lines!S23,FIND($A$2,Lines!S23)+LEN($A$2)+1,FIND(",",_xlfn.CONCAT(Lines!S23,","),FIND($A$2,Lines!S23))-FIND($A$2,Lines!S23)-LEN($A$2)-1))</f>
        <v/>
      </c>
      <c r="T23" s="25" t="str">
        <f>IF(ISERROR(FIND($A$2,Lines!T23))=TRUE,"",MID(Lines!T23,FIND($A$2,Lines!T23)+LEN($A$2)+1,FIND(",",_xlfn.CONCAT(Lines!T23,","),FIND($A$2,Lines!T23))-FIND($A$2,Lines!T23)-LEN($A$2)-1))</f>
        <v/>
      </c>
      <c r="U23" s="66" t="str">
        <f>IF(ISERROR(FIND($A$2,Lines!U23))=TRUE,"",MID(Lines!U23,FIND($A$2,Lines!U23)+LEN($A$2)+1,FIND(",",_xlfn.CONCAT(Lines!U23,","),FIND($A$2,Lines!U23))-FIND($A$2,Lines!U23)-LEN($A$2)-1))</f>
        <v/>
      </c>
      <c r="V23" s="35" t="str">
        <f>IF(ISERROR(FIND($A$2,Lines!V23))=TRUE,"",MID(Lines!V23,FIND($A$2,Lines!V23)+LEN($A$2)+1,FIND(",",_xlfn.CONCAT(Lines!V23,","),FIND($A$2,Lines!V23))-FIND($A$2,Lines!V23)-LEN($A$2)-1))</f>
        <v/>
      </c>
      <c r="W23" s="36" t="str">
        <f>IF(ISERROR(FIND($A$2,Lines!W23))=TRUE,"",MID(Lines!W23,FIND($A$2,Lines!W23)+LEN($A$2)+1,FIND(",",_xlfn.CONCAT(Lines!W23,","),FIND($A$2,Lines!W23))-FIND($A$2,Lines!W23)-LEN($A$2)-1))</f>
        <v/>
      </c>
      <c r="X23" s="30" t="str">
        <f>IF(ISERROR(FIND($A$2,Lines!X23))=TRUE,"",MID(Lines!X23,FIND($A$2,Lines!X23)+LEN($A$2)+1,FIND(",",_xlfn.CONCAT(Lines!X23,","),FIND($A$2,Lines!X23))-FIND($A$2,Lines!X23)-LEN($A$2)-1))</f>
        <v/>
      </c>
      <c r="Y23" s="30" t="str">
        <f>IF(ISERROR(FIND($A$2,Lines!Y23))=TRUE,"",MID(Lines!Y23,FIND($A$2,Lines!Y23)+LEN($A$2)+1,FIND(",",_xlfn.CONCAT(Lines!Y23,","),FIND($A$2,Lines!Y23))-FIND($A$2,Lines!Y23)-LEN($A$2)-1))</f>
        <v/>
      </c>
      <c r="Z23" s="30" t="str">
        <f>IF(ISERROR(FIND($A$2,Lines!Z23))=TRUE,"",MID(Lines!Z23,FIND($A$2,Lines!Z23)+LEN($A$2)+1,FIND(",",_xlfn.CONCAT(Lines!Z23,","),FIND($A$2,Lines!Z23))-FIND($A$2,Lines!Z23)-LEN($A$2)-1))</f>
        <v/>
      </c>
      <c r="AA23" s="30" t="str">
        <f>IF(ISERROR(FIND($A$2,Lines!AA23))=TRUE,"",MID(Lines!AA23,FIND($A$2,Lines!AA23)+LEN($A$2)+1,FIND(",",_xlfn.CONCAT(Lines!AA23,","),FIND($A$2,Lines!AA23))-FIND($A$2,Lines!AA23)-LEN($A$2)-1))</f>
        <v/>
      </c>
      <c r="AB23" s="30" t="str">
        <f>IF(ISERROR(FIND($A$2,Lines!AB23))=TRUE,"",MID(Lines!AB23,FIND($A$2,Lines!AB23)+LEN($A$2)+1,FIND(",",_xlfn.CONCAT(Lines!AB23,","),FIND($A$2,Lines!AB23))-FIND($A$2,Lines!AB23)-LEN($A$2)-1))</f>
        <v/>
      </c>
      <c r="AC23" s="30" t="str">
        <f>IF(ISERROR(FIND($A$2,Lines!AC23))=TRUE,"",MID(Lines!AC23,FIND($A$2,Lines!AC23)+LEN($A$2)+1,FIND(",",_xlfn.CONCAT(Lines!AC23,","),FIND($A$2,Lines!AC23))-FIND($A$2,Lines!AC23)-LEN($A$2)-1))</f>
        <v/>
      </c>
      <c r="AD23" s="30" t="str">
        <f>IF(ISERROR(FIND($A$2,Lines!AD23))=TRUE,"",MID(Lines!AD23,FIND($A$2,Lines!AD23)+LEN($A$2)+1,FIND(",",_xlfn.CONCAT(Lines!AD23,","),FIND($A$2,Lines!AD23))-FIND($A$2,Lines!AD23)-LEN($A$2)-1))</f>
        <v/>
      </c>
      <c r="AE23" s="30" t="str">
        <f>IF(ISERROR(FIND($A$2,Lines!AE23))=TRUE,"",MID(Lines!AE23,FIND($A$2,Lines!AE23)+LEN($A$2)+1,FIND(",",_xlfn.CONCAT(Lines!AE23,","),FIND($A$2,Lines!AE23))-FIND($A$2,Lines!AE23)-LEN($A$2)-1))</f>
        <v/>
      </c>
      <c r="AF23" s="30" t="str">
        <f>IF(ISERROR(FIND($A$2,Lines!AF23))=TRUE,"",MID(Lines!AF23,FIND($A$2,Lines!AF23)+LEN($A$2)+1,FIND(",",_xlfn.CONCAT(Lines!AF23,","),FIND($A$2,Lines!AF23))-FIND($A$2,Lines!AF23)-LEN($A$2)-1))</f>
        <v/>
      </c>
      <c r="AG23" s="30" t="str">
        <f>IF(ISERROR(FIND($A$2,Lines!AG23))=TRUE,"",MID(Lines!AG23,FIND($A$2,Lines!AG23)+LEN($A$2)+1,FIND(",",_xlfn.CONCAT(Lines!AG23,","),FIND($A$2,Lines!AG23))-FIND($A$2,Lines!AG23)-LEN($A$2)-1))</f>
        <v/>
      </c>
      <c r="AH23" s="30" t="str">
        <f>IF(ISERROR(FIND($A$2,Lines!AH23))=TRUE,"",MID(Lines!AH23,FIND($A$2,Lines!AH23)+LEN($A$2)+1,FIND(",",_xlfn.CONCAT(Lines!AH23,","),FIND($A$2,Lines!AH23))-FIND($A$2,Lines!AH23)-LEN($A$2)-1))</f>
        <v/>
      </c>
      <c r="AI23" s="30" t="str">
        <f>IF(ISERROR(FIND($A$2,Lines!AI23))=TRUE,"",MID(Lines!AI23,FIND($A$2,Lines!AI23)+LEN($A$2)+1,FIND(",",_xlfn.CONCAT(Lines!AI23,","),FIND($A$2,Lines!AI23))-FIND($A$2,Lines!AI23)-LEN($A$2)-1))</f>
        <v/>
      </c>
      <c r="AJ23" s="30" t="str">
        <f>IF(ISERROR(FIND($A$2,Lines!AJ23))=TRUE,"",MID(Lines!AJ23,FIND($A$2,Lines!AJ23)+LEN($A$2)+1,FIND(",",_xlfn.CONCAT(Lines!AJ23,","),FIND($A$2,Lines!AJ23))-FIND($A$2,Lines!AJ23)-LEN($A$2)-1))</f>
        <v/>
      </c>
      <c r="AK23" s="30" t="str">
        <f>IF(ISERROR(FIND($A$2,Lines!AK23))=TRUE,"",MID(Lines!AK23,FIND($A$2,Lines!AK23)+LEN($A$2)+1,FIND(",",_xlfn.CONCAT(Lines!AK23,","),FIND($A$2,Lines!AK23))-FIND($A$2,Lines!AK23)-LEN($A$2)-1))</f>
        <v/>
      </c>
      <c r="AL23" s="30" t="str">
        <f>IF(ISERROR(FIND($A$2,Lines!AL23))=TRUE,"",MID(Lines!AL23,FIND($A$2,Lines!AL23)+LEN($A$2)+1,FIND(",",_xlfn.CONCAT(Lines!AL23,","),FIND($A$2,Lines!AL23))-FIND($A$2,Lines!AL23)-LEN($A$2)-1))</f>
        <v/>
      </c>
      <c r="AM23" s="30" t="str">
        <f>IF(ISERROR(FIND($A$2,Lines!AM23))=TRUE,"",MID(Lines!AM23,FIND($A$2,Lines!AM23)+LEN($A$2)+1,FIND(",",_xlfn.CONCAT(Lines!AM23,","),FIND($A$2,Lines!AM23))-FIND($A$2,Lines!AM23)-LEN($A$2)-1))</f>
        <v/>
      </c>
      <c r="AN23" s="30" t="str">
        <f>IF(ISERROR(FIND($A$2,Lines!AN23))=TRUE,"",MID(Lines!AN23,FIND($A$2,Lines!AN23)+LEN($A$2)+1,FIND(",",_xlfn.CONCAT(Lines!AN23,","),FIND($A$2,Lines!AN23))-FIND($A$2,Lines!AN23)-LEN($A$2)-1))</f>
        <v/>
      </c>
      <c r="AO23" s="30" t="str">
        <f>IF(ISERROR(FIND($A$2,Lines!AO23))=TRUE,"",MID(Lines!AO23,FIND($A$2,Lines!AO23)+LEN($A$2)+1,FIND(",",_xlfn.CONCAT(Lines!AO23,","),FIND($A$2,Lines!AO23))-FIND($A$2,Lines!AO23)-LEN($A$2)-1))</f>
        <v/>
      </c>
      <c r="AP23" s="30" t="str">
        <f>IF(ISERROR(FIND($A$2,Lines!AP23))=TRUE,"",MID(Lines!AP23,FIND($A$2,Lines!AP23)+LEN($A$2)+1,FIND(",",_xlfn.CONCAT(Lines!AP23,","),FIND($A$2,Lines!AP23))-FIND($A$2,Lines!AP23)-LEN($A$2)-1))</f>
        <v/>
      </c>
      <c r="AQ23" s="30" t="str">
        <f>IF(ISERROR(FIND($A$2,Lines!AQ23))=TRUE,"",MID(Lines!AQ23,FIND($A$2,Lines!AQ23)+LEN($A$2)+1,FIND(",",_xlfn.CONCAT(Lines!AQ23,","),FIND($A$2,Lines!AQ23))-FIND($A$2,Lines!AQ23)-LEN($A$2)-1))</f>
        <v/>
      </c>
      <c r="AR23" s="30" t="str">
        <f>IF(ISERROR(FIND($A$2,Lines!AR23))=TRUE,"",MID(Lines!AR23,FIND($A$2,Lines!AR23)+LEN($A$2)+1,FIND(",",_xlfn.CONCAT(Lines!AR23,","),FIND($A$2,Lines!AR23))-FIND($A$2,Lines!AR23)-LEN($A$2)-1))</f>
        <v/>
      </c>
      <c r="AS23" s="30" t="str">
        <f>IF(ISERROR(FIND($A$2,Lines!AS23))=TRUE,"",MID(Lines!AS23,FIND($A$2,Lines!AS23)+LEN($A$2)+1,FIND(",",_xlfn.CONCAT(Lines!AS23,","),FIND($A$2,Lines!AS23))-FIND($A$2,Lines!AS23)-LEN($A$2)-1))</f>
        <v/>
      </c>
      <c r="AT23" s="30" t="str">
        <f>IF(ISERROR(FIND($A$2,Lines!AT23))=TRUE,"",MID(Lines!AT23,FIND($A$2,Lines!AT23)+LEN($A$2)+1,FIND(",",_xlfn.CONCAT(Lines!AT23,","),FIND($A$2,Lines!AT23))-FIND($A$2,Lines!AT23)-LEN($A$2)-1))</f>
        <v/>
      </c>
    </row>
    <row r="24" spans="1:46" ht="20.25" customHeight="1">
      <c r="A24" s="2" t="s">
        <v>72</v>
      </c>
      <c r="B24" s="30" t="str">
        <f>IF(ISERROR(FIND($A$2,Lines!B24))=TRUE,"",MID(Lines!B24,FIND($A$2,Lines!B24)+LEN($A$2)+1,FIND(",",_xlfn.CONCAT(Lines!B24,","),FIND($A$2,Lines!B24))-FIND($A$2,Lines!B24)-LEN($A$2)-1))</f>
        <v/>
      </c>
      <c r="C24" s="30" t="str">
        <f>IF(ISERROR(FIND($A$2,Lines!C24))=TRUE,"",MID(Lines!C24,FIND($A$2,Lines!C24)+LEN($A$2)+1,FIND(",",_xlfn.CONCAT(Lines!C24,","),FIND($A$2,Lines!C24))-FIND($A$2,Lines!C24)-LEN($A$2)-1))</f>
        <v/>
      </c>
      <c r="D24" s="30" t="str">
        <f>IF(ISERROR(FIND($A$2,Lines!D24))=TRUE,"",MID(Lines!D24,FIND($A$2,Lines!D24)+LEN($A$2)+1,FIND(",",_xlfn.CONCAT(Lines!D24,","),FIND($A$2,Lines!D24))-FIND($A$2,Lines!D24)-LEN($A$2)-1))</f>
        <v/>
      </c>
      <c r="E24" s="30" t="str">
        <f>IF(ISERROR(FIND($A$2,Lines!E24))=TRUE,"",MID(Lines!E24,FIND($A$2,Lines!E24)+LEN($A$2)+1,FIND(",",_xlfn.CONCAT(Lines!E24,","),FIND($A$2,Lines!E24))-FIND($A$2,Lines!E24)-LEN($A$2)-1))</f>
        <v/>
      </c>
      <c r="F24" s="30" t="str">
        <f>IF(ISERROR(FIND($A$2,Lines!F24))=TRUE,"",MID(Lines!F24,FIND($A$2,Lines!F24)+LEN($A$2)+1,FIND(",",_xlfn.CONCAT(Lines!F24,","),FIND($A$2,Lines!F24))-FIND($A$2,Lines!F24)-LEN($A$2)-1))</f>
        <v/>
      </c>
      <c r="G24" s="30" t="str">
        <f>IF(ISERROR(FIND($A$2,Lines!G24))=TRUE,"",MID(Lines!G24,FIND($A$2,Lines!G24)+LEN($A$2)+1,FIND(",",_xlfn.CONCAT(Lines!G24,","),FIND($A$2,Lines!G24))-FIND($A$2,Lines!G24)-LEN($A$2)-1))</f>
        <v/>
      </c>
      <c r="H24" s="30" t="str">
        <f>IF(ISERROR(FIND($A$2,Lines!H24))=TRUE,"",MID(Lines!H24,FIND($A$2,Lines!H24)+LEN($A$2)+1,FIND(",",_xlfn.CONCAT(Lines!H24,","),FIND($A$2,Lines!H24))-FIND($A$2,Lines!H24)-LEN($A$2)-1))</f>
        <v/>
      </c>
      <c r="I24" s="30" t="str">
        <f>IF(ISERROR(FIND($A$2,Lines!I24))=TRUE,"",MID(Lines!I24,FIND($A$2,Lines!I24)+LEN($A$2)+1,FIND(",",_xlfn.CONCAT(Lines!I24,","),FIND($A$2,Lines!I24))-FIND($A$2,Lines!I24)-LEN($A$2)-1))</f>
        <v/>
      </c>
      <c r="J24" s="30" t="str">
        <f>IF(ISERROR(FIND($A$2,Lines!J24))=TRUE,"",MID(Lines!J24,FIND($A$2,Lines!J24)+LEN($A$2)+1,FIND(",",_xlfn.CONCAT(Lines!J24,","),FIND($A$2,Lines!J24))-FIND($A$2,Lines!J24)-LEN($A$2)-1))</f>
        <v/>
      </c>
      <c r="K24" s="30" t="str">
        <f>IF(ISERROR(FIND($A$2,Lines!K24))=TRUE,"",MID(Lines!K24,FIND($A$2,Lines!K24)+LEN($A$2)+1,FIND(",",_xlfn.CONCAT(Lines!K24,","),FIND($A$2,Lines!K24))-FIND($A$2,Lines!K24)-LEN($A$2)-1))</f>
        <v/>
      </c>
      <c r="L24" s="30" t="str">
        <f>IF(ISERROR(FIND($A$2,Lines!L24))=TRUE,"",MID(Lines!L24,FIND($A$2,Lines!L24)+LEN($A$2)+1,FIND(",",_xlfn.CONCAT(Lines!L24,","),FIND($A$2,Lines!L24))-FIND($A$2,Lines!L24)-LEN($A$2)-1))</f>
        <v/>
      </c>
      <c r="M24" s="30" t="str">
        <f>IF(ISERROR(FIND($A$2,Lines!M24))=TRUE,"",MID(Lines!M24,FIND($A$2,Lines!M24)+LEN($A$2)+1,FIND(",",_xlfn.CONCAT(Lines!M24,","),FIND($A$2,Lines!M24))-FIND($A$2,Lines!M24)-LEN($A$2)-1))</f>
        <v/>
      </c>
      <c r="N24" s="37" t="str">
        <f>IF(ISERROR(FIND($A$2,Lines!N24))=TRUE,"",MID(Lines!N24,FIND($A$2,Lines!N24)+LEN($A$2)+1,FIND(",",_xlfn.CONCAT(Lines!N24,","),FIND($A$2,Lines!N24))-FIND($A$2,Lines!N24)-LEN($A$2)-1))</f>
        <v/>
      </c>
      <c r="O24" s="38" t="str">
        <f>IF(ISERROR(FIND($A$2,Lines!O24))=TRUE,"",MID(Lines!O24,FIND($A$2,Lines!O24)+LEN($A$2)+1,FIND(",",_xlfn.CONCAT(Lines!O24,","),FIND($A$2,Lines!O24))-FIND($A$2,Lines!O24)-LEN($A$2)-1))</f>
        <v/>
      </c>
      <c r="P24" s="38" t="str">
        <f>IF(ISERROR(FIND($A$2,Lines!P24))=TRUE,"",MID(Lines!P24,FIND($A$2,Lines!P24)+LEN($A$2)+1,FIND(",",_xlfn.CONCAT(Lines!P24,","),FIND($A$2,Lines!P24))-FIND($A$2,Lines!P24)-LEN($A$2)-1))</f>
        <v/>
      </c>
      <c r="Q24" s="38" t="str">
        <f>IF(ISERROR(FIND($A$2,Lines!Q24))=TRUE,"",MID(Lines!Q24,FIND($A$2,Lines!Q24)+LEN($A$2)+1,FIND(",",_xlfn.CONCAT(Lines!Q24,","),FIND($A$2,Lines!Q24))-FIND($A$2,Lines!Q24)-LEN($A$2)-1))</f>
        <v/>
      </c>
      <c r="R24" s="38" t="str">
        <f>IF(ISERROR(FIND($A$2,Lines!R24))=TRUE,"",MID(Lines!R24,FIND($A$2,Lines!R24)+LEN($A$2)+1,FIND(",",_xlfn.CONCAT(Lines!R24,","),FIND($A$2,Lines!R24))-FIND($A$2,Lines!R24)-LEN($A$2)-1))</f>
        <v/>
      </c>
      <c r="S24" s="38" t="str">
        <f>IF(ISERROR(FIND($A$2,Lines!S24))=TRUE,"",MID(Lines!S24,FIND($A$2,Lines!S24)+LEN($A$2)+1,FIND(",",_xlfn.CONCAT(Lines!S24,","),FIND($A$2,Lines!S24))-FIND($A$2,Lines!S24)-LEN($A$2)-1))</f>
        <v/>
      </c>
      <c r="T24" s="38" t="str">
        <f>IF(ISERROR(FIND($A$2,Lines!T24))=TRUE,"",MID(Lines!T24,FIND($A$2,Lines!T24)+LEN($A$2)+1,FIND(",",_xlfn.CONCAT(Lines!T24,","),FIND($A$2,Lines!T24))-FIND($A$2,Lines!T24)-LEN($A$2)-1))</f>
        <v/>
      </c>
      <c r="U24" s="38" t="str">
        <f>IF(ISERROR(FIND($A$2,Lines!U24))=TRUE,"",MID(Lines!U24,FIND($A$2,Lines!U24)+LEN($A$2)+1,FIND(",",_xlfn.CONCAT(Lines!U24,","),FIND($A$2,Lines!U24))-FIND($A$2,Lines!U24)-LEN($A$2)-1))</f>
        <v/>
      </c>
      <c r="V24" s="67" t="str">
        <f>IF(ISERROR(FIND($A$2,Lines!V24))=TRUE,"",MID(Lines!V24,FIND($A$2,Lines!V24)+LEN($A$2)+1,FIND(",",_xlfn.CONCAT(Lines!V24,","),FIND($A$2,Lines!V24))-FIND($A$2,Lines!V24)-LEN($A$2)-1))</f>
        <v/>
      </c>
      <c r="W24" s="36" t="str">
        <f>IF(ISERROR(FIND($A$2,Lines!W24))=TRUE,"",MID(Lines!W24,FIND($A$2,Lines!W24)+LEN($A$2)+1,FIND(",",_xlfn.CONCAT(Lines!W24,","),FIND($A$2,Lines!W24))-FIND($A$2,Lines!W24)-LEN($A$2)-1))</f>
        <v/>
      </c>
      <c r="X24" s="30" t="str">
        <f>IF(ISERROR(FIND($A$2,Lines!X24))=TRUE,"",MID(Lines!X24,FIND($A$2,Lines!X24)+LEN($A$2)+1,FIND(",",_xlfn.CONCAT(Lines!X24,","),FIND($A$2,Lines!X24))-FIND($A$2,Lines!X24)-LEN($A$2)-1))</f>
        <v/>
      </c>
      <c r="Y24" s="30" t="str">
        <f>IF(ISERROR(FIND($A$2,Lines!Y24))=TRUE,"",MID(Lines!Y24,FIND($A$2,Lines!Y24)+LEN($A$2)+1,FIND(",",_xlfn.CONCAT(Lines!Y24,","),FIND($A$2,Lines!Y24))-FIND($A$2,Lines!Y24)-LEN($A$2)-1))</f>
        <v/>
      </c>
      <c r="Z24" s="30" t="str">
        <f>IF(ISERROR(FIND($A$2,Lines!Z24))=TRUE,"",MID(Lines!Z24,FIND($A$2,Lines!Z24)+LEN($A$2)+1,FIND(",",_xlfn.CONCAT(Lines!Z24,","),FIND($A$2,Lines!Z24))-FIND($A$2,Lines!Z24)-LEN($A$2)-1))</f>
        <v/>
      </c>
      <c r="AA24" s="30" t="str">
        <f>IF(ISERROR(FIND($A$2,Lines!AA24))=TRUE,"",MID(Lines!AA24,FIND($A$2,Lines!AA24)+LEN($A$2)+1,FIND(",",_xlfn.CONCAT(Lines!AA24,","),FIND($A$2,Lines!AA24))-FIND($A$2,Lines!AA24)-LEN($A$2)-1))</f>
        <v/>
      </c>
      <c r="AB24" s="30" t="str">
        <f>IF(ISERROR(FIND($A$2,Lines!AB24))=TRUE,"",MID(Lines!AB24,FIND($A$2,Lines!AB24)+LEN($A$2)+1,FIND(",",_xlfn.CONCAT(Lines!AB24,","),FIND($A$2,Lines!AB24))-FIND($A$2,Lines!AB24)-LEN($A$2)-1))</f>
        <v/>
      </c>
      <c r="AC24" s="30" t="str">
        <f>IF(ISERROR(FIND($A$2,Lines!AC24))=TRUE,"",MID(Lines!AC24,FIND($A$2,Lines!AC24)+LEN($A$2)+1,FIND(",",_xlfn.CONCAT(Lines!AC24,","),FIND($A$2,Lines!AC24))-FIND($A$2,Lines!AC24)-LEN($A$2)-1))</f>
        <v/>
      </c>
      <c r="AD24" s="30" t="str">
        <f>IF(ISERROR(FIND($A$2,Lines!AD24))=TRUE,"",MID(Lines!AD24,FIND($A$2,Lines!AD24)+LEN($A$2)+1,FIND(",",_xlfn.CONCAT(Lines!AD24,","),FIND($A$2,Lines!AD24))-FIND($A$2,Lines!AD24)-LEN($A$2)-1))</f>
        <v/>
      </c>
      <c r="AE24" s="30" t="str">
        <f>IF(ISERROR(FIND($A$2,Lines!AE24))=TRUE,"",MID(Lines!AE24,FIND($A$2,Lines!AE24)+LEN($A$2)+1,FIND(",",_xlfn.CONCAT(Lines!AE24,","),FIND($A$2,Lines!AE24))-FIND($A$2,Lines!AE24)-LEN($A$2)-1))</f>
        <v/>
      </c>
      <c r="AF24" s="30" t="str">
        <f>IF(ISERROR(FIND($A$2,Lines!AF24))=TRUE,"",MID(Lines!AF24,FIND($A$2,Lines!AF24)+LEN($A$2)+1,FIND(",",_xlfn.CONCAT(Lines!AF24,","),FIND($A$2,Lines!AF24))-FIND($A$2,Lines!AF24)-LEN($A$2)-1))</f>
        <v/>
      </c>
      <c r="AG24" s="30" t="str">
        <f>IF(ISERROR(FIND($A$2,Lines!AG24))=TRUE,"",MID(Lines!AG24,FIND($A$2,Lines!AG24)+LEN($A$2)+1,FIND(",",_xlfn.CONCAT(Lines!AG24,","),FIND($A$2,Lines!AG24))-FIND($A$2,Lines!AG24)-LEN($A$2)-1))</f>
        <v/>
      </c>
      <c r="AH24" s="30" t="str">
        <f>IF(ISERROR(FIND($A$2,Lines!AH24))=TRUE,"",MID(Lines!AH24,FIND($A$2,Lines!AH24)+LEN($A$2)+1,FIND(",",_xlfn.CONCAT(Lines!AH24,","),FIND($A$2,Lines!AH24))-FIND($A$2,Lines!AH24)-LEN($A$2)-1))</f>
        <v/>
      </c>
      <c r="AI24" s="30" t="str">
        <f>IF(ISERROR(FIND($A$2,Lines!AI24))=TRUE,"",MID(Lines!AI24,FIND($A$2,Lines!AI24)+LEN($A$2)+1,FIND(",",_xlfn.CONCAT(Lines!AI24,","),FIND($A$2,Lines!AI24))-FIND($A$2,Lines!AI24)-LEN($A$2)-1))</f>
        <v/>
      </c>
      <c r="AJ24" s="30" t="str">
        <f>IF(ISERROR(FIND($A$2,Lines!AJ24))=TRUE,"",MID(Lines!AJ24,FIND($A$2,Lines!AJ24)+LEN($A$2)+1,FIND(",",_xlfn.CONCAT(Lines!AJ24,","),FIND($A$2,Lines!AJ24))-FIND($A$2,Lines!AJ24)-LEN($A$2)-1))</f>
        <v/>
      </c>
      <c r="AK24" s="30" t="str">
        <f>IF(ISERROR(FIND($A$2,Lines!AK24))=TRUE,"",MID(Lines!AK24,FIND($A$2,Lines!AK24)+LEN($A$2)+1,FIND(",",_xlfn.CONCAT(Lines!AK24,","),FIND($A$2,Lines!AK24))-FIND($A$2,Lines!AK24)-LEN($A$2)-1))</f>
        <v/>
      </c>
      <c r="AL24" s="30" t="str">
        <f>IF(ISERROR(FIND($A$2,Lines!AL24))=TRUE,"",MID(Lines!AL24,FIND($A$2,Lines!AL24)+LEN($A$2)+1,FIND(",",_xlfn.CONCAT(Lines!AL24,","),FIND($A$2,Lines!AL24))-FIND($A$2,Lines!AL24)-LEN($A$2)-1))</f>
        <v/>
      </c>
      <c r="AM24" s="30" t="str">
        <f>IF(ISERROR(FIND($A$2,Lines!AM24))=TRUE,"",MID(Lines!AM24,FIND($A$2,Lines!AM24)+LEN($A$2)+1,FIND(",",_xlfn.CONCAT(Lines!AM24,","),FIND($A$2,Lines!AM24))-FIND($A$2,Lines!AM24)-LEN($A$2)-1))</f>
        <v/>
      </c>
      <c r="AN24" s="30" t="str">
        <f>IF(ISERROR(FIND($A$2,Lines!AN24))=TRUE,"",MID(Lines!AN24,FIND($A$2,Lines!AN24)+LEN($A$2)+1,FIND(",",_xlfn.CONCAT(Lines!AN24,","),FIND($A$2,Lines!AN24))-FIND($A$2,Lines!AN24)-LEN($A$2)-1))</f>
        <v/>
      </c>
      <c r="AO24" s="30" t="str">
        <f>IF(ISERROR(FIND($A$2,Lines!AO24))=TRUE,"",MID(Lines!AO24,FIND($A$2,Lines!AO24)+LEN($A$2)+1,FIND(",",_xlfn.CONCAT(Lines!AO24,","),FIND($A$2,Lines!AO24))-FIND($A$2,Lines!AO24)-LEN($A$2)-1))</f>
        <v/>
      </c>
      <c r="AP24" s="30" t="str">
        <f>IF(ISERROR(FIND($A$2,Lines!AP24))=TRUE,"",MID(Lines!AP24,FIND($A$2,Lines!AP24)+LEN($A$2)+1,FIND(",",_xlfn.CONCAT(Lines!AP24,","),FIND($A$2,Lines!AP24))-FIND($A$2,Lines!AP24)-LEN($A$2)-1))</f>
        <v/>
      </c>
      <c r="AQ24" s="30" t="str">
        <f>IF(ISERROR(FIND($A$2,Lines!AQ24))=TRUE,"",MID(Lines!AQ24,FIND($A$2,Lines!AQ24)+LEN($A$2)+1,FIND(",",_xlfn.CONCAT(Lines!AQ24,","),FIND($A$2,Lines!AQ24))-FIND($A$2,Lines!AQ24)-LEN($A$2)-1))</f>
        <v/>
      </c>
      <c r="AR24" s="30" t="str">
        <f>IF(ISERROR(FIND($A$2,Lines!AR24))=TRUE,"",MID(Lines!AR24,FIND($A$2,Lines!AR24)+LEN($A$2)+1,FIND(",",_xlfn.CONCAT(Lines!AR24,","),FIND($A$2,Lines!AR24))-FIND($A$2,Lines!AR24)-LEN($A$2)-1))</f>
        <v/>
      </c>
      <c r="AS24" s="30" t="str">
        <f>IF(ISERROR(FIND($A$2,Lines!AS24))=TRUE,"",MID(Lines!AS24,FIND($A$2,Lines!AS24)+LEN($A$2)+1,FIND(",",_xlfn.CONCAT(Lines!AS24,","),FIND($A$2,Lines!AS24))-FIND($A$2,Lines!AS24)-LEN($A$2)-1))</f>
        <v/>
      </c>
      <c r="AT24" s="30" t="str">
        <f>IF(ISERROR(FIND($A$2,Lines!AT24))=TRUE,"",MID(Lines!AT24,FIND($A$2,Lines!AT24)+LEN($A$2)+1,FIND(",",_xlfn.CONCAT(Lines!AT24,","),FIND($A$2,Lines!AT24))-FIND($A$2,Lines!AT24)-LEN($A$2)-1))</f>
        <v/>
      </c>
    </row>
    <row r="25" spans="1:46" ht="20.25" customHeight="1">
      <c r="A25" s="2" t="s">
        <v>73</v>
      </c>
      <c r="B25" s="36" t="str">
        <f>IF(ISERROR(FIND($A$2,Lines!B25))=TRUE,"",MID(Lines!B25,FIND($A$2,Lines!B25)+LEN($A$2)+1,FIND(",",_xlfn.CONCAT(Lines!B25,","),FIND($A$2,Lines!B25))-FIND($A$2,Lines!B25)-LEN($A$2)-1))</f>
        <v/>
      </c>
      <c r="C25" s="36" t="str">
        <f>IF(ISERROR(FIND($A$2,Lines!C25))=TRUE,"",MID(Lines!C25,FIND($A$2,Lines!C25)+LEN($A$2)+1,FIND(",",_xlfn.CONCAT(Lines!C25,","),FIND($A$2,Lines!C25))-FIND($A$2,Lines!C25)-LEN($A$2)-1))</f>
        <v/>
      </c>
      <c r="D25" s="36" t="str">
        <f>IF(ISERROR(FIND($A$2,Lines!D25))=TRUE,"",MID(Lines!D25,FIND($A$2,Lines!D25)+LEN($A$2)+1,FIND(",",_xlfn.CONCAT(Lines!D25,","),FIND($A$2,Lines!D25))-FIND($A$2,Lines!D25)-LEN($A$2)-1))</f>
        <v/>
      </c>
      <c r="E25" s="36" t="str">
        <f>IF(ISERROR(FIND($A$2,Lines!E25))=TRUE,"",MID(Lines!E25,FIND($A$2,Lines!E25)+LEN($A$2)+1,FIND(",",_xlfn.CONCAT(Lines!E25,","),FIND($A$2,Lines!E25))-FIND($A$2,Lines!E25)-LEN($A$2)-1))</f>
        <v/>
      </c>
      <c r="F25" s="36" t="str">
        <f>IF(ISERROR(FIND($A$2,Lines!F25))=TRUE,"",MID(Lines!F25,FIND($A$2,Lines!F25)+LEN($A$2)+1,FIND(",",_xlfn.CONCAT(Lines!F25,","),FIND($A$2,Lines!F25))-FIND($A$2,Lines!F25)-LEN($A$2)-1))</f>
        <v/>
      </c>
      <c r="G25" s="36" t="str">
        <f>IF(ISERROR(FIND($A$2,Lines!G25))=TRUE,"",MID(Lines!G25,FIND($A$2,Lines!G25)+LEN($A$2)+1,FIND(",",_xlfn.CONCAT(Lines!G25,","),FIND($A$2,Lines!G25))-FIND($A$2,Lines!G25)-LEN($A$2)-1))</f>
        <v/>
      </c>
      <c r="H25" s="36" t="str">
        <f>IF(ISERROR(FIND($A$2,Lines!H25))=TRUE,"",MID(Lines!H25,FIND($A$2,Lines!H25)+LEN($A$2)+1,FIND(",",_xlfn.CONCAT(Lines!H25,","),FIND($A$2,Lines!H25))-FIND($A$2,Lines!H25)-LEN($A$2)-1))</f>
        <v/>
      </c>
      <c r="I25" s="36" t="str">
        <f>IF(ISERROR(FIND($A$2,Lines!I25))=TRUE,"",MID(Lines!I25,FIND($A$2,Lines!I25)+LEN($A$2)+1,FIND(",",_xlfn.CONCAT(Lines!I25,","),FIND($A$2,Lines!I25))-FIND($A$2,Lines!I25)-LEN($A$2)-1))</f>
        <v/>
      </c>
      <c r="J25" s="36" t="str">
        <f>IF(ISERROR(FIND($A$2,Lines!J25))=TRUE,"",MID(Lines!J25,FIND($A$2,Lines!J25)+LEN($A$2)+1,FIND(",",_xlfn.CONCAT(Lines!J25,","),FIND($A$2,Lines!J25))-FIND($A$2,Lines!J25)-LEN($A$2)-1))</f>
        <v/>
      </c>
      <c r="K25" s="36" t="str">
        <f>IF(ISERROR(FIND($A$2,Lines!K25))=TRUE,"",MID(Lines!K25,FIND($A$2,Lines!K25)+LEN($A$2)+1,FIND(",",_xlfn.CONCAT(Lines!K25,","),FIND($A$2,Lines!K25))-FIND($A$2,Lines!K25)-LEN($A$2)-1))</f>
        <v/>
      </c>
      <c r="L25" s="36" t="str">
        <f>IF(ISERROR(FIND($A$2,Lines!L25))=TRUE,"",MID(Lines!L25,FIND($A$2,Lines!L25)+LEN($A$2)+1,FIND(",",_xlfn.CONCAT(Lines!L25,","),FIND($A$2,Lines!L25))-FIND($A$2,Lines!L25)-LEN($A$2)-1))</f>
        <v/>
      </c>
      <c r="M25" s="36" t="str">
        <f>IF(ISERROR(FIND($A$2,Lines!M25))=TRUE,"",MID(Lines!M25,FIND($A$2,Lines!M25)+LEN($A$2)+1,FIND(",",_xlfn.CONCAT(Lines!M25,","),FIND($A$2,Lines!M25))-FIND($A$2,Lines!M25)-LEN($A$2)-1))</f>
        <v/>
      </c>
      <c r="N25" s="36" t="str">
        <f>IF(ISERROR(FIND($A$2,Lines!N25))=TRUE,"",MID(Lines!N25,FIND($A$2,Lines!N25)+LEN($A$2)+1,FIND(",",_xlfn.CONCAT(Lines!N25,","),FIND($A$2,Lines!N25))-FIND($A$2,Lines!N25)-LEN($A$2)-1))</f>
        <v/>
      </c>
      <c r="O25" s="36" t="str">
        <f>IF(ISERROR(FIND($A$2,Lines!O25))=TRUE,"",MID(Lines!O25,FIND($A$2,Lines!O25)+LEN($A$2)+1,FIND(",",_xlfn.CONCAT(Lines!O25,","),FIND($A$2,Lines!O25))-FIND($A$2,Lines!O25)-LEN($A$2)-1))</f>
        <v/>
      </c>
      <c r="P25" s="36" t="str">
        <f>IF(ISERROR(FIND($A$2,Lines!P25))=TRUE,"",MID(Lines!P25,FIND($A$2,Lines!P25)+LEN($A$2)+1,FIND(",",_xlfn.CONCAT(Lines!P25,","),FIND($A$2,Lines!P25))-FIND($A$2,Lines!P25)-LEN($A$2)-1))</f>
        <v/>
      </c>
      <c r="Q25" s="36" t="str">
        <f>IF(ISERROR(FIND($A$2,Lines!Q25))=TRUE,"",MID(Lines!Q25,FIND($A$2,Lines!Q25)+LEN($A$2)+1,FIND(",",_xlfn.CONCAT(Lines!Q25,","),FIND($A$2,Lines!Q25))-FIND($A$2,Lines!Q25)-LEN($A$2)-1))</f>
        <v/>
      </c>
      <c r="R25" s="36" t="str">
        <f>IF(ISERROR(FIND($A$2,Lines!R25))=TRUE,"",MID(Lines!R25,FIND($A$2,Lines!R25)+LEN($A$2)+1,FIND(",",_xlfn.CONCAT(Lines!R25,","),FIND($A$2,Lines!R25))-FIND($A$2,Lines!R25)-LEN($A$2)-1))</f>
        <v/>
      </c>
      <c r="S25" s="36" t="str">
        <f>IF(ISERROR(FIND($A$2,Lines!S25))=TRUE,"",MID(Lines!S25,FIND($A$2,Lines!S25)+LEN($A$2)+1,FIND(",",_xlfn.CONCAT(Lines!S25,","),FIND($A$2,Lines!S25))-FIND($A$2,Lines!S25)-LEN($A$2)-1))</f>
        <v/>
      </c>
      <c r="T25" s="36" t="str">
        <f>IF(ISERROR(FIND($A$2,Lines!T25))=TRUE,"",MID(Lines!T25,FIND($A$2,Lines!T25)+LEN($A$2)+1,FIND(",",_xlfn.CONCAT(Lines!T25,","),FIND($A$2,Lines!T25))-FIND($A$2,Lines!T25)-LEN($A$2)-1))</f>
        <v/>
      </c>
      <c r="U25" s="36" t="str">
        <f>IF(ISERROR(FIND($A$2,Lines!U25))=TRUE,"",MID(Lines!U25,FIND($A$2,Lines!U25)+LEN($A$2)+1,FIND(",",_xlfn.CONCAT(Lines!U25,","),FIND($A$2,Lines!U25))-FIND($A$2,Lines!U25)-LEN($A$2)-1))</f>
        <v/>
      </c>
      <c r="V25" s="36" t="str">
        <f>IF(ISERROR(FIND($A$2,Lines!V25))=TRUE,"",MID(Lines!V25,FIND($A$2,Lines!V25)+LEN($A$2)+1,FIND(",",_xlfn.CONCAT(Lines!V25,","),FIND($A$2,Lines!V25))-FIND($A$2,Lines!V25)-LEN($A$2)-1))</f>
        <v/>
      </c>
      <c r="W25" s="36" t="str">
        <f>IF(ISERROR(FIND($A$2,Lines!W25))=TRUE,"",MID(Lines!W25,FIND($A$2,Lines!W25)+LEN($A$2)+1,FIND(",",_xlfn.CONCAT(Lines!W25,","),FIND($A$2,Lines!W25))-FIND($A$2,Lines!W25)-LEN($A$2)-1))</f>
        <v/>
      </c>
      <c r="X25" s="36" t="str">
        <f>IF(ISERROR(FIND($A$2,Lines!X25))=TRUE,"",MID(Lines!X25,FIND($A$2,Lines!X25)+LEN($A$2)+1,FIND(",",_xlfn.CONCAT(Lines!X25,","),FIND($A$2,Lines!X25))-FIND($A$2,Lines!X25)-LEN($A$2)-1))</f>
        <v/>
      </c>
      <c r="Y25" s="36" t="str">
        <f>IF(ISERROR(FIND($A$2,Lines!Y25))=TRUE,"",MID(Lines!Y25,FIND($A$2,Lines!Y25)+LEN($A$2)+1,FIND(",",_xlfn.CONCAT(Lines!Y25,","),FIND($A$2,Lines!Y25))-FIND($A$2,Lines!Y25)-LEN($A$2)-1))</f>
        <v/>
      </c>
      <c r="Z25" s="36" t="str">
        <f>IF(ISERROR(FIND($A$2,Lines!Z25))=TRUE,"",MID(Lines!Z25,FIND($A$2,Lines!Z25)+LEN($A$2)+1,FIND(",",_xlfn.CONCAT(Lines!Z25,","),FIND($A$2,Lines!Z25))-FIND($A$2,Lines!Z25)-LEN($A$2)-1))</f>
        <v/>
      </c>
      <c r="AA25" s="36" t="str">
        <f>IF(ISERROR(FIND($A$2,Lines!AA25))=TRUE,"",MID(Lines!AA25,FIND($A$2,Lines!AA25)+LEN($A$2)+1,FIND(",",_xlfn.CONCAT(Lines!AA25,","),FIND($A$2,Lines!AA25))-FIND($A$2,Lines!AA25)-LEN($A$2)-1))</f>
        <v/>
      </c>
      <c r="AB25" s="36" t="str">
        <f>IF(ISERROR(FIND($A$2,Lines!AB25))=TRUE,"",MID(Lines!AB25,FIND($A$2,Lines!AB25)+LEN($A$2)+1,FIND(",",_xlfn.CONCAT(Lines!AB25,","),FIND($A$2,Lines!AB25))-FIND($A$2,Lines!AB25)-LEN($A$2)-1))</f>
        <v/>
      </c>
      <c r="AC25" s="36" t="str">
        <f>IF(ISERROR(FIND($A$2,Lines!AC25))=TRUE,"",MID(Lines!AC25,FIND($A$2,Lines!AC25)+LEN($A$2)+1,FIND(",",_xlfn.CONCAT(Lines!AC25,","),FIND($A$2,Lines!AC25))-FIND($A$2,Lines!AC25)-LEN($A$2)-1))</f>
        <v/>
      </c>
      <c r="AD25" s="36" t="str">
        <f>IF(ISERROR(FIND($A$2,Lines!AD25))=TRUE,"",MID(Lines!AD25,FIND($A$2,Lines!AD25)+LEN($A$2)+1,FIND(",",_xlfn.CONCAT(Lines!AD25,","),FIND($A$2,Lines!AD25))-FIND($A$2,Lines!AD25)-LEN($A$2)-1))</f>
        <v/>
      </c>
      <c r="AE25" s="36" t="str">
        <f>IF(ISERROR(FIND($A$2,Lines!AE25))=TRUE,"",MID(Lines!AE25,FIND($A$2,Lines!AE25)+LEN($A$2)+1,FIND(",",_xlfn.CONCAT(Lines!AE25,","),FIND($A$2,Lines!AE25))-FIND($A$2,Lines!AE25)-LEN($A$2)-1))</f>
        <v/>
      </c>
      <c r="AF25" s="36" t="str">
        <f>IF(ISERROR(FIND($A$2,Lines!AF25))=TRUE,"",MID(Lines!AF25,FIND($A$2,Lines!AF25)+LEN($A$2)+1,FIND(",",_xlfn.CONCAT(Lines!AF25,","),FIND($A$2,Lines!AF25))-FIND($A$2,Lines!AF25)-LEN($A$2)-1))</f>
        <v/>
      </c>
      <c r="AG25" s="36" t="str">
        <f>IF(ISERROR(FIND($A$2,Lines!AG25))=TRUE,"",MID(Lines!AG25,FIND($A$2,Lines!AG25)+LEN($A$2)+1,FIND(",",_xlfn.CONCAT(Lines!AG25,","),FIND($A$2,Lines!AG25))-FIND($A$2,Lines!AG25)-LEN($A$2)-1))</f>
        <v/>
      </c>
      <c r="AH25" s="36" t="str">
        <f>IF(ISERROR(FIND($A$2,Lines!AH25))=TRUE,"",MID(Lines!AH25,FIND($A$2,Lines!AH25)+LEN($A$2)+1,FIND(",",_xlfn.CONCAT(Lines!AH25,","),FIND($A$2,Lines!AH25))-FIND($A$2,Lines!AH25)-LEN($A$2)-1))</f>
        <v/>
      </c>
      <c r="AI25" s="36" t="str">
        <f>IF(ISERROR(FIND($A$2,Lines!AI25))=TRUE,"",MID(Lines!AI25,FIND($A$2,Lines!AI25)+LEN($A$2)+1,FIND(",",_xlfn.CONCAT(Lines!AI25,","),FIND($A$2,Lines!AI25))-FIND($A$2,Lines!AI25)-LEN($A$2)-1))</f>
        <v/>
      </c>
      <c r="AJ25" s="36" t="str">
        <f>IF(ISERROR(FIND($A$2,Lines!AJ25))=TRUE,"",MID(Lines!AJ25,FIND($A$2,Lines!AJ25)+LEN($A$2)+1,FIND(",",_xlfn.CONCAT(Lines!AJ25,","),FIND($A$2,Lines!AJ25))-FIND($A$2,Lines!AJ25)-LEN($A$2)-1))</f>
        <v/>
      </c>
      <c r="AK25" s="36" t="str">
        <f>IF(ISERROR(FIND($A$2,Lines!AK25))=TRUE,"",MID(Lines!AK25,FIND($A$2,Lines!AK25)+LEN($A$2)+1,FIND(",",_xlfn.CONCAT(Lines!AK25,","),FIND($A$2,Lines!AK25))-FIND($A$2,Lines!AK25)-LEN($A$2)-1))</f>
        <v/>
      </c>
      <c r="AL25" s="36" t="str">
        <f>IF(ISERROR(FIND($A$2,Lines!AL25))=TRUE,"",MID(Lines!AL25,FIND($A$2,Lines!AL25)+LEN($A$2)+1,FIND(",",_xlfn.CONCAT(Lines!AL25,","),FIND($A$2,Lines!AL25))-FIND($A$2,Lines!AL25)-LEN($A$2)-1))</f>
        <v/>
      </c>
      <c r="AM25" s="36" t="str">
        <f>IF(ISERROR(FIND($A$2,Lines!AM25))=TRUE,"",MID(Lines!AM25,FIND($A$2,Lines!AM25)+LEN($A$2)+1,FIND(",",_xlfn.CONCAT(Lines!AM25,","),FIND($A$2,Lines!AM25))-FIND($A$2,Lines!AM25)-LEN($A$2)-1))</f>
        <v/>
      </c>
      <c r="AN25" s="36" t="str">
        <f>IF(ISERROR(FIND($A$2,Lines!AN25))=TRUE,"",MID(Lines!AN25,FIND($A$2,Lines!AN25)+LEN($A$2)+1,FIND(",",_xlfn.CONCAT(Lines!AN25,","),FIND($A$2,Lines!AN25))-FIND($A$2,Lines!AN25)-LEN($A$2)-1))</f>
        <v/>
      </c>
      <c r="AO25" s="36" t="str">
        <f>IF(ISERROR(FIND($A$2,Lines!AO25))=TRUE,"",MID(Lines!AO25,FIND($A$2,Lines!AO25)+LEN($A$2)+1,FIND(",",_xlfn.CONCAT(Lines!AO25,","),FIND($A$2,Lines!AO25))-FIND($A$2,Lines!AO25)-LEN($A$2)-1))</f>
        <v/>
      </c>
      <c r="AP25" s="36" t="str">
        <f>IF(ISERROR(FIND($A$2,Lines!AP25))=TRUE,"",MID(Lines!AP25,FIND($A$2,Lines!AP25)+LEN($A$2)+1,FIND(",",_xlfn.CONCAT(Lines!AP25,","),FIND($A$2,Lines!AP25))-FIND($A$2,Lines!AP25)-LEN($A$2)-1))</f>
        <v/>
      </c>
      <c r="AQ25" s="36" t="str">
        <f>IF(ISERROR(FIND($A$2,Lines!AQ25))=TRUE,"",MID(Lines!AQ25,FIND($A$2,Lines!AQ25)+LEN($A$2)+1,FIND(",",_xlfn.CONCAT(Lines!AQ25,","),FIND($A$2,Lines!AQ25))-FIND($A$2,Lines!AQ25)-LEN($A$2)-1))</f>
        <v/>
      </c>
      <c r="AR25" s="36" t="str">
        <f>IF(ISERROR(FIND($A$2,Lines!AR25))=TRUE,"",MID(Lines!AR25,FIND($A$2,Lines!AR25)+LEN($A$2)+1,FIND(",",_xlfn.CONCAT(Lines!AR25,","),FIND($A$2,Lines!AR25))-FIND($A$2,Lines!AR25)-LEN($A$2)-1))</f>
        <v/>
      </c>
      <c r="AS25" s="36" t="str">
        <f>IF(ISERROR(FIND($A$2,Lines!AS25))=TRUE,"",MID(Lines!AS25,FIND($A$2,Lines!AS25)+LEN($A$2)+1,FIND(",",_xlfn.CONCAT(Lines!AS25,","),FIND($A$2,Lines!AS25))-FIND($A$2,Lines!AS25)-LEN($A$2)-1))</f>
        <v/>
      </c>
      <c r="AT25" s="36" t="str">
        <f>IF(ISERROR(FIND($A$2,Lines!AT25))=TRUE,"",MID(Lines!AT25,FIND($A$2,Lines!AT25)+LEN($A$2)+1,FIND(",",_xlfn.CONCAT(Lines!AT25,","),FIND($A$2,Lines!AT25))-FIND($A$2,Lines!AT25)-LEN($A$2)-1))</f>
        <v/>
      </c>
    </row>
    <row r="26" spans="1:46" ht="20.25" customHeight="1">
      <c r="A26" s="2" t="s">
        <v>74</v>
      </c>
      <c r="B26" s="30" t="str">
        <f>IF(ISERROR(FIND($A$2,Lines!B26))=TRUE,"",MID(Lines!B26,FIND($A$2,Lines!B26)+LEN($A$2)+1,FIND(",",_xlfn.CONCAT(Lines!B26,","),FIND($A$2,Lines!B26))-FIND($A$2,Lines!B26)-LEN($A$2)-1))</f>
        <v/>
      </c>
      <c r="C26" s="30" t="str">
        <f>IF(ISERROR(FIND($A$2,Lines!C26))=TRUE,"",MID(Lines!C26,FIND($A$2,Lines!C26)+LEN($A$2)+1,FIND(",",_xlfn.CONCAT(Lines!C26,","),FIND($A$2,Lines!C26))-FIND($A$2,Lines!C26)-LEN($A$2)-1))</f>
        <v/>
      </c>
      <c r="D26" s="30" t="str">
        <f>IF(ISERROR(FIND($A$2,Lines!D26))=TRUE,"",MID(Lines!D26,FIND($A$2,Lines!D26)+LEN($A$2)+1,FIND(",",_xlfn.CONCAT(Lines!D26,","),FIND($A$2,Lines!D26))-FIND($A$2,Lines!D26)-LEN($A$2)-1))</f>
        <v/>
      </c>
      <c r="E26" s="30" t="str">
        <f>IF(ISERROR(FIND($A$2,Lines!E26))=TRUE,"",MID(Lines!E26,FIND($A$2,Lines!E26)+LEN($A$2)+1,FIND(",",_xlfn.CONCAT(Lines!E26,","),FIND($A$2,Lines!E26))-FIND($A$2,Lines!E26)-LEN($A$2)-1))</f>
        <v/>
      </c>
      <c r="F26" s="30" t="str">
        <f>IF(ISERROR(FIND($A$2,Lines!F26))=TRUE,"",MID(Lines!F26,FIND($A$2,Lines!F26)+LEN($A$2)+1,FIND(",",_xlfn.CONCAT(Lines!F26,","),FIND($A$2,Lines!F26))-FIND($A$2,Lines!F26)-LEN($A$2)-1))</f>
        <v/>
      </c>
      <c r="G26" s="30" t="str">
        <f>IF(ISERROR(FIND($A$2,Lines!G26))=TRUE,"",MID(Lines!G26,FIND($A$2,Lines!G26)+LEN($A$2)+1,FIND(",",_xlfn.CONCAT(Lines!G26,","),FIND($A$2,Lines!G26))-FIND($A$2,Lines!G26)-LEN($A$2)-1))</f>
        <v/>
      </c>
      <c r="H26" s="30" t="str">
        <f>IF(ISERROR(FIND($A$2,Lines!H26))=TRUE,"",MID(Lines!H26,FIND($A$2,Lines!H26)+LEN($A$2)+1,FIND(",",_xlfn.CONCAT(Lines!H26,","),FIND($A$2,Lines!H26))-FIND($A$2,Lines!H26)-LEN($A$2)-1))</f>
        <v/>
      </c>
      <c r="I26" s="30" t="str">
        <f>IF(ISERROR(FIND($A$2,Lines!I26))=TRUE,"",MID(Lines!I26,FIND($A$2,Lines!I26)+LEN($A$2)+1,FIND(",",_xlfn.CONCAT(Lines!I26,","),FIND($A$2,Lines!I26))-FIND($A$2,Lines!I26)-LEN($A$2)-1))</f>
        <v>2</v>
      </c>
      <c r="J26" s="74" t="str">
        <f>IF(ISERROR(FIND($A$2,Lines!J26))=TRUE,"",MID(Lines!J26,FIND($A$2,Lines!J26)+LEN($A$2)+1,FIND(",",_xlfn.CONCAT(Lines!J26,","),FIND($A$2,Lines!J26))-FIND($A$2,Lines!J26)-LEN($A$2)-1))</f>
        <v>3</v>
      </c>
      <c r="K26" s="30" t="str">
        <f>IF(ISERROR(FIND($A$2,Lines!K26))=TRUE,"",MID(Lines!K26,FIND($A$2,Lines!K26)+LEN($A$2)+1,FIND(",",_xlfn.CONCAT(Lines!K26,","),FIND($A$2,Lines!K26))-FIND($A$2,Lines!K26)-LEN($A$2)-1))</f>
        <v/>
      </c>
      <c r="L26" s="30" t="str">
        <f>IF(ISERROR(FIND($A$2,Lines!L26))=TRUE,"",MID(Lines!L26,FIND($A$2,Lines!L26)+LEN($A$2)+1,FIND(",",_xlfn.CONCAT(Lines!L26,","),FIND($A$2,Lines!L26))-FIND($A$2,Lines!L26)-LEN($A$2)-1))</f>
        <v/>
      </c>
      <c r="M26" s="30" t="str">
        <f>IF(ISERROR(FIND($A$2,Lines!M26))=TRUE,"",MID(Lines!M26,FIND($A$2,Lines!M26)+LEN($A$2)+1,FIND(",",_xlfn.CONCAT(Lines!M26,","),FIND($A$2,Lines!M26))-FIND($A$2,Lines!M26)-LEN($A$2)-1))</f>
        <v/>
      </c>
      <c r="N26" s="30" t="str">
        <f>IF(ISERROR(FIND($A$2,Lines!N26))=TRUE,"",MID(Lines!N26,FIND($A$2,Lines!N26)+LEN($A$2)+1,FIND(",",_xlfn.CONCAT(Lines!N26,","),FIND($A$2,Lines!N26))-FIND($A$2,Lines!N26)-LEN($A$2)-1))</f>
        <v>4</v>
      </c>
      <c r="O26" s="30" t="str">
        <f>IF(ISERROR(FIND($A$2,Lines!O26))=TRUE,"",MID(Lines!O26,FIND($A$2,Lines!O26)+LEN($A$2)+1,FIND(",",_xlfn.CONCAT(Lines!O26,","),FIND($A$2,Lines!O26))-FIND($A$2,Lines!O26)-LEN($A$2)-1))</f>
        <v/>
      </c>
      <c r="P26" s="30" t="str">
        <f>IF(ISERROR(FIND($A$2,Lines!P26))=TRUE,"",MID(Lines!P26,FIND($A$2,Lines!P26)+LEN($A$2)+1,FIND(",",_xlfn.CONCAT(Lines!P26,","),FIND($A$2,Lines!P26))-FIND($A$2,Lines!P26)-LEN($A$2)-1))</f>
        <v/>
      </c>
      <c r="Q26" s="30" t="str">
        <f>IF(ISERROR(FIND($A$2,Lines!Q26))=TRUE,"",MID(Lines!Q26,FIND($A$2,Lines!Q26)+LEN($A$2)+1,FIND(",",_xlfn.CONCAT(Lines!Q26,","),FIND($A$2,Lines!Q26))-FIND($A$2,Lines!Q26)-LEN($A$2)-1))</f>
        <v/>
      </c>
      <c r="R26" s="30" t="str">
        <f>IF(ISERROR(FIND($A$2,Lines!R26))=TRUE,"",MID(Lines!R26,FIND($A$2,Lines!R26)+LEN($A$2)+1,FIND(",",_xlfn.CONCAT(Lines!R26,","),FIND($A$2,Lines!R26))-FIND($A$2,Lines!R26)-LEN($A$2)-1))</f>
        <v/>
      </c>
      <c r="S26" s="30" t="str">
        <f>IF(ISERROR(FIND($A$2,Lines!S26))=TRUE,"",MID(Lines!S26,FIND($A$2,Lines!S26)+LEN($A$2)+1,FIND(",",_xlfn.CONCAT(Lines!S26,","),FIND($A$2,Lines!S26))-FIND($A$2,Lines!S26)-LEN($A$2)-1))</f>
        <v/>
      </c>
      <c r="T26" s="30" t="str">
        <f>IF(ISERROR(FIND($A$2,Lines!T26))=TRUE,"",MID(Lines!T26,FIND($A$2,Lines!T26)+LEN($A$2)+1,FIND(",",_xlfn.CONCAT(Lines!T26,","),FIND($A$2,Lines!T26))-FIND($A$2,Lines!T26)-LEN($A$2)-1))</f>
        <v/>
      </c>
      <c r="U26" s="30" t="str">
        <f>IF(ISERROR(FIND($A$2,Lines!U26))=TRUE,"",MID(Lines!U26,FIND($A$2,Lines!U26)+LEN($A$2)+1,FIND(",",_xlfn.CONCAT(Lines!U26,","),FIND($A$2,Lines!U26))-FIND($A$2,Lines!U26)-LEN($A$2)-1))</f>
        <v/>
      </c>
      <c r="V26" s="30" t="str">
        <f>IF(ISERROR(FIND($A$2,Lines!V26))=TRUE,"",MID(Lines!V26,FIND($A$2,Lines!V26)+LEN($A$2)+1,FIND(",",_xlfn.CONCAT(Lines!V26,","),FIND($A$2,Lines!V26))-FIND($A$2,Lines!V26)-LEN($A$2)-1))</f>
        <v/>
      </c>
      <c r="W26" s="36" t="str">
        <f>IF(ISERROR(FIND($A$2,Lines!W26))=TRUE,"",MID(Lines!W26,FIND($A$2,Lines!W26)+LEN($A$2)+1,FIND(",",_xlfn.CONCAT(Lines!W26,","),FIND($A$2,Lines!W26))-FIND($A$2,Lines!W26)-LEN($A$2)-1))</f>
        <v/>
      </c>
      <c r="X26" s="65" t="str">
        <f>IF(ISERROR(FIND($A$2,Lines!X26))=TRUE,"",MID(Lines!X26,FIND($A$2,Lines!X26)+LEN($A$2)+1,FIND(",",_xlfn.CONCAT(Lines!X26,","),FIND($A$2,Lines!X26))-FIND($A$2,Lines!X26)-LEN($A$2)-1))</f>
        <v/>
      </c>
      <c r="Y26" s="39" t="str">
        <f>IF(ISERROR(FIND($A$2,Lines!Y26))=TRUE,"",MID(Lines!Y26,FIND($A$2,Lines!Y26)+LEN($A$2)+1,FIND(",",_xlfn.CONCAT(Lines!Y26,","),FIND($A$2,Lines!Y26))-FIND($A$2,Lines!Y26)-LEN($A$2)-1))</f>
        <v/>
      </c>
      <c r="Z26" s="39" t="str">
        <f>IF(ISERROR(FIND($A$2,Lines!Z26))=TRUE,"",MID(Lines!Z26,FIND($A$2,Lines!Z26)+LEN($A$2)+1,FIND(",",_xlfn.CONCAT(Lines!Z26,","),FIND($A$2,Lines!Z26))-FIND($A$2,Lines!Z26)-LEN($A$2)-1))</f>
        <v>9</v>
      </c>
      <c r="AA26" s="39" t="str">
        <f>IF(ISERROR(FIND($A$2,Lines!AA26))=TRUE,"",MID(Lines!AA26,FIND($A$2,Lines!AA26)+LEN($A$2)+1,FIND(",",_xlfn.CONCAT(Lines!AA26,","),FIND($A$2,Lines!AA26))-FIND($A$2,Lines!AA26)-LEN($A$2)-1))</f>
        <v>2</v>
      </c>
      <c r="AB26" s="39" t="str">
        <f>IF(ISERROR(FIND($A$2,Lines!AB26))=TRUE,"",MID(Lines!AB26,FIND($A$2,Lines!AB26)+LEN($A$2)+1,FIND(",",_xlfn.CONCAT(Lines!AB26,","),FIND($A$2,Lines!AB26))-FIND($A$2,Lines!AB26)-LEN($A$2)-1))</f>
        <v/>
      </c>
      <c r="AC26" s="39" t="str">
        <f>IF(ISERROR(FIND($A$2,Lines!AC26))=TRUE,"",MID(Lines!AC26,FIND($A$2,Lines!AC26)+LEN($A$2)+1,FIND(",",_xlfn.CONCAT(Lines!AC26,","),FIND($A$2,Lines!AC26))-FIND($A$2,Lines!AC26)-LEN($A$2)-1))</f>
        <v/>
      </c>
      <c r="AD26" s="52" t="str">
        <f>IF(ISERROR(FIND($A$2,Lines!AD26))=TRUE,"",MID(Lines!AD26,FIND($A$2,Lines!AD26)+LEN($A$2)+1,FIND(",",_xlfn.CONCAT(Lines!AD26,","),FIND($A$2,Lines!AD26))-FIND($A$2,Lines!AD26)-LEN($A$2)-1))</f>
        <v>9</v>
      </c>
      <c r="AE26" s="30" t="str">
        <f>IF(ISERROR(FIND($A$2,Lines!AE26))=TRUE,"",MID(Lines!AE26,FIND($A$2,Lines!AE26)+LEN($A$2)+1,FIND(",",_xlfn.CONCAT(Lines!AE26,","),FIND($A$2,Lines!AE26))-FIND($A$2,Lines!AE26)-LEN($A$2)-1))</f>
        <v/>
      </c>
      <c r="AF26" s="30" t="str">
        <f>IF(ISERROR(FIND($A$2,Lines!AF26))=TRUE,"",MID(Lines!AF26,FIND($A$2,Lines!AF26)+LEN($A$2)+1,FIND(",",_xlfn.CONCAT(Lines!AF26,","),FIND($A$2,Lines!AF26))-FIND($A$2,Lines!AF26)-LEN($A$2)-1))</f>
        <v/>
      </c>
      <c r="AG26" s="30" t="str">
        <f>IF(ISERROR(FIND($A$2,Lines!AG26))=TRUE,"",MID(Lines!AG26,FIND($A$2,Lines!AG26)+LEN($A$2)+1,FIND(",",_xlfn.CONCAT(Lines!AG26,","),FIND($A$2,Lines!AG26))-FIND($A$2,Lines!AG26)-LEN($A$2)-1))</f>
        <v/>
      </c>
      <c r="AH26" s="30" t="str">
        <f>IF(ISERROR(FIND($A$2,Lines!AH26))=TRUE,"",MID(Lines!AH26,FIND($A$2,Lines!AH26)+LEN($A$2)+1,FIND(",",_xlfn.CONCAT(Lines!AH26,","),FIND($A$2,Lines!AH26))-FIND($A$2,Lines!AH26)-LEN($A$2)-1))</f>
        <v/>
      </c>
      <c r="AI26" s="30" t="str">
        <f>IF(ISERROR(FIND($A$2,Lines!AI26))=TRUE,"",MID(Lines!AI26,FIND($A$2,Lines!AI26)+LEN($A$2)+1,FIND(",",_xlfn.CONCAT(Lines!AI26,","),FIND($A$2,Lines!AI26))-FIND($A$2,Lines!AI26)-LEN($A$2)-1))</f>
        <v/>
      </c>
      <c r="AJ26" s="30" t="str">
        <f>IF(ISERROR(FIND($A$2,Lines!AJ26))=TRUE,"",MID(Lines!AJ26,FIND($A$2,Lines!AJ26)+LEN($A$2)+1,FIND(",",_xlfn.CONCAT(Lines!AJ26,","),FIND($A$2,Lines!AJ26))-FIND($A$2,Lines!AJ26)-LEN($A$2)-1))</f>
        <v/>
      </c>
      <c r="AK26" s="30" t="str">
        <f>IF(ISERROR(FIND($A$2,Lines!AK26))=TRUE,"",MID(Lines!AK26,FIND($A$2,Lines!AK26)+LEN($A$2)+1,FIND(",",_xlfn.CONCAT(Lines!AK26,","),FIND($A$2,Lines!AK26))-FIND($A$2,Lines!AK26)-LEN($A$2)-1))</f>
        <v/>
      </c>
      <c r="AL26" s="30" t="str">
        <f>IF(ISERROR(FIND($A$2,Lines!AL26))=TRUE,"",MID(Lines!AL26,FIND($A$2,Lines!AL26)+LEN($A$2)+1,FIND(",",_xlfn.CONCAT(Lines!AL26,","),FIND($A$2,Lines!AL26))-FIND($A$2,Lines!AL26)-LEN($A$2)-1))</f>
        <v/>
      </c>
      <c r="AM26" s="30" t="str">
        <f>IF(ISERROR(FIND($A$2,Lines!AM26))=TRUE,"",MID(Lines!AM26,FIND($A$2,Lines!AM26)+LEN($A$2)+1,FIND(",",_xlfn.CONCAT(Lines!AM26,","),FIND($A$2,Lines!AM26))-FIND($A$2,Lines!AM26)-LEN($A$2)-1))</f>
        <v/>
      </c>
      <c r="AN26" s="30" t="str">
        <f>IF(ISERROR(FIND($A$2,Lines!AN26))=TRUE,"",MID(Lines!AN26,FIND($A$2,Lines!AN26)+LEN($A$2)+1,FIND(",",_xlfn.CONCAT(Lines!AN26,","),FIND($A$2,Lines!AN26))-FIND($A$2,Lines!AN26)-LEN($A$2)-1))</f>
        <v/>
      </c>
      <c r="AO26" s="30" t="str">
        <f>IF(ISERROR(FIND($A$2,Lines!AO26))=TRUE,"",MID(Lines!AO26,FIND($A$2,Lines!AO26)+LEN($A$2)+1,FIND(",",_xlfn.CONCAT(Lines!AO26,","),FIND($A$2,Lines!AO26))-FIND($A$2,Lines!AO26)-LEN($A$2)-1))</f>
        <v/>
      </c>
      <c r="AP26" s="30" t="str">
        <f>IF(ISERROR(FIND($A$2,Lines!AP26))=TRUE,"",MID(Lines!AP26,FIND($A$2,Lines!AP26)+LEN($A$2)+1,FIND(",",_xlfn.CONCAT(Lines!AP26,","),FIND($A$2,Lines!AP26))-FIND($A$2,Lines!AP26)-LEN($A$2)-1))</f>
        <v/>
      </c>
      <c r="AQ26" s="30" t="str">
        <f>IF(ISERROR(FIND($A$2,Lines!AQ26))=TRUE,"",MID(Lines!AQ26,FIND($A$2,Lines!AQ26)+LEN($A$2)+1,FIND(",",_xlfn.CONCAT(Lines!AQ26,","),FIND($A$2,Lines!AQ26))-FIND($A$2,Lines!AQ26)-LEN($A$2)-1))</f>
        <v/>
      </c>
      <c r="AR26" s="30" t="str">
        <f>IF(ISERROR(FIND($A$2,Lines!AR26))=TRUE,"",MID(Lines!AR26,FIND($A$2,Lines!AR26)+LEN($A$2)+1,FIND(",",_xlfn.CONCAT(Lines!AR26,","),FIND($A$2,Lines!AR26))-FIND($A$2,Lines!AR26)-LEN($A$2)-1))</f>
        <v/>
      </c>
      <c r="AS26" s="30" t="str">
        <f>IF(ISERROR(FIND($A$2,Lines!AS26))=TRUE,"",MID(Lines!AS26,FIND($A$2,Lines!AS26)+LEN($A$2)+1,FIND(",",_xlfn.CONCAT(Lines!AS26,","),FIND($A$2,Lines!AS26))-FIND($A$2,Lines!AS26)-LEN($A$2)-1))</f>
        <v/>
      </c>
      <c r="AT26" s="30" t="str">
        <f>IF(ISERROR(FIND($A$2,Lines!AT26))=TRUE,"",MID(Lines!AT26,FIND($A$2,Lines!AT26)+LEN($A$2)+1,FIND(",",_xlfn.CONCAT(Lines!AT26,","),FIND($A$2,Lines!AT26))-FIND($A$2,Lines!AT26)-LEN($A$2)-1))</f>
        <v/>
      </c>
    </row>
    <row r="27" spans="1:46" ht="20.25" customHeight="1">
      <c r="A27" s="2" t="s">
        <v>75</v>
      </c>
      <c r="B27" s="30" t="str">
        <f>IF(ISERROR(FIND($A$2,Lines!B27))=TRUE,"",MID(Lines!B27,FIND($A$2,Lines!B27)+LEN($A$2)+1,FIND(",",_xlfn.CONCAT(Lines!B27,","),FIND($A$2,Lines!B27))-FIND($A$2,Lines!B27)-LEN($A$2)-1))</f>
        <v/>
      </c>
      <c r="C27" s="30" t="str">
        <f>IF(ISERROR(FIND($A$2,Lines!C27))=TRUE,"",MID(Lines!C27,FIND($A$2,Lines!C27)+LEN($A$2)+1,FIND(",",_xlfn.CONCAT(Lines!C27,","),FIND($A$2,Lines!C27))-FIND($A$2,Lines!C27)-LEN($A$2)-1))</f>
        <v/>
      </c>
      <c r="D27" s="30" t="str">
        <f>IF(ISERROR(FIND($A$2,Lines!D27))=TRUE,"",MID(Lines!D27,FIND($A$2,Lines!D27)+LEN($A$2)+1,FIND(",",_xlfn.CONCAT(Lines!D27,","),FIND($A$2,Lines!D27))-FIND($A$2,Lines!D27)-LEN($A$2)-1))</f>
        <v/>
      </c>
      <c r="E27" s="30" t="str">
        <f>IF(ISERROR(FIND($A$2,Lines!E27))=TRUE,"",MID(Lines!E27,FIND($A$2,Lines!E27)+LEN($A$2)+1,FIND(",",_xlfn.CONCAT(Lines!E27,","),FIND($A$2,Lines!E27))-FIND($A$2,Lines!E27)-LEN($A$2)-1))</f>
        <v/>
      </c>
      <c r="F27" s="30" t="str">
        <f>IF(ISERROR(FIND($A$2,Lines!F27))=TRUE,"",MID(Lines!F27,FIND($A$2,Lines!F27)+LEN($A$2)+1,FIND(",",_xlfn.CONCAT(Lines!F27,","),FIND($A$2,Lines!F27))-FIND($A$2,Lines!F27)-LEN($A$2)-1))</f>
        <v/>
      </c>
      <c r="G27" s="30" t="str">
        <f>IF(ISERROR(FIND($A$2,Lines!G27))=TRUE,"",MID(Lines!G27,FIND($A$2,Lines!G27)+LEN($A$2)+1,FIND(",",_xlfn.CONCAT(Lines!G27,","),FIND($A$2,Lines!G27))-FIND($A$2,Lines!G27)-LEN($A$2)-1))</f>
        <v/>
      </c>
      <c r="H27" s="30" t="str">
        <f>IF(ISERROR(FIND($A$2,Lines!H27))=TRUE,"",MID(Lines!H27,FIND($A$2,Lines!H27)+LEN($A$2)+1,FIND(",",_xlfn.CONCAT(Lines!H27,","),FIND($A$2,Lines!H27))-FIND($A$2,Lines!H27)-LEN($A$2)-1))</f>
        <v/>
      </c>
      <c r="I27" s="30" t="str">
        <f>IF(ISERROR(FIND($A$2,Lines!I27))=TRUE,"",MID(Lines!I27,FIND($A$2,Lines!I27)+LEN($A$2)+1,FIND(",",_xlfn.CONCAT(Lines!I27,","),FIND($A$2,Lines!I27))-FIND($A$2,Lines!I27)-LEN($A$2)-1))</f>
        <v/>
      </c>
      <c r="J27" s="30" t="str">
        <f>IF(ISERROR(FIND($A$2,Lines!J27))=TRUE,"",MID(Lines!J27,FIND($A$2,Lines!J27)+LEN($A$2)+1,FIND(",",_xlfn.CONCAT(Lines!J27,","),FIND($A$2,Lines!J27))-FIND($A$2,Lines!J27)-LEN($A$2)-1))</f>
        <v/>
      </c>
      <c r="K27" s="30" t="str">
        <f>IF(ISERROR(FIND($A$2,Lines!K27))=TRUE,"",MID(Lines!K27,FIND($A$2,Lines!K27)+LEN($A$2)+1,FIND(",",_xlfn.CONCAT(Lines!K27,","),FIND($A$2,Lines!K27))-FIND($A$2,Lines!K27)-LEN($A$2)-1))</f>
        <v/>
      </c>
      <c r="L27" s="30" t="str">
        <f>IF(ISERROR(FIND($A$2,Lines!L27))=TRUE,"",MID(Lines!L27,FIND($A$2,Lines!L27)+LEN($A$2)+1,FIND(",",_xlfn.CONCAT(Lines!L27,","),FIND($A$2,Lines!L27))-FIND($A$2,Lines!L27)-LEN($A$2)-1))</f>
        <v/>
      </c>
      <c r="M27" s="30" t="str">
        <f>IF(ISERROR(FIND($A$2,Lines!M27))=TRUE,"",MID(Lines!M27,FIND($A$2,Lines!M27)+LEN($A$2)+1,FIND(",",_xlfn.CONCAT(Lines!M27,","),FIND($A$2,Lines!M27))-FIND($A$2,Lines!M27)-LEN($A$2)-1))</f>
        <v/>
      </c>
      <c r="N27" s="30" t="str">
        <f>IF(ISERROR(FIND($A$2,Lines!N27))=TRUE,"",MID(Lines!N27,FIND($A$2,Lines!N27)+LEN($A$2)+1,FIND(",",_xlfn.CONCAT(Lines!N27,","),FIND($A$2,Lines!N27))-FIND($A$2,Lines!N27)-LEN($A$2)-1))</f>
        <v/>
      </c>
      <c r="O27" s="30" t="str">
        <f>IF(ISERROR(FIND($A$2,Lines!O27))=TRUE,"",MID(Lines!O27,FIND($A$2,Lines!O27)+LEN($A$2)+1,FIND(",",_xlfn.CONCAT(Lines!O27,","),FIND($A$2,Lines!O27))-FIND($A$2,Lines!O27)-LEN($A$2)-1))</f>
        <v/>
      </c>
      <c r="P27" s="30" t="str">
        <f>IF(ISERROR(FIND($A$2,Lines!P27))=TRUE,"",MID(Lines!P27,FIND($A$2,Lines!P27)+LEN($A$2)+1,FIND(",",_xlfn.CONCAT(Lines!P27,","),FIND($A$2,Lines!P27))-FIND($A$2,Lines!P27)-LEN($A$2)-1))</f>
        <v/>
      </c>
      <c r="Q27" s="30" t="str">
        <f>IF(ISERROR(FIND($A$2,Lines!Q27))=TRUE,"",MID(Lines!Q27,FIND($A$2,Lines!Q27)+LEN($A$2)+1,FIND(",",_xlfn.CONCAT(Lines!Q27,","),FIND($A$2,Lines!Q27))-FIND($A$2,Lines!Q27)-LEN($A$2)-1))</f>
        <v/>
      </c>
      <c r="R27" s="30" t="str">
        <f>IF(ISERROR(FIND($A$2,Lines!R27))=TRUE,"",MID(Lines!R27,FIND($A$2,Lines!R27)+LEN($A$2)+1,FIND(",",_xlfn.CONCAT(Lines!R27,","),FIND($A$2,Lines!R27))-FIND($A$2,Lines!R27)-LEN($A$2)-1))</f>
        <v/>
      </c>
      <c r="S27" s="30" t="str">
        <f>IF(ISERROR(FIND($A$2,Lines!S27))=TRUE,"",MID(Lines!S27,FIND($A$2,Lines!S27)+LEN($A$2)+1,FIND(",",_xlfn.CONCAT(Lines!S27,","),FIND($A$2,Lines!S27))-FIND($A$2,Lines!S27)-LEN($A$2)-1))</f>
        <v/>
      </c>
      <c r="T27" s="30" t="str">
        <f>IF(ISERROR(FIND($A$2,Lines!T27))=TRUE,"",MID(Lines!T27,FIND($A$2,Lines!T27)+LEN($A$2)+1,FIND(",",_xlfn.CONCAT(Lines!T27,","),FIND($A$2,Lines!T27))-FIND($A$2,Lines!T27)-LEN($A$2)-1))</f>
        <v/>
      </c>
      <c r="U27" s="30" t="str">
        <f>IF(ISERROR(FIND($A$2,Lines!U27))=TRUE,"",MID(Lines!U27,FIND($A$2,Lines!U27)+LEN($A$2)+1,FIND(",",_xlfn.CONCAT(Lines!U27,","),FIND($A$2,Lines!U27))-FIND($A$2,Lines!U27)-LEN($A$2)-1))</f>
        <v/>
      </c>
      <c r="V27" s="30" t="str">
        <f>IF(ISERROR(FIND($A$2,Lines!V27))=TRUE,"",MID(Lines!V27,FIND($A$2,Lines!V27)+LEN($A$2)+1,FIND(",",_xlfn.CONCAT(Lines!V27,","),FIND($A$2,Lines!V27))-FIND($A$2,Lines!V27)-LEN($A$2)-1))</f>
        <v/>
      </c>
      <c r="W27" s="36" t="str">
        <f>IF(ISERROR(FIND($A$2,Lines!W27))=TRUE,"",MID(Lines!W27,FIND($A$2,Lines!W27)+LEN($A$2)+1,FIND(",",_xlfn.CONCAT(Lines!W27,","),FIND($A$2,Lines!W27))-FIND($A$2,Lines!W27)-LEN($A$2)-1))</f>
        <v/>
      </c>
      <c r="X27" s="40" t="str">
        <f>IF(ISERROR(FIND($A$2,Lines!X27))=TRUE,"",MID(Lines!X27,FIND($A$2,Lines!X27)+LEN($A$2)+1,FIND(",",_xlfn.CONCAT(Lines!X27,","),FIND($A$2,Lines!X27))-FIND($A$2,Lines!X27)-LEN($A$2)-1))</f>
        <v/>
      </c>
      <c r="Y27" s="66" t="str">
        <f>IF(ISERROR(FIND($A$2,Lines!Y27))=TRUE,"",MID(Lines!Y27,FIND($A$2,Lines!Y27)+LEN($A$2)+1,FIND(",",_xlfn.CONCAT(Lines!Y27,","),FIND($A$2,Lines!Y27))-FIND($A$2,Lines!Y27)-LEN($A$2)-1))</f>
        <v/>
      </c>
      <c r="Z27" s="41" t="str">
        <f>IF(ISERROR(FIND($A$2,Lines!Z27))=TRUE,"",MID(Lines!Z27,FIND($A$2,Lines!Z27)+LEN($A$2)+1,FIND(",",_xlfn.CONCAT(Lines!Z27,","),FIND($A$2,Lines!Z27))-FIND($A$2,Lines!Z27)-LEN($A$2)-1))</f>
        <v>4</v>
      </c>
      <c r="AA27" s="41" t="str">
        <f>IF(ISERROR(FIND($A$2,Lines!AA27))=TRUE,"",MID(Lines!AA27,FIND($A$2,Lines!AA27)+LEN($A$2)+1,FIND(",",_xlfn.CONCAT(Lines!AA27,","),FIND($A$2,Lines!AA27))-FIND($A$2,Lines!AA27)-LEN($A$2)-1))</f>
        <v>4</v>
      </c>
      <c r="AB27" s="41" t="str">
        <f>IF(ISERROR(FIND($A$2,Lines!AB27))=TRUE,"",MID(Lines!AB27,FIND($A$2,Lines!AB27)+LEN($A$2)+1,FIND(",",_xlfn.CONCAT(Lines!AB27,","),FIND($A$2,Lines!AB27))-FIND($A$2,Lines!AB27)-LEN($A$2)-1))</f>
        <v>13</v>
      </c>
      <c r="AC27" s="41" t="str">
        <f>IF(ISERROR(FIND($A$2,Lines!AC27))=TRUE,"",MID(Lines!AC27,FIND($A$2,Lines!AC27)+LEN($A$2)+1,FIND(",",_xlfn.CONCAT(Lines!AC27,","),FIND($A$2,Lines!AC27))-FIND($A$2,Lines!AC27)-LEN($A$2)-1))</f>
        <v>4</v>
      </c>
      <c r="AD27" s="46" t="str">
        <f>IF(ISERROR(FIND($A$2,Lines!AD27))=TRUE,"",MID(Lines!AD27,FIND($A$2,Lines!AD27)+LEN($A$2)+1,FIND(",",_xlfn.CONCAT(Lines!AD27,","),FIND($A$2,Lines!AD27))-FIND($A$2,Lines!AD27)-LEN($A$2)-1))</f>
        <v/>
      </c>
      <c r="AE27" s="30" t="str">
        <f>IF(ISERROR(FIND($A$2,Lines!AE27))=TRUE,"",MID(Lines!AE27,FIND($A$2,Lines!AE27)+LEN($A$2)+1,FIND(",",_xlfn.CONCAT(Lines!AE27,","),FIND($A$2,Lines!AE27))-FIND($A$2,Lines!AE27)-LEN($A$2)-1))</f>
        <v/>
      </c>
      <c r="AF27" s="30" t="str">
        <f>IF(ISERROR(FIND($A$2,Lines!AF27))=TRUE,"",MID(Lines!AF27,FIND($A$2,Lines!AF27)+LEN($A$2)+1,FIND(",",_xlfn.CONCAT(Lines!AF27,","),FIND($A$2,Lines!AF27))-FIND($A$2,Lines!AF27)-LEN($A$2)-1))</f>
        <v/>
      </c>
      <c r="AG27" s="30" t="str">
        <f>IF(ISERROR(FIND($A$2,Lines!AG27))=TRUE,"",MID(Lines!AG27,FIND($A$2,Lines!AG27)+LEN($A$2)+1,FIND(",",_xlfn.CONCAT(Lines!AG27,","),FIND($A$2,Lines!AG27))-FIND($A$2,Lines!AG27)-LEN($A$2)-1))</f>
        <v/>
      </c>
      <c r="AH27" s="30" t="str">
        <f>IF(ISERROR(FIND($A$2,Lines!AH27))=TRUE,"",MID(Lines!AH27,FIND($A$2,Lines!AH27)+LEN($A$2)+1,FIND(",",_xlfn.CONCAT(Lines!AH27,","),FIND($A$2,Lines!AH27))-FIND($A$2,Lines!AH27)-LEN($A$2)-1))</f>
        <v>1</v>
      </c>
      <c r="AI27" s="30" t="str">
        <f>IF(ISERROR(FIND($A$2,Lines!AI27))=TRUE,"",MID(Lines!AI27,FIND($A$2,Lines!AI27)+LEN($A$2)+1,FIND(",",_xlfn.CONCAT(Lines!AI27,","),FIND($A$2,Lines!AI27))-FIND($A$2,Lines!AI27)-LEN($A$2)-1))</f>
        <v/>
      </c>
      <c r="AJ27" s="30" t="str">
        <f>IF(ISERROR(FIND($A$2,Lines!AJ27))=TRUE,"",MID(Lines!AJ27,FIND($A$2,Lines!AJ27)+LEN($A$2)+1,FIND(",",_xlfn.CONCAT(Lines!AJ27,","),FIND($A$2,Lines!AJ27))-FIND($A$2,Lines!AJ27)-LEN($A$2)-1))</f>
        <v/>
      </c>
      <c r="AK27" s="30" t="str">
        <f>IF(ISERROR(FIND($A$2,Lines!AK27))=TRUE,"",MID(Lines!AK27,FIND($A$2,Lines!AK27)+LEN($A$2)+1,FIND(",",_xlfn.CONCAT(Lines!AK27,","),FIND($A$2,Lines!AK27))-FIND($A$2,Lines!AK27)-LEN($A$2)-1))</f>
        <v/>
      </c>
      <c r="AL27" s="30" t="str">
        <f>IF(ISERROR(FIND($A$2,Lines!AL27))=TRUE,"",MID(Lines!AL27,FIND($A$2,Lines!AL27)+LEN($A$2)+1,FIND(",",_xlfn.CONCAT(Lines!AL27,","),FIND($A$2,Lines!AL27))-FIND($A$2,Lines!AL27)-LEN($A$2)-1))</f>
        <v/>
      </c>
      <c r="AM27" s="30" t="str">
        <f>IF(ISERROR(FIND($A$2,Lines!AM27))=TRUE,"",MID(Lines!AM27,FIND($A$2,Lines!AM27)+LEN($A$2)+1,FIND(",",_xlfn.CONCAT(Lines!AM27,","),FIND($A$2,Lines!AM27))-FIND($A$2,Lines!AM27)-LEN($A$2)-1))</f>
        <v/>
      </c>
      <c r="AN27" s="30" t="str">
        <f>IF(ISERROR(FIND($A$2,Lines!AN27))=TRUE,"",MID(Lines!AN27,FIND($A$2,Lines!AN27)+LEN($A$2)+1,FIND(",",_xlfn.CONCAT(Lines!AN27,","),FIND($A$2,Lines!AN27))-FIND($A$2,Lines!AN27)-LEN($A$2)-1))</f>
        <v/>
      </c>
      <c r="AO27" s="30" t="str">
        <f>IF(ISERROR(FIND($A$2,Lines!AO27))=TRUE,"",MID(Lines!AO27,FIND($A$2,Lines!AO27)+LEN($A$2)+1,FIND(",",_xlfn.CONCAT(Lines!AO27,","),FIND($A$2,Lines!AO27))-FIND($A$2,Lines!AO27)-LEN($A$2)-1))</f>
        <v/>
      </c>
      <c r="AP27" s="30" t="str">
        <f>IF(ISERROR(FIND($A$2,Lines!AP27))=TRUE,"",MID(Lines!AP27,FIND($A$2,Lines!AP27)+LEN($A$2)+1,FIND(",",_xlfn.CONCAT(Lines!AP27,","),FIND($A$2,Lines!AP27))-FIND($A$2,Lines!AP27)-LEN($A$2)-1))</f>
        <v/>
      </c>
      <c r="AQ27" s="30" t="str">
        <f>IF(ISERROR(FIND($A$2,Lines!AQ27))=TRUE,"",MID(Lines!AQ27,FIND($A$2,Lines!AQ27)+LEN($A$2)+1,FIND(",",_xlfn.CONCAT(Lines!AQ27,","),FIND($A$2,Lines!AQ27))-FIND($A$2,Lines!AQ27)-LEN($A$2)-1))</f>
        <v/>
      </c>
      <c r="AR27" s="30" t="str">
        <f>IF(ISERROR(FIND($A$2,Lines!AR27))=TRUE,"",MID(Lines!AR27,FIND($A$2,Lines!AR27)+LEN($A$2)+1,FIND(",",_xlfn.CONCAT(Lines!AR27,","),FIND($A$2,Lines!AR27))-FIND($A$2,Lines!AR27)-LEN($A$2)-1))</f>
        <v/>
      </c>
      <c r="AS27" s="30" t="str">
        <f>IF(ISERROR(FIND($A$2,Lines!AS27))=TRUE,"",MID(Lines!AS27,FIND($A$2,Lines!AS27)+LEN($A$2)+1,FIND(",",_xlfn.CONCAT(Lines!AS27,","),FIND($A$2,Lines!AS27))-FIND($A$2,Lines!AS27)-LEN($A$2)-1))</f>
        <v/>
      </c>
      <c r="AT27" s="30" t="str">
        <f>IF(ISERROR(FIND($A$2,Lines!AT27))=TRUE,"",MID(Lines!AT27,FIND($A$2,Lines!AT27)+LEN($A$2)+1,FIND(",",_xlfn.CONCAT(Lines!AT27,","),FIND($A$2,Lines!AT27))-FIND($A$2,Lines!AT27)-LEN($A$2)-1))</f>
        <v/>
      </c>
    </row>
    <row r="28" spans="1:46" ht="20.25" customHeight="1">
      <c r="A28" s="2" t="s">
        <v>76</v>
      </c>
      <c r="B28" s="30" t="str">
        <f>IF(ISERROR(FIND($A$2,Lines!B28))=TRUE,"",MID(Lines!B28,FIND($A$2,Lines!B28)+LEN($A$2)+1,FIND(",",_xlfn.CONCAT(Lines!B28,","),FIND($A$2,Lines!B28))-FIND($A$2,Lines!B28)-LEN($A$2)-1))</f>
        <v/>
      </c>
      <c r="C28" s="30" t="str">
        <f>IF(ISERROR(FIND($A$2,Lines!C28))=TRUE,"",MID(Lines!C28,FIND($A$2,Lines!C28)+LEN($A$2)+1,FIND(",",_xlfn.CONCAT(Lines!C28,","),FIND($A$2,Lines!C28))-FIND($A$2,Lines!C28)-LEN($A$2)-1))</f>
        <v/>
      </c>
      <c r="D28" s="30" t="str">
        <f>IF(ISERROR(FIND($A$2,Lines!D28))=TRUE,"",MID(Lines!D28,FIND($A$2,Lines!D28)+LEN($A$2)+1,FIND(",",_xlfn.CONCAT(Lines!D28,","),FIND($A$2,Lines!D28))-FIND($A$2,Lines!D28)-LEN($A$2)-1))</f>
        <v/>
      </c>
      <c r="E28" s="30" t="str">
        <f>IF(ISERROR(FIND($A$2,Lines!E28))=TRUE,"",MID(Lines!E28,FIND($A$2,Lines!E28)+LEN($A$2)+1,FIND(",",_xlfn.CONCAT(Lines!E28,","),FIND($A$2,Lines!E28))-FIND($A$2,Lines!E28)-LEN($A$2)-1))</f>
        <v/>
      </c>
      <c r="F28" s="30" t="str">
        <f>IF(ISERROR(FIND($A$2,Lines!F28))=TRUE,"",MID(Lines!F28,FIND($A$2,Lines!F28)+LEN($A$2)+1,FIND(",",_xlfn.CONCAT(Lines!F28,","),FIND($A$2,Lines!F28))-FIND($A$2,Lines!F28)-LEN($A$2)-1))</f>
        <v/>
      </c>
      <c r="G28" s="30" t="str">
        <f>IF(ISERROR(FIND($A$2,Lines!G28))=TRUE,"",MID(Lines!G28,FIND($A$2,Lines!G28)+LEN($A$2)+1,FIND(",",_xlfn.CONCAT(Lines!G28,","),FIND($A$2,Lines!G28))-FIND($A$2,Lines!G28)-LEN($A$2)-1))</f>
        <v/>
      </c>
      <c r="H28" s="30" t="str">
        <f>IF(ISERROR(FIND($A$2,Lines!H28))=TRUE,"",MID(Lines!H28,FIND($A$2,Lines!H28)+LEN($A$2)+1,FIND(",",_xlfn.CONCAT(Lines!H28,","),FIND($A$2,Lines!H28))-FIND($A$2,Lines!H28)-LEN($A$2)-1))</f>
        <v/>
      </c>
      <c r="I28" s="30" t="str">
        <f>IF(ISERROR(FIND($A$2,Lines!I28))=TRUE,"",MID(Lines!I28,FIND($A$2,Lines!I28)+LEN($A$2)+1,FIND(",",_xlfn.CONCAT(Lines!I28,","),FIND($A$2,Lines!I28))-FIND($A$2,Lines!I28)-LEN($A$2)-1))</f>
        <v/>
      </c>
      <c r="J28" s="30" t="str">
        <f>IF(ISERROR(FIND($A$2,Lines!J28))=TRUE,"",MID(Lines!J28,FIND($A$2,Lines!J28)+LEN($A$2)+1,FIND(",",_xlfn.CONCAT(Lines!J28,","),FIND($A$2,Lines!J28))-FIND($A$2,Lines!J28)-LEN($A$2)-1))</f>
        <v/>
      </c>
      <c r="K28" s="30" t="str">
        <f>IF(ISERROR(FIND($A$2,Lines!K28))=TRUE,"",MID(Lines!K28,FIND($A$2,Lines!K28)+LEN($A$2)+1,FIND(",",_xlfn.CONCAT(Lines!K28,","),FIND($A$2,Lines!K28))-FIND($A$2,Lines!K28)-LEN($A$2)-1))</f>
        <v/>
      </c>
      <c r="L28" s="30" t="str">
        <f>IF(ISERROR(FIND($A$2,Lines!L28))=TRUE,"",MID(Lines!L28,FIND($A$2,Lines!L28)+LEN($A$2)+1,FIND(",",_xlfn.CONCAT(Lines!L28,","),FIND($A$2,Lines!L28))-FIND($A$2,Lines!L28)-LEN($A$2)-1))</f>
        <v/>
      </c>
      <c r="M28" s="30" t="str">
        <f>IF(ISERROR(FIND($A$2,Lines!M28))=TRUE,"",MID(Lines!M28,FIND($A$2,Lines!M28)+LEN($A$2)+1,FIND(",",_xlfn.CONCAT(Lines!M28,","),FIND($A$2,Lines!M28))-FIND($A$2,Lines!M28)-LEN($A$2)-1))</f>
        <v/>
      </c>
      <c r="N28" s="30" t="str">
        <f>IF(ISERROR(FIND($A$2,Lines!N28))=TRUE,"",MID(Lines!N28,FIND($A$2,Lines!N28)+LEN($A$2)+1,FIND(",",_xlfn.CONCAT(Lines!N28,","),FIND($A$2,Lines!N28))-FIND($A$2,Lines!N28)-LEN($A$2)-1))</f>
        <v/>
      </c>
      <c r="O28" s="30" t="str">
        <f>IF(ISERROR(FIND($A$2,Lines!O28))=TRUE,"",MID(Lines!O28,FIND($A$2,Lines!O28)+LEN($A$2)+1,FIND(",",_xlfn.CONCAT(Lines!O28,","),FIND($A$2,Lines!O28))-FIND($A$2,Lines!O28)-LEN($A$2)-1))</f>
        <v/>
      </c>
      <c r="P28" s="30" t="str">
        <f>IF(ISERROR(FIND($A$2,Lines!P28))=TRUE,"",MID(Lines!P28,FIND($A$2,Lines!P28)+LEN($A$2)+1,FIND(",",_xlfn.CONCAT(Lines!P28,","),FIND($A$2,Lines!P28))-FIND($A$2,Lines!P28)-LEN($A$2)-1))</f>
        <v/>
      </c>
      <c r="Q28" s="30" t="str">
        <f>IF(ISERROR(FIND($A$2,Lines!Q28))=TRUE,"",MID(Lines!Q28,FIND($A$2,Lines!Q28)+LEN($A$2)+1,FIND(",",_xlfn.CONCAT(Lines!Q28,","),FIND($A$2,Lines!Q28))-FIND($A$2,Lines!Q28)-LEN($A$2)-1))</f>
        <v/>
      </c>
      <c r="R28" s="30" t="str">
        <f>IF(ISERROR(FIND($A$2,Lines!R28))=TRUE,"",MID(Lines!R28,FIND($A$2,Lines!R28)+LEN($A$2)+1,FIND(",",_xlfn.CONCAT(Lines!R28,","),FIND($A$2,Lines!R28))-FIND($A$2,Lines!R28)-LEN($A$2)-1))</f>
        <v/>
      </c>
      <c r="S28" s="30" t="str">
        <f>IF(ISERROR(FIND($A$2,Lines!S28))=TRUE,"",MID(Lines!S28,FIND($A$2,Lines!S28)+LEN($A$2)+1,FIND(",",_xlfn.CONCAT(Lines!S28,","),FIND($A$2,Lines!S28))-FIND($A$2,Lines!S28)-LEN($A$2)-1))</f>
        <v/>
      </c>
      <c r="T28" s="30" t="str">
        <f>IF(ISERROR(FIND($A$2,Lines!T28))=TRUE,"",MID(Lines!T28,FIND($A$2,Lines!T28)+LEN($A$2)+1,FIND(",",_xlfn.CONCAT(Lines!T28,","),FIND($A$2,Lines!T28))-FIND($A$2,Lines!T28)-LEN($A$2)-1))</f>
        <v/>
      </c>
      <c r="U28" s="30" t="str">
        <f>IF(ISERROR(FIND($A$2,Lines!U28))=TRUE,"",MID(Lines!U28,FIND($A$2,Lines!U28)+LEN($A$2)+1,FIND(",",_xlfn.CONCAT(Lines!U28,","),FIND($A$2,Lines!U28))-FIND($A$2,Lines!U28)-LEN($A$2)-1))</f>
        <v/>
      </c>
      <c r="V28" s="30" t="str">
        <f>IF(ISERROR(FIND($A$2,Lines!V28))=TRUE,"",MID(Lines!V28,FIND($A$2,Lines!V28)+LEN($A$2)+1,FIND(",",_xlfn.CONCAT(Lines!V28,","),FIND($A$2,Lines!V28))-FIND($A$2,Lines!V28)-LEN($A$2)-1))</f>
        <v/>
      </c>
      <c r="W28" s="36" t="str">
        <f>IF(ISERROR(FIND($A$2,Lines!W28))=TRUE,"",MID(Lines!W28,FIND($A$2,Lines!W28)+LEN($A$2)+1,FIND(",",_xlfn.CONCAT(Lines!W28,","),FIND($A$2,Lines!W28))-FIND($A$2,Lines!W28)-LEN($A$2)-1))</f>
        <v/>
      </c>
      <c r="X28" s="40" t="str">
        <f>IF(ISERROR(FIND($A$2,Lines!X28))=TRUE,"",MID(Lines!X28,FIND($A$2,Lines!X28)+LEN($A$2)+1,FIND(",",_xlfn.CONCAT(Lines!X28,","),FIND($A$2,Lines!X28))-FIND($A$2,Lines!X28)-LEN($A$2)-1))</f>
        <v>9</v>
      </c>
      <c r="Y28" s="41" t="str">
        <f>IF(ISERROR(FIND($A$2,Lines!Y28))=TRUE,"",MID(Lines!Y28,FIND($A$2,Lines!Y28)+LEN($A$2)+1,FIND(",",_xlfn.CONCAT(Lines!Y28,","),FIND($A$2,Lines!Y28))-FIND($A$2,Lines!Y28)-LEN($A$2)-1))</f>
        <v>4</v>
      </c>
      <c r="Z28" s="66" t="str">
        <f>IF(ISERROR(FIND($A$2,Lines!Z28))=TRUE,"",MID(Lines!Z28,FIND($A$2,Lines!Z28)+LEN($A$2)+1,FIND(",",_xlfn.CONCAT(Lines!Z28,","),FIND($A$2,Lines!Z28))-FIND($A$2,Lines!Z28)-LEN($A$2)-1))</f>
        <v/>
      </c>
      <c r="AA28" s="41" t="str">
        <f>IF(ISERROR(FIND($A$2,Lines!AA28))=TRUE,"",MID(Lines!AA28,FIND($A$2,Lines!AA28)+LEN($A$2)+1,FIND(",",_xlfn.CONCAT(Lines!AA28,","),FIND($A$2,Lines!AA28))-FIND($A$2,Lines!AA28)-LEN($A$2)-1))</f>
        <v>2</v>
      </c>
      <c r="AB28" s="41" t="str">
        <f>IF(ISERROR(FIND($A$2,Lines!AB28))=TRUE,"",MID(Lines!AB28,FIND($A$2,Lines!AB28)+LEN($A$2)+1,FIND(",",_xlfn.CONCAT(Lines!AB28,","),FIND($A$2,Lines!AB28))-FIND($A$2,Lines!AB28)-LEN($A$2)-1))</f>
        <v>5</v>
      </c>
      <c r="AC28" s="41" t="str">
        <f>IF(ISERROR(FIND($A$2,Lines!AC28))=TRUE,"",MID(Lines!AC28,FIND($A$2,Lines!AC28)+LEN($A$2)+1,FIND(",",_xlfn.CONCAT(Lines!AC28,","),FIND($A$2,Lines!AC28))-FIND($A$2,Lines!AC28)-LEN($A$2)-1))</f>
        <v/>
      </c>
      <c r="AD28" s="46" t="str">
        <f>IF(ISERROR(FIND($A$2,Lines!AD28))=TRUE,"",MID(Lines!AD28,FIND($A$2,Lines!AD28)+LEN($A$2)+1,FIND(",",_xlfn.CONCAT(Lines!AD28,","),FIND($A$2,Lines!AD28))-FIND($A$2,Lines!AD28)-LEN($A$2)-1))</f>
        <v/>
      </c>
      <c r="AE28" s="30" t="str">
        <f>IF(ISERROR(FIND($A$2,Lines!AE28))=TRUE,"",MID(Lines!AE28,FIND($A$2,Lines!AE28)+LEN($A$2)+1,FIND(",",_xlfn.CONCAT(Lines!AE28,","),FIND($A$2,Lines!AE28))-FIND($A$2,Lines!AE28)-LEN($A$2)-1))</f>
        <v/>
      </c>
      <c r="AF28" s="30" t="str">
        <f>IF(ISERROR(FIND($A$2,Lines!AF28))=TRUE,"",MID(Lines!AF28,FIND($A$2,Lines!AF28)+LEN($A$2)+1,FIND(",",_xlfn.CONCAT(Lines!AF28,","),FIND($A$2,Lines!AF28))-FIND($A$2,Lines!AF28)-LEN($A$2)-1))</f>
        <v/>
      </c>
      <c r="AG28" s="30" t="str">
        <f>IF(ISERROR(FIND($A$2,Lines!AG28))=TRUE,"",MID(Lines!AG28,FIND($A$2,Lines!AG28)+LEN($A$2)+1,FIND(",",_xlfn.CONCAT(Lines!AG28,","),FIND($A$2,Lines!AG28))-FIND($A$2,Lines!AG28)-LEN($A$2)-1))</f>
        <v/>
      </c>
      <c r="AH28" s="30" t="str">
        <f>IF(ISERROR(FIND($A$2,Lines!AH28))=TRUE,"",MID(Lines!AH28,FIND($A$2,Lines!AH28)+LEN($A$2)+1,FIND(",",_xlfn.CONCAT(Lines!AH28,","),FIND($A$2,Lines!AH28))-FIND($A$2,Lines!AH28)-LEN($A$2)-1))</f>
        <v/>
      </c>
      <c r="AI28" s="30" t="str">
        <f>IF(ISERROR(FIND($A$2,Lines!AI28))=TRUE,"",MID(Lines!AI28,FIND($A$2,Lines!AI28)+LEN($A$2)+1,FIND(",",_xlfn.CONCAT(Lines!AI28,","),FIND($A$2,Lines!AI28))-FIND($A$2,Lines!AI28)-LEN($A$2)-1))</f>
        <v/>
      </c>
      <c r="AJ28" s="30" t="str">
        <f>IF(ISERROR(FIND($A$2,Lines!AJ28))=TRUE,"",MID(Lines!AJ28,FIND($A$2,Lines!AJ28)+LEN($A$2)+1,FIND(",",_xlfn.CONCAT(Lines!AJ28,","),FIND($A$2,Lines!AJ28))-FIND($A$2,Lines!AJ28)-LEN($A$2)-1))</f>
        <v/>
      </c>
      <c r="AK28" s="30" t="str">
        <f>IF(ISERROR(FIND($A$2,Lines!AK28))=TRUE,"",MID(Lines!AK28,FIND($A$2,Lines!AK28)+LEN($A$2)+1,FIND(",",_xlfn.CONCAT(Lines!AK28,","),FIND($A$2,Lines!AK28))-FIND($A$2,Lines!AK28)-LEN($A$2)-1))</f>
        <v/>
      </c>
      <c r="AL28" s="30" t="str">
        <f>IF(ISERROR(FIND($A$2,Lines!AL28))=TRUE,"",MID(Lines!AL28,FIND($A$2,Lines!AL28)+LEN($A$2)+1,FIND(",",_xlfn.CONCAT(Lines!AL28,","),FIND($A$2,Lines!AL28))-FIND($A$2,Lines!AL28)-LEN($A$2)-1))</f>
        <v/>
      </c>
      <c r="AM28" s="30" t="str">
        <f>IF(ISERROR(FIND($A$2,Lines!AM28))=TRUE,"",MID(Lines!AM28,FIND($A$2,Lines!AM28)+LEN($A$2)+1,FIND(",",_xlfn.CONCAT(Lines!AM28,","),FIND($A$2,Lines!AM28))-FIND($A$2,Lines!AM28)-LEN($A$2)-1))</f>
        <v/>
      </c>
      <c r="AN28" s="30" t="str">
        <f>IF(ISERROR(FIND($A$2,Lines!AN28))=TRUE,"",MID(Lines!AN28,FIND($A$2,Lines!AN28)+LEN($A$2)+1,FIND(",",_xlfn.CONCAT(Lines!AN28,","),FIND($A$2,Lines!AN28))-FIND($A$2,Lines!AN28)-LEN($A$2)-1))</f>
        <v/>
      </c>
      <c r="AO28" s="30" t="str">
        <f>IF(ISERROR(FIND($A$2,Lines!AO28))=TRUE,"",MID(Lines!AO28,FIND($A$2,Lines!AO28)+LEN($A$2)+1,FIND(",",_xlfn.CONCAT(Lines!AO28,","),FIND($A$2,Lines!AO28))-FIND($A$2,Lines!AO28)-LEN($A$2)-1))</f>
        <v/>
      </c>
      <c r="AP28" s="30" t="str">
        <f>IF(ISERROR(FIND($A$2,Lines!AP28))=TRUE,"",MID(Lines!AP28,FIND($A$2,Lines!AP28)+LEN($A$2)+1,FIND(",",_xlfn.CONCAT(Lines!AP28,","),FIND($A$2,Lines!AP28))-FIND($A$2,Lines!AP28)-LEN($A$2)-1))</f>
        <v/>
      </c>
      <c r="AQ28" s="30" t="str">
        <f>IF(ISERROR(FIND($A$2,Lines!AQ28))=TRUE,"",MID(Lines!AQ28,FIND($A$2,Lines!AQ28)+LEN($A$2)+1,FIND(",",_xlfn.CONCAT(Lines!AQ28,","),FIND($A$2,Lines!AQ28))-FIND($A$2,Lines!AQ28)-LEN($A$2)-1))</f>
        <v/>
      </c>
      <c r="AR28" s="30" t="str">
        <f>IF(ISERROR(FIND($A$2,Lines!AR28))=TRUE,"",MID(Lines!AR28,FIND($A$2,Lines!AR28)+LEN($A$2)+1,FIND(",",_xlfn.CONCAT(Lines!AR28,","),FIND($A$2,Lines!AR28))-FIND($A$2,Lines!AR28)-LEN($A$2)-1))</f>
        <v/>
      </c>
      <c r="AS28" s="30" t="str">
        <f>IF(ISERROR(FIND($A$2,Lines!AS28))=TRUE,"",MID(Lines!AS28,FIND($A$2,Lines!AS28)+LEN($A$2)+1,FIND(",",_xlfn.CONCAT(Lines!AS28,","),FIND($A$2,Lines!AS28))-FIND($A$2,Lines!AS28)-LEN($A$2)-1))</f>
        <v/>
      </c>
      <c r="AT28" s="30" t="str">
        <f>IF(ISERROR(FIND($A$2,Lines!AT28))=TRUE,"",MID(Lines!AT28,FIND($A$2,Lines!AT28)+LEN($A$2)+1,FIND(",",_xlfn.CONCAT(Lines!AT28,","),FIND($A$2,Lines!AT28))-FIND($A$2,Lines!AT28)-LEN($A$2)-1))</f>
        <v/>
      </c>
    </row>
    <row r="29" spans="1:46" ht="20.25" customHeight="1">
      <c r="A29" s="2" t="s">
        <v>77</v>
      </c>
      <c r="B29" s="30" t="str">
        <f>IF(ISERROR(FIND($A$2,Lines!B29))=TRUE,"",MID(Lines!B29,FIND($A$2,Lines!B29)+LEN($A$2)+1,FIND(",",_xlfn.CONCAT(Lines!B29,","),FIND($A$2,Lines!B29))-FIND($A$2,Lines!B29)-LEN($A$2)-1))</f>
        <v/>
      </c>
      <c r="C29" s="30" t="str">
        <f>IF(ISERROR(FIND($A$2,Lines!C29))=TRUE,"",MID(Lines!C29,FIND($A$2,Lines!C29)+LEN($A$2)+1,FIND(",",_xlfn.CONCAT(Lines!C29,","),FIND($A$2,Lines!C29))-FIND($A$2,Lines!C29)-LEN($A$2)-1))</f>
        <v/>
      </c>
      <c r="D29" s="30" t="str">
        <f>IF(ISERROR(FIND($A$2,Lines!D29))=TRUE,"",MID(Lines!D29,FIND($A$2,Lines!D29)+LEN($A$2)+1,FIND(",",_xlfn.CONCAT(Lines!D29,","),FIND($A$2,Lines!D29))-FIND($A$2,Lines!D29)-LEN($A$2)-1))</f>
        <v/>
      </c>
      <c r="E29" s="30" t="str">
        <f>IF(ISERROR(FIND($A$2,Lines!E29))=TRUE,"",MID(Lines!E29,FIND($A$2,Lines!E29)+LEN($A$2)+1,FIND(",",_xlfn.CONCAT(Lines!E29,","),FIND($A$2,Lines!E29))-FIND($A$2,Lines!E29)-LEN($A$2)-1))</f>
        <v/>
      </c>
      <c r="F29" s="30" t="str">
        <f>IF(ISERROR(FIND($A$2,Lines!F29))=TRUE,"",MID(Lines!F29,FIND($A$2,Lines!F29)+LEN($A$2)+1,FIND(",",_xlfn.CONCAT(Lines!F29,","),FIND($A$2,Lines!F29))-FIND($A$2,Lines!F29)-LEN($A$2)-1))</f>
        <v/>
      </c>
      <c r="G29" s="30" t="str">
        <f>IF(ISERROR(FIND($A$2,Lines!G29))=TRUE,"",MID(Lines!G29,FIND($A$2,Lines!G29)+LEN($A$2)+1,FIND(",",_xlfn.CONCAT(Lines!G29,","),FIND($A$2,Lines!G29))-FIND($A$2,Lines!G29)-LEN($A$2)-1))</f>
        <v/>
      </c>
      <c r="H29" s="30" t="str">
        <f>IF(ISERROR(FIND($A$2,Lines!H29))=TRUE,"",MID(Lines!H29,FIND($A$2,Lines!H29)+LEN($A$2)+1,FIND(",",_xlfn.CONCAT(Lines!H29,","),FIND($A$2,Lines!H29))-FIND($A$2,Lines!H29)-LEN($A$2)-1))</f>
        <v/>
      </c>
      <c r="I29" s="30" t="str">
        <f>IF(ISERROR(FIND($A$2,Lines!I29))=TRUE,"",MID(Lines!I29,FIND($A$2,Lines!I29)+LEN($A$2)+1,FIND(",",_xlfn.CONCAT(Lines!I29,","),FIND($A$2,Lines!I29))-FIND($A$2,Lines!I29)-LEN($A$2)-1))</f>
        <v/>
      </c>
      <c r="J29" s="30" t="str">
        <f>IF(ISERROR(FIND($A$2,Lines!J29))=TRUE,"",MID(Lines!J29,FIND($A$2,Lines!J29)+LEN($A$2)+1,FIND(",",_xlfn.CONCAT(Lines!J29,","),FIND($A$2,Lines!J29))-FIND($A$2,Lines!J29)-LEN($A$2)-1))</f>
        <v/>
      </c>
      <c r="K29" s="30" t="str">
        <f>IF(ISERROR(FIND($A$2,Lines!K29))=TRUE,"",MID(Lines!K29,FIND($A$2,Lines!K29)+LEN($A$2)+1,FIND(",",_xlfn.CONCAT(Lines!K29,","),FIND($A$2,Lines!K29))-FIND($A$2,Lines!K29)-LEN($A$2)-1))</f>
        <v/>
      </c>
      <c r="L29" s="30" t="str">
        <f>IF(ISERROR(FIND($A$2,Lines!L29))=TRUE,"",MID(Lines!L29,FIND($A$2,Lines!L29)+LEN($A$2)+1,FIND(",",_xlfn.CONCAT(Lines!L29,","),FIND($A$2,Lines!L29))-FIND($A$2,Lines!L29)-LEN($A$2)-1))</f>
        <v/>
      </c>
      <c r="M29" s="30" t="str">
        <f>IF(ISERROR(FIND($A$2,Lines!M29))=TRUE,"",MID(Lines!M29,FIND($A$2,Lines!M29)+LEN($A$2)+1,FIND(",",_xlfn.CONCAT(Lines!M29,","),FIND($A$2,Lines!M29))-FIND($A$2,Lines!M29)-LEN($A$2)-1))</f>
        <v/>
      </c>
      <c r="N29" s="30" t="str">
        <f>IF(ISERROR(FIND($A$2,Lines!N29))=TRUE,"",MID(Lines!N29,FIND($A$2,Lines!N29)+LEN($A$2)+1,FIND(",",_xlfn.CONCAT(Lines!N29,","),FIND($A$2,Lines!N29))-FIND($A$2,Lines!N29)-LEN($A$2)-1))</f>
        <v/>
      </c>
      <c r="O29" s="30" t="str">
        <f>IF(ISERROR(FIND($A$2,Lines!O29))=TRUE,"",MID(Lines!O29,FIND($A$2,Lines!O29)+LEN($A$2)+1,FIND(",",_xlfn.CONCAT(Lines!O29,","),FIND($A$2,Lines!O29))-FIND($A$2,Lines!O29)-LEN($A$2)-1))</f>
        <v/>
      </c>
      <c r="P29" s="30" t="str">
        <f>IF(ISERROR(FIND($A$2,Lines!P29))=TRUE,"",MID(Lines!P29,FIND($A$2,Lines!P29)+LEN($A$2)+1,FIND(",",_xlfn.CONCAT(Lines!P29,","),FIND($A$2,Lines!P29))-FIND($A$2,Lines!P29)-LEN($A$2)-1))</f>
        <v/>
      </c>
      <c r="Q29" s="30" t="str">
        <f>IF(ISERROR(FIND($A$2,Lines!Q29))=TRUE,"",MID(Lines!Q29,FIND($A$2,Lines!Q29)+LEN($A$2)+1,FIND(",",_xlfn.CONCAT(Lines!Q29,","),FIND($A$2,Lines!Q29))-FIND($A$2,Lines!Q29)-LEN($A$2)-1))</f>
        <v/>
      </c>
      <c r="R29" s="30" t="str">
        <f>IF(ISERROR(FIND($A$2,Lines!R29))=TRUE,"",MID(Lines!R29,FIND($A$2,Lines!R29)+LEN($A$2)+1,FIND(",",_xlfn.CONCAT(Lines!R29,","),FIND($A$2,Lines!R29))-FIND($A$2,Lines!R29)-LEN($A$2)-1))</f>
        <v/>
      </c>
      <c r="S29" s="30" t="str">
        <f>IF(ISERROR(FIND($A$2,Lines!S29))=TRUE,"",MID(Lines!S29,FIND($A$2,Lines!S29)+LEN($A$2)+1,FIND(",",_xlfn.CONCAT(Lines!S29,","),FIND($A$2,Lines!S29))-FIND($A$2,Lines!S29)-LEN($A$2)-1))</f>
        <v/>
      </c>
      <c r="T29" s="30" t="str">
        <f>IF(ISERROR(FIND($A$2,Lines!T29))=TRUE,"",MID(Lines!T29,FIND($A$2,Lines!T29)+LEN($A$2)+1,FIND(",",_xlfn.CONCAT(Lines!T29,","),FIND($A$2,Lines!T29))-FIND($A$2,Lines!T29)-LEN($A$2)-1))</f>
        <v/>
      </c>
      <c r="U29" s="30" t="str">
        <f>IF(ISERROR(FIND($A$2,Lines!U29))=TRUE,"",MID(Lines!U29,FIND($A$2,Lines!U29)+LEN($A$2)+1,FIND(",",_xlfn.CONCAT(Lines!U29,","),FIND($A$2,Lines!U29))-FIND($A$2,Lines!U29)-LEN($A$2)-1))</f>
        <v/>
      </c>
      <c r="V29" s="30" t="str">
        <f>IF(ISERROR(FIND($A$2,Lines!V29))=TRUE,"",MID(Lines!V29,FIND($A$2,Lines!V29)+LEN($A$2)+1,FIND(",",_xlfn.CONCAT(Lines!V29,","),FIND($A$2,Lines!V29))-FIND($A$2,Lines!V29)-LEN($A$2)-1))</f>
        <v/>
      </c>
      <c r="W29" s="36" t="str">
        <f>IF(ISERROR(FIND($A$2,Lines!W29))=TRUE,"",MID(Lines!W29,FIND($A$2,Lines!W29)+LEN($A$2)+1,FIND(",",_xlfn.CONCAT(Lines!W29,","),FIND($A$2,Lines!W29))-FIND($A$2,Lines!W29)-LEN($A$2)-1))</f>
        <v/>
      </c>
      <c r="X29" s="39" t="str">
        <f>IF(ISERROR(FIND($A$2,Lines!X29))=TRUE,"",MID(Lines!X29,FIND($A$2,Lines!X29)+LEN($A$2)+1,FIND(",",_xlfn.CONCAT(Lines!X29,","),FIND($A$2,Lines!X29))-FIND($A$2,Lines!X29)-LEN($A$2)-1))</f>
        <v>2</v>
      </c>
      <c r="Y29" s="41" t="str">
        <f>IF(ISERROR(FIND($A$2,Lines!Y29))=TRUE,"",MID(Lines!Y29,FIND($A$2,Lines!Y29)+LEN($A$2)+1,FIND(",",_xlfn.CONCAT(Lines!Y29,","),FIND($A$2,Lines!Y29))-FIND($A$2,Lines!Y29)-LEN($A$2)-1))</f>
        <v>4</v>
      </c>
      <c r="Z29" s="41" t="str">
        <f>IF(ISERROR(FIND($A$2,Lines!Z29))=TRUE,"",MID(Lines!Z29,FIND($A$2,Lines!Z29)+LEN($A$2)+1,FIND(",",_xlfn.CONCAT(Lines!Z29,","),FIND($A$2,Lines!Z29))-FIND($A$2,Lines!Z29)-LEN($A$2)-1))</f>
        <v>2</v>
      </c>
      <c r="AA29" s="66" t="str">
        <f>IF(ISERROR(FIND($A$2,Lines!AA29))=TRUE,"",MID(Lines!AA29,FIND($A$2,Lines!AA29)+LEN($A$2)+1,FIND(",",_xlfn.CONCAT(Lines!AA29,","),FIND($A$2,Lines!AA29))-FIND($A$2,Lines!AA29)-LEN($A$2)-1))</f>
        <v/>
      </c>
      <c r="AB29" s="41" t="str">
        <f>IF(ISERROR(FIND($A$2,Lines!AB29))=TRUE,"",MID(Lines!AB29,FIND($A$2,Lines!AB29)+LEN($A$2)+1,FIND(",",_xlfn.CONCAT(Lines!AB29,","),FIND($A$2,Lines!AB29))-FIND($A$2,Lines!AB29)-LEN($A$2)-1))</f>
        <v/>
      </c>
      <c r="AC29" s="41" t="str">
        <f>IF(ISERROR(FIND($A$2,Lines!AC29))=TRUE,"",MID(Lines!AC29,FIND($A$2,Lines!AC29)+LEN($A$2)+1,FIND(",",_xlfn.CONCAT(Lines!AC29,","),FIND($A$2,Lines!AC29))-FIND($A$2,Lines!AC29)-LEN($A$2)-1))</f>
        <v/>
      </c>
      <c r="AD29" s="46" t="str">
        <f>IF(ISERROR(FIND($A$2,Lines!AD29))=TRUE,"",MID(Lines!AD29,FIND($A$2,Lines!AD29)+LEN($A$2)+1,FIND(",",_xlfn.CONCAT(Lines!AD29,","),FIND($A$2,Lines!AD29))-FIND($A$2,Lines!AD29)-LEN($A$2)-1))</f>
        <v/>
      </c>
      <c r="AE29" s="30" t="str">
        <f>IF(ISERROR(FIND($A$2,Lines!AE29))=TRUE,"",MID(Lines!AE29,FIND($A$2,Lines!AE29)+LEN($A$2)+1,FIND(",",_xlfn.CONCAT(Lines!AE29,","),FIND($A$2,Lines!AE29))-FIND($A$2,Lines!AE29)-LEN($A$2)-1))</f>
        <v/>
      </c>
      <c r="AF29" s="30" t="str">
        <f>IF(ISERROR(FIND($A$2,Lines!AF29))=TRUE,"",MID(Lines!AF29,FIND($A$2,Lines!AF29)+LEN($A$2)+1,FIND(",",_xlfn.CONCAT(Lines!AF29,","),FIND($A$2,Lines!AF29))-FIND($A$2,Lines!AF29)-LEN($A$2)-1))</f>
        <v/>
      </c>
      <c r="AG29" s="30" t="str">
        <f>IF(ISERROR(FIND($A$2,Lines!AG29))=TRUE,"",MID(Lines!AG29,FIND($A$2,Lines!AG29)+LEN($A$2)+1,FIND(",",_xlfn.CONCAT(Lines!AG29,","),FIND($A$2,Lines!AG29))-FIND($A$2,Lines!AG29)-LEN($A$2)-1))</f>
        <v/>
      </c>
      <c r="AH29" s="30" t="str">
        <f>IF(ISERROR(FIND($A$2,Lines!AH29))=TRUE,"",MID(Lines!AH29,FIND($A$2,Lines!AH29)+LEN($A$2)+1,FIND(",",_xlfn.CONCAT(Lines!AH29,","),FIND($A$2,Lines!AH29))-FIND($A$2,Lines!AH29)-LEN($A$2)-1))</f>
        <v/>
      </c>
      <c r="AI29" s="30" t="str">
        <f>IF(ISERROR(FIND($A$2,Lines!AI29))=TRUE,"",MID(Lines!AI29,FIND($A$2,Lines!AI29)+LEN($A$2)+1,FIND(",",_xlfn.CONCAT(Lines!AI29,","),FIND($A$2,Lines!AI29))-FIND($A$2,Lines!AI29)-LEN($A$2)-1))</f>
        <v/>
      </c>
      <c r="AJ29" s="30" t="str">
        <f>IF(ISERROR(FIND($A$2,Lines!AJ29))=TRUE,"",MID(Lines!AJ29,FIND($A$2,Lines!AJ29)+LEN($A$2)+1,FIND(",",_xlfn.CONCAT(Lines!AJ29,","),FIND($A$2,Lines!AJ29))-FIND($A$2,Lines!AJ29)-LEN($A$2)-1))</f>
        <v/>
      </c>
      <c r="AK29" s="30" t="str">
        <f>IF(ISERROR(FIND($A$2,Lines!AK29))=TRUE,"",MID(Lines!AK29,FIND($A$2,Lines!AK29)+LEN($A$2)+1,FIND(",",_xlfn.CONCAT(Lines!AK29,","),FIND($A$2,Lines!AK29))-FIND($A$2,Lines!AK29)-LEN($A$2)-1))</f>
        <v/>
      </c>
      <c r="AL29" s="30" t="str">
        <f>IF(ISERROR(FIND($A$2,Lines!AL29))=TRUE,"",MID(Lines!AL29,FIND($A$2,Lines!AL29)+LEN($A$2)+1,FIND(",",_xlfn.CONCAT(Lines!AL29,","),FIND($A$2,Lines!AL29))-FIND($A$2,Lines!AL29)-LEN($A$2)-1))</f>
        <v/>
      </c>
      <c r="AM29" s="30" t="str">
        <f>IF(ISERROR(FIND($A$2,Lines!AM29))=TRUE,"",MID(Lines!AM29,FIND($A$2,Lines!AM29)+LEN($A$2)+1,FIND(",",_xlfn.CONCAT(Lines!AM29,","),FIND($A$2,Lines!AM29))-FIND($A$2,Lines!AM29)-LEN($A$2)-1))</f>
        <v/>
      </c>
      <c r="AN29" s="30" t="str">
        <f>IF(ISERROR(FIND($A$2,Lines!AN29))=TRUE,"",MID(Lines!AN29,FIND($A$2,Lines!AN29)+LEN($A$2)+1,FIND(",",_xlfn.CONCAT(Lines!AN29,","),FIND($A$2,Lines!AN29))-FIND($A$2,Lines!AN29)-LEN($A$2)-1))</f>
        <v/>
      </c>
      <c r="AO29" s="30" t="str">
        <f>IF(ISERROR(FIND($A$2,Lines!AO29))=TRUE,"",MID(Lines!AO29,FIND($A$2,Lines!AO29)+LEN($A$2)+1,FIND(",",_xlfn.CONCAT(Lines!AO29,","),FIND($A$2,Lines!AO29))-FIND($A$2,Lines!AO29)-LEN($A$2)-1))</f>
        <v/>
      </c>
      <c r="AP29" s="30" t="str">
        <f>IF(ISERROR(FIND($A$2,Lines!AP29))=TRUE,"",MID(Lines!AP29,FIND($A$2,Lines!AP29)+LEN($A$2)+1,FIND(",",_xlfn.CONCAT(Lines!AP29,","),FIND($A$2,Lines!AP29))-FIND($A$2,Lines!AP29)-LEN($A$2)-1))</f>
        <v/>
      </c>
      <c r="AQ29" s="30" t="str">
        <f>IF(ISERROR(FIND($A$2,Lines!AQ29))=TRUE,"",MID(Lines!AQ29,FIND($A$2,Lines!AQ29)+LEN($A$2)+1,FIND(",",_xlfn.CONCAT(Lines!AQ29,","),FIND($A$2,Lines!AQ29))-FIND($A$2,Lines!AQ29)-LEN($A$2)-1))</f>
        <v/>
      </c>
      <c r="AR29" s="30" t="str">
        <f>IF(ISERROR(FIND($A$2,Lines!AR29))=TRUE,"",MID(Lines!AR29,FIND($A$2,Lines!AR29)+LEN($A$2)+1,FIND(",",_xlfn.CONCAT(Lines!AR29,","),FIND($A$2,Lines!AR29))-FIND($A$2,Lines!AR29)-LEN($A$2)-1))</f>
        <v/>
      </c>
      <c r="AS29" s="30" t="str">
        <f>IF(ISERROR(FIND($A$2,Lines!AS29))=TRUE,"",MID(Lines!AS29,FIND($A$2,Lines!AS29)+LEN($A$2)+1,FIND(",",_xlfn.CONCAT(Lines!AS29,","),FIND($A$2,Lines!AS29))-FIND($A$2,Lines!AS29)-LEN($A$2)-1))</f>
        <v/>
      </c>
      <c r="AT29" s="30" t="str">
        <f>IF(ISERROR(FIND($A$2,Lines!AT29))=TRUE,"",MID(Lines!AT29,FIND($A$2,Lines!AT29)+LEN($A$2)+1,FIND(",",_xlfn.CONCAT(Lines!AT29,","),FIND($A$2,Lines!AT29))-FIND($A$2,Lines!AT29)-LEN($A$2)-1))</f>
        <v/>
      </c>
    </row>
    <row r="30" spans="1:46" ht="20.25" customHeight="1">
      <c r="A30" s="2" t="s">
        <v>78</v>
      </c>
      <c r="B30" s="30" t="str">
        <f>IF(ISERROR(FIND($A$2,Lines!B30))=TRUE,"",MID(Lines!B30,FIND($A$2,Lines!B30)+LEN($A$2)+1,FIND(",",_xlfn.CONCAT(Lines!B30,","),FIND($A$2,Lines!B30))-FIND($A$2,Lines!B30)-LEN($A$2)-1))</f>
        <v/>
      </c>
      <c r="C30" s="30" t="str">
        <f>IF(ISERROR(FIND($A$2,Lines!C30))=TRUE,"",MID(Lines!C30,FIND($A$2,Lines!C30)+LEN($A$2)+1,FIND(",",_xlfn.CONCAT(Lines!C30,","),FIND($A$2,Lines!C30))-FIND($A$2,Lines!C30)-LEN($A$2)-1))</f>
        <v/>
      </c>
      <c r="D30" s="30" t="str">
        <f>IF(ISERROR(FIND($A$2,Lines!D30))=TRUE,"",MID(Lines!D30,FIND($A$2,Lines!D30)+LEN($A$2)+1,FIND(",",_xlfn.CONCAT(Lines!D30,","),FIND($A$2,Lines!D30))-FIND($A$2,Lines!D30)-LEN($A$2)-1))</f>
        <v/>
      </c>
      <c r="E30" s="30" t="str">
        <f>IF(ISERROR(FIND($A$2,Lines!E30))=TRUE,"",MID(Lines!E30,FIND($A$2,Lines!E30)+LEN($A$2)+1,FIND(",",_xlfn.CONCAT(Lines!E30,","),FIND($A$2,Lines!E30))-FIND($A$2,Lines!E30)-LEN($A$2)-1))</f>
        <v/>
      </c>
      <c r="F30" s="30" t="str">
        <f>IF(ISERROR(FIND($A$2,Lines!F30))=TRUE,"",MID(Lines!F30,FIND($A$2,Lines!F30)+LEN($A$2)+1,FIND(",",_xlfn.CONCAT(Lines!F30,","),FIND($A$2,Lines!F30))-FIND($A$2,Lines!F30)-LEN($A$2)-1))</f>
        <v/>
      </c>
      <c r="G30" s="30" t="str">
        <f>IF(ISERROR(FIND($A$2,Lines!G30))=TRUE,"",MID(Lines!G30,FIND($A$2,Lines!G30)+LEN($A$2)+1,FIND(",",_xlfn.CONCAT(Lines!G30,","),FIND($A$2,Lines!G30))-FIND($A$2,Lines!G30)-LEN($A$2)-1))</f>
        <v/>
      </c>
      <c r="H30" s="30" t="str">
        <f>IF(ISERROR(FIND($A$2,Lines!H30))=TRUE,"",MID(Lines!H30,FIND($A$2,Lines!H30)+LEN($A$2)+1,FIND(",",_xlfn.CONCAT(Lines!H30,","),FIND($A$2,Lines!H30))-FIND($A$2,Lines!H30)-LEN($A$2)-1))</f>
        <v/>
      </c>
      <c r="I30" s="30" t="str">
        <f>IF(ISERROR(FIND($A$2,Lines!I30))=TRUE,"",MID(Lines!I30,FIND($A$2,Lines!I30)+LEN($A$2)+1,FIND(",",_xlfn.CONCAT(Lines!I30,","),FIND($A$2,Lines!I30))-FIND($A$2,Lines!I30)-LEN($A$2)-1))</f>
        <v/>
      </c>
      <c r="J30" s="30" t="str">
        <f>IF(ISERROR(FIND($A$2,Lines!J30))=TRUE,"",MID(Lines!J30,FIND($A$2,Lines!J30)+LEN($A$2)+1,FIND(",",_xlfn.CONCAT(Lines!J30,","),FIND($A$2,Lines!J30))-FIND($A$2,Lines!J30)-LEN($A$2)-1))</f>
        <v/>
      </c>
      <c r="K30" s="30" t="str">
        <f>IF(ISERROR(FIND($A$2,Lines!K30))=TRUE,"",MID(Lines!K30,FIND($A$2,Lines!K30)+LEN($A$2)+1,FIND(",",_xlfn.CONCAT(Lines!K30,","),FIND($A$2,Lines!K30))-FIND($A$2,Lines!K30)-LEN($A$2)-1))</f>
        <v/>
      </c>
      <c r="L30" s="30" t="str">
        <f>IF(ISERROR(FIND($A$2,Lines!L30))=TRUE,"",MID(Lines!L30,FIND($A$2,Lines!L30)+LEN($A$2)+1,FIND(",",_xlfn.CONCAT(Lines!L30,","),FIND($A$2,Lines!L30))-FIND($A$2,Lines!L30)-LEN($A$2)-1))</f>
        <v/>
      </c>
      <c r="M30" s="30" t="str">
        <f>IF(ISERROR(FIND($A$2,Lines!M30))=TRUE,"",MID(Lines!M30,FIND($A$2,Lines!M30)+LEN($A$2)+1,FIND(",",_xlfn.CONCAT(Lines!M30,","),FIND($A$2,Lines!M30))-FIND($A$2,Lines!M30)-LEN($A$2)-1))</f>
        <v/>
      </c>
      <c r="N30" s="30" t="str">
        <f>IF(ISERROR(FIND($A$2,Lines!N30))=TRUE,"",MID(Lines!N30,FIND($A$2,Lines!N30)+LEN($A$2)+1,FIND(",",_xlfn.CONCAT(Lines!N30,","),FIND($A$2,Lines!N30))-FIND($A$2,Lines!N30)-LEN($A$2)-1))</f>
        <v>3</v>
      </c>
      <c r="O30" s="30" t="str">
        <f>IF(ISERROR(FIND($A$2,Lines!O30))=TRUE,"",MID(Lines!O30,FIND($A$2,Lines!O30)+LEN($A$2)+1,FIND(",",_xlfn.CONCAT(Lines!O30,","),FIND($A$2,Lines!O30))-FIND($A$2,Lines!O30)-LEN($A$2)-1))</f>
        <v/>
      </c>
      <c r="P30" s="30" t="str">
        <f>IF(ISERROR(FIND($A$2,Lines!P30))=TRUE,"",MID(Lines!P30,FIND($A$2,Lines!P30)+LEN($A$2)+1,FIND(",",_xlfn.CONCAT(Lines!P30,","),FIND($A$2,Lines!P30))-FIND($A$2,Lines!P30)-LEN($A$2)-1))</f>
        <v/>
      </c>
      <c r="Q30" s="30" t="str">
        <f>IF(ISERROR(FIND($A$2,Lines!Q30))=TRUE,"",MID(Lines!Q30,FIND($A$2,Lines!Q30)+LEN($A$2)+1,FIND(",",_xlfn.CONCAT(Lines!Q30,","),FIND($A$2,Lines!Q30))-FIND($A$2,Lines!Q30)-LEN($A$2)-1))</f>
        <v/>
      </c>
      <c r="R30" s="30" t="str">
        <f>IF(ISERROR(FIND($A$2,Lines!R30))=TRUE,"",MID(Lines!R30,FIND($A$2,Lines!R30)+LEN($A$2)+1,FIND(",",_xlfn.CONCAT(Lines!R30,","),FIND($A$2,Lines!R30))-FIND($A$2,Lines!R30)-LEN($A$2)-1))</f>
        <v/>
      </c>
      <c r="S30" s="30" t="str">
        <f>IF(ISERROR(FIND($A$2,Lines!S30))=TRUE,"",MID(Lines!S30,FIND($A$2,Lines!S30)+LEN($A$2)+1,FIND(",",_xlfn.CONCAT(Lines!S30,","),FIND($A$2,Lines!S30))-FIND($A$2,Lines!S30)-LEN($A$2)-1))</f>
        <v/>
      </c>
      <c r="T30" s="30" t="str">
        <f>IF(ISERROR(FIND($A$2,Lines!T30))=TRUE,"",MID(Lines!T30,FIND($A$2,Lines!T30)+LEN($A$2)+1,FIND(",",_xlfn.CONCAT(Lines!T30,","),FIND($A$2,Lines!T30))-FIND($A$2,Lines!T30)-LEN($A$2)-1))</f>
        <v/>
      </c>
      <c r="U30" s="30" t="str">
        <f>IF(ISERROR(FIND($A$2,Lines!U30))=TRUE,"",MID(Lines!U30,FIND($A$2,Lines!U30)+LEN($A$2)+1,FIND(",",_xlfn.CONCAT(Lines!U30,","),FIND($A$2,Lines!U30))-FIND($A$2,Lines!U30)-LEN($A$2)-1))</f>
        <v/>
      </c>
      <c r="V30" s="30" t="str">
        <f>IF(ISERROR(FIND($A$2,Lines!V30))=TRUE,"",MID(Lines!V30,FIND($A$2,Lines!V30)+LEN($A$2)+1,FIND(",",_xlfn.CONCAT(Lines!V30,","),FIND($A$2,Lines!V30))-FIND($A$2,Lines!V30)-LEN($A$2)-1))</f>
        <v/>
      </c>
      <c r="W30" s="36" t="str">
        <f>IF(ISERROR(FIND($A$2,Lines!W30))=TRUE,"",MID(Lines!W30,FIND($A$2,Lines!W30)+LEN($A$2)+1,FIND(",",_xlfn.CONCAT(Lines!W30,","),FIND($A$2,Lines!W30))-FIND($A$2,Lines!W30)-LEN($A$2)-1))</f>
        <v/>
      </c>
      <c r="X30" s="40" t="str">
        <f>IF(ISERROR(FIND($A$2,Lines!X30))=TRUE,"",MID(Lines!X30,FIND($A$2,Lines!X30)+LEN($A$2)+1,FIND(",",_xlfn.CONCAT(Lines!X30,","),FIND($A$2,Lines!X30))-FIND($A$2,Lines!X30)-LEN($A$2)-1))</f>
        <v/>
      </c>
      <c r="Y30" s="41" t="str">
        <f>IF(ISERROR(FIND($A$2,Lines!Y30))=TRUE,"",MID(Lines!Y30,FIND($A$2,Lines!Y30)+LEN($A$2)+1,FIND(",",_xlfn.CONCAT(Lines!Y30,","),FIND($A$2,Lines!Y30))-FIND($A$2,Lines!Y30)-LEN($A$2)-1))</f>
        <v>13</v>
      </c>
      <c r="Z30" s="41" t="str">
        <f>IF(ISERROR(FIND($A$2,Lines!Z30))=TRUE,"",MID(Lines!Z30,FIND($A$2,Lines!Z30)+LEN($A$2)+1,FIND(",",_xlfn.CONCAT(Lines!Z30,","),FIND($A$2,Lines!Z30))-FIND($A$2,Lines!Z30)-LEN($A$2)-1))</f>
        <v>5</v>
      </c>
      <c r="AA30" s="41" t="str">
        <f>IF(ISERROR(FIND($A$2,Lines!AA30))=TRUE,"",MID(Lines!AA30,FIND($A$2,Lines!AA30)+LEN($A$2)+1,FIND(",",_xlfn.CONCAT(Lines!AA30,","),FIND($A$2,Lines!AA30))-FIND($A$2,Lines!AA30)-LEN($A$2)-1))</f>
        <v/>
      </c>
      <c r="AB30" s="66" t="str">
        <f>IF(ISERROR(FIND($A$2,Lines!AB30))=TRUE,"",MID(Lines!AB30,FIND($A$2,Lines!AB30)+LEN($A$2)+1,FIND(",",_xlfn.CONCAT(Lines!AB30,","),FIND($A$2,Lines!AB30))-FIND($A$2,Lines!AB30)-LEN($A$2)-1))</f>
        <v/>
      </c>
      <c r="AC30" s="41" t="str">
        <f>IF(ISERROR(FIND($A$2,Lines!AC30))=TRUE,"",MID(Lines!AC30,FIND($A$2,Lines!AC30)+LEN($A$2)+1,FIND(",",_xlfn.CONCAT(Lines!AC30,","),FIND($A$2,Lines!AC30))-FIND($A$2,Lines!AC30)-LEN($A$2)-1))</f>
        <v>3</v>
      </c>
      <c r="AD30" s="53" t="str">
        <f>IF(ISERROR(FIND($A$2,Lines!AD30))=TRUE,"",MID(Lines!AD30,FIND($A$2,Lines!AD30)+LEN($A$2)+1,FIND(",",_xlfn.CONCAT(Lines!AD30,","),FIND($A$2,Lines!AD30))-FIND($A$2,Lines!AD30)-LEN($A$2)-1))</f>
        <v>4</v>
      </c>
      <c r="AE30" s="30" t="str">
        <f>IF(ISERROR(FIND($A$2,Lines!AE30))=TRUE,"",MID(Lines!AE30,FIND($A$2,Lines!AE30)+LEN($A$2)+1,FIND(",",_xlfn.CONCAT(Lines!AE30,","),FIND($A$2,Lines!AE30))-FIND($A$2,Lines!AE30)-LEN($A$2)-1))</f>
        <v/>
      </c>
      <c r="AF30" s="30" t="str">
        <f>IF(ISERROR(FIND($A$2,Lines!AF30))=TRUE,"",MID(Lines!AF30,FIND($A$2,Lines!AF30)+LEN($A$2)+1,FIND(",",_xlfn.CONCAT(Lines!AF30,","),FIND($A$2,Lines!AF30))-FIND($A$2,Lines!AF30)-LEN($A$2)-1))</f>
        <v/>
      </c>
      <c r="AG30" s="30" t="str">
        <f>IF(ISERROR(FIND($A$2,Lines!AG30))=TRUE,"",MID(Lines!AG30,FIND($A$2,Lines!AG30)+LEN($A$2)+1,FIND(",",_xlfn.CONCAT(Lines!AG30,","),FIND($A$2,Lines!AG30))-FIND($A$2,Lines!AG30)-LEN($A$2)-1))</f>
        <v/>
      </c>
      <c r="AH30" s="30" t="str">
        <f>IF(ISERROR(FIND($A$2,Lines!AH30))=TRUE,"",MID(Lines!AH30,FIND($A$2,Lines!AH30)+LEN($A$2)+1,FIND(",",_xlfn.CONCAT(Lines!AH30,","),FIND($A$2,Lines!AH30))-FIND($A$2,Lines!AH30)-LEN($A$2)-1))</f>
        <v/>
      </c>
      <c r="AI30" s="30" t="str">
        <f>IF(ISERROR(FIND($A$2,Lines!AI30))=TRUE,"",MID(Lines!AI30,FIND($A$2,Lines!AI30)+LEN($A$2)+1,FIND(",",_xlfn.CONCAT(Lines!AI30,","),FIND($A$2,Lines!AI30))-FIND($A$2,Lines!AI30)-LEN($A$2)-1))</f>
        <v/>
      </c>
      <c r="AJ30" s="30" t="str">
        <f>IF(ISERROR(FIND($A$2,Lines!AJ30))=TRUE,"",MID(Lines!AJ30,FIND($A$2,Lines!AJ30)+LEN($A$2)+1,FIND(",",_xlfn.CONCAT(Lines!AJ30,","),FIND($A$2,Lines!AJ30))-FIND($A$2,Lines!AJ30)-LEN($A$2)-1))</f>
        <v/>
      </c>
      <c r="AK30" s="30" t="str">
        <f>IF(ISERROR(FIND($A$2,Lines!AK30))=TRUE,"",MID(Lines!AK30,FIND($A$2,Lines!AK30)+LEN($A$2)+1,FIND(",",_xlfn.CONCAT(Lines!AK30,","),FIND($A$2,Lines!AK30))-FIND($A$2,Lines!AK30)-LEN($A$2)-1))</f>
        <v/>
      </c>
      <c r="AL30" s="30" t="str">
        <f>IF(ISERROR(FIND($A$2,Lines!AL30))=TRUE,"",MID(Lines!AL30,FIND($A$2,Lines!AL30)+LEN($A$2)+1,FIND(",",_xlfn.CONCAT(Lines!AL30,","),FIND($A$2,Lines!AL30))-FIND($A$2,Lines!AL30)-LEN($A$2)-1))</f>
        <v/>
      </c>
      <c r="AM30" s="30" t="str">
        <f>IF(ISERROR(FIND($A$2,Lines!AM30))=TRUE,"",MID(Lines!AM30,FIND($A$2,Lines!AM30)+LEN($A$2)+1,FIND(",",_xlfn.CONCAT(Lines!AM30,","),FIND($A$2,Lines!AM30))-FIND($A$2,Lines!AM30)-LEN($A$2)-1))</f>
        <v/>
      </c>
      <c r="AN30" s="30" t="str">
        <f>IF(ISERROR(FIND($A$2,Lines!AN30))=TRUE,"",MID(Lines!AN30,FIND($A$2,Lines!AN30)+LEN($A$2)+1,FIND(",",_xlfn.CONCAT(Lines!AN30,","),FIND($A$2,Lines!AN30))-FIND($A$2,Lines!AN30)-LEN($A$2)-1))</f>
        <v/>
      </c>
      <c r="AO30" s="30" t="str">
        <f>IF(ISERROR(FIND($A$2,Lines!AO30))=TRUE,"",MID(Lines!AO30,FIND($A$2,Lines!AO30)+LEN($A$2)+1,FIND(",",_xlfn.CONCAT(Lines!AO30,","),FIND($A$2,Lines!AO30))-FIND($A$2,Lines!AO30)-LEN($A$2)-1))</f>
        <v/>
      </c>
      <c r="AP30" s="30" t="str">
        <f>IF(ISERROR(FIND($A$2,Lines!AP30))=TRUE,"",MID(Lines!AP30,FIND($A$2,Lines!AP30)+LEN($A$2)+1,FIND(",",_xlfn.CONCAT(Lines!AP30,","),FIND($A$2,Lines!AP30))-FIND($A$2,Lines!AP30)-LEN($A$2)-1))</f>
        <v/>
      </c>
      <c r="AQ30" s="30" t="str">
        <f>IF(ISERROR(FIND($A$2,Lines!AQ30))=TRUE,"",MID(Lines!AQ30,FIND($A$2,Lines!AQ30)+LEN($A$2)+1,FIND(",",_xlfn.CONCAT(Lines!AQ30,","),FIND($A$2,Lines!AQ30))-FIND($A$2,Lines!AQ30)-LEN($A$2)-1))</f>
        <v>4</v>
      </c>
      <c r="AR30" s="30" t="str">
        <f>IF(ISERROR(FIND($A$2,Lines!AR30))=TRUE,"",MID(Lines!AR30,FIND($A$2,Lines!AR30)+LEN($A$2)+1,FIND(",",_xlfn.CONCAT(Lines!AR30,","),FIND($A$2,Lines!AR30))-FIND($A$2,Lines!AR30)-LEN($A$2)-1))</f>
        <v/>
      </c>
      <c r="AS30" s="30" t="str">
        <f>IF(ISERROR(FIND($A$2,Lines!AS30))=TRUE,"",MID(Lines!AS30,FIND($A$2,Lines!AS30)+LEN($A$2)+1,FIND(",",_xlfn.CONCAT(Lines!AS30,","),FIND($A$2,Lines!AS30))-FIND($A$2,Lines!AS30)-LEN($A$2)-1))</f>
        <v/>
      </c>
      <c r="AT30" s="30" t="str">
        <f>IF(ISERROR(FIND($A$2,Lines!AT30))=TRUE,"",MID(Lines!AT30,FIND($A$2,Lines!AT30)+LEN($A$2)+1,FIND(",",_xlfn.CONCAT(Lines!AT30,","),FIND($A$2,Lines!AT30))-FIND($A$2,Lines!AT30)-LEN($A$2)-1))</f>
        <v/>
      </c>
    </row>
    <row r="31" spans="1:46" ht="20.25" customHeight="1">
      <c r="A31" s="2" t="s">
        <v>79</v>
      </c>
      <c r="B31" s="30" t="str">
        <f>IF(ISERROR(FIND($A$2,Lines!B31))=TRUE,"",MID(Lines!B31,FIND($A$2,Lines!B31)+LEN($A$2)+1,FIND(",",_xlfn.CONCAT(Lines!B31,","),FIND($A$2,Lines!B31))-FIND($A$2,Lines!B31)-LEN($A$2)-1))</f>
        <v/>
      </c>
      <c r="C31" s="30" t="str">
        <f>IF(ISERROR(FIND($A$2,Lines!C31))=TRUE,"",MID(Lines!C31,FIND($A$2,Lines!C31)+LEN($A$2)+1,FIND(",",_xlfn.CONCAT(Lines!C31,","),FIND($A$2,Lines!C31))-FIND($A$2,Lines!C31)-LEN($A$2)-1))</f>
        <v/>
      </c>
      <c r="D31" s="30" t="str">
        <f>IF(ISERROR(FIND($A$2,Lines!D31))=TRUE,"",MID(Lines!D31,FIND($A$2,Lines!D31)+LEN($A$2)+1,FIND(",",_xlfn.CONCAT(Lines!D31,","),FIND($A$2,Lines!D31))-FIND($A$2,Lines!D31)-LEN($A$2)-1))</f>
        <v/>
      </c>
      <c r="E31" s="30" t="str">
        <f>IF(ISERROR(FIND($A$2,Lines!E31))=TRUE,"",MID(Lines!E31,FIND($A$2,Lines!E31)+LEN($A$2)+1,FIND(",",_xlfn.CONCAT(Lines!E31,","),FIND($A$2,Lines!E31))-FIND($A$2,Lines!E31)-LEN($A$2)-1))</f>
        <v/>
      </c>
      <c r="F31" s="30" t="str">
        <f>IF(ISERROR(FIND($A$2,Lines!F31))=TRUE,"",MID(Lines!F31,FIND($A$2,Lines!F31)+LEN($A$2)+1,FIND(",",_xlfn.CONCAT(Lines!F31,","),FIND($A$2,Lines!F31))-FIND($A$2,Lines!F31)-LEN($A$2)-1))</f>
        <v/>
      </c>
      <c r="G31" s="30" t="str">
        <f>IF(ISERROR(FIND($A$2,Lines!G31))=TRUE,"",MID(Lines!G31,FIND($A$2,Lines!G31)+LEN($A$2)+1,FIND(",",_xlfn.CONCAT(Lines!G31,","),FIND($A$2,Lines!G31))-FIND($A$2,Lines!G31)-LEN($A$2)-1))</f>
        <v/>
      </c>
      <c r="H31" s="30" t="str">
        <f>IF(ISERROR(FIND($A$2,Lines!H31))=TRUE,"",MID(Lines!H31,FIND($A$2,Lines!H31)+LEN($A$2)+1,FIND(",",_xlfn.CONCAT(Lines!H31,","),FIND($A$2,Lines!H31))-FIND($A$2,Lines!H31)-LEN($A$2)-1))</f>
        <v/>
      </c>
      <c r="I31" s="30" t="str">
        <f>IF(ISERROR(FIND($A$2,Lines!I31))=TRUE,"",MID(Lines!I31,FIND($A$2,Lines!I31)+LEN($A$2)+1,FIND(",",_xlfn.CONCAT(Lines!I31,","),FIND($A$2,Lines!I31))-FIND($A$2,Lines!I31)-LEN($A$2)-1))</f>
        <v/>
      </c>
      <c r="J31" s="30" t="str">
        <f>IF(ISERROR(FIND($A$2,Lines!J31))=TRUE,"",MID(Lines!J31,FIND($A$2,Lines!J31)+LEN($A$2)+1,FIND(",",_xlfn.CONCAT(Lines!J31,","),FIND($A$2,Lines!J31))-FIND($A$2,Lines!J31)-LEN($A$2)-1))</f>
        <v/>
      </c>
      <c r="K31" s="30" t="str">
        <f>IF(ISERROR(FIND($A$2,Lines!K31))=TRUE,"",MID(Lines!K31,FIND($A$2,Lines!K31)+LEN($A$2)+1,FIND(",",_xlfn.CONCAT(Lines!K31,","),FIND($A$2,Lines!K31))-FIND($A$2,Lines!K31)-LEN($A$2)-1))</f>
        <v/>
      </c>
      <c r="L31" s="30" t="str">
        <f>IF(ISERROR(FIND($A$2,Lines!L31))=TRUE,"",MID(Lines!L31,FIND($A$2,Lines!L31)+LEN($A$2)+1,FIND(",",_xlfn.CONCAT(Lines!L31,","),FIND($A$2,Lines!L31))-FIND($A$2,Lines!L31)-LEN($A$2)-1))</f>
        <v/>
      </c>
      <c r="M31" s="30" t="str">
        <f>IF(ISERROR(FIND($A$2,Lines!M31))=TRUE,"",MID(Lines!M31,FIND($A$2,Lines!M31)+LEN($A$2)+1,FIND(",",_xlfn.CONCAT(Lines!M31,","),FIND($A$2,Lines!M31))-FIND($A$2,Lines!M31)-LEN($A$2)-1))</f>
        <v/>
      </c>
      <c r="N31" s="30" t="str">
        <f>IF(ISERROR(FIND($A$2,Lines!N31))=TRUE,"",MID(Lines!N31,FIND($A$2,Lines!N31)+LEN($A$2)+1,FIND(",",_xlfn.CONCAT(Lines!N31,","),FIND($A$2,Lines!N31))-FIND($A$2,Lines!N31)-LEN($A$2)-1))</f>
        <v/>
      </c>
      <c r="O31" s="30" t="str">
        <f>IF(ISERROR(FIND($A$2,Lines!O31))=TRUE,"",MID(Lines!O31,FIND($A$2,Lines!O31)+LEN($A$2)+1,FIND(",",_xlfn.CONCAT(Lines!O31,","),FIND($A$2,Lines!O31))-FIND($A$2,Lines!O31)-LEN($A$2)-1))</f>
        <v/>
      </c>
      <c r="P31" s="30" t="str">
        <f>IF(ISERROR(FIND($A$2,Lines!P31))=TRUE,"",MID(Lines!P31,FIND($A$2,Lines!P31)+LEN($A$2)+1,FIND(",",_xlfn.CONCAT(Lines!P31,","),FIND($A$2,Lines!P31))-FIND($A$2,Lines!P31)-LEN($A$2)-1))</f>
        <v/>
      </c>
      <c r="Q31" s="30" t="str">
        <f>IF(ISERROR(FIND($A$2,Lines!Q31))=TRUE,"",MID(Lines!Q31,FIND($A$2,Lines!Q31)+LEN($A$2)+1,FIND(",",_xlfn.CONCAT(Lines!Q31,","),FIND($A$2,Lines!Q31))-FIND($A$2,Lines!Q31)-LEN($A$2)-1))</f>
        <v/>
      </c>
      <c r="R31" s="30" t="str">
        <f>IF(ISERROR(FIND($A$2,Lines!R31))=TRUE,"",MID(Lines!R31,FIND($A$2,Lines!R31)+LEN($A$2)+1,FIND(",",_xlfn.CONCAT(Lines!R31,","),FIND($A$2,Lines!R31))-FIND($A$2,Lines!R31)-LEN($A$2)-1))</f>
        <v/>
      </c>
      <c r="S31" s="30" t="str">
        <f>IF(ISERROR(FIND($A$2,Lines!S31))=TRUE,"",MID(Lines!S31,FIND($A$2,Lines!S31)+LEN($A$2)+1,FIND(",",_xlfn.CONCAT(Lines!S31,","),FIND($A$2,Lines!S31))-FIND($A$2,Lines!S31)-LEN($A$2)-1))</f>
        <v/>
      </c>
      <c r="T31" s="30" t="str">
        <f>IF(ISERROR(FIND($A$2,Lines!T31))=TRUE,"",MID(Lines!T31,FIND($A$2,Lines!T31)+LEN($A$2)+1,FIND(",",_xlfn.CONCAT(Lines!T31,","),FIND($A$2,Lines!T31))-FIND($A$2,Lines!T31)-LEN($A$2)-1))</f>
        <v/>
      </c>
      <c r="U31" s="30" t="str">
        <f>IF(ISERROR(FIND($A$2,Lines!U31))=TRUE,"",MID(Lines!U31,FIND($A$2,Lines!U31)+LEN($A$2)+1,FIND(",",_xlfn.CONCAT(Lines!U31,","),FIND($A$2,Lines!U31))-FIND($A$2,Lines!U31)-LEN($A$2)-1))</f>
        <v/>
      </c>
      <c r="V31" s="30" t="str">
        <f>IF(ISERROR(FIND($A$2,Lines!V31))=TRUE,"",MID(Lines!V31,FIND($A$2,Lines!V31)+LEN($A$2)+1,FIND(",",_xlfn.CONCAT(Lines!V31,","),FIND($A$2,Lines!V31))-FIND($A$2,Lines!V31)-LEN($A$2)-1))</f>
        <v/>
      </c>
      <c r="W31" s="36" t="str">
        <f>IF(ISERROR(FIND($A$2,Lines!W31))=TRUE,"",MID(Lines!W31,FIND($A$2,Lines!W31)+LEN($A$2)+1,FIND(",",_xlfn.CONCAT(Lines!W31,","),FIND($A$2,Lines!W31))-FIND($A$2,Lines!W31)-LEN($A$2)-1))</f>
        <v/>
      </c>
      <c r="X31" s="39" t="str">
        <f>IF(ISERROR(FIND($A$2,Lines!X31))=TRUE,"",MID(Lines!X31,FIND($A$2,Lines!X31)+LEN($A$2)+1,FIND(",",_xlfn.CONCAT(Lines!X31,","),FIND($A$2,Lines!X31))-FIND($A$2,Lines!X31)-LEN($A$2)-1))</f>
        <v/>
      </c>
      <c r="Y31" s="41" t="str">
        <f>IF(ISERROR(FIND($A$2,Lines!Y31))=TRUE,"",MID(Lines!Y31,FIND($A$2,Lines!Y31)+LEN($A$2)+1,FIND(",",_xlfn.CONCAT(Lines!Y31,","),FIND($A$2,Lines!Y31))-FIND($A$2,Lines!Y31)-LEN($A$2)-1))</f>
        <v>4</v>
      </c>
      <c r="Z31" s="41" t="str">
        <f>IF(ISERROR(FIND($A$2,Lines!Z31))=TRUE,"",MID(Lines!Z31,FIND($A$2,Lines!Z31)+LEN($A$2)+1,FIND(",",_xlfn.CONCAT(Lines!Z31,","),FIND($A$2,Lines!Z31))-FIND($A$2,Lines!Z31)-LEN($A$2)-1))</f>
        <v/>
      </c>
      <c r="AA31" s="41" t="str">
        <f>IF(ISERROR(FIND($A$2,Lines!AA31))=TRUE,"",MID(Lines!AA31,FIND($A$2,Lines!AA31)+LEN($A$2)+1,FIND(",",_xlfn.CONCAT(Lines!AA31,","),FIND($A$2,Lines!AA31))-FIND($A$2,Lines!AA31)-LEN($A$2)-1))</f>
        <v/>
      </c>
      <c r="AB31" s="41" t="str">
        <f>IF(ISERROR(FIND($A$2,Lines!AB31))=TRUE,"",MID(Lines!AB31,FIND($A$2,Lines!AB31)+LEN($A$2)+1,FIND(",",_xlfn.CONCAT(Lines!AB31,","),FIND($A$2,Lines!AB31))-FIND($A$2,Lines!AB31)-LEN($A$2)-1))</f>
        <v>3</v>
      </c>
      <c r="AC31" s="66" t="str">
        <f>IF(ISERROR(FIND($A$2,Lines!AC31))=TRUE,"",MID(Lines!AC31,FIND($A$2,Lines!AC31)+LEN($A$2)+1,FIND(",",_xlfn.CONCAT(Lines!AC31,","),FIND($A$2,Lines!AC31))-FIND($A$2,Lines!AC31)-LEN($A$2)-1))</f>
        <v/>
      </c>
      <c r="AD31" s="46" t="str">
        <f>IF(ISERROR(FIND($A$2,Lines!AD31))=TRUE,"",MID(Lines!AD31,FIND($A$2,Lines!AD31)+LEN($A$2)+1,FIND(",",_xlfn.CONCAT(Lines!AD31,","),FIND($A$2,Lines!AD31))-FIND($A$2,Lines!AD31)-LEN($A$2)-1))</f>
        <v/>
      </c>
      <c r="AE31" s="30" t="str">
        <f>IF(ISERROR(FIND($A$2,Lines!AE31))=TRUE,"",MID(Lines!AE31,FIND($A$2,Lines!AE31)+LEN($A$2)+1,FIND(",",_xlfn.CONCAT(Lines!AE31,","),FIND($A$2,Lines!AE31))-FIND($A$2,Lines!AE31)-LEN($A$2)-1))</f>
        <v/>
      </c>
      <c r="AF31" s="30" t="str">
        <f>IF(ISERROR(FIND($A$2,Lines!AF31))=TRUE,"",MID(Lines!AF31,FIND($A$2,Lines!AF31)+LEN($A$2)+1,FIND(",",_xlfn.CONCAT(Lines!AF31,","),FIND($A$2,Lines!AF31))-FIND($A$2,Lines!AF31)-LEN($A$2)-1))</f>
        <v/>
      </c>
      <c r="AG31" s="30" t="str">
        <f>IF(ISERROR(FIND($A$2,Lines!AG31))=TRUE,"",MID(Lines!AG31,FIND($A$2,Lines!AG31)+LEN($A$2)+1,FIND(",",_xlfn.CONCAT(Lines!AG31,","),FIND($A$2,Lines!AG31))-FIND($A$2,Lines!AG31)-LEN($A$2)-1))</f>
        <v/>
      </c>
      <c r="AH31" s="30" t="str">
        <f>IF(ISERROR(FIND($A$2,Lines!AH31))=TRUE,"",MID(Lines!AH31,FIND($A$2,Lines!AH31)+LEN($A$2)+1,FIND(",",_xlfn.CONCAT(Lines!AH31,","),FIND($A$2,Lines!AH31))-FIND($A$2,Lines!AH31)-LEN($A$2)-1))</f>
        <v/>
      </c>
      <c r="AI31" s="30" t="str">
        <f>IF(ISERROR(FIND($A$2,Lines!AI31))=TRUE,"",MID(Lines!AI31,FIND($A$2,Lines!AI31)+LEN($A$2)+1,FIND(",",_xlfn.CONCAT(Lines!AI31,","),FIND($A$2,Lines!AI31))-FIND($A$2,Lines!AI31)-LEN($A$2)-1))</f>
        <v/>
      </c>
      <c r="AJ31" s="30" t="str">
        <f>IF(ISERROR(FIND($A$2,Lines!AJ31))=TRUE,"",MID(Lines!AJ31,FIND($A$2,Lines!AJ31)+LEN($A$2)+1,FIND(",",_xlfn.CONCAT(Lines!AJ31,","),FIND($A$2,Lines!AJ31))-FIND($A$2,Lines!AJ31)-LEN($A$2)-1))</f>
        <v/>
      </c>
      <c r="AK31" s="30" t="str">
        <f>IF(ISERROR(FIND($A$2,Lines!AK31))=TRUE,"",MID(Lines!AK31,FIND($A$2,Lines!AK31)+LEN($A$2)+1,FIND(",",_xlfn.CONCAT(Lines!AK31,","),FIND($A$2,Lines!AK31))-FIND($A$2,Lines!AK31)-LEN($A$2)-1))</f>
        <v/>
      </c>
      <c r="AL31" s="30" t="str">
        <f>IF(ISERROR(FIND($A$2,Lines!AL31))=TRUE,"",MID(Lines!AL31,FIND($A$2,Lines!AL31)+LEN($A$2)+1,FIND(",",_xlfn.CONCAT(Lines!AL31,","),FIND($A$2,Lines!AL31))-FIND($A$2,Lines!AL31)-LEN($A$2)-1))</f>
        <v/>
      </c>
      <c r="AM31" s="30" t="str">
        <f>IF(ISERROR(FIND($A$2,Lines!AM31))=TRUE,"",MID(Lines!AM31,FIND($A$2,Lines!AM31)+LEN($A$2)+1,FIND(",",_xlfn.CONCAT(Lines!AM31,","),FIND($A$2,Lines!AM31))-FIND($A$2,Lines!AM31)-LEN($A$2)-1))</f>
        <v/>
      </c>
      <c r="AN31" s="30" t="str">
        <f>IF(ISERROR(FIND($A$2,Lines!AN31))=TRUE,"",MID(Lines!AN31,FIND($A$2,Lines!AN31)+LEN($A$2)+1,FIND(",",_xlfn.CONCAT(Lines!AN31,","),FIND($A$2,Lines!AN31))-FIND($A$2,Lines!AN31)-LEN($A$2)-1))</f>
        <v/>
      </c>
      <c r="AO31" s="30" t="str">
        <f>IF(ISERROR(FIND($A$2,Lines!AO31))=TRUE,"",MID(Lines!AO31,FIND($A$2,Lines!AO31)+LEN($A$2)+1,FIND(",",_xlfn.CONCAT(Lines!AO31,","),FIND($A$2,Lines!AO31))-FIND($A$2,Lines!AO31)-LEN($A$2)-1))</f>
        <v/>
      </c>
      <c r="AP31" s="30" t="str">
        <f>IF(ISERROR(FIND($A$2,Lines!AP31))=TRUE,"",MID(Lines!AP31,FIND($A$2,Lines!AP31)+LEN($A$2)+1,FIND(",",_xlfn.CONCAT(Lines!AP31,","),FIND($A$2,Lines!AP31))-FIND($A$2,Lines!AP31)-LEN($A$2)-1))</f>
        <v/>
      </c>
      <c r="AQ31" s="30" t="str">
        <f>IF(ISERROR(FIND($A$2,Lines!AQ31))=TRUE,"",MID(Lines!AQ31,FIND($A$2,Lines!AQ31)+LEN($A$2)+1,FIND(",",_xlfn.CONCAT(Lines!AQ31,","),FIND($A$2,Lines!AQ31))-FIND($A$2,Lines!AQ31)-LEN($A$2)-1))</f>
        <v>3</v>
      </c>
      <c r="AR31" s="30" t="str">
        <f>IF(ISERROR(FIND($A$2,Lines!AR31))=TRUE,"",MID(Lines!AR31,FIND($A$2,Lines!AR31)+LEN($A$2)+1,FIND(",",_xlfn.CONCAT(Lines!AR31,","),FIND($A$2,Lines!AR31))-FIND($A$2,Lines!AR31)-LEN($A$2)-1))</f>
        <v/>
      </c>
      <c r="AS31" s="30" t="str">
        <f>IF(ISERROR(FIND($A$2,Lines!AS31))=TRUE,"",MID(Lines!AS31,FIND($A$2,Lines!AS31)+LEN($A$2)+1,FIND(",",_xlfn.CONCAT(Lines!AS31,","),FIND($A$2,Lines!AS31))-FIND($A$2,Lines!AS31)-LEN($A$2)-1))</f>
        <v/>
      </c>
      <c r="AT31" s="30" t="str">
        <f>IF(ISERROR(FIND($A$2,Lines!AT31))=TRUE,"",MID(Lines!AT31,FIND($A$2,Lines!AT31)+LEN($A$2)+1,FIND(",",_xlfn.CONCAT(Lines!AT31,","),FIND($A$2,Lines!AT31))-FIND($A$2,Lines!AT31)-LEN($A$2)-1))</f>
        <v/>
      </c>
    </row>
    <row r="32" spans="1:46" ht="20.25" customHeight="1">
      <c r="A32" s="2" t="s">
        <v>80</v>
      </c>
      <c r="B32" s="30" t="str">
        <f>IF(ISERROR(FIND($A$2,Lines!B32))=TRUE,"",MID(Lines!B32,FIND($A$2,Lines!B32)+LEN($A$2)+1,FIND(",",_xlfn.CONCAT(Lines!B32,","),FIND($A$2,Lines!B32))-FIND($A$2,Lines!B32)-LEN($A$2)-1))</f>
        <v/>
      </c>
      <c r="C32" s="30" t="str">
        <f>IF(ISERROR(FIND($A$2,Lines!C32))=TRUE,"",MID(Lines!C32,FIND($A$2,Lines!C32)+LEN($A$2)+1,FIND(",",_xlfn.CONCAT(Lines!C32,","),FIND($A$2,Lines!C32))-FIND($A$2,Lines!C32)-LEN($A$2)-1))</f>
        <v/>
      </c>
      <c r="D32" s="30" t="str">
        <f>IF(ISERROR(FIND($A$2,Lines!D32))=TRUE,"",MID(Lines!D32,FIND($A$2,Lines!D32)+LEN($A$2)+1,FIND(",",_xlfn.CONCAT(Lines!D32,","),FIND($A$2,Lines!D32))-FIND($A$2,Lines!D32)-LEN($A$2)-1))</f>
        <v/>
      </c>
      <c r="E32" s="30" t="str">
        <f>IF(ISERROR(FIND($A$2,Lines!E32))=TRUE,"",MID(Lines!E32,FIND($A$2,Lines!E32)+LEN($A$2)+1,FIND(",",_xlfn.CONCAT(Lines!E32,","),FIND($A$2,Lines!E32))-FIND($A$2,Lines!E32)-LEN($A$2)-1))</f>
        <v/>
      </c>
      <c r="F32" s="30" t="str">
        <f>IF(ISERROR(FIND($A$2,Lines!F32))=TRUE,"",MID(Lines!F32,FIND($A$2,Lines!F32)+LEN($A$2)+1,FIND(",",_xlfn.CONCAT(Lines!F32,","),FIND($A$2,Lines!F32))-FIND($A$2,Lines!F32)-LEN($A$2)-1))</f>
        <v/>
      </c>
      <c r="G32" s="30" t="str">
        <f>IF(ISERROR(FIND($A$2,Lines!G32))=TRUE,"",MID(Lines!G32,FIND($A$2,Lines!G32)+LEN($A$2)+1,FIND(",",_xlfn.CONCAT(Lines!G32,","),FIND($A$2,Lines!G32))-FIND($A$2,Lines!G32)-LEN($A$2)-1))</f>
        <v/>
      </c>
      <c r="H32" s="30" t="str">
        <f>IF(ISERROR(FIND($A$2,Lines!H32))=TRUE,"",MID(Lines!H32,FIND($A$2,Lines!H32)+LEN($A$2)+1,FIND(",",_xlfn.CONCAT(Lines!H32,","),FIND($A$2,Lines!H32))-FIND($A$2,Lines!H32)-LEN($A$2)-1))</f>
        <v/>
      </c>
      <c r="I32" s="30" t="str">
        <f>IF(ISERROR(FIND($A$2,Lines!I32))=TRUE,"",MID(Lines!I32,FIND($A$2,Lines!I32)+LEN($A$2)+1,FIND(",",_xlfn.CONCAT(Lines!I32,","),FIND($A$2,Lines!I32))-FIND($A$2,Lines!I32)-LEN($A$2)-1))</f>
        <v/>
      </c>
      <c r="J32" s="30" t="str">
        <f>IF(ISERROR(FIND($A$2,Lines!J32))=TRUE,"",MID(Lines!J32,FIND($A$2,Lines!J32)+LEN($A$2)+1,FIND(",",_xlfn.CONCAT(Lines!J32,","),FIND($A$2,Lines!J32))-FIND($A$2,Lines!J32)-LEN($A$2)-1))</f>
        <v/>
      </c>
      <c r="K32" s="30" t="str">
        <f>IF(ISERROR(FIND($A$2,Lines!K32))=TRUE,"",MID(Lines!K32,FIND($A$2,Lines!K32)+LEN($A$2)+1,FIND(",",_xlfn.CONCAT(Lines!K32,","),FIND($A$2,Lines!K32))-FIND($A$2,Lines!K32)-LEN($A$2)-1))</f>
        <v/>
      </c>
      <c r="L32" s="30" t="str">
        <f>IF(ISERROR(FIND($A$2,Lines!L32))=TRUE,"",MID(Lines!L32,FIND($A$2,Lines!L32)+LEN($A$2)+1,FIND(",",_xlfn.CONCAT(Lines!L32,","),FIND($A$2,Lines!L32))-FIND($A$2,Lines!L32)-LEN($A$2)-1))</f>
        <v/>
      </c>
      <c r="M32" s="30" t="str">
        <f>IF(ISERROR(FIND($A$2,Lines!M32))=TRUE,"",MID(Lines!M32,FIND($A$2,Lines!M32)+LEN($A$2)+1,FIND(",",_xlfn.CONCAT(Lines!M32,","),FIND($A$2,Lines!M32))-FIND($A$2,Lines!M32)-LEN($A$2)-1))</f>
        <v/>
      </c>
      <c r="N32" s="30" t="str">
        <f>IF(ISERROR(FIND($A$2,Lines!N32))=TRUE,"",MID(Lines!N32,FIND($A$2,Lines!N32)+LEN($A$2)+1,FIND(",",_xlfn.CONCAT(Lines!N32,","),FIND($A$2,Lines!N32))-FIND($A$2,Lines!N32)-LEN($A$2)-1))</f>
        <v/>
      </c>
      <c r="O32" s="30" t="str">
        <f>IF(ISERROR(FIND($A$2,Lines!O32))=TRUE,"",MID(Lines!O32,FIND($A$2,Lines!O32)+LEN($A$2)+1,FIND(",",_xlfn.CONCAT(Lines!O32,","),FIND($A$2,Lines!O32))-FIND($A$2,Lines!O32)-LEN($A$2)-1))</f>
        <v/>
      </c>
      <c r="P32" s="30" t="str">
        <f>IF(ISERROR(FIND($A$2,Lines!P32))=TRUE,"",MID(Lines!P32,FIND($A$2,Lines!P32)+LEN($A$2)+1,FIND(",",_xlfn.CONCAT(Lines!P32,","),FIND($A$2,Lines!P32))-FIND($A$2,Lines!P32)-LEN($A$2)-1))</f>
        <v/>
      </c>
      <c r="Q32" s="30" t="str">
        <f>IF(ISERROR(FIND($A$2,Lines!Q32))=TRUE,"",MID(Lines!Q32,FIND($A$2,Lines!Q32)+LEN($A$2)+1,FIND(",",_xlfn.CONCAT(Lines!Q32,","),FIND($A$2,Lines!Q32))-FIND($A$2,Lines!Q32)-LEN($A$2)-1))</f>
        <v/>
      </c>
      <c r="R32" s="30" t="str">
        <f>IF(ISERROR(FIND($A$2,Lines!R32))=TRUE,"",MID(Lines!R32,FIND($A$2,Lines!R32)+LEN($A$2)+1,FIND(",",_xlfn.CONCAT(Lines!R32,","),FIND($A$2,Lines!R32))-FIND($A$2,Lines!R32)-LEN($A$2)-1))</f>
        <v/>
      </c>
      <c r="S32" s="30" t="str">
        <f>IF(ISERROR(FIND($A$2,Lines!S32))=TRUE,"",MID(Lines!S32,FIND($A$2,Lines!S32)+LEN($A$2)+1,FIND(",",_xlfn.CONCAT(Lines!S32,","),FIND($A$2,Lines!S32))-FIND($A$2,Lines!S32)-LEN($A$2)-1))</f>
        <v/>
      </c>
      <c r="T32" s="30" t="str">
        <f>IF(ISERROR(FIND($A$2,Lines!T32))=TRUE,"",MID(Lines!T32,FIND($A$2,Lines!T32)+LEN($A$2)+1,FIND(",",_xlfn.CONCAT(Lines!T32,","),FIND($A$2,Lines!T32))-FIND($A$2,Lines!T32)-LEN($A$2)-1))</f>
        <v/>
      </c>
      <c r="U32" s="30" t="str">
        <f>IF(ISERROR(FIND($A$2,Lines!U32))=TRUE,"",MID(Lines!U32,FIND($A$2,Lines!U32)+LEN($A$2)+1,FIND(",",_xlfn.CONCAT(Lines!U32,","),FIND($A$2,Lines!U32))-FIND($A$2,Lines!U32)-LEN($A$2)-1))</f>
        <v/>
      </c>
      <c r="V32" s="30" t="str">
        <f>IF(ISERROR(FIND($A$2,Lines!V32))=TRUE,"",MID(Lines!V32,FIND($A$2,Lines!V32)+LEN($A$2)+1,FIND(",",_xlfn.CONCAT(Lines!V32,","),FIND($A$2,Lines!V32))-FIND($A$2,Lines!V32)-LEN($A$2)-1))</f>
        <v/>
      </c>
      <c r="W32" s="36" t="str">
        <f>IF(ISERROR(FIND($A$2,Lines!W32))=TRUE,"",MID(Lines!W32,FIND($A$2,Lines!W32)+LEN($A$2)+1,FIND(",",_xlfn.CONCAT(Lines!W32,","),FIND($A$2,Lines!W32))-FIND($A$2,Lines!W32)-LEN($A$2)-1))</f>
        <v/>
      </c>
      <c r="X32" s="52" t="str">
        <f>IF(ISERROR(FIND($A$2,Lines!X32))=TRUE,"",MID(Lines!X32,FIND($A$2,Lines!X32)+LEN($A$2)+1,FIND(",",_xlfn.CONCAT(Lines!X32,","),FIND($A$2,Lines!X32))-FIND($A$2,Lines!X32)-LEN($A$2)-1))</f>
        <v>9</v>
      </c>
      <c r="Y32" s="53" t="str">
        <f>IF(ISERROR(FIND($A$2,Lines!Y32))=TRUE,"",MID(Lines!Y32,FIND($A$2,Lines!Y32)+LEN($A$2)+1,FIND(",",_xlfn.CONCAT(Lines!Y32,","),FIND($A$2,Lines!Y32))-FIND($A$2,Lines!Y32)-LEN($A$2)-1))</f>
        <v/>
      </c>
      <c r="Z32" s="53" t="str">
        <f>IF(ISERROR(FIND($A$2,Lines!Z32))=TRUE,"",MID(Lines!Z32,FIND($A$2,Lines!Z32)+LEN($A$2)+1,FIND(",",_xlfn.CONCAT(Lines!Z32,","),FIND($A$2,Lines!Z32))-FIND($A$2,Lines!Z32)-LEN($A$2)-1))</f>
        <v/>
      </c>
      <c r="AA32" s="53" t="str">
        <f>IF(ISERROR(FIND($A$2,Lines!AA32))=TRUE,"",MID(Lines!AA32,FIND($A$2,Lines!AA32)+LEN($A$2)+1,FIND(",",_xlfn.CONCAT(Lines!AA32,","),FIND($A$2,Lines!AA32))-FIND($A$2,Lines!AA32)-LEN($A$2)-1))</f>
        <v/>
      </c>
      <c r="AB32" s="53" t="str">
        <f>IF(ISERROR(FIND($A$2,Lines!AB32))=TRUE,"",MID(Lines!AB32,FIND($A$2,Lines!AB32)+LEN($A$2)+1,FIND(",",_xlfn.CONCAT(Lines!AB32,","),FIND($A$2,Lines!AB32))-FIND($A$2,Lines!AB32)-LEN($A$2)-1))</f>
        <v>4</v>
      </c>
      <c r="AC32" s="53" t="str">
        <f>IF(ISERROR(FIND($A$2,Lines!AC32))=TRUE,"",MID(Lines!AC32,FIND($A$2,Lines!AC32)+LEN($A$2)+1,FIND(",",_xlfn.CONCAT(Lines!AC32,","),FIND($A$2,Lines!AC32))-FIND($A$2,Lines!AC32)-LEN($A$2)-1))</f>
        <v/>
      </c>
      <c r="AD32" s="67" t="str">
        <f>IF(ISERROR(FIND($A$2,Lines!AD32))=TRUE,"",MID(Lines!AD32,FIND($A$2,Lines!AD32)+LEN($A$2)+1,FIND(",",_xlfn.CONCAT(Lines!AD32,","),FIND($A$2,Lines!AD32))-FIND($A$2,Lines!AD32)-LEN($A$2)-1))</f>
        <v/>
      </c>
      <c r="AE32" s="30" t="str">
        <f>IF(ISERROR(FIND($A$2,Lines!AE32))=TRUE,"",MID(Lines!AE32,FIND($A$2,Lines!AE32)+LEN($A$2)+1,FIND(",",_xlfn.CONCAT(Lines!AE32,","),FIND($A$2,Lines!AE32))-FIND($A$2,Lines!AE32)-LEN($A$2)-1))</f>
        <v/>
      </c>
      <c r="AF32" s="30" t="str">
        <f>IF(ISERROR(FIND($A$2,Lines!AF32))=TRUE,"",MID(Lines!AF32,FIND($A$2,Lines!AF32)+LEN($A$2)+1,FIND(",",_xlfn.CONCAT(Lines!AF32,","),FIND($A$2,Lines!AF32))-FIND($A$2,Lines!AF32)-LEN($A$2)-1))</f>
        <v/>
      </c>
      <c r="AG32" s="30" t="str">
        <f>IF(ISERROR(FIND($A$2,Lines!AG32))=TRUE,"",MID(Lines!AG32,FIND($A$2,Lines!AG32)+LEN($A$2)+1,FIND(",",_xlfn.CONCAT(Lines!AG32,","),FIND($A$2,Lines!AG32))-FIND($A$2,Lines!AG32)-LEN($A$2)-1))</f>
        <v/>
      </c>
      <c r="AH32" s="30" t="str">
        <f>IF(ISERROR(FIND($A$2,Lines!AH32))=TRUE,"",MID(Lines!AH32,FIND($A$2,Lines!AH32)+LEN($A$2)+1,FIND(",",_xlfn.CONCAT(Lines!AH32,","),FIND($A$2,Lines!AH32))-FIND($A$2,Lines!AH32)-LEN($A$2)-1))</f>
        <v/>
      </c>
      <c r="AI32" s="30" t="str">
        <f>IF(ISERROR(FIND($A$2,Lines!AI32))=TRUE,"",MID(Lines!AI32,FIND($A$2,Lines!AI32)+LEN($A$2)+1,FIND(",",_xlfn.CONCAT(Lines!AI32,","),FIND($A$2,Lines!AI32))-FIND($A$2,Lines!AI32)-LEN($A$2)-1))</f>
        <v/>
      </c>
      <c r="AJ32" s="30" t="str">
        <f>IF(ISERROR(FIND($A$2,Lines!AJ32))=TRUE,"",MID(Lines!AJ32,FIND($A$2,Lines!AJ32)+LEN($A$2)+1,FIND(",",_xlfn.CONCAT(Lines!AJ32,","),FIND($A$2,Lines!AJ32))-FIND($A$2,Lines!AJ32)-LEN($A$2)-1))</f>
        <v/>
      </c>
      <c r="AK32" s="30" t="str">
        <f>IF(ISERROR(FIND($A$2,Lines!AK32))=TRUE,"",MID(Lines!AK32,FIND($A$2,Lines!AK32)+LEN($A$2)+1,FIND(",",_xlfn.CONCAT(Lines!AK32,","),FIND($A$2,Lines!AK32))-FIND($A$2,Lines!AK32)-LEN($A$2)-1))</f>
        <v/>
      </c>
      <c r="AL32" s="30" t="str">
        <f>IF(ISERROR(FIND($A$2,Lines!AL32))=TRUE,"",MID(Lines!AL32,FIND($A$2,Lines!AL32)+LEN($A$2)+1,FIND(",",_xlfn.CONCAT(Lines!AL32,","),FIND($A$2,Lines!AL32))-FIND($A$2,Lines!AL32)-LEN($A$2)-1))</f>
        <v/>
      </c>
      <c r="AM32" s="30" t="str">
        <f>IF(ISERROR(FIND($A$2,Lines!AM32))=TRUE,"",MID(Lines!AM32,FIND($A$2,Lines!AM32)+LEN($A$2)+1,FIND(",",_xlfn.CONCAT(Lines!AM32,","),FIND($A$2,Lines!AM32))-FIND($A$2,Lines!AM32)-LEN($A$2)-1))</f>
        <v/>
      </c>
      <c r="AN32" s="30" t="str">
        <f>IF(ISERROR(FIND($A$2,Lines!AN32))=TRUE,"",MID(Lines!AN32,FIND($A$2,Lines!AN32)+LEN($A$2)+1,FIND(",",_xlfn.CONCAT(Lines!AN32,","),FIND($A$2,Lines!AN32))-FIND($A$2,Lines!AN32)-LEN($A$2)-1))</f>
        <v/>
      </c>
      <c r="AO32" s="30" t="str">
        <f>IF(ISERROR(FIND($A$2,Lines!AO32))=TRUE,"",MID(Lines!AO32,FIND($A$2,Lines!AO32)+LEN($A$2)+1,FIND(",",_xlfn.CONCAT(Lines!AO32,","),FIND($A$2,Lines!AO32))-FIND($A$2,Lines!AO32)-LEN($A$2)-1))</f>
        <v/>
      </c>
      <c r="AP32" s="30" t="str">
        <f>IF(ISERROR(FIND($A$2,Lines!AP32))=TRUE,"",MID(Lines!AP32,FIND($A$2,Lines!AP32)+LEN($A$2)+1,FIND(",",_xlfn.CONCAT(Lines!AP32,","),FIND($A$2,Lines!AP32))-FIND($A$2,Lines!AP32)-LEN($A$2)-1))</f>
        <v/>
      </c>
      <c r="AQ32" s="30" t="str">
        <f>IF(ISERROR(FIND($A$2,Lines!AQ32))=TRUE,"",MID(Lines!AQ32,FIND($A$2,Lines!AQ32)+LEN($A$2)+1,FIND(",",_xlfn.CONCAT(Lines!AQ32,","),FIND($A$2,Lines!AQ32))-FIND($A$2,Lines!AQ32)-LEN($A$2)-1))</f>
        <v/>
      </c>
      <c r="AR32" s="30" t="str">
        <f>IF(ISERROR(FIND($A$2,Lines!AR32))=TRUE,"",MID(Lines!AR32,FIND($A$2,Lines!AR32)+LEN($A$2)+1,FIND(",",_xlfn.CONCAT(Lines!AR32,","),FIND($A$2,Lines!AR32))-FIND($A$2,Lines!AR32)-LEN($A$2)-1))</f>
        <v/>
      </c>
      <c r="AS32" s="30" t="str">
        <f>IF(ISERROR(FIND($A$2,Lines!AS32))=TRUE,"",MID(Lines!AS32,FIND($A$2,Lines!AS32)+LEN($A$2)+1,FIND(",",_xlfn.CONCAT(Lines!AS32,","),FIND($A$2,Lines!AS32))-FIND($A$2,Lines!AS32)-LEN($A$2)-1))</f>
        <v/>
      </c>
      <c r="AT32" s="30" t="str">
        <f>IF(ISERROR(FIND($A$2,Lines!AT32))=TRUE,"",MID(Lines!AT32,FIND($A$2,Lines!AT32)+LEN($A$2)+1,FIND(",",_xlfn.CONCAT(Lines!AT32,","),FIND($A$2,Lines!AT32))-FIND($A$2,Lines!AT32)-LEN($A$2)-1))</f>
        <v/>
      </c>
    </row>
    <row r="33" spans="1:46" ht="20.25" customHeight="1">
      <c r="A33" s="2" t="s">
        <v>81</v>
      </c>
      <c r="B33" s="30" t="str">
        <f>IF(ISERROR(FIND($A$2,Lines!B33))=TRUE,"",MID(Lines!B33,FIND($A$2,Lines!B33)+LEN($A$2)+1,FIND(",",_xlfn.CONCAT(Lines!B33,","),FIND($A$2,Lines!B33))-FIND($A$2,Lines!B33)-LEN($A$2)-1))</f>
        <v/>
      </c>
      <c r="C33" s="30" t="str">
        <f>IF(ISERROR(FIND($A$2,Lines!C33))=TRUE,"",MID(Lines!C33,FIND($A$2,Lines!C33)+LEN($A$2)+1,FIND(",",_xlfn.CONCAT(Lines!C33,","),FIND($A$2,Lines!C33))-FIND($A$2,Lines!C33)-LEN($A$2)-1))</f>
        <v/>
      </c>
      <c r="D33" s="30" t="str">
        <f>IF(ISERROR(FIND($A$2,Lines!D33))=TRUE,"",MID(Lines!D33,FIND($A$2,Lines!D33)+LEN($A$2)+1,FIND(",",_xlfn.CONCAT(Lines!D33,","),FIND($A$2,Lines!D33))-FIND($A$2,Lines!D33)-LEN($A$2)-1))</f>
        <v/>
      </c>
      <c r="E33" s="30" t="str">
        <f>IF(ISERROR(FIND($A$2,Lines!E33))=TRUE,"",MID(Lines!E33,FIND($A$2,Lines!E33)+LEN($A$2)+1,FIND(",",_xlfn.CONCAT(Lines!E33,","),FIND($A$2,Lines!E33))-FIND($A$2,Lines!E33)-LEN($A$2)-1))</f>
        <v/>
      </c>
      <c r="F33" s="30" t="str">
        <f>IF(ISERROR(FIND($A$2,Lines!F33))=TRUE,"",MID(Lines!F33,FIND($A$2,Lines!F33)+LEN($A$2)+1,FIND(",",_xlfn.CONCAT(Lines!F33,","),FIND($A$2,Lines!F33))-FIND($A$2,Lines!F33)-LEN($A$2)-1))</f>
        <v/>
      </c>
      <c r="G33" s="30" t="str">
        <f>IF(ISERROR(FIND($A$2,Lines!G33))=TRUE,"",MID(Lines!G33,FIND($A$2,Lines!G33)+LEN($A$2)+1,FIND(",",_xlfn.CONCAT(Lines!G33,","),FIND($A$2,Lines!G33))-FIND($A$2,Lines!G33)-LEN($A$2)-1))</f>
        <v/>
      </c>
      <c r="H33" s="30" t="str">
        <f>IF(ISERROR(FIND($A$2,Lines!H33))=TRUE,"",MID(Lines!H33,FIND($A$2,Lines!H33)+LEN($A$2)+1,FIND(",",_xlfn.CONCAT(Lines!H33,","),FIND($A$2,Lines!H33))-FIND($A$2,Lines!H33)-LEN($A$2)-1))</f>
        <v/>
      </c>
      <c r="I33" s="30" t="str">
        <f>IF(ISERROR(FIND($A$2,Lines!I33))=TRUE,"",MID(Lines!I33,FIND($A$2,Lines!I33)+LEN($A$2)+1,FIND(",",_xlfn.CONCAT(Lines!I33,","),FIND($A$2,Lines!I33))-FIND($A$2,Lines!I33)-LEN($A$2)-1))</f>
        <v/>
      </c>
      <c r="J33" s="30" t="str">
        <f>IF(ISERROR(FIND($A$2,Lines!J33))=TRUE,"",MID(Lines!J33,FIND($A$2,Lines!J33)+LEN($A$2)+1,FIND(",",_xlfn.CONCAT(Lines!J33,","),FIND($A$2,Lines!J33))-FIND($A$2,Lines!J33)-LEN($A$2)-1))</f>
        <v/>
      </c>
      <c r="K33" s="30" t="str">
        <f>IF(ISERROR(FIND($A$2,Lines!K33))=TRUE,"",MID(Lines!K33,FIND($A$2,Lines!K33)+LEN($A$2)+1,FIND(",",_xlfn.CONCAT(Lines!K33,","),FIND($A$2,Lines!K33))-FIND($A$2,Lines!K33)-LEN($A$2)-1))</f>
        <v/>
      </c>
      <c r="L33" s="30" t="str">
        <f>IF(ISERROR(FIND($A$2,Lines!L33))=TRUE,"",MID(Lines!L33,FIND($A$2,Lines!L33)+LEN($A$2)+1,FIND(",",_xlfn.CONCAT(Lines!L33,","),FIND($A$2,Lines!L33))-FIND($A$2,Lines!L33)-LEN($A$2)-1))</f>
        <v/>
      </c>
      <c r="M33" s="30" t="str">
        <f>IF(ISERROR(FIND($A$2,Lines!M33))=TRUE,"",MID(Lines!M33,FIND($A$2,Lines!M33)+LEN($A$2)+1,FIND(",",_xlfn.CONCAT(Lines!M33,","),FIND($A$2,Lines!M33))-FIND($A$2,Lines!M33)-LEN($A$2)-1))</f>
        <v/>
      </c>
      <c r="N33" s="30" t="str">
        <f>IF(ISERROR(FIND($A$2,Lines!N33))=TRUE,"",MID(Lines!N33,FIND($A$2,Lines!N33)+LEN($A$2)+1,FIND(",",_xlfn.CONCAT(Lines!N33,","),FIND($A$2,Lines!N33))-FIND($A$2,Lines!N33)-LEN($A$2)-1))</f>
        <v/>
      </c>
      <c r="O33" s="30" t="str">
        <f>IF(ISERROR(FIND($A$2,Lines!O33))=TRUE,"",MID(Lines!O33,FIND($A$2,Lines!O33)+LEN($A$2)+1,FIND(",",_xlfn.CONCAT(Lines!O33,","),FIND($A$2,Lines!O33))-FIND($A$2,Lines!O33)-LEN($A$2)-1))</f>
        <v/>
      </c>
      <c r="P33" s="30" t="str">
        <f>IF(ISERROR(FIND($A$2,Lines!P33))=TRUE,"",MID(Lines!P33,FIND($A$2,Lines!P33)+LEN($A$2)+1,FIND(",",_xlfn.CONCAT(Lines!P33,","),FIND($A$2,Lines!P33))-FIND($A$2,Lines!P33)-LEN($A$2)-1))</f>
        <v/>
      </c>
      <c r="Q33" s="30" t="str">
        <f>IF(ISERROR(FIND($A$2,Lines!Q33))=TRUE,"",MID(Lines!Q33,FIND($A$2,Lines!Q33)+LEN($A$2)+1,FIND(",",_xlfn.CONCAT(Lines!Q33,","),FIND($A$2,Lines!Q33))-FIND($A$2,Lines!Q33)-LEN($A$2)-1))</f>
        <v/>
      </c>
      <c r="R33" s="30" t="str">
        <f>IF(ISERROR(FIND($A$2,Lines!R33))=TRUE,"",MID(Lines!R33,FIND($A$2,Lines!R33)+LEN($A$2)+1,FIND(",",_xlfn.CONCAT(Lines!R33,","),FIND($A$2,Lines!R33))-FIND($A$2,Lines!R33)-LEN($A$2)-1))</f>
        <v/>
      </c>
      <c r="S33" s="30" t="str">
        <f>IF(ISERROR(FIND($A$2,Lines!S33))=TRUE,"",MID(Lines!S33,FIND($A$2,Lines!S33)+LEN($A$2)+1,FIND(",",_xlfn.CONCAT(Lines!S33,","),FIND($A$2,Lines!S33))-FIND($A$2,Lines!S33)-LEN($A$2)-1))</f>
        <v/>
      </c>
      <c r="T33" s="30" t="str">
        <f>IF(ISERROR(FIND($A$2,Lines!T33))=TRUE,"",MID(Lines!T33,FIND($A$2,Lines!T33)+LEN($A$2)+1,FIND(",",_xlfn.CONCAT(Lines!T33,","),FIND($A$2,Lines!T33))-FIND($A$2,Lines!T33)-LEN($A$2)-1))</f>
        <v/>
      </c>
      <c r="U33" s="30" t="str">
        <f>IF(ISERROR(FIND($A$2,Lines!U33))=TRUE,"",MID(Lines!U33,FIND($A$2,Lines!U33)+LEN($A$2)+1,FIND(",",_xlfn.CONCAT(Lines!U33,","),FIND($A$2,Lines!U33))-FIND($A$2,Lines!U33)-LEN($A$2)-1))</f>
        <v/>
      </c>
      <c r="V33" s="30" t="str">
        <f>IF(ISERROR(FIND($A$2,Lines!V33))=TRUE,"",MID(Lines!V33,FIND($A$2,Lines!V33)+LEN($A$2)+1,FIND(",",_xlfn.CONCAT(Lines!V33,","),FIND($A$2,Lines!V33))-FIND($A$2,Lines!V33)-LEN($A$2)-1))</f>
        <v/>
      </c>
      <c r="W33" s="36" t="str">
        <f>IF(ISERROR(FIND($A$2,Lines!W33))=TRUE,"",MID(Lines!W33,FIND($A$2,Lines!W33)+LEN($A$2)+1,FIND(",",_xlfn.CONCAT(Lines!W33,","),FIND($A$2,Lines!W33))-FIND($A$2,Lines!W33)-LEN($A$2)-1))</f>
        <v/>
      </c>
      <c r="X33" s="30" t="str">
        <f>IF(ISERROR(FIND($A$2,Lines!X33))=TRUE,"",MID(Lines!X33,FIND($A$2,Lines!X33)+LEN($A$2)+1,FIND(",",_xlfn.CONCAT(Lines!X33,","),FIND($A$2,Lines!X33))-FIND($A$2,Lines!X33)-LEN($A$2)-1))</f>
        <v/>
      </c>
      <c r="Y33" s="30" t="str">
        <f>IF(ISERROR(FIND($A$2,Lines!Y33))=TRUE,"",MID(Lines!Y33,FIND($A$2,Lines!Y33)+LEN($A$2)+1,FIND(",",_xlfn.CONCAT(Lines!Y33,","),FIND($A$2,Lines!Y33))-FIND($A$2,Lines!Y33)-LEN($A$2)-1))</f>
        <v/>
      </c>
      <c r="Z33" s="30" t="str">
        <f>IF(ISERROR(FIND($A$2,Lines!Z33))=TRUE,"",MID(Lines!Z33,FIND($A$2,Lines!Z33)+LEN($A$2)+1,FIND(",",_xlfn.CONCAT(Lines!Z33,","),FIND($A$2,Lines!Z33))-FIND($A$2,Lines!Z33)-LEN($A$2)-1))</f>
        <v/>
      </c>
      <c r="AA33" s="30" t="str">
        <f>IF(ISERROR(FIND($A$2,Lines!AA33))=TRUE,"",MID(Lines!AA33,FIND($A$2,Lines!AA33)+LEN($A$2)+1,FIND(",",_xlfn.CONCAT(Lines!AA33,","),FIND($A$2,Lines!AA33))-FIND($A$2,Lines!AA33)-LEN($A$2)-1))</f>
        <v/>
      </c>
      <c r="AB33" s="30" t="str">
        <f>IF(ISERROR(FIND($A$2,Lines!AB33))=TRUE,"",MID(Lines!AB33,FIND($A$2,Lines!AB33)+LEN($A$2)+1,FIND(",",_xlfn.CONCAT(Lines!AB33,","),FIND($A$2,Lines!AB33))-FIND($A$2,Lines!AB33)-LEN($A$2)-1))</f>
        <v/>
      </c>
      <c r="AC33" s="30" t="str">
        <f>IF(ISERROR(FIND($A$2,Lines!AC33))=TRUE,"",MID(Lines!AC33,FIND($A$2,Lines!AC33)+LEN($A$2)+1,FIND(",",_xlfn.CONCAT(Lines!AC33,","),FIND($A$2,Lines!AC33))-FIND($A$2,Lines!AC33)-LEN($A$2)-1))</f>
        <v/>
      </c>
      <c r="AD33" s="30" t="str">
        <f>IF(ISERROR(FIND($A$2,Lines!AD33))=TRUE,"",MID(Lines!AD33,FIND($A$2,Lines!AD33)+LEN($A$2)+1,FIND(",",_xlfn.CONCAT(Lines!AD33,","),FIND($A$2,Lines!AD33))-FIND($A$2,Lines!AD33)-LEN($A$2)-1))</f>
        <v/>
      </c>
      <c r="AE33" s="65" t="str">
        <f>IF(ISERROR(FIND($A$2,Lines!AE33))=TRUE,"",MID(Lines!AE33,FIND($A$2,Lines!AE33)+LEN($A$2)+1,FIND(",",_xlfn.CONCAT(Lines!AE33,","),FIND($A$2,Lines!AE33))-FIND($A$2,Lines!AE33)-LEN($A$2)-1))</f>
        <v/>
      </c>
      <c r="AF33" s="47" t="str">
        <f>IF(ISERROR(FIND($A$2,Lines!AF33))=TRUE,"",MID(Lines!AF33,FIND($A$2,Lines!AF33)+LEN($A$2)+1,FIND(",",_xlfn.CONCAT(Lines!AF33,","),FIND($A$2,Lines!AF33))-FIND($A$2,Lines!AF33)-LEN($A$2)-1))</f>
        <v>2</v>
      </c>
      <c r="AG33" s="47" t="str">
        <f>IF(ISERROR(FIND($A$2,Lines!AG33))=TRUE,"",MID(Lines!AG33,FIND($A$2,Lines!AG33)+LEN($A$2)+1,FIND(",",_xlfn.CONCAT(Lines!AG33,","),FIND($A$2,Lines!AG33))-FIND($A$2,Lines!AG33)-LEN($A$2)-1))</f>
        <v>3</v>
      </c>
      <c r="AH33" s="47" t="str">
        <f>IF(ISERROR(FIND($A$2,Lines!AH33))=TRUE,"",MID(Lines!AH33,FIND($A$2,Lines!AH33)+LEN($A$2)+1,FIND(",",_xlfn.CONCAT(Lines!AH33,","),FIND($A$2,Lines!AH33))-FIND($A$2,Lines!AH33)-LEN($A$2)-1))</f>
        <v>4</v>
      </c>
      <c r="AI33" s="47" t="str">
        <f>IF(ISERROR(FIND($A$2,Lines!AI33))=TRUE,"",MID(Lines!AI33,FIND($A$2,Lines!AI33)+LEN($A$2)+1,FIND(",",_xlfn.CONCAT(Lines!AI33,","),FIND($A$2,Lines!AI33))-FIND($A$2,Lines!AI33)-LEN($A$2)-1))</f>
        <v>4</v>
      </c>
      <c r="AJ33" s="48" t="str">
        <f>IF(ISERROR(FIND($A$2,Lines!AJ33))=TRUE,"",MID(Lines!AJ33,FIND($A$2,Lines!AJ33)+LEN($A$2)+1,FIND(",",_xlfn.CONCAT(Lines!AJ33,","),FIND($A$2,Lines!AJ33))-FIND($A$2,Lines!AJ33)-LEN($A$2)-1))</f>
        <v/>
      </c>
      <c r="AK33" s="30" t="str">
        <f>IF(ISERROR(FIND($A$2,Lines!AK33))=TRUE,"",MID(Lines!AK33,FIND($A$2,Lines!AK33)+LEN($A$2)+1,FIND(",",_xlfn.CONCAT(Lines!AK33,","),FIND($A$2,Lines!AK33))-FIND($A$2,Lines!AK33)-LEN($A$2)-1))</f>
        <v/>
      </c>
      <c r="AL33" s="30" t="str">
        <f>IF(ISERROR(FIND($A$2,Lines!AL33))=TRUE,"",MID(Lines!AL33,FIND($A$2,Lines!AL33)+LEN($A$2)+1,FIND(",",_xlfn.CONCAT(Lines!AL33,","),FIND($A$2,Lines!AL33))-FIND($A$2,Lines!AL33)-LEN($A$2)-1))</f>
        <v/>
      </c>
      <c r="AM33" s="30" t="str">
        <f>IF(ISERROR(FIND($A$2,Lines!AM33))=TRUE,"",MID(Lines!AM33,FIND($A$2,Lines!AM33)+LEN($A$2)+1,FIND(",",_xlfn.CONCAT(Lines!AM33,","),FIND($A$2,Lines!AM33))-FIND($A$2,Lines!AM33)-LEN($A$2)-1))</f>
        <v/>
      </c>
      <c r="AN33" s="30" t="str">
        <f>IF(ISERROR(FIND($A$2,Lines!AN33))=TRUE,"",MID(Lines!AN33,FIND($A$2,Lines!AN33)+LEN($A$2)+1,FIND(",",_xlfn.CONCAT(Lines!AN33,","),FIND($A$2,Lines!AN33))-FIND($A$2,Lines!AN33)-LEN($A$2)-1))</f>
        <v/>
      </c>
      <c r="AO33" s="30" t="str">
        <f>IF(ISERROR(FIND($A$2,Lines!AO33))=TRUE,"",MID(Lines!AO33,FIND($A$2,Lines!AO33)+LEN($A$2)+1,FIND(",",_xlfn.CONCAT(Lines!AO33,","),FIND($A$2,Lines!AO33))-FIND($A$2,Lines!AO33)-LEN($A$2)-1))</f>
        <v/>
      </c>
      <c r="AP33" s="30" t="str">
        <f>IF(ISERROR(FIND($A$2,Lines!AP33))=TRUE,"",MID(Lines!AP33,FIND($A$2,Lines!AP33)+LEN($A$2)+1,FIND(",",_xlfn.CONCAT(Lines!AP33,","),FIND($A$2,Lines!AP33))-FIND($A$2,Lines!AP33)-LEN($A$2)-1))</f>
        <v/>
      </c>
      <c r="AQ33" s="30" t="str">
        <f>IF(ISERROR(FIND($A$2,Lines!AQ33))=TRUE,"",MID(Lines!AQ33,FIND($A$2,Lines!AQ33)+LEN($A$2)+1,FIND(",",_xlfn.CONCAT(Lines!AQ33,","),FIND($A$2,Lines!AQ33))-FIND($A$2,Lines!AQ33)-LEN($A$2)-1))</f>
        <v/>
      </c>
      <c r="AR33" s="30" t="str">
        <f>IF(ISERROR(FIND($A$2,Lines!AR33))=TRUE,"",MID(Lines!AR33,FIND($A$2,Lines!AR33)+LEN($A$2)+1,FIND(",",_xlfn.CONCAT(Lines!AR33,","),FIND($A$2,Lines!AR33))-FIND($A$2,Lines!AR33)-LEN($A$2)-1))</f>
        <v/>
      </c>
      <c r="AS33" s="30" t="str">
        <f>IF(ISERROR(FIND($A$2,Lines!AS33))=TRUE,"",MID(Lines!AS33,FIND($A$2,Lines!AS33)+LEN($A$2)+1,FIND(",",_xlfn.CONCAT(Lines!AS33,","),FIND($A$2,Lines!AS33))-FIND($A$2,Lines!AS33)-LEN($A$2)-1))</f>
        <v/>
      </c>
      <c r="AT33" s="30" t="str">
        <f>IF(ISERROR(FIND($A$2,Lines!AT33))=TRUE,"",MID(Lines!AT33,FIND($A$2,Lines!AT33)+LEN($A$2)+1,FIND(",",_xlfn.CONCAT(Lines!AT33,","),FIND($A$2,Lines!AT33))-FIND($A$2,Lines!AT33)-LEN($A$2)-1))</f>
        <v/>
      </c>
    </row>
    <row r="34" spans="1:46" ht="20.25" customHeight="1">
      <c r="A34" s="2" t="s">
        <v>82</v>
      </c>
      <c r="B34" s="30" t="str">
        <f>IF(ISERROR(FIND($A$2,Lines!B34))=TRUE,"",MID(Lines!B34,FIND($A$2,Lines!B34)+LEN($A$2)+1,FIND(",",_xlfn.CONCAT(Lines!B34,","),FIND($A$2,Lines!B34))-FIND($A$2,Lines!B34)-LEN($A$2)-1))</f>
        <v/>
      </c>
      <c r="C34" s="30" t="str">
        <f>IF(ISERROR(FIND($A$2,Lines!C34))=TRUE,"",MID(Lines!C34,FIND($A$2,Lines!C34)+LEN($A$2)+1,FIND(",",_xlfn.CONCAT(Lines!C34,","),FIND($A$2,Lines!C34))-FIND($A$2,Lines!C34)-LEN($A$2)-1))</f>
        <v/>
      </c>
      <c r="D34" s="30" t="str">
        <f>IF(ISERROR(FIND($A$2,Lines!D34))=TRUE,"",MID(Lines!D34,FIND($A$2,Lines!D34)+LEN($A$2)+1,FIND(",",_xlfn.CONCAT(Lines!D34,","),FIND($A$2,Lines!D34))-FIND($A$2,Lines!D34)-LEN($A$2)-1))</f>
        <v/>
      </c>
      <c r="E34" s="30" t="str">
        <f>IF(ISERROR(FIND($A$2,Lines!E34))=TRUE,"",MID(Lines!E34,FIND($A$2,Lines!E34)+LEN($A$2)+1,FIND(",",_xlfn.CONCAT(Lines!E34,","),FIND($A$2,Lines!E34))-FIND($A$2,Lines!E34)-LEN($A$2)-1))</f>
        <v/>
      </c>
      <c r="F34" s="30" t="str">
        <f>IF(ISERROR(FIND($A$2,Lines!F34))=TRUE,"",MID(Lines!F34,FIND($A$2,Lines!F34)+LEN($A$2)+1,FIND(",",_xlfn.CONCAT(Lines!F34,","),FIND($A$2,Lines!F34))-FIND($A$2,Lines!F34)-LEN($A$2)-1))</f>
        <v/>
      </c>
      <c r="G34" s="30" t="str">
        <f>IF(ISERROR(FIND($A$2,Lines!G34))=TRUE,"",MID(Lines!G34,FIND($A$2,Lines!G34)+LEN($A$2)+1,FIND(",",_xlfn.CONCAT(Lines!G34,","),FIND($A$2,Lines!G34))-FIND($A$2,Lines!G34)-LEN($A$2)-1))</f>
        <v/>
      </c>
      <c r="H34" s="30" t="str">
        <f>IF(ISERROR(FIND($A$2,Lines!H34))=TRUE,"",MID(Lines!H34,FIND($A$2,Lines!H34)+LEN($A$2)+1,FIND(",",_xlfn.CONCAT(Lines!H34,","),FIND($A$2,Lines!H34))-FIND($A$2,Lines!H34)-LEN($A$2)-1))</f>
        <v/>
      </c>
      <c r="I34" s="30" t="str">
        <f>IF(ISERROR(FIND($A$2,Lines!I34))=TRUE,"",MID(Lines!I34,FIND($A$2,Lines!I34)+LEN($A$2)+1,FIND(",",_xlfn.CONCAT(Lines!I34,","),FIND($A$2,Lines!I34))-FIND($A$2,Lines!I34)-LEN($A$2)-1))</f>
        <v/>
      </c>
      <c r="J34" s="30" t="str">
        <f>IF(ISERROR(FIND($A$2,Lines!J34))=TRUE,"",MID(Lines!J34,FIND($A$2,Lines!J34)+LEN($A$2)+1,FIND(",",_xlfn.CONCAT(Lines!J34,","),FIND($A$2,Lines!J34))-FIND($A$2,Lines!J34)-LEN($A$2)-1))</f>
        <v/>
      </c>
      <c r="K34" s="30" t="str">
        <f>IF(ISERROR(FIND($A$2,Lines!K34))=TRUE,"",MID(Lines!K34,FIND($A$2,Lines!K34)+LEN($A$2)+1,FIND(",",_xlfn.CONCAT(Lines!K34,","),FIND($A$2,Lines!K34))-FIND($A$2,Lines!K34)-LEN($A$2)-1))</f>
        <v/>
      </c>
      <c r="L34" s="30" t="str">
        <f>IF(ISERROR(FIND($A$2,Lines!L34))=TRUE,"",MID(Lines!L34,FIND($A$2,Lines!L34)+LEN($A$2)+1,FIND(",",_xlfn.CONCAT(Lines!L34,","),FIND($A$2,Lines!L34))-FIND($A$2,Lines!L34)-LEN($A$2)-1))</f>
        <v/>
      </c>
      <c r="M34" s="30" t="str">
        <f>IF(ISERROR(FIND($A$2,Lines!M34))=TRUE,"",MID(Lines!M34,FIND($A$2,Lines!M34)+LEN($A$2)+1,FIND(",",_xlfn.CONCAT(Lines!M34,","),FIND($A$2,Lines!M34))-FIND($A$2,Lines!M34)-LEN($A$2)-1))</f>
        <v/>
      </c>
      <c r="N34" s="30" t="str">
        <f>IF(ISERROR(FIND($A$2,Lines!N34))=TRUE,"",MID(Lines!N34,FIND($A$2,Lines!N34)+LEN($A$2)+1,FIND(",",_xlfn.CONCAT(Lines!N34,","),FIND($A$2,Lines!N34))-FIND($A$2,Lines!N34)-LEN($A$2)-1))</f>
        <v/>
      </c>
      <c r="O34" s="30" t="str">
        <f>IF(ISERROR(FIND($A$2,Lines!O34))=TRUE,"",MID(Lines!O34,FIND($A$2,Lines!O34)+LEN($A$2)+1,FIND(",",_xlfn.CONCAT(Lines!O34,","),FIND($A$2,Lines!O34))-FIND($A$2,Lines!O34)-LEN($A$2)-1))</f>
        <v/>
      </c>
      <c r="P34" s="30" t="str">
        <f>IF(ISERROR(FIND($A$2,Lines!P34))=TRUE,"",MID(Lines!P34,FIND($A$2,Lines!P34)+LEN($A$2)+1,FIND(",",_xlfn.CONCAT(Lines!P34,","),FIND($A$2,Lines!P34))-FIND($A$2,Lines!P34)-LEN($A$2)-1))</f>
        <v/>
      </c>
      <c r="Q34" s="30" t="str">
        <f>IF(ISERROR(FIND($A$2,Lines!Q34))=TRUE,"",MID(Lines!Q34,FIND($A$2,Lines!Q34)+LEN($A$2)+1,FIND(",",_xlfn.CONCAT(Lines!Q34,","),FIND($A$2,Lines!Q34))-FIND($A$2,Lines!Q34)-LEN($A$2)-1))</f>
        <v/>
      </c>
      <c r="R34" s="30" t="str">
        <f>IF(ISERROR(FIND($A$2,Lines!R34))=TRUE,"",MID(Lines!R34,FIND($A$2,Lines!R34)+LEN($A$2)+1,FIND(",",_xlfn.CONCAT(Lines!R34,","),FIND($A$2,Lines!R34))-FIND($A$2,Lines!R34)-LEN($A$2)-1))</f>
        <v/>
      </c>
      <c r="S34" s="30" t="str">
        <f>IF(ISERROR(FIND($A$2,Lines!S34))=TRUE,"",MID(Lines!S34,FIND($A$2,Lines!S34)+LEN($A$2)+1,FIND(",",_xlfn.CONCAT(Lines!S34,","),FIND($A$2,Lines!S34))-FIND($A$2,Lines!S34)-LEN($A$2)-1))</f>
        <v/>
      </c>
      <c r="T34" s="30" t="str">
        <f>IF(ISERROR(FIND($A$2,Lines!T34))=TRUE,"",MID(Lines!T34,FIND($A$2,Lines!T34)+LEN($A$2)+1,FIND(",",_xlfn.CONCAT(Lines!T34,","),FIND($A$2,Lines!T34))-FIND($A$2,Lines!T34)-LEN($A$2)-1))</f>
        <v/>
      </c>
      <c r="U34" s="30" t="str">
        <f>IF(ISERROR(FIND($A$2,Lines!U34))=TRUE,"",MID(Lines!U34,FIND($A$2,Lines!U34)+LEN($A$2)+1,FIND(",",_xlfn.CONCAT(Lines!U34,","),FIND($A$2,Lines!U34))-FIND($A$2,Lines!U34)-LEN($A$2)-1))</f>
        <v/>
      </c>
      <c r="V34" s="30" t="str">
        <f>IF(ISERROR(FIND($A$2,Lines!V34))=TRUE,"",MID(Lines!V34,FIND($A$2,Lines!V34)+LEN($A$2)+1,FIND(",",_xlfn.CONCAT(Lines!V34,","),FIND($A$2,Lines!V34))-FIND($A$2,Lines!V34)-LEN($A$2)-1))</f>
        <v/>
      </c>
      <c r="W34" s="36" t="str">
        <f>IF(ISERROR(FIND($A$2,Lines!W34))=TRUE,"",MID(Lines!W34,FIND($A$2,Lines!W34)+LEN($A$2)+1,FIND(",",_xlfn.CONCAT(Lines!W34,","),FIND($A$2,Lines!W34))-FIND($A$2,Lines!W34)-LEN($A$2)-1))</f>
        <v/>
      </c>
      <c r="X34" s="30" t="str">
        <f>IF(ISERROR(FIND($A$2,Lines!X34))=TRUE,"",MID(Lines!X34,FIND($A$2,Lines!X34)+LEN($A$2)+1,FIND(",",_xlfn.CONCAT(Lines!X34,","),FIND($A$2,Lines!X34))-FIND($A$2,Lines!X34)-LEN($A$2)-1))</f>
        <v/>
      </c>
      <c r="Y34" s="30" t="str">
        <f>IF(ISERROR(FIND($A$2,Lines!Y34))=TRUE,"",MID(Lines!Y34,FIND($A$2,Lines!Y34)+LEN($A$2)+1,FIND(",",_xlfn.CONCAT(Lines!Y34,","),FIND($A$2,Lines!Y34))-FIND($A$2,Lines!Y34)-LEN($A$2)-1))</f>
        <v/>
      </c>
      <c r="Z34" s="30" t="str">
        <f>IF(ISERROR(FIND($A$2,Lines!Z34))=TRUE,"",MID(Lines!Z34,FIND($A$2,Lines!Z34)+LEN($A$2)+1,FIND(",",_xlfn.CONCAT(Lines!Z34,","),FIND($A$2,Lines!Z34))-FIND($A$2,Lines!Z34)-LEN($A$2)-1))</f>
        <v/>
      </c>
      <c r="AA34" s="30" t="str">
        <f>IF(ISERROR(FIND($A$2,Lines!AA34))=TRUE,"",MID(Lines!AA34,FIND($A$2,Lines!AA34)+LEN($A$2)+1,FIND(",",_xlfn.CONCAT(Lines!AA34,","),FIND($A$2,Lines!AA34))-FIND($A$2,Lines!AA34)-LEN($A$2)-1))</f>
        <v/>
      </c>
      <c r="AB34" s="30" t="str">
        <f>IF(ISERROR(FIND($A$2,Lines!AB34))=TRUE,"",MID(Lines!AB34,FIND($A$2,Lines!AB34)+LEN($A$2)+1,FIND(",",_xlfn.CONCAT(Lines!AB34,","),FIND($A$2,Lines!AB34))-FIND($A$2,Lines!AB34)-LEN($A$2)-1))</f>
        <v/>
      </c>
      <c r="AC34" s="30" t="str">
        <f>IF(ISERROR(FIND($A$2,Lines!AC34))=TRUE,"",MID(Lines!AC34,FIND($A$2,Lines!AC34)+LEN($A$2)+1,FIND(",",_xlfn.CONCAT(Lines!AC34,","),FIND($A$2,Lines!AC34))-FIND($A$2,Lines!AC34)-LEN($A$2)-1))</f>
        <v/>
      </c>
      <c r="AD34" s="30" t="str">
        <f>IF(ISERROR(FIND($A$2,Lines!AD34))=TRUE,"",MID(Lines!AD34,FIND($A$2,Lines!AD34)+LEN($A$2)+1,FIND(",",_xlfn.CONCAT(Lines!AD34,","),FIND($A$2,Lines!AD34))-FIND($A$2,Lines!AD34)-LEN($A$2)-1))</f>
        <v/>
      </c>
      <c r="AE34" s="51" t="str">
        <f>IF(ISERROR(FIND($A$2,Lines!AE34))=TRUE,"",MID(Lines!AE34,FIND($A$2,Lines!AE34)+LEN($A$2)+1,FIND(",",_xlfn.CONCAT(Lines!AE34,","),FIND($A$2,Lines!AE34))-FIND($A$2,Lines!AE34)-LEN($A$2)-1))</f>
        <v>2</v>
      </c>
      <c r="AF34" s="66" t="str">
        <f>IF(ISERROR(FIND($A$2,Lines!AF34))=TRUE,"",MID(Lines!AF34,FIND($A$2,Lines!AF34)+LEN($A$2)+1,FIND(",",_xlfn.CONCAT(Lines!AF34,","),FIND($A$2,Lines!AF34))-FIND($A$2,Lines!AF34)-LEN($A$2)-1))</f>
        <v/>
      </c>
      <c r="AG34" s="42" t="str">
        <f>IF(ISERROR(FIND($A$2,Lines!AG34))=TRUE,"",MID(Lines!AG34,FIND($A$2,Lines!AG34)+LEN($A$2)+1,FIND(",",_xlfn.CONCAT(Lines!AG34,","),FIND($A$2,Lines!AG34))-FIND($A$2,Lines!AG34)-LEN($A$2)-1))</f>
        <v/>
      </c>
      <c r="AH34" s="42" t="str">
        <f>IF(ISERROR(FIND($A$2,Lines!AH34))=TRUE,"",MID(Lines!AH34,FIND($A$2,Lines!AH34)+LEN($A$2)+1,FIND(",",_xlfn.CONCAT(Lines!AH34,","),FIND($A$2,Lines!AH34))-FIND($A$2,Lines!AH34)-LEN($A$2)-1))</f>
        <v/>
      </c>
      <c r="AI34" s="42" t="str">
        <f>IF(ISERROR(FIND($A$2,Lines!AI34))=TRUE,"",MID(Lines!AI34,FIND($A$2,Lines!AI34)+LEN($A$2)+1,FIND(",",_xlfn.CONCAT(Lines!AI34,","),FIND($A$2,Lines!AI34))-FIND($A$2,Lines!AI34)-LEN($A$2)-1))</f>
        <v/>
      </c>
      <c r="AJ34" s="49" t="str">
        <f>IF(ISERROR(FIND($A$2,Lines!AJ34))=TRUE,"",MID(Lines!AJ34,FIND($A$2,Lines!AJ34)+LEN($A$2)+1,FIND(",",_xlfn.CONCAT(Lines!AJ34,","),FIND($A$2,Lines!AJ34))-FIND($A$2,Lines!AJ34)-LEN($A$2)-1))</f>
        <v/>
      </c>
      <c r="AK34" s="30" t="str">
        <f>IF(ISERROR(FIND($A$2,Lines!AK34))=TRUE,"",MID(Lines!AK34,FIND($A$2,Lines!AK34)+LEN($A$2)+1,FIND(",",_xlfn.CONCAT(Lines!AK34,","),FIND($A$2,Lines!AK34))-FIND($A$2,Lines!AK34)-LEN($A$2)-1))</f>
        <v>2</v>
      </c>
      <c r="AL34" s="30" t="str">
        <f>IF(ISERROR(FIND($A$2,Lines!AL34))=TRUE,"",MID(Lines!AL34,FIND($A$2,Lines!AL34)+LEN($A$2)+1,FIND(",",_xlfn.CONCAT(Lines!AL34,","),FIND($A$2,Lines!AL34))-FIND($A$2,Lines!AL34)-LEN($A$2)-1))</f>
        <v/>
      </c>
      <c r="AM34" s="30" t="str">
        <f>IF(ISERROR(FIND($A$2,Lines!AM34))=TRUE,"",MID(Lines!AM34,FIND($A$2,Lines!AM34)+LEN($A$2)+1,FIND(",",_xlfn.CONCAT(Lines!AM34,","),FIND($A$2,Lines!AM34))-FIND($A$2,Lines!AM34)-LEN($A$2)-1))</f>
        <v/>
      </c>
      <c r="AN34" s="30" t="str">
        <f>IF(ISERROR(FIND($A$2,Lines!AN34))=TRUE,"",MID(Lines!AN34,FIND($A$2,Lines!AN34)+LEN($A$2)+1,FIND(",",_xlfn.CONCAT(Lines!AN34,","),FIND($A$2,Lines!AN34))-FIND($A$2,Lines!AN34)-LEN($A$2)-1))</f>
        <v/>
      </c>
      <c r="AO34" s="30" t="str">
        <f>IF(ISERROR(FIND($A$2,Lines!AO34))=TRUE,"",MID(Lines!AO34,FIND($A$2,Lines!AO34)+LEN($A$2)+1,FIND(",",_xlfn.CONCAT(Lines!AO34,","),FIND($A$2,Lines!AO34))-FIND($A$2,Lines!AO34)-LEN($A$2)-1))</f>
        <v/>
      </c>
      <c r="AP34" s="30" t="str">
        <f>IF(ISERROR(FIND($A$2,Lines!AP34))=TRUE,"",MID(Lines!AP34,FIND($A$2,Lines!AP34)+LEN($A$2)+1,FIND(",",_xlfn.CONCAT(Lines!AP34,","),FIND($A$2,Lines!AP34))-FIND($A$2,Lines!AP34)-LEN($A$2)-1))</f>
        <v/>
      </c>
      <c r="AQ34" s="30" t="str">
        <f>IF(ISERROR(FIND($A$2,Lines!AQ34))=TRUE,"",MID(Lines!AQ34,FIND($A$2,Lines!AQ34)+LEN($A$2)+1,FIND(",",_xlfn.CONCAT(Lines!AQ34,","),FIND($A$2,Lines!AQ34))-FIND($A$2,Lines!AQ34)-LEN($A$2)-1))</f>
        <v/>
      </c>
      <c r="AR34" s="30" t="str">
        <f>IF(ISERROR(FIND($A$2,Lines!AR34))=TRUE,"",MID(Lines!AR34,FIND($A$2,Lines!AR34)+LEN($A$2)+1,FIND(",",_xlfn.CONCAT(Lines!AR34,","),FIND($A$2,Lines!AR34))-FIND($A$2,Lines!AR34)-LEN($A$2)-1))</f>
        <v/>
      </c>
      <c r="AS34" s="30" t="str">
        <f>IF(ISERROR(FIND($A$2,Lines!AS34))=TRUE,"",MID(Lines!AS34,FIND($A$2,Lines!AS34)+LEN($A$2)+1,FIND(",",_xlfn.CONCAT(Lines!AS34,","),FIND($A$2,Lines!AS34))-FIND($A$2,Lines!AS34)-LEN($A$2)-1))</f>
        <v/>
      </c>
      <c r="AT34" s="30" t="str">
        <f>IF(ISERROR(FIND($A$2,Lines!AT34))=TRUE,"",MID(Lines!AT34,FIND($A$2,Lines!AT34)+LEN($A$2)+1,FIND(",",_xlfn.CONCAT(Lines!AT34,","),FIND($A$2,Lines!AT34))-FIND($A$2,Lines!AT34)-LEN($A$2)-1))</f>
        <v/>
      </c>
    </row>
    <row r="35" spans="1:46" ht="20.25" customHeight="1">
      <c r="A35" s="2" t="s">
        <v>83</v>
      </c>
      <c r="B35" s="30" t="str">
        <f>IF(ISERROR(FIND($A$2,Lines!B35))=TRUE,"",MID(Lines!B35,FIND($A$2,Lines!B35)+LEN($A$2)+1,FIND(",",_xlfn.CONCAT(Lines!B35,","),FIND($A$2,Lines!B35))-FIND($A$2,Lines!B35)-LEN($A$2)-1))</f>
        <v/>
      </c>
      <c r="C35" s="30" t="str">
        <f>IF(ISERROR(FIND($A$2,Lines!C35))=TRUE,"",MID(Lines!C35,FIND($A$2,Lines!C35)+LEN($A$2)+1,FIND(",",_xlfn.CONCAT(Lines!C35,","),FIND($A$2,Lines!C35))-FIND($A$2,Lines!C35)-LEN($A$2)-1))</f>
        <v/>
      </c>
      <c r="D35" s="30" t="str">
        <f>IF(ISERROR(FIND($A$2,Lines!D35))=TRUE,"",MID(Lines!D35,FIND($A$2,Lines!D35)+LEN($A$2)+1,FIND(",",_xlfn.CONCAT(Lines!D35,","),FIND($A$2,Lines!D35))-FIND($A$2,Lines!D35)-LEN($A$2)-1))</f>
        <v/>
      </c>
      <c r="E35" s="30" t="str">
        <f>IF(ISERROR(FIND($A$2,Lines!E35))=TRUE,"",MID(Lines!E35,FIND($A$2,Lines!E35)+LEN($A$2)+1,FIND(",",_xlfn.CONCAT(Lines!E35,","),FIND($A$2,Lines!E35))-FIND($A$2,Lines!E35)-LEN($A$2)-1))</f>
        <v/>
      </c>
      <c r="F35" s="30" t="str">
        <f>IF(ISERROR(FIND($A$2,Lines!F35))=TRUE,"",MID(Lines!F35,FIND($A$2,Lines!F35)+LEN($A$2)+1,FIND(",",_xlfn.CONCAT(Lines!F35,","),FIND($A$2,Lines!F35))-FIND($A$2,Lines!F35)-LEN($A$2)-1))</f>
        <v/>
      </c>
      <c r="G35" s="30" t="str">
        <f>IF(ISERROR(FIND($A$2,Lines!G35))=TRUE,"",MID(Lines!G35,FIND($A$2,Lines!G35)+LEN($A$2)+1,FIND(",",_xlfn.CONCAT(Lines!G35,","),FIND($A$2,Lines!G35))-FIND($A$2,Lines!G35)-LEN($A$2)-1))</f>
        <v/>
      </c>
      <c r="H35" s="30" t="str">
        <f>IF(ISERROR(FIND($A$2,Lines!H35))=TRUE,"",MID(Lines!H35,FIND($A$2,Lines!H35)+LEN($A$2)+1,FIND(",",_xlfn.CONCAT(Lines!H35,","),FIND($A$2,Lines!H35))-FIND($A$2,Lines!H35)-LEN($A$2)-1))</f>
        <v/>
      </c>
      <c r="I35" s="30" t="str">
        <f>IF(ISERROR(FIND($A$2,Lines!I35))=TRUE,"",MID(Lines!I35,FIND($A$2,Lines!I35)+LEN($A$2)+1,FIND(",",_xlfn.CONCAT(Lines!I35,","),FIND($A$2,Lines!I35))-FIND($A$2,Lines!I35)-LEN($A$2)-1))</f>
        <v/>
      </c>
      <c r="J35" s="30" t="str">
        <f>IF(ISERROR(FIND($A$2,Lines!J35))=TRUE,"",MID(Lines!J35,FIND($A$2,Lines!J35)+LEN($A$2)+1,FIND(",",_xlfn.CONCAT(Lines!J35,","),FIND($A$2,Lines!J35))-FIND($A$2,Lines!J35)-LEN($A$2)-1))</f>
        <v/>
      </c>
      <c r="K35" s="30" t="str">
        <f>IF(ISERROR(FIND($A$2,Lines!K35))=TRUE,"",MID(Lines!K35,FIND($A$2,Lines!K35)+LEN($A$2)+1,FIND(",",_xlfn.CONCAT(Lines!K35,","),FIND($A$2,Lines!K35))-FIND($A$2,Lines!K35)-LEN($A$2)-1))</f>
        <v/>
      </c>
      <c r="L35" s="30" t="str">
        <f>IF(ISERROR(FIND($A$2,Lines!L35))=TRUE,"",MID(Lines!L35,FIND($A$2,Lines!L35)+LEN($A$2)+1,FIND(",",_xlfn.CONCAT(Lines!L35,","),FIND($A$2,Lines!L35))-FIND($A$2,Lines!L35)-LEN($A$2)-1))</f>
        <v/>
      </c>
      <c r="M35" s="30" t="str">
        <f>IF(ISERROR(FIND($A$2,Lines!M35))=TRUE,"",MID(Lines!M35,FIND($A$2,Lines!M35)+LEN($A$2)+1,FIND(",",_xlfn.CONCAT(Lines!M35,","),FIND($A$2,Lines!M35))-FIND($A$2,Lines!M35)-LEN($A$2)-1))</f>
        <v/>
      </c>
      <c r="N35" s="30" t="str">
        <f>IF(ISERROR(FIND($A$2,Lines!N35))=TRUE,"",MID(Lines!N35,FIND($A$2,Lines!N35)+LEN($A$2)+1,FIND(",",_xlfn.CONCAT(Lines!N35,","),FIND($A$2,Lines!N35))-FIND($A$2,Lines!N35)-LEN($A$2)-1))</f>
        <v/>
      </c>
      <c r="O35" s="30" t="str">
        <f>IF(ISERROR(FIND($A$2,Lines!O35))=TRUE,"",MID(Lines!O35,FIND($A$2,Lines!O35)+LEN($A$2)+1,FIND(",",_xlfn.CONCAT(Lines!O35,","),FIND($A$2,Lines!O35))-FIND($A$2,Lines!O35)-LEN($A$2)-1))</f>
        <v/>
      </c>
      <c r="P35" s="30" t="str">
        <f>IF(ISERROR(FIND($A$2,Lines!P35))=TRUE,"",MID(Lines!P35,FIND($A$2,Lines!P35)+LEN($A$2)+1,FIND(",",_xlfn.CONCAT(Lines!P35,","),FIND($A$2,Lines!P35))-FIND($A$2,Lines!P35)-LEN($A$2)-1))</f>
        <v/>
      </c>
      <c r="Q35" s="30" t="str">
        <f>IF(ISERROR(FIND($A$2,Lines!Q35))=TRUE,"",MID(Lines!Q35,FIND($A$2,Lines!Q35)+LEN($A$2)+1,FIND(",",_xlfn.CONCAT(Lines!Q35,","),FIND($A$2,Lines!Q35))-FIND($A$2,Lines!Q35)-LEN($A$2)-1))</f>
        <v/>
      </c>
      <c r="R35" s="30" t="str">
        <f>IF(ISERROR(FIND($A$2,Lines!R35))=TRUE,"",MID(Lines!R35,FIND($A$2,Lines!R35)+LEN($A$2)+1,FIND(",",_xlfn.CONCAT(Lines!R35,","),FIND($A$2,Lines!R35))-FIND($A$2,Lines!R35)-LEN($A$2)-1))</f>
        <v/>
      </c>
      <c r="S35" s="30" t="str">
        <f>IF(ISERROR(FIND($A$2,Lines!S35))=TRUE,"",MID(Lines!S35,FIND($A$2,Lines!S35)+LEN($A$2)+1,FIND(",",_xlfn.CONCAT(Lines!S35,","),FIND($A$2,Lines!S35))-FIND($A$2,Lines!S35)-LEN($A$2)-1))</f>
        <v/>
      </c>
      <c r="T35" s="30" t="str">
        <f>IF(ISERROR(FIND($A$2,Lines!T35))=TRUE,"",MID(Lines!T35,FIND($A$2,Lines!T35)+LEN($A$2)+1,FIND(",",_xlfn.CONCAT(Lines!T35,","),FIND($A$2,Lines!T35))-FIND($A$2,Lines!T35)-LEN($A$2)-1))</f>
        <v/>
      </c>
      <c r="U35" s="30" t="str">
        <f>IF(ISERROR(FIND($A$2,Lines!U35))=TRUE,"",MID(Lines!U35,FIND($A$2,Lines!U35)+LEN($A$2)+1,FIND(",",_xlfn.CONCAT(Lines!U35,","),FIND($A$2,Lines!U35))-FIND($A$2,Lines!U35)-LEN($A$2)-1))</f>
        <v/>
      </c>
      <c r="V35" s="30" t="str">
        <f>IF(ISERROR(FIND($A$2,Lines!V35))=TRUE,"",MID(Lines!V35,FIND($A$2,Lines!V35)+LEN($A$2)+1,FIND(",",_xlfn.CONCAT(Lines!V35,","),FIND($A$2,Lines!V35))-FIND($A$2,Lines!V35)-LEN($A$2)-1))</f>
        <v/>
      </c>
      <c r="W35" s="36" t="str">
        <f>IF(ISERROR(FIND($A$2,Lines!W35))=TRUE,"",MID(Lines!W35,FIND($A$2,Lines!W35)+LEN($A$2)+1,FIND(",",_xlfn.CONCAT(Lines!W35,","),FIND($A$2,Lines!W35))-FIND($A$2,Lines!W35)-LEN($A$2)-1))</f>
        <v/>
      </c>
      <c r="X35" s="30" t="str">
        <f>IF(ISERROR(FIND($A$2,Lines!X35))=TRUE,"",MID(Lines!X35,FIND($A$2,Lines!X35)+LEN($A$2)+1,FIND(",",_xlfn.CONCAT(Lines!X35,","),FIND($A$2,Lines!X35))-FIND($A$2,Lines!X35)-LEN($A$2)-1))</f>
        <v/>
      </c>
      <c r="Y35" s="30" t="str">
        <f>IF(ISERROR(FIND($A$2,Lines!Y35))=TRUE,"",MID(Lines!Y35,FIND($A$2,Lines!Y35)+LEN($A$2)+1,FIND(",",_xlfn.CONCAT(Lines!Y35,","),FIND($A$2,Lines!Y35))-FIND($A$2,Lines!Y35)-LEN($A$2)-1))</f>
        <v/>
      </c>
      <c r="Z35" s="30" t="str">
        <f>IF(ISERROR(FIND($A$2,Lines!Z35))=TRUE,"",MID(Lines!Z35,FIND($A$2,Lines!Z35)+LEN($A$2)+1,FIND(",",_xlfn.CONCAT(Lines!Z35,","),FIND($A$2,Lines!Z35))-FIND($A$2,Lines!Z35)-LEN($A$2)-1))</f>
        <v/>
      </c>
      <c r="AA35" s="30" t="str">
        <f>IF(ISERROR(FIND($A$2,Lines!AA35))=TRUE,"",MID(Lines!AA35,FIND($A$2,Lines!AA35)+LEN($A$2)+1,FIND(",",_xlfn.CONCAT(Lines!AA35,","),FIND($A$2,Lines!AA35))-FIND($A$2,Lines!AA35)-LEN($A$2)-1))</f>
        <v/>
      </c>
      <c r="AB35" s="30" t="str">
        <f>IF(ISERROR(FIND($A$2,Lines!AB35))=TRUE,"",MID(Lines!AB35,FIND($A$2,Lines!AB35)+LEN($A$2)+1,FIND(",",_xlfn.CONCAT(Lines!AB35,","),FIND($A$2,Lines!AB35))-FIND($A$2,Lines!AB35)-LEN($A$2)-1))</f>
        <v/>
      </c>
      <c r="AC35" s="30" t="str">
        <f>IF(ISERROR(FIND($A$2,Lines!AC35))=TRUE,"",MID(Lines!AC35,FIND($A$2,Lines!AC35)+LEN($A$2)+1,FIND(",",_xlfn.CONCAT(Lines!AC35,","),FIND($A$2,Lines!AC35))-FIND($A$2,Lines!AC35)-LEN($A$2)-1))</f>
        <v/>
      </c>
      <c r="AD35" s="30" t="str">
        <f>IF(ISERROR(FIND($A$2,Lines!AD35))=TRUE,"",MID(Lines!AD35,FIND($A$2,Lines!AD35)+LEN($A$2)+1,FIND(",",_xlfn.CONCAT(Lines!AD35,","),FIND($A$2,Lines!AD35))-FIND($A$2,Lines!AD35)-LEN($A$2)-1))</f>
        <v/>
      </c>
      <c r="AE35" s="51" t="str">
        <f>IF(ISERROR(FIND($A$2,Lines!AE35))=TRUE,"",MID(Lines!AE35,FIND($A$2,Lines!AE35)+LEN($A$2)+1,FIND(",",_xlfn.CONCAT(Lines!AE35,","),FIND($A$2,Lines!AE35))-FIND($A$2,Lines!AE35)-LEN($A$2)-1))</f>
        <v>3</v>
      </c>
      <c r="AF35" s="42" t="str">
        <f>IF(ISERROR(FIND($A$2,Lines!AF35))=TRUE,"",MID(Lines!AF35,FIND($A$2,Lines!AF35)+LEN($A$2)+1,FIND(",",_xlfn.CONCAT(Lines!AF35,","),FIND($A$2,Lines!AF35))-FIND($A$2,Lines!AF35)-LEN($A$2)-1))</f>
        <v/>
      </c>
      <c r="AG35" s="66" t="str">
        <f>IF(ISERROR(FIND($A$2,Lines!AG35))=TRUE,"",MID(Lines!AG35,FIND($A$2,Lines!AG35)+LEN($A$2)+1,FIND(",",_xlfn.CONCAT(Lines!AG35,","),FIND($A$2,Lines!AG35))-FIND($A$2,Lines!AG35)-LEN($A$2)-1))</f>
        <v/>
      </c>
      <c r="AH35" s="42" t="str">
        <f>IF(ISERROR(FIND($A$2,Lines!AH35))=TRUE,"",MID(Lines!AH35,FIND($A$2,Lines!AH35)+LEN($A$2)+1,FIND(",",_xlfn.CONCAT(Lines!AH35,","),FIND($A$2,Lines!AH35))-FIND($A$2,Lines!AH35)-LEN($A$2)-1))</f>
        <v/>
      </c>
      <c r="AI35" s="42" t="str">
        <f>IF(ISERROR(FIND($A$2,Lines!AI35))=TRUE,"",MID(Lines!AI35,FIND($A$2,Lines!AI35)+LEN($A$2)+1,FIND(",",_xlfn.CONCAT(Lines!AI35,","),FIND($A$2,Lines!AI35))-FIND($A$2,Lines!AI35)-LEN($A$2)-1))</f>
        <v/>
      </c>
      <c r="AJ35" s="49" t="str">
        <f>IF(ISERROR(FIND($A$2,Lines!AJ35))=TRUE,"",MID(Lines!AJ35,FIND($A$2,Lines!AJ35)+LEN($A$2)+1,FIND(",",_xlfn.CONCAT(Lines!AJ35,","),FIND($A$2,Lines!AJ35))-FIND($A$2,Lines!AJ35)-LEN($A$2)-1))</f>
        <v/>
      </c>
      <c r="AK35" s="30" t="str">
        <f>IF(ISERROR(FIND($A$2,Lines!AK35))=TRUE,"",MID(Lines!AK35,FIND($A$2,Lines!AK35)+LEN($A$2)+1,FIND(",",_xlfn.CONCAT(Lines!AK35,","),FIND($A$2,Lines!AK35))-FIND($A$2,Lines!AK35)-LEN($A$2)-1))</f>
        <v/>
      </c>
      <c r="AL35" s="30" t="str">
        <f>IF(ISERROR(FIND($A$2,Lines!AL35))=TRUE,"",MID(Lines!AL35,FIND($A$2,Lines!AL35)+LEN($A$2)+1,FIND(",",_xlfn.CONCAT(Lines!AL35,","),FIND($A$2,Lines!AL35))-FIND($A$2,Lines!AL35)-LEN($A$2)-1))</f>
        <v/>
      </c>
      <c r="AM35" s="30" t="str">
        <f>IF(ISERROR(FIND($A$2,Lines!AM35))=TRUE,"",MID(Lines!AM35,FIND($A$2,Lines!AM35)+LEN($A$2)+1,FIND(",",_xlfn.CONCAT(Lines!AM35,","),FIND($A$2,Lines!AM35))-FIND($A$2,Lines!AM35)-LEN($A$2)-1))</f>
        <v/>
      </c>
      <c r="AN35" s="30" t="str">
        <f>IF(ISERROR(FIND($A$2,Lines!AN35))=TRUE,"",MID(Lines!AN35,FIND($A$2,Lines!AN35)+LEN($A$2)+1,FIND(",",_xlfn.CONCAT(Lines!AN35,","),FIND($A$2,Lines!AN35))-FIND($A$2,Lines!AN35)-LEN($A$2)-1))</f>
        <v/>
      </c>
      <c r="AO35" s="30" t="str">
        <f>IF(ISERROR(FIND($A$2,Lines!AO35))=TRUE,"",MID(Lines!AO35,FIND($A$2,Lines!AO35)+LEN($A$2)+1,FIND(",",_xlfn.CONCAT(Lines!AO35,","),FIND($A$2,Lines!AO35))-FIND($A$2,Lines!AO35)-LEN($A$2)-1))</f>
        <v/>
      </c>
      <c r="AP35" s="30" t="str">
        <f>IF(ISERROR(FIND($A$2,Lines!AP35))=TRUE,"",MID(Lines!AP35,FIND($A$2,Lines!AP35)+LEN($A$2)+1,FIND(",",_xlfn.CONCAT(Lines!AP35,","),FIND($A$2,Lines!AP35))-FIND($A$2,Lines!AP35)-LEN($A$2)-1))</f>
        <v/>
      </c>
      <c r="AQ35" s="30" t="str">
        <f>IF(ISERROR(FIND($A$2,Lines!AQ35))=TRUE,"",MID(Lines!AQ35,FIND($A$2,Lines!AQ35)+LEN($A$2)+1,FIND(",",_xlfn.CONCAT(Lines!AQ35,","),FIND($A$2,Lines!AQ35))-FIND($A$2,Lines!AQ35)-LEN($A$2)-1))</f>
        <v/>
      </c>
      <c r="AR35" s="30" t="str">
        <f>IF(ISERROR(FIND($A$2,Lines!AR35))=TRUE,"",MID(Lines!AR35,FIND($A$2,Lines!AR35)+LEN($A$2)+1,FIND(",",_xlfn.CONCAT(Lines!AR35,","),FIND($A$2,Lines!AR35))-FIND($A$2,Lines!AR35)-LEN($A$2)-1))</f>
        <v/>
      </c>
      <c r="AS35" s="30" t="str">
        <f>IF(ISERROR(FIND($A$2,Lines!AS35))=TRUE,"",MID(Lines!AS35,FIND($A$2,Lines!AS35)+LEN($A$2)+1,FIND(",",_xlfn.CONCAT(Lines!AS35,","),FIND($A$2,Lines!AS35))-FIND($A$2,Lines!AS35)-LEN($A$2)-1))</f>
        <v/>
      </c>
      <c r="AT35" s="30" t="str">
        <f>IF(ISERROR(FIND($A$2,Lines!AT35))=TRUE,"",MID(Lines!AT35,FIND($A$2,Lines!AT35)+LEN($A$2)+1,FIND(",",_xlfn.CONCAT(Lines!AT35,","),FIND($A$2,Lines!AT35))-FIND($A$2,Lines!AT35)-LEN($A$2)-1))</f>
        <v/>
      </c>
    </row>
    <row r="36" spans="1:46" ht="20.25" customHeight="1">
      <c r="A36" s="2" t="s">
        <v>84</v>
      </c>
      <c r="B36" s="30" t="str">
        <f>IF(ISERROR(FIND($A$2,Lines!B36))=TRUE,"",MID(Lines!B36,FIND($A$2,Lines!B36)+LEN($A$2)+1,FIND(",",_xlfn.CONCAT(Lines!B36,","),FIND($A$2,Lines!B36))-FIND($A$2,Lines!B36)-LEN($A$2)-1))</f>
        <v/>
      </c>
      <c r="C36" s="30" t="str">
        <f>IF(ISERROR(FIND($A$2,Lines!C36))=TRUE,"",MID(Lines!C36,FIND($A$2,Lines!C36)+LEN($A$2)+1,FIND(",",_xlfn.CONCAT(Lines!C36,","),FIND($A$2,Lines!C36))-FIND($A$2,Lines!C36)-LEN($A$2)-1))</f>
        <v/>
      </c>
      <c r="D36" s="30" t="str">
        <f>IF(ISERROR(FIND($A$2,Lines!D36))=TRUE,"",MID(Lines!D36,FIND($A$2,Lines!D36)+LEN($A$2)+1,FIND(",",_xlfn.CONCAT(Lines!D36,","),FIND($A$2,Lines!D36))-FIND($A$2,Lines!D36)-LEN($A$2)-1))</f>
        <v/>
      </c>
      <c r="E36" s="30" t="str">
        <f>IF(ISERROR(FIND($A$2,Lines!E36))=TRUE,"",MID(Lines!E36,FIND($A$2,Lines!E36)+LEN($A$2)+1,FIND(",",_xlfn.CONCAT(Lines!E36,","),FIND($A$2,Lines!E36))-FIND($A$2,Lines!E36)-LEN($A$2)-1))</f>
        <v/>
      </c>
      <c r="F36" s="30" t="str">
        <f>IF(ISERROR(FIND($A$2,Lines!F36))=TRUE,"",MID(Lines!F36,FIND($A$2,Lines!F36)+LEN($A$2)+1,FIND(",",_xlfn.CONCAT(Lines!F36,","),FIND($A$2,Lines!F36))-FIND($A$2,Lines!F36)-LEN($A$2)-1))</f>
        <v/>
      </c>
      <c r="G36" s="30" t="str">
        <f>IF(ISERROR(FIND($A$2,Lines!G36))=TRUE,"",MID(Lines!G36,FIND($A$2,Lines!G36)+LEN($A$2)+1,FIND(",",_xlfn.CONCAT(Lines!G36,","),FIND($A$2,Lines!G36))-FIND($A$2,Lines!G36)-LEN($A$2)-1))</f>
        <v/>
      </c>
      <c r="H36" s="30" t="str">
        <f>IF(ISERROR(FIND($A$2,Lines!H36))=TRUE,"",MID(Lines!H36,FIND($A$2,Lines!H36)+LEN($A$2)+1,FIND(",",_xlfn.CONCAT(Lines!H36,","),FIND($A$2,Lines!H36))-FIND($A$2,Lines!H36)-LEN($A$2)-1))</f>
        <v/>
      </c>
      <c r="I36" s="30" t="str">
        <f>IF(ISERROR(FIND($A$2,Lines!I36))=TRUE,"",MID(Lines!I36,FIND($A$2,Lines!I36)+LEN($A$2)+1,FIND(",",_xlfn.CONCAT(Lines!I36,","),FIND($A$2,Lines!I36))-FIND($A$2,Lines!I36)-LEN($A$2)-1))</f>
        <v/>
      </c>
      <c r="J36" s="30" t="str">
        <f>IF(ISERROR(FIND($A$2,Lines!J36))=TRUE,"",MID(Lines!J36,FIND($A$2,Lines!J36)+LEN($A$2)+1,FIND(",",_xlfn.CONCAT(Lines!J36,","),FIND($A$2,Lines!J36))-FIND($A$2,Lines!J36)-LEN($A$2)-1))</f>
        <v/>
      </c>
      <c r="K36" s="30" t="str">
        <f>IF(ISERROR(FIND($A$2,Lines!K36))=TRUE,"",MID(Lines!K36,FIND($A$2,Lines!K36)+LEN($A$2)+1,FIND(",",_xlfn.CONCAT(Lines!K36,","),FIND($A$2,Lines!K36))-FIND($A$2,Lines!K36)-LEN($A$2)-1))</f>
        <v/>
      </c>
      <c r="L36" s="30" t="str">
        <f>IF(ISERROR(FIND($A$2,Lines!L36))=TRUE,"",MID(Lines!L36,FIND($A$2,Lines!L36)+LEN($A$2)+1,FIND(",",_xlfn.CONCAT(Lines!L36,","),FIND($A$2,Lines!L36))-FIND($A$2,Lines!L36)-LEN($A$2)-1))</f>
        <v/>
      </c>
      <c r="M36" s="30" t="str">
        <f>IF(ISERROR(FIND($A$2,Lines!M36))=TRUE,"",MID(Lines!M36,FIND($A$2,Lines!M36)+LEN($A$2)+1,FIND(",",_xlfn.CONCAT(Lines!M36,","),FIND($A$2,Lines!M36))-FIND($A$2,Lines!M36)-LEN($A$2)-1))</f>
        <v/>
      </c>
      <c r="N36" s="30" t="str">
        <f>IF(ISERROR(FIND($A$2,Lines!N36))=TRUE,"",MID(Lines!N36,FIND($A$2,Lines!N36)+LEN($A$2)+1,FIND(",",_xlfn.CONCAT(Lines!N36,","),FIND($A$2,Lines!N36))-FIND($A$2,Lines!N36)-LEN($A$2)-1))</f>
        <v/>
      </c>
      <c r="O36" s="30" t="str">
        <f>IF(ISERROR(FIND($A$2,Lines!O36))=TRUE,"",MID(Lines!O36,FIND($A$2,Lines!O36)+LEN($A$2)+1,FIND(",",_xlfn.CONCAT(Lines!O36,","),FIND($A$2,Lines!O36))-FIND($A$2,Lines!O36)-LEN($A$2)-1))</f>
        <v>1</v>
      </c>
      <c r="P36" s="30" t="str">
        <f>IF(ISERROR(FIND($A$2,Lines!P36))=TRUE,"",MID(Lines!P36,FIND($A$2,Lines!P36)+LEN($A$2)+1,FIND(",",_xlfn.CONCAT(Lines!P36,","),FIND($A$2,Lines!P36))-FIND($A$2,Lines!P36)-LEN($A$2)-1))</f>
        <v/>
      </c>
      <c r="Q36" s="30" t="str">
        <f>IF(ISERROR(FIND($A$2,Lines!Q36))=TRUE,"",MID(Lines!Q36,FIND($A$2,Lines!Q36)+LEN($A$2)+1,FIND(",",_xlfn.CONCAT(Lines!Q36,","),FIND($A$2,Lines!Q36))-FIND($A$2,Lines!Q36)-LEN($A$2)-1))</f>
        <v/>
      </c>
      <c r="R36" s="30" t="str">
        <f>IF(ISERROR(FIND($A$2,Lines!R36))=TRUE,"",MID(Lines!R36,FIND($A$2,Lines!R36)+LEN($A$2)+1,FIND(",",_xlfn.CONCAT(Lines!R36,","),FIND($A$2,Lines!R36))-FIND($A$2,Lines!R36)-LEN($A$2)-1))</f>
        <v/>
      </c>
      <c r="S36" s="30" t="str">
        <f>IF(ISERROR(FIND($A$2,Lines!S36))=TRUE,"",MID(Lines!S36,FIND($A$2,Lines!S36)+LEN($A$2)+1,FIND(",",_xlfn.CONCAT(Lines!S36,","),FIND($A$2,Lines!S36))-FIND($A$2,Lines!S36)-LEN($A$2)-1))</f>
        <v/>
      </c>
      <c r="T36" s="30" t="str">
        <f>IF(ISERROR(FIND($A$2,Lines!T36))=TRUE,"",MID(Lines!T36,FIND($A$2,Lines!T36)+LEN($A$2)+1,FIND(",",_xlfn.CONCAT(Lines!T36,","),FIND($A$2,Lines!T36))-FIND($A$2,Lines!T36)-LEN($A$2)-1))</f>
        <v/>
      </c>
      <c r="U36" s="30" t="str">
        <f>IF(ISERROR(FIND($A$2,Lines!U36))=TRUE,"",MID(Lines!U36,FIND($A$2,Lines!U36)+LEN($A$2)+1,FIND(",",_xlfn.CONCAT(Lines!U36,","),FIND($A$2,Lines!U36))-FIND($A$2,Lines!U36)-LEN($A$2)-1))</f>
        <v/>
      </c>
      <c r="V36" s="30" t="str">
        <f>IF(ISERROR(FIND($A$2,Lines!V36))=TRUE,"",MID(Lines!V36,FIND($A$2,Lines!V36)+LEN($A$2)+1,FIND(",",_xlfn.CONCAT(Lines!V36,","),FIND($A$2,Lines!V36))-FIND($A$2,Lines!V36)-LEN($A$2)-1))</f>
        <v/>
      </c>
      <c r="W36" s="36" t="str">
        <f>IF(ISERROR(FIND($A$2,Lines!W36))=TRUE,"",MID(Lines!W36,FIND($A$2,Lines!W36)+LEN($A$2)+1,FIND(",",_xlfn.CONCAT(Lines!W36,","),FIND($A$2,Lines!W36))-FIND($A$2,Lines!W36)-LEN($A$2)-1))</f>
        <v/>
      </c>
      <c r="X36" s="30" t="str">
        <f>IF(ISERROR(FIND($A$2,Lines!X36))=TRUE,"",MID(Lines!X36,FIND($A$2,Lines!X36)+LEN($A$2)+1,FIND(",",_xlfn.CONCAT(Lines!X36,","),FIND($A$2,Lines!X36))-FIND($A$2,Lines!X36)-LEN($A$2)-1))</f>
        <v/>
      </c>
      <c r="Y36" s="30" t="str">
        <f>IF(ISERROR(FIND($A$2,Lines!Y36))=TRUE,"",MID(Lines!Y36,FIND($A$2,Lines!Y36)+LEN($A$2)+1,FIND(",",_xlfn.CONCAT(Lines!Y36,","),FIND($A$2,Lines!Y36))-FIND($A$2,Lines!Y36)-LEN($A$2)-1))</f>
        <v>1</v>
      </c>
      <c r="Z36" s="30" t="str">
        <f>IF(ISERROR(FIND($A$2,Lines!Z36))=TRUE,"",MID(Lines!Z36,FIND($A$2,Lines!Z36)+LEN($A$2)+1,FIND(",",_xlfn.CONCAT(Lines!Z36,","),FIND($A$2,Lines!Z36))-FIND($A$2,Lines!Z36)-LEN($A$2)-1))</f>
        <v/>
      </c>
      <c r="AA36" s="30" t="str">
        <f>IF(ISERROR(FIND($A$2,Lines!AA36))=TRUE,"",MID(Lines!AA36,FIND($A$2,Lines!AA36)+LEN($A$2)+1,FIND(",",_xlfn.CONCAT(Lines!AA36,","),FIND($A$2,Lines!AA36))-FIND($A$2,Lines!AA36)-LEN($A$2)-1))</f>
        <v/>
      </c>
      <c r="AB36" s="30" t="str">
        <f>IF(ISERROR(FIND($A$2,Lines!AB36))=TRUE,"",MID(Lines!AB36,FIND($A$2,Lines!AB36)+LEN($A$2)+1,FIND(",",_xlfn.CONCAT(Lines!AB36,","),FIND($A$2,Lines!AB36))-FIND($A$2,Lines!AB36)-LEN($A$2)-1))</f>
        <v/>
      </c>
      <c r="AC36" s="30" t="str">
        <f>IF(ISERROR(FIND($A$2,Lines!AC36))=TRUE,"",MID(Lines!AC36,FIND($A$2,Lines!AC36)+LEN($A$2)+1,FIND(",",_xlfn.CONCAT(Lines!AC36,","),FIND($A$2,Lines!AC36))-FIND($A$2,Lines!AC36)-LEN($A$2)-1))</f>
        <v/>
      </c>
      <c r="AD36" s="30" t="str">
        <f>IF(ISERROR(FIND($A$2,Lines!AD36))=TRUE,"",MID(Lines!AD36,FIND($A$2,Lines!AD36)+LEN($A$2)+1,FIND(",",_xlfn.CONCAT(Lines!AD36,","),FIND($A$2,Lines!AD36))-FIND($A$2,Lines!AD36)-LEN($A$2)-1))</f>
        <v/>
      </c>
      <c r="AE36" s="51" t="str">
        <f>IF(ISERROR(FIND($A$2,Lines!AE36))=TRUE,"",MID(Lines!AE36,FIND($A$2,Lines!AE36)+LEN($A$2)+1,FIND(",",_xlfn.CONCAT(Lines!AE36,","),FIND($A$2,Lines!AE36))-FIND($A$2,Lines!AE36)-LEN($A$2)-1))</f>
        <v>4</v>
      </c>
      <c r="AF36" s="42" t="str">
        <f>IF(ISERROR(FIND($A$2,Lines!AF36))=TRUE,"",MID(Lines!AF36,FIND($A$2,Lines!AF36)+LEN($A$2)+1,FIND(",",_xlfn.CONCAT(Lines!AF36,","),FIND($A$2,Lines!AF36))-FIND($A$2,Lines!AF36)-LEN($A$2)-1))</f>
        <v/>
      </c>
      <c r="AG36" s="42" t="str">
        <f>IF(ISERROR(FIND($A$2,Lines!AG36))=TRUE,"",MID(Lines!AG36,FIND($A$2,Lines!AG36)+LEN($A$2)+1,FIND(",",_xlfn.CONCAT(Lines!AG36,","),FIND($A$2,Lines!AG36))-FIND($A$2,Lines!AG36)-LEN($A$2)-1))</f>
        <v/>
      </c>
      <c r="AH36" s="66" t="str">
        <f>IF(ISERROR(FIND($A$2,Lines!AH36))=TRUE,"",MID(Lines!AH36,FIND($A$2,Lines!AH36)+LEN($A$2)+1,FIND(",",_xlfn.CONCAT(Lines!AH36,","),FIND($A$2,Lines!AH36))-FIND($A$2,Lines!AH36)-LEN($A$2)-1))</f>
        <v/>
      </c>
      <c r="AI36" s="42" t="str">
        <f>IF(ISERROR(FIND($A$2,Lines!AI36))=TRUE,"",MID(Lines!AI36,FIND($A$2,Lines!AI36)+LEN($A$2)+1,FIND(",",_xlfn.CONCAT(Lines!AI36,","),FIND($A$2,Lines!AI36))-FIND($A$2,Lines!AI36)-LEN($A$2)-1))</f>
        <v/>
      </c>
      <c r="AJ36" s="49" t="str">
        <f>IF(ISERROR(FIND($A$2,Lines!AJ36))=TRUE,"",MID(Lines!AJ36,FIND($A$2,Lines!AJ36)+LEN($A$2)+1,FIND(",",_xlfn.CONCAT(Lines!AJ36,","),FIND($A$2,Lines!AJ36))-FIND($A$2,Lines!AJ36)-LEN($A$2)-1))</f>
        <v/>
      </c>
      <c r="AK36" s="30" t="str">
        <f>IF(ISERROR(FIND($A$2,Lines!AK36))=TRUE,"",MID(Lines!AK36,FIND($A$2,Lines!AK36)+LEN($A$2)+1,FIND(",",_xlfn.CONCAT(Lines!AK36,","),FIND($A$2,Lines!AK36))-FIND($A$2,Lines!AK36)-LEN($A$2)-1))</f>
        <v/>
      </c>
      <c r="AL36" s="30" t="str">
        <f>IF(ISERROR(FIND($A$2,Lines!AL36))=TRUE,"",MID(Lines!AL36,FIND($A$2,Lines!AL36)+LEN($A$2)+1,FIND(",",_xlfn.CONCAT(Lines!AL36,","),FIND($A$2,Lines!AL36))-FIND($A$2,Lines!AL36)-LEN($A$2)-1))</f>
        <v/>
      </c>
      <c r="AM36" s="30" t="str">
        <f>IF(ISERROR(FIND($A$2,Lines!AM36))=TRUE,"",MID(Lines!AM36,FIND($A$2,Lines!AM36)+LEN($A$2)+1,FIND(",",_xlfn.CONCAT(Lines!AM36,","),FIND($A$2,Lines!AM36))-FIND($A$2,Lines!AM36)-LEN($A$2)-1))</f>
        <v/>
      </c>
      <c r="AN36" s="30" t="str">
        <f>IF(ISERROR(FIND($A$2,Lines!AN36))=TRUE,"",MID(Lines!AN36,FIND($A$2,Lines!AN36)+LEN($A$2)+1,FIND(",",_xlfn.CONCAT(Lines!AN36,","),FIND($A$2,Lines!AN36))-FIND($A$2,Lines!AN36)-LEN($A$2)-1))</f>
        <v/>
      </c>
      <c r="AO36" s="30" t="str">
        <f>IF(ISERROR(FIND($A$2,Lines!AO36))=TRUE,"",MID(Lines!AO36,FIND($A$2,Lines!AO36)+LEN($A$2)+1,FIND(",",_xlfn.CONCAT(Lines!AO36,","),FIND($A$2,Lines!AO36))-FIND($A$2,Lines!AO36)-LEN($A$2)-1))</f>
        <v/>
      </c>
      <c r="AP36" s="30" t="str">
        <f>IF(ISERROR(FIND($A$2,Lines!AP36))=TRUE,"",MID(Lines!AP36,FIND($A$2,Lines!AP36)+LEN($A$2)+1,FIND(",",_xlfn.CONCAT(Lines!AP36,","),FIND($A$2,Lines!AP36))-FIND($A$2,Lines!AP36)-LEN($A$2)-1))</f>
        <v/>
      </c>
      <c r="AQ36" s="30" t="str">
        <f>IF(ISERROR(FIND($A$2,Lines!AQ36))=TRUE,"",MID(Lines!AQ36,FIND($A$2,Lines!AQ36)+LEN($A$2)+1,FIND(",",_xlfn.CONCAT(Lines!AQ36,","),FIND($A$2,Lines!AQ36))-FIND($A$2,Lines!AQ36)-LEN($A$2)-1))</f>
        <v/>
      </c>
      <c r="AR36" s="30" t="str">
        <f>IF(ISERROR(FIND($A$2,Lines!AR36))=TRUE,"",MID(Lines!AR36,FIND($A$2,Lines!AR36)+LEN($A$2)+1,FIND(",",_xlfn.CONCAT(Lines!AR36,","),FIND($A$2,Lines!AR36))-FIND($A$2,Lines!AR36)-LEN($A$2)-1))</f>
        <v/>
      </c>
      <c r="AS36" s="30" t="str">
        <f>IF(ISERROR(FIND($A$2,Lines!AS36))=TRUE,"",MID(Lines!AS36,FIND($A$2,Lines!AS36)+LEN($A$2)+1,FIND(",",_xlfn.CONCAT(Lines!AS36,","),FIND($A$2,Lines!AS36))-FIND($A$2,Lines!AS36)-LEN($A$2)-1))</f>
        <v/>
      </c>
      <c r="AT36" s="30" t="str">
        <f>IF(ISERROR(FIND($A$2,Lines!AT36))=TRUE,"",MID(Lines!AT36,FIND($A$2,Lines!AT36)+LEN($A$2)+1,FIND(",",_xlfn.CONCAT(Lines!AT36,","),FIND($A$2,Lines!AT36))-FIND($A$2,Lines!AT36)-LEN($A$2)-1))</f>
        <v/>
      </c>
    </row>
    <row r="37" spans="1:46" ht="20.25" customHeight="1">
      <c r="A37" s="2" t="s">
        <v>85</v>
      </c>
      <c r="B37" s="30" t="str">
        <f>IF(ISERROR(FIND($A$2,Lines!B37))=TRUE,"",MID(Lines!B37,FIND($A$2,Lines!B37)+LEN($A$2)+1,FIND(",",_xlfn.CONCAT(Lines!B37,","),FIND($A$2,Lines!B37))-FIND($A$2,Lines!B37)-LEN($A$2)-1))</f>
        <v/>
      </c>
      <c r="C37" s="30" t="str">
        <f>IF(ISERROR(FIND($A$2,Lines!C37))=TRUE,"",MID(Lines!C37,FIND($A$2,Lines!C37)+LEN($A$2)+1,FIND(",",_xlfn.CONCAT(Lines!C37,","),FIND($A$2,Lines!C37))-FIND($A$2,Lines!C37)-LEN($A$2)-1))</f>
        <v/>
      </c>
      <c r="D37" s="30" t="str">
        <f>IF(ISERROR(FIND($A$2,Lines!D37))=TRUE,"",MID(Lines!D37,FIND($A$2,Lines!D37)+LEN($A$2)+1,FIND(",",_xlfn.CONCAT(Lines!D37,","),FIND($A$2,Lines!D37))-FIND($A$2,Lines!D37)-LEN($A$2)-1))</f>
        <v/>
      </c>
      <c r="E37" s="30" t="str">
        <f>IF(ISERROR(FIND($A$2,Lines!E37))=TRUE,"",MID(Lines!E37,FIND($A$2,Lines!E37)+LEN($A$2)+1,FIND(",",_xlfn.CONCAT(Lines!E37,","),FIND($A$2,Lines!E37))-FIND($A$2,Lines!E37)-LEN($A$2)-1))</f>
        <v/>
      </c>
      <c r="F37" s="30" t="str">
        <f>IF(ISERROR(FIND($A$2,Lines!F37))=TRUE,"",MID(Lines!F37,FIND($A$2,Lines!F37)+LEN($A$2)+1,FIND(",",_xlfn.CONCAT(Lines!F37,","),FIND($A$2,Lines!F37))-FIND($A$2,Lines!F37)-LEN($A$2)-1))</f>
        <v/>
      </c>
      <c r="G37" s="30" t="str">
        <f>IF(ISERROR(FIND($A$2,Lines!G37))=TRUE,"",MID(Lines!G37,FIND($A$2,Lines!G37)+LEN($A$2)+1,FIND(",",_xlfn.CONCAT(Lines!G37,","),FIND($A$2,Lines!G37))-FIND($A$2,Lines!G37)-LEN($A$2)-1))</f>
        <v/>
      </c>
      <c r="H37" s="30" t="str">
        <f>IF(ISERROR(FIND($A$2,Lines!H37))=TRUE,"",MID(Lines!H37,FIND($A$2,Lines!H37)+LEN($A$2)+1,FIND(",",_xlfn.CONCAT(Lines!H37,","),FIND($A$2,Lines!H37))-FIND($A$2,Lines!H37)-LEN($A$2)-1))</f>
        <v/>
      </c>
      <c r="I37" s="30" t="str">
        <f>IF(ISERROR(FIND($A$2,Lines!I37))=TRUE,"",MID(Lines!I37,FIND($A$2,Lines!I37)+LEN($A$2)+1,FIND(",",_xlfn.CONCAT(Lines!I37,","),FIND($A$2,Lines!I37))-FIND($A$2,Lines!I37)-LEN($A$2)-1))</f>
        <v/>
      </c>
      <c r="J37" s="30" t="str">
        <f>IF(ISERROR(FIND($A$2,Lines!J37))=TRUE,"",MID(Lines!J37,FIND($A$2,Lines!J37)+LEN($A$2)+1,FIND(",",_xlfn.CONCAT(Lines!J37,","),FIND($A$2,Lines!J37))-FIND($A$2,Lines!J37)-LEN($A$2)-1))</f>
        <v/>
      </c>
      <c r="K37" s="30" t="str">
        <f>IF(ISERROR(FIND($A$2,Lines!K37))=TRUE,"",MID(Lines!K37,FIND($A$2,Lines!K37)+LEN($A$2)+1,FIND(",",_xlfn.CONCAT(Lines!K37,","),FIND($A$2,Lines!K37))-FIND($A$2,Lines!K37)-LEN($A$2)-1))</f>
        <v/>
      </c>
      <c r="L37" s="30" t="str">
        <f>IF(ISERROR(FIND($A$2,Lines!L37))=TRUE,"",MID(Lines!L37,FIND($A$2,Lines!L37)+LEN($A$2)+1,FIND(",",_xlfn.CONCAT(Lines!L37,","),FIND($A$2,Lines!L37))-FIND($A$2,Lines!L37)-LEN($A$2)-1))</f>
        <v/>
      </c>
      <c r="M37" s="30" t="str">
        <f>IF(ISERROR(FIND($A$2,Lines!M37))=TRUE,"",MID(Lines!M37,FIND($A$2,Lines!M37)+LEN($A$2)+1,FIND(",",_xlfn.CONCAT(Lines!M37,","),FIND($A$2,Lines!M37))-FIND($A$2,Lines!M37)-LEN($A$2)-1))</f>
        <v/>
      </c>
      <c r="N37" s="30" t="str">
        <f>IF(ISERROR(FIND($A$2,Lines!N37))=TRUE,"",MID(Lines!N37,FIND($A$2,Lines!N37)+LEN($A$2)+1,FIND(",",_xlfn.CONCAT(Lines!N37,","),FIND($A$2,Lines!N37))-FIND($A$2,Lines!N37)-LEN($A$2)-1))</f>
        <v/>
      </c>
      <c r="O37" s="30" t="str">
        <f>IF(ISERROR(FIND($A$2,Lines!O37))=TRUE,"",MID(Lines!O37,FIND($A$2,Lines!O37)+LEN($A$2)+1,FIND(",",_xlfn.CONCAT(Lines!O37,","),FIND($A$2,Lines!O37))-FIND($A$2,Lines!O37)-LEN($A$2)-1))</f>
        <v/>
      </c>
      <c r="P37" s="30" t="str">
        <f>IF(ISERROR(FIND($A$2,Lines!P37))=TRUE,"",MID(Lines!P37,FIND($A$2,Lines!P37)+LEN($A$2)+1,FIND(",",_xlfn.CONCAT(Lines!P37,","),FIND($A$2,Lines!P37))-FIND($A$2,Lines!P37)-LEN($A$2)-1))</f>
        <v/>
      </c>
      <c r="Q37" s="30" t="str">
        <f>IF(ISERROR(FIND($A$2,Lines!Q37))=TRUE,"",MID(Lines!Q37,FIND($A$2,Lines!Q37)+LEN($A$2)+1,FIND(",",_xlfn.CONCAT(Lines!Q37,","),FIND($A$2,Lines!Q37))-FIND($A$2,Lines!Q37)-LEN($A$2)-1))</f>
        <v/>
      </c>
      <c r="R37" s="30" t="str">
        <f>IF(ISERROR(FIND($A$2,Lines!R37))=TRUE,"",MID(Lines!R37,FIND($A$2,Lines!R37)+LEN($A$2)+1,FIND(",",_xlfn.CONCAT(Lines!R37,","),FIND($A$2,Lines!R37))-FIND($A$2,Lines!R37)-LEN($A$2)-1))</f>
        <v/>
      </c>
      <c r="S37" s="30" t="str">
        <f>IF(ISERROR(FIND($A$2,Lines!S37))=TRUE,"",MID(Lines!S37,FIND($A$2,Lines!S37)+LEN($A$2)+1,FIND(",",_xlfn.CONCAT(Lines!S37,","),FIND($A$2,Lines!S37))-FIND($A$2,Lines!S37)-LEN($A$2)-1))</f>
        <v/>
      </c>
      <c r="T37" s="30" t="str">
        <f>IF(ISERROR(FIND($A$2,Lines!T37))=TRUE,"",MID(Lines!T37,FIND($A$2,Lines!T37)+LEN($A$2)+1,FIND(",",_xlfn.CONCAT(Lines!T37,","),FIND($A$2,Lines!T37))-FIND($A$2,Lines!T37)-LEN($A$2)-1))</f>
        <v/>
      </c>
      <c r="U37" s="30" t="str">
        <f>IF(ISERROR(FIND($A$2,Lines!U37))=TRUE,"",MID(Lines!U37,FIND($A$2,Lines!U37)+LEN($A$2)+1,FIND(",",_xlfn.CONCAT(Lines!U37,","),FIND($A$2,Lines!U37))-FIND($A$2,Lines!U37)-LEN($A$2)-1))</f>
        <v/>
      </c>
      <c r="V37" s="30" t="str">
        <f>IF(ISERROR(FIND($A$2,Lines!V37))=TRUE,"",MID(Lines!V37,FIND($A$2,Lines!V37)+LEN($A$2)+1,FIND(",",_xlfn.CONCAT(Lines!V37,","),FIND($A$2,Lines!V37))-FIND($A$2,Lines!V37)-LEN($A$2)-1))</f>
        <v/>
      </c>
      <c r="W37" s="36" t="str">
        <f>IF(ISERROR(FIND($A$2,Lines!W37))=TRUE,"",MID(Lines!W37,FIND($A$2,Lines!W37)+LEN($A$2)+1,FIND(",",_xlfn.CONCAT(Lines!W37,","),FIND($A$2,Lines!W37))-FIND($A$2,Lines!W37)-LEN($A$2)-1))</f>
        <v/>
      </c>
      <c r="X37" s="30" t="str">
        <f>IF(ISERROR(FIND($A$2,Lines!X37))=TRUE,"",MID(Lines!X37,FIND($A$2,Lines!X37)+LEN($A$2)+1,FIND(",",_xlfn.CONCAT(Lines!X37,","),FIND($A$2,Lines!X37))-FIND($A$2,Lines!X37)-LEN($A$2)-1))</f>
        <v/>
      </c>
      <c r="Y37" s="30" t="str">
        <f>IF(ISERROR(FIND($A$2,Lines!Y37))=TRUE,"",MID(Lines!Y37,FIND($A$2,Lines!Y37)+LEN($A$2)+1,FIND(",",_xlfn.CONCAT(Lines!Y37,","),FIND($A$2,Lines!Y37))-FIND($A$2,Lines!Y37)-LEN($A$2)-1))</f>
        <v/>
      </c>
      <c r="Z37" s="30" t="str">
        <f>IF(ISERROR(FIND($A$2,Lines!Z37))=TRUE,"",MID(Lines!Z37,FIND($A$2,Lines!Z37)+LEN($A$2)+1,FIND(",",_xlfn.CONCAT(Lines!Z37,","),FIND($A$2,Lines!Z37))-FIND($A$2,Lines!Z37)-LEN($A$2)-1))</f>
        <v/>
      </c>
      <c r="AA37" s="30" t="str">
        <f>IF(ISERROR(FIND($A$2,Lines!AA37))=TRUE,"",MID(Lines!AA37,FIND($A$2,Lines!AA37)+LEN($A$2)+1,FIND(",",_xlfn.CONCAT(Lines!AA37,","),FIND($A$2,Lines!AA37))-FIND($A$2,Lines!AA37)-LEN($A$2)-1))</f>
        <v/>
      </c>
      <c r="AB37" s="30" t="str">
        <f>IF(ISERROR(FIND($A$2,Lines!AB37))=TRUE,"",MID(Lines!AB37,FIND($A$2,Lines!AB37)+LEN($A$2)+1,FIND(",",_xlfn.CONCAT(Lines!AB37,","),FIND($A$2,Lines!AB37))-FIND($A$2,Lines!AB37)-LEN($A$2)-1))</f>
        <v/>
      </c>
      <c r="AC37" s="30" t="str">
        <f>IF(ISERROR(FIND($A$2,Lines!AC37))=TRUE,"",MID(Lines!AC37,FIND($A$2,Lines!AC37)+LEN($A$2)+1,FIND(",",_xlfn.CONCAT(Lines!AC37,","),FIND($A$2,Lines!AC37))-FIND($A$2,Lines!AC37)-LEN($A$2)-1))</f>
        <v/>
      </c>
      <c r="AD37" s="30" t="str">
        <f>IF(ISERROR(FIND($A$2,Lines!AD37))=TRUE,"",MID(Lines!AD37,FIND($A$2,Lines!AD37)+LEN($A$2)+1,FIND(",",_xlfn.CONCAT(Lines!AD37,","),FIND($A$2,Lines!AD37))-FIND($A$2,Lines!AD37)-LEN($A$2)-1))</f>
        <v/>
      </c>
      <c r="AE37" s="51" t="str">
        <f>IF(ISERROR(FIND($A$2,Lines!AE37))=TRUE,"",MID(Lines!AE37,FIND($A$2,Lines!AE37)+LEN($A$2)+1,FIND(",",_xlfn.CONCAT(Lines!AE37,","),FIND($A$2,Lines!AE37))-FIND($A$2,Lines!AE37)-LEN($A$2)-1))</f>
        <v>4</v>
      </c>
      <c r="AF37" s="42" t="str">
        <f>IF(ISERROR(FIND($A$2,Lines!AF37))=TRUE,"",MID(Lines!AF37,FIND($A$2,Lines!AF37)+LEN($A$2)+1,FIND(",",_xlfn.CONCAT(Lines!AF37,","),FIND($A$2,Lines!AF37))-FIND($A$2,Lines!AF37)-LEN($A$2)-1))</f>
        <v/>
      </c>
      <c r="AG37" s="42" t="str">
        <f>IF(ISERROR(FIND($A$2,Lines!AG37))=TRUE,"",MID(Lines!AG37,FIND($A$2,Lines!AG37)+LEN($A$2)+1,FIND(",",_xlfn.CONCAT(Lines!AG37,","),FIND($A$2,Lines!AG37))-FIND($A$2,Lines!AG37)-LEN($A$2)-1))</f>
        <v/>
      </c>
      <c r="AH37" s="42" t="str">
        <f>IF(ISERROR(FIND($A$2,Lines!AH37))=TRUE,"",MID(Lines!AH37,FIND($A$2,Lines!AH37)+LEN($A$2)+1,FIND(",",_xlfn.CONCAT(Lines!AH37,","),FIND($A$2,Lines!AH37))-FIND($A$2,Lines!AH37)-LEN($A$2)-1))</f>
        <v/>
      </c>
      <c r="AI37" s="66" t="str">
        <f>IF(ISERROR(FIND($A$2,Lines!AI37))=TRUE,"",MID(Lines!AI37,FIND($A$2,Lines!AI37)+LEN($A$2)+1,FIND(",",_xlfn.CONCAT(Lines!AI37,","),FIND($A$2,Lines!AI37))-FIND($A$2,Lines!AI37)-LEN($A$2)-1))</f>
        <v/>
      </c>
      <c r="AJ37" s="49" t="str">
        <f>IF(ISERROR(FIND($A$2,Lines!AJ37))=TRUE,"",MID(Lines!AJ37,FIND($A$2,Lines!AJ37)+LEN($A$2)+1,FIND(",",_xlfn.CONCAT(Lines!AJ37,","),FIND($A$2,Lines!AJ37))-FIND($A$2,Lines!AJ37)-LEN($A$2)-1))</f>
        <v>3</v>
      </c>
      <c r="AK37" s="30" t="str">
        <f>IF(ISERROR(FIND($A$2,Lines!AK37))=TRUE,"",MID(Lines!AK37,FIND($A$2,Lines!AK37)+LEN($A$2)+1,FIND(",",_xlfn.CONCAT(Lines!AK37,","),FIND($A$2,Lines!AK37))-FIND($A$2,Lines!AK37)-LEN($A$2)-1))</f>
        <v/>
      </c>
      <c r="AL37" s="30" t="str">
        <f>IF(ISERROR(FIND($A$2,Lines!AL37))=TRUE,"",MID(Lines!AL37,FIND($A$2,Lines!AL37)+LEN($A$2)+1,FIND(",",_xlfn.CONCAT(Lines!AL37,","),FIND($A$2,Lines!AL37))-FIND($A$2,Lines!AL37)-LEN($A$2)-1))</f>
        <v/>
      </c>
      <c r="AM37" s="30" t="str">
        <f>IF(ISERROR(FIND($A$2,Lines!AM37))=TRUE,"",MID(Lines!AM37,FIND($A$2,Lines!AM37)+LEN($A$2)+1,FIND(",",_xlfn.CONCAT(Lines!AM37,","),FIND($A$2,Lines!AM37))-FIND($A$2,Lines!AM37)-LEN($A$2)-1))</f>
        <v/>
      </c>
      <c r="AN37" s="30" t="str">
        <f>IF(ISERROR(FIND($A$2,Lines!AN37))=TRUE,"",MID(Lines!AN37,FIND($A$2,Lines!AN37)+LEN($A$2)+1,FIND(",",_xlfn.CONCAT(Lines!AN37,","),FIND($A$2,Lines!AN37))-FIND($A$2,Lines!AN37)-LEN($A$2)-1))</f>
        <v/>
      </c>
      <c r="AO37" s="30" t="str">
        <f>IF(ISERROR(FIND($A$2,Lines!AO37))=TRUE,"",MID(Lines!AO37,FIND($A$2,Lines!AO37)+LEN($A$2)+1,FIND(",",_xlfn.CONCAT(Lines!AO37,","),FIND($A$2,Lines!AO37))-FIND($A$2,Lines!AO37)-LEN($A$2)-1))</f>
        <v/>
      </c>
      <c r="AP37" s="30" t="str">
        <f>IF(ISERROR(FIND($A$2,Lines!AP37))=TRUE,"",MID(Lines!AP37,FIND($A$2,Lines!AP37)+LEN($A$2)+1,FIND(",",_xlfn.CONCAT(Lines!AP37,","),FIND($A$2,Lines!AP37))-FIND($A$2,Lines!AP37)-LEN($A$2)-1))</f>
        <v/>
      </c>
      <c r="AQ37" s="30" t="str">
        <f>IF(ISERROR(FIND($A$2,Lines!AQ37))=TRUE,"",MID(Lines!AQ37,FIND($A$2,Lines!AQ37)+LEN($A$2)+1,FIND(",",_xlfn.CONCAT(Lines!AQ37,","),FIND($A$2,Lines!AQ37))-FIND($A$2,Lines!AQ37)-LEN($A$2)-1))</f>
        <v/>
      </c>
      <c r="AR37" s="30" t="str">
        <f>IF(ISERROR(FIND($A$2,Lines!AR37))=TRUE,"",MID(Lines!AR37,FIND($A$2,Lines!AR37)+LEN($A$2)+1,FIND(",",_xlfn.CONCAT(Lines!AR37,","),FIND($A$2,Lines!AR37))-FIND($A$2,Lines!AR37)-LEN($A$2)-1))</f>
        <v/>
      </c>
      <c r="AS37" s="30" t="str">
        <f>IF(ISERROR(FIND($A$2,Lines!AS37))=TRUE,"",MID(Lines!AS37,FIND($A$2,Lines!AS37)+LEN($A$2)+1,FIND(",",_xlfn.CONCAT(Lines!AS37,","),FIND($A$2,Lines!AS37))-FIND($A$2,Lines!AS37)-LEN($A$2)-1))</f>
        <v/>
      </c>
      <c r="AT37" s="30" t="str">
        <f>IF(ISERROR(FIND($A$2,Lines!AT37))=TRUE,"",MID(Lines!AT37,FIND($A$2,Lines!AT37)+LEN($A$2)+1,FIND(",",_xlfn.CONCAT(Lines!AT37,","),FIND($A$2,Lines!AT37))-FIND($A$2,Lines!AT37)-LEN($A$2)-1))</f>
        <v/>
      </c>
    </row>
    <row r="38" spans="1:46" ht="20.25" customHeight="1">
      <c r="A38" s="2" t="s">
        <v>86</v>
      </c>
      <c r="B38" s="30" t="str">
        <f>IF(ISERROR(FIND($A$2,Lines!B38))=TRUE,"",MID(Lines!B38,FIND($A$2,Lines!B38)+LEN($A$2)+1,FIND(",",_xlfn.CONCAT(Lines!B38,","),FIND($A$2,Lines!B38))-FIND($A$2,Lines!B38)-LEN($A$2)-1))</f>
        <v/>
      </c>
      <c r="C38" s="30" t="str">
        <f>IF(ISERROR(FIND($A$2,Lines!C38))=TRUE,"",MID(Lines!C38,FIND($A$2,Lines!C38)+LEN($A$2)+1,FIND(",",_xlfn.CONCAT(Lines!C38,","),FIND($A$2,Lines!C38))-FIND($A$2,Lines!C38)-LEN($A$2)-1))</f>
        <v/>
      </c>
      <c r="D38" s="30" t="str">
        <f>IF(ISERROR(FIND($A$2,Lines!D38))=TRUE,"",MID(Lines!D38,FIND($A$2,Lines!D38)+LEN($A$2)+1,FIND(",",_xlfn.CONCAT(Lines!D38,","),FIND($A$2,Lines!D38))-FIND($A$2,Lines!D38)-LEN($A$2)-1))</f>
        <v/>
      </c>
      <c r="E38" s="30" t="str">
        <f>IF(ISERROR(FIND($A$2,Lines!E38))=TRUE,"",MID(Lines!E38,FIND($A$2,Lines!E38)+LEN($A$2)+1,FIND(",",_xlfn.CONCAT(Lines!E38,","),FIND($A$2,Lines!E38))-FIND($A$2,Lines!E38)-LEN($A$2)-1))</f>
        <v/>
      </c>
      <c r="F38" s="30" t="str">
        <f>IF(ISERROR(FIND($A$2,Lines!F38))=TRUE,"",MID(Lines!F38,FIND($A$2,Lines!F38)+LEN($A$2)+1,FIND(",",_xlfn.CONCAT(Lines!F38,","),FIND($A$2,Lines!F38))-FIND($A$2,Lines!F38)-LEN($A$2)-1))</f>
        <v/>
      </c>
      <c r="G38" s="30" t="str">
        <f>IF(ISERROR(FIND($A$2,Lines!G38))=TRUE,"",MID(Lines!G38,FIND($A$2,Lines!G38)+LEN($A$2)+1,FIND(",",_xlfn.CONCAT(Lines!G38,","),FIND($A$2,Lines!G38))-FIND($A$2,Lines!G38)-LEN($A$2)-1))</f>
        <v/>
      </c>
      <c r="H38" s="30" t="str">
        <f>IF(ISERROR(FIND($A$2,Lines!H38))=TRUE,"",MID(Lines!H38,FIND($A$2,Lines!H38)+LEN($A$2)+1,FIND(",",_xlfn.CONCAT(Lines!H38,","),FIND($A$2,Lines!H38))-FIND($A$2,Lines!H38)-LEN($A$2)-1))</f>
        <v/>
      </c>
      <c r="I38" s="30" t="str">
        <f>IF(ISERROR(FIND($A$2,Lines!I38))=TRUE,"",MID(Lines!I38,FIND($A$2,Lines!I38)+LEN($A$2)+1,FIND(",",_xlfn.CONCAT(Lines!I38,","),FIND($A$2,Lines!I38))-FIND($A$2,Lines!I38)-LEN($A$2)-1))</f>
        <v/>
      </c>
      <c r="J38" s="30" t="str">
        <f>IF(ISERROR(FIND($A$2,Lines!J38))=TRUE,"",MID(Lines!J38,FIND($A$2,Lines!J38)+LEN($A$2)+1,FIND(",",_xlfn.CONCAT(Lines!J38,","),FIND($A$2,Lines!J38))-FIND($A$2,Lines!J38)-LEN($A$2)-1))</f>
        <v/>
      </c>
      <c r="K38" s="30" t="str">
        <f>IF(ISERROR(FIND($A$2,Lines!K38))=TRUE,"",MID(Lines!K38,FIND($A$2,Lines!K38)+LEN($A$2)+1,FIND(",",_xlfn.CONCAT(Lines!K38,","),FIND($A$2,Lines!K38))-FIND($A$2,Lines!K38)-LEN($A$2)-1))</f>
        <v/>
      </c>
      <c r="L38" s="30" t="str">
        <f>IF(ISERROR(FIND($A$2,Lines!L38))=TRUE,"",MID(Lines!L38,FIND($A$2,Lines!L38)+LEN($A$2)+1,FIND(",",_xlfn.CONCAT(Lines!L38,","),FIND($A$2,Lines!L38))-FIND($A$2,Lines!L38)-LEN($A$2)-1))</f>
        <v/>
      </c>
      <c r="M38" s="30" t="str">
        <f>IF(ISERROR(FIND($A$2,Lines!M38))=TRUE,"",MID(Lines!M38,FIND($A$2,Lines!M38)+LEN($A$2)+1,FIND(",",_xlfn.CONCAT(Lines!M38,","),FIND($A$2,Lines!M38))-FIND($A$2,Lines!M38)-LEN($A$2)-1))</f>
        <v/>
      </c>
      <c r="N38" s="30" t="str">
        <f>IF(ISERROR(FIND($A$2,Lines!N38))=TRUE,"",MID(Lines!N38,FIND($A$2,Lines!N38)+LEN($A$2)+1,FIND(",",_xlfn.CONCAT(Lines!N38,","),FIND($A$2,Lines!N38))-FIND($A$2,Lines!N38)-LEN($A$2)-1))</f>
        <v/>
      </c>
      <c r="O38" s="45" t="str">
        <f>IF(ISERROR(FIND($A$2,Lines!O38))=TRUE,"",MID(Lines!O38,FIND($A$2,Lines!O38)+LEN($A$2)+1,FIND(",",_xlfn.CONCAT(Lines!O38,","),FIND($A$2,Lines!O38))-FIND($A$2,Lines!O38)-LEN($A$2)-1))</f>
        <v/>
      </c>
      <c r="P38" s="30" t="str">
        <f>IF(ISERROR(FIND($A$2,Lines!P38))=TRUE,"",MID(Lines!P38,FIND($A$2,Lines!P38)+LEN($A$2)+1,FIND(",",_xlfn.CONCAT(Lines!P38,","),FIND($A$2,Lines!P38))-FIND($A$2,Lines!P38)-LEN($A$2)-1))</f>
        <v/>
      </c>
      <c r="Q38" s="30" t="str">
        <f>IF(ISERROR(FIND($A$2,Lines!Q38))=TRUE,"",MID(Lines!Q38,FIND($A$2,Lines!Q38)+LEN($A$2)+1,FIND(",",_xlfn.CONCAT(Lines!Q38,","),FIND($A$2,Lines!Q38))-FIND($A$2,Lines!Q38)-LEN($A$2)-1))</f>
        <v/>
      </c>
      <c r="R38" s="30" t="str">
        <f>IF(ISERROR(FIND($A$2,Lines!R38))=TRUE,"",MID(Lines!R38,FIND($A$2,Lines!R38)+LEN($A$2)+1,FIND(",",_xlfn.CONCAT(Lines!R38,","),FIND($A$2,Lines!R38))-FIND($A$2,Lines!R38)-LEN($A$2)-1))</f>
        <v/>
      </c>
      <c r="S38" s="30" t="str">
        <f>IF(ISERROR(FIND($A$2,Lines!S38))=TRUE,"",MID(Lines!S38,FIND($A$2,Lines!S38)+LEN($A$2)+1,FIND(",",_xlfn.CONCAT(Lines!S38,","),FIND($A$2,Lines!S38))-FIND($A$2,Lines!S38)-LEN($A$2)-1))</f>
        <v/>
      </c>
      <c r="T38" s="30" t="str">
        <f>IF(ISERROR(FIND($A$2,Lines!T38))=TRUE,"",MID(Lines!T38,FIND($A$2,Lines!T38)+LEN($A$2)+1,FIND(",",_xlfn.CONCAT(Lines!T38,","),FIND($A$2,Lines!T38))-FIND($A$2,Lines!T38)-LEN($A$2)-1))</f>
        <v/>
      </c>
      <c r="U38" s="30" t="str">
        <f>IF(ISERROR(FIND($A$2,Lines!U38))=TRUE,"",MID(Lines!U38,FIND($A$2,Lines!U38)+LEN($A$2)+1,FIND(",",_xlfn.CONCAT(Lines!U38,","),FIND($A$2,Lines!U38))-FIND($A$2,Lines!U38)-LEN($A$2)-1))</f>
        <v/>
      </c>
      <c r="V38" s="30" t="str">
        <f>IF(ISERROR(FIND($A$2,Lines!V38))=TRUE,"",MID(Lines!V38,FIND($A$2,Lines!V38)+LEN($A$2)+1,FIND(",",_xlfn.CONCAT(Lines!V38,","),FIND($A$2,Lines!V38))-FIND($A$2,Lines!V38)-LEN($A$2)-1))</f>
        <v/>
      </c>
      <c r="W38" s="36" t="str">
        <f>IF(ISERROR(FIND($A$2,Lines!W38))=TRUE,"",MID(Lines!W38,FIND($A$2,Lines!W38)+LEN($A$2)+1,FIND(",",_xlfn.CONCAT(Lines!W38,","),FIND($A$2,Lines!W38))-FIND($A$2,Lines!W38)-LEN($A$2)-1))</f>
        <v/>
      </c>
      <c r="X38" s="30" t="str">
        <f>IF(ISERROR(FIND($A$2,Lines!X38))=TRUE,"",MID(Lines!X38,FIND($A$2,Lines!X38)+LEN($A$2)+1,FIND(",",_xlfn.CONCAT(Lines!X38,","),FIND($A$2,Lines!X38))-FIND($A$2,Lines!X38)-LEN($A$2)-1))</f>
        <v/>
      </c>
      <c r="Y38" s="30" t="str">
        <f>IF(ISERROR(FIND($A$2,Lines!Y38))=TRUE,"",MID(Lines!Y38,FIND($A$2,Lines!Y38)+LEN($A$2)+1,FIND(",",_xlfn.CONCAT(Lines!Y38,","),FIND($A$2,Lines!Y38))-FIND($A$2,Lines!Y38)-LEN($A$2)-1))</f>
        <v/>
      </c>
      <c r="Z38" s="30" t="str">
        <f>IF(ISERROR(FIND($A$2,Lines!Z38))=TRUE,"",MID(Lines!Z38,FIND($A$2,Lines!Z38)+LEN($A$2)+1,FIND(",",_xlfn.CONCAT(Lines!Z38,","),FIND($A$2,Lines!Z38))-FIND($A$2,Lines!Z38)-LEN($A$2)-1))</f>
        <v/>
      </c>
      <c r="AA38" s="30" t="str">
        <f>IF(ISERROR(FIND($A$2,Lines!AA38))=TRUE,"",MID(Lines!AA38,FIND($A$2,Lines!AA38)+LEN($A$2)+1,FIND(",",_xlfn.CONCAT(Lines!AA38,","),FIND($A$2,Lines!AA38))-FIND($A$2,Lines!AA38)-LEN($A$2)-1))</f>
        <v/>
      </c>
      <c r="AB38" s="30" t="str">
        <f>IF(ISERROR(FIND($A$2,Lines!AB38))=TRUE,"",MID(Lines!AB38,FIND($A$2,Lines!AB38)+LEN($A$2)+1,FIND(",",_xlfn.CONCAT(Lines!AB38,","),FIND($A$2,Lines!AB38))-FIND($A$2,Lines!AB38)-LEN($A$2)-1))</f>
        <v/>
      </c>
      <c r="AC38" s="30" t="str">
        <f>IF(ISERROR(FIND($A$2,Lines!AC38))=TRUE,"",MID(Lines!AC38,FIND($A$2,Lines!AC38)+LEN($A$2)+1,FIND(",",_xlfn.CONCAT(Lines!AC38,","),FIND($A$2,Lines!AC38))-FIND($A$2,Lines!AC38)-LEN($A$2)-1))</f>
        <v/>
      </c>
      <c r="AD38" s="30" t="str">
        <f>IF(ISERROR(FIND($A$2,Lines!AD38))=TRUE,"",MID(Lines!AD38,FIND($A$2,Lines!AD38)+LEN($A$2)+1,FIND(",",_xlfn.CONCAT(Lines!AD38,","),FIND($A$2,Lines!AD38))-FIND($A$2,Lines!AD38)-LEN($A$2)-1))</f>
        <v/>
      </c>
      <c r="AE38" s="55" t="str">
        <f>IF(ISERROR(FIND($A$2,Lines!AE38))=TRUE,"",MID(Lines!AE38,FIND($A$2,Lines!AE38)+LEN($A$2)+1,FIND(",",_xlfn.CONCAT(Lines!AE38,","),FIND($A$2,Lines!AE38))-FIND($A$2,Lines!AE38)-LEN($A$2)-1))</f>
        <v/>
      </c>
      <c r="AF38" s="56" t="str">
        <f>IF(ISERROR(FIND($A$2,Lines!AF38))=TRUE,"",MID(Lines!AF38,FIND($A$2,Lines!AF38)+LEN($A$2)+1,FIND(",",_xlfn.CONCAT(Lines!AF38,","),FIND($A$2,Lines!AF38))-FIND($A$2,Lines!AF38)-LEN($A$2)-1))</f>
        <v/>
      </c>
      <c r="AG38" s="56" t="str">
        <f>IF(ISERROR(FIND($A$2,Lines!AG38))=TRUE,"",MID(Lines!AG38,FIND($A$2,Lines!AG38)+LEN($A$2)+1,FIND(",",_xlfn.CONCAT(Lines!AG38,","),FIND($A$2,Lines!AG38))-FIND($A$2,Lines!AG38)-LEN($A$2)-1))</f>
        <v/>
      </c>
      <c r="AH38" s="56" t="str">
        <f>IF(ISERROR(FIND($A$2,Lines!AH38))=TRUE,"",MID(Lines!AH38,FIND($A$2,Lines!AH38)+LEN($A$2)+1,FIND(",",_xlfn.CONCAT(Lines!AH38,","),FIND($A$2,Lines!AH38))-FIND($A$2,Lines!AH38)-LEN($A$2)-1))</f>
        <v/>
      </c>
      <c r="AI38" s="56" t="str">
        <f>IF(ISERROR(FIND($A$2,Lines!AI38))=TRUE,"",MID(Lines!AI38,FIND($A$2,Lines!AI38)+LEN($A$2)+1,FIND(",",_xlfn.CONCAT(Lines!AI38,","),FIND($A$2,Lines!AI38))-FIND($A$2,Lines!AI38)-LEN($A$2)-1))</f>
        <v>3</v>
      </c>
      <c r="AJ38" s="67" t="str">
        <f>IF(ISERROR(FIND($A$2,Lines!AJ38))=TRUE,"",MID(Lines!AJ38,FIND($A$2,Lines!AJ38)+LEN($A$2)+1,FIND(",",_xlfn.CONCAT(Lines!AJ38,","),FIND($A$2,Lines!AJ38))-FIND($A$2,Lines!AJ38)-LEN($A$2)-1))</f>
        <v/>
      </c>
      <c r="AK38" s="30" t="str">
        <f>IF(ISERROR(FIND($A$2,Lines!AK38))=TRUE,"",MID(Lines!AK38,FIND($A$2,Lines!AK38)+LEN($A$2)+1,FIND(",",_xlfn.CONCAT(Lines!AK38,","),FIND($A$2,Lines!AK38))-FIND($A$2,Lines!AK38)-LEN($A$2)-1))</f>
        <v/>
      </c>
      <c r="AL38" s="30" t="str">
        <f>IF(ISERROR(FIND($A$2,Lines!AL38))=TRUE,"",MID(Lines!AL38,FIND($A$2,Lines!AL38)+LEN($A$2)+1,FIND(",",_xlfn.CONCAT(Lines!AL38,","),FIND($A$2,Lines!AL38))-FIND($A$2,Lines!AL38)-LEN($A$2)-1))</f>
        <v/>
      </c>
      <c r="AM38" s="30" t="str">
        <f>IF(ISERROR(FIND($A$2,Lines!AM38))=TRUE,"",MID(Lines!AM38,FIND($A$2,Lines!AM38)+LEN($A$2)+1,FIND(",",_xlfn.CONCAT(Lines!AM38,","),FIND($A$2,Lines!AM38))-FIND($A$2,Lines!AM38)-LEN($A$2)-1))</f>
        <v/>
      </c>
      <c r="AN38" s="30" t="str">
        <f>IF(ISERROR(FIND($A$2,Lines!AN38))=TRUE,"",MID(Lines!AN38,FIND($A$2,Lines!AN38)+LEN($A$2)+1,FIND(",",_xlfn.CONCAT(Lines!AN38,","),FIND($A$2,Lines!AN38))-FIND($A$2,Lines!AN38)-LEN($A$2)-1))</f>
        <v/>
      </c>
      <c r="AO38" s="30" t="str">
        <f>IF(ISERROR(FIND($A$2,Lines!AO38))=TRUE,"",MID(Lines!AO38,FIND($A$2,Lines!AO38)+LEN($A$2)+1,FIND(",",_xlfn.CONCAT(Lines!AO38,","),FIND($A$2,Lines!AO38))-FIND($A$2,Lines!AO38)-LEN($A$2)-1))</f>
        <v/>
      </c>
      <c r="AP38" s="30" t="str">
        <f>IF(ISERROR(FIND($A$2,Lines!AP38))=TRUE,"",MID(Lines!AP38,FIND($A$2,Lines!AP38)+LEN($A$2)+1,FIND(",",_xlfn.CONCAT(Lines!AP38,","),FIND($A$2,Lines!AP38))-FIND($A$2,Lines!AP38)-LEN($A$2)-1))</f>
        <v/>
      </c>
      <c r="AQ38" s="30" t="str">
        <f>IF(ISERROR(FIND($A$2,Lines!AQ38))=TRUE,"",MID(Lines!AQ38,FIND($A$2,Lines!AQ38)+LEN($A$2)+1,FIND(",",_xlfn.CONCAT(Lines!AQ38,","),FIND($A$2,Lines!AQ38))-FIND($A$2,Lines!AQ38)-LEN($A$2)-1))</f>
        <v/>
      </c>
      <c r="AR38" s="30" t="str">
        <f>IF(ISERROR(FIND($A$2,Lines!AR38))=TRUE,"",MID(Lines!AR38,FIND($A$2,Lines!AR38)+LEN($A$2)+1,FIND(",",_xlfn.CONCAT(Lines!AR38,","),FIND($A$2,Lines!AR38))-FIND($A$2,Lines!AR38)-LEN($A$2)-1))</f>
        <v/>
      </c>
      <c r="AS38" s="30" t="str">
        <f>IF(ISERROR(FIND($A$2,Lines!AS38))=TRUE,"",MID(Lines!AS38,FIND($A$2,Lines!AS38)+LEN($A$2)+1,FIND(",",_xlfn.CONCAT(Lines!AS38,","),FIND($A$2,Lines!AS38))-FIND($A$2,Lines!AS38)-LEN($A$2)-1))</f>
        <v/>
      </c>
      <c r="AT38" s="30" t="str">
        <f>IF(ISERROR(FIND($A$2,Lines!AT38))=TRUE,"",MID(Lines!AT38,FIND($A$2,Lines!AT38)+LEN($A$2)+1,FIND(",",_xlfn.CONCAT(Lines!AT38,","),FIND($A$2,Lines!AT38))-FIND($A$2,Lines!AT38)-LEN($A$2)-1))</f>
        <v/>
      </c>
    </row>
    <row r="39" spans="1:46" ht="20.25" customHeight="1">
      <c r="A39" s="2" t="s">
        <v>87</v>
      </c>
      <c r="B39" s="30" t="str">
        <f>IF(ISERROR(FIND($A$2,Lines!B39))=TRUE,"",MID(Lines!B39,FIND($A$2,Lines!B39)+LEN($A$2)+1,FIND(",",_xlfn.CONCAT(Lines!B39,","),FIND($A$2,Lines!B39))-FIND($A$2,Lines!B39)-LEN($A$2)-1))</f>
        <v/>
      </c>
      <c r="C39" s="30" t="str">
        <f>IF(ISERROR(FIND($A$2,Lines!C39))=TRUE,"",MID(Lines!C39,FIND($A$2,Lines!C39)+LEN($A$2)+1,FIND(",",_xlfn.CONCAT(Lines!C39,","),FIND($A$2,Lines!C39))-FIND($A$2,Lines!C39)-LEN($A$2)-1))</f>
        <v/>
      </c>
      <c r="D39" s="30" t="str">
        <f>IF(ISERROR(FIND($A$2,Lines!D39))=TRUE,"",MID(Lines!D39,FIND($A$2,Lines!D39)+LEN($A$2)+1,FIND(",",_xlfn.CONCAT(Lines!D39,","),FIND($A$2,Lines!D39))-FIND($A$2,Lines!D39)-LEN($A$2)-1))</f>
        <v/>
      </c>
      <c r="E39" s="30" t="str">
        <f>IF(ISERROR(FIND($A$2,Lines!E39))=TRUE,"",MID(Lines!E39,FIND($A$2,Lines!E39)+LEN($A$2)+1,FIND(",",_xlfn.CONCAT(Lines!E39,","),FIND($A$2,Lines!E39))-FIND($A$2,Lines!E39)-LEN($A$2)-1))</f>
        <v/>
      </c>
      <c r="F39" s="30" t="str">
        <f>IF(ISERROR(FIND($A$2,Lines!F39))=TRUE,"",MID(Lines!F39,FIND($A$2,Lines!F39)+LEN($A$2)+1,FIND(",",_xlfn.CONCAT(Lines!F39,","),FIND($A$2,Lines!F39))-FIND($A$2,Lines!F39)-LEN($A$2)-1))</f>
        <v/>
      </c>
      <c r="G39" s="30" t="str">
        <f>IF(ISERROR(FIND($A$2,Lines!G39))=TRUE,"",MID(Lines!G39,FIND($A$2,Lines!G39)+LEN($A$2)+1,FIND(",",_xlfn.CONCAT(Lines!G39,","),FIND($A$2,Lines!G39))-FIND($A$2,Lines!G39)-LEN($A$2)-1))</f>
        <v/>
      </c>
      <c r="H39" s="30" t="str">
        <f>IF(ISERROR(FIND($A$2,Lines!H39))=TRUE,"",MID(Lines!H39,FIND($A$2,Lines!H39)+LEN($A$2)+1,FIND(",",_xlfn.CONCAT(Lines!H39,","),FIND($A$2,Lines!H39))-FIND($A$2,Lines!H39)-LEN($A$2)-1))</f>
        <v/>
      </c>
      <c r="I39" s="30" t="str">
        <f>IF(ISERROR(FIND($A$2,Lines!I39))=TRUE,"",MID(Lines!I39,FIND($A$2,Lines!I39)+LEN($A$2)+1,FIND(",",_xlfn.CONCAT(Lines!I39,","),FIND($A$2,Lines!I39))-FIND($A$2,Lines!I39)-LEN($A$2)-1))</f>
        <v/>
      </c>
      <c r="J39" s="30" t="str">
        <f>IF(ISERROR(FIND($A$2,Lines!J39))=TRUE,"",MID(Lines!J39,FIND($A$2,Lines!J39)+LEN($A$2)+1,FIND(",",_xlfn.CONCAT(Lines!J39,","),FIND($A$2,Lines!J39))-FIND($A$2,Lines!J39)-LEN($A$2)-1))</f>
        <v/>
      </c>
      <c r="K39" s="30" t="str">
        <f>IF(ISERROR(FIND($A$2,Lines!K39))=TRUE,"",MID(Lines!K39,FIND($A$2,Lines!K39)+LEN($A$2)+1,FIND(",",_xlfn.CONCAT(Lines!K39,","),FIND($A$2,Lines!K39))-FIND($A$2,Lines!K39)-LEN($A$2)-1))</f>
        <v/>
      </c>
      <c r="L39" s="30" t="str">
        <f>IF(ISERROR(FIND($A$2,Lines!L39))=TRUE,"",MID(Lines!L39,FIND($A$2,Lines!L39)+LEN($A$2)+1,FIND(",",_xlfn.CONCAT(Lines!L39,","),FIND($A$2,Lines!L39))-FIND($A$2,Lines!L39)-LEN($A$2)-1))</f>
        <v/>
      </c>
      <c r="M39" s="30" t="str">
        <f>IF(ISERROR(FIND($A$2,Lines!M39))=TRUE,"",MID(Lines!M39,FIND($A$2,Lines!M39)+LEN($A$2)+1,FIND(",",_xlfn.CONCAT(Lines!M39,","),FIND($A$2,Lines!M39))-FIND($A$2,Lines!M39)-LEN($A$2)-1))</f>
        <v/>
      </c>
      <c r="N39" s="30" t="str">
        <f>IF(ISERROR(FIND($A$2,Lines!N39))=TRUE,"",MID(Lines!N39,FIND($A$2,Lines!N39)+LEN($A$2)+1,FIND(",",_xlfn.CONCAT(Lines!N39,","),FIND($A$2,Lines!N39))-FIND($A$2,Lines!N39)-LEN($A$2)-1))</f>
        <v/>
      </c>
      <c r="O39" s="30" t="str">
        <f>IF(ISERROR(FIND($A$2,Lines!O39))=TRUE,"",MID(Lines!O39,FIND($A$2,Lines!O39)+LEN($A$2)+1,FIND(",",_xlfn.CONCAT(Lines!O39,","),FIND($A$2,Lines!O39))-FIND($A$2,Lines!O39)-LEN($A$2)-1))</f>
        <v/>
      </c>
      <c r="P39" s="30" t="str">
        <f>IF(ISERROR(FIND($A$2,Lines!P39))=TRUE,"",MID(Lines!P39,FIND($A$2,Lines!P39)+LEN($A$2)+1,FIND(",",_xlfn.CONCAT(Lines!P39,","),FIND($A$2,Lines!P39))-FIND($A$2,Lines!P39)-LEN($A$2)-1))</f>
        <v/>
      </c>
      <c r="Q39" s="30" t="str">
        <f>IF(ISERROR(FIND($A$2,Lines!Q39))=TRUE,"",MID(Lines!Q39,FIND($A$2,Lines!Q39)+LEN($A$2)+1,FIND(",",_xlfn.CONCAT(Lines!Q39,","),FIND($A$2,Lines!Q39))-FIND($A$2,Lines!Q39)-LEN($A$2)-1))</f>
        <v/>
      </c>
      <c r="R39" s="30" t="str">
        <f>IF(ISERROR(FIND($A$2,Lines!R39))=TRUE,"",MID(Lines!R39,FIND($A$2,Lines!R39)+LEN($A$2)+1,FIND(",",_xlfn.CONCAT(Lines!R39,","),FIND($A$2,Lines!R39))-FIND($A$2,Lines!R39)-LEN($A$2)-1))</f>
        <v/>
      </c>
      <c r="S39" s="30" t="str">
        <f>IF(ISERROR(FIND($A$2,Lines!S39))=TRUE,"",MID(Lines!S39,FIND($A$2,Lines!S39)+LEN($A$2)+1,FIND(",",_xlfn.CONCAT(Lines!S39,","),FIND($A$2,Lines!S39))-FIND($A$2,Lines!S39)-LEN($A$2)-1))</f>
        <v/>
      </c>
      <c r="T39" s="30" t="str">
        <f>IF(ISERROR(FIND($A$2,Lines!T39))=TRUE,"",MID(Lines!T39,FIND($A$2,Lines!T39)+LEN($A$2)+1,FIND(",",_xlfn.CONCAT(Lines!T39,","),FIND($A$2,Lines!T39))-FIND($A$2,Lines!T39)-LEN($A$2)-1))</f>
        <v/>
      </c>
      <c r="U39" s="30" t="str">
        <f>IF(ISERROR(FIND($A$2,Lines!U39))=TRUE,"",MID(Lines!U39,FIND($A$2,Lines!U39)+LEN($A$2)+1,FIND(",",_xlfn.CONCAT(Lines!U39,","),FIND($A$2,Lines!U39))-FIND($A$2,Lines!U39)-LEN($A$2)-1))</f>
        <v/>
      </c>
      <c r="V39" s="30" t="str">
        <f>IF(ISERROR(FIND($A$2,Lines!V39))=TRUE,"",MID(Lines!V39,FIND($A$2,Lines!V39)+LEN($A$2)+1,FIND(",",_xlfn.CONCAT(Lines!V39,","),FIND($A$2,Lines!V39))-FIND($A$2,Lines!V39)-LEN($A$2)-1))</f>
        <v/>
      </c>
      <c r="W39" s="36" t="str">
        <f>IF(ISERROR(FIND($A$2,Lines!W39))=TRUE,"",MID(Lines!W39,FIND($A$2,Lines!W39)+LEN($A$2)+1,FIND(",",_xlfn.CONCAT(Lines!W39,","),FIND($A$2,Lines!W39))-FIND($A$2,Lines!W39)-LEN($A$2)-1))</f>
        <v/>
      </c>
      <c r="X39" s="30" t="str">
        <f>IF(ISERROR(FIND($A$2,Lines!X39))=TRUE,"",MID(Lines!X39,FIND($A$2,Lines!X39)+LEN($A$2)+1,FIND(",",_xlfn.CONCAT(Lines!X39,","),FIND($A$2,Lines!X39))-FIND($A$2,Lines!X39)-LEN($A$2)-1))</f>
        <v/>
      </c>
      <c r="Y39" s="30" t="str">
        <f>IF(ISERROR(FIND($A$2,Lines!Y39))=TRUE,"",MID(Lines!Y39,FIND($A$2,Lines!Y39)+LEN($A$2)+1,FIND(",",_xlfn.CONCAT(Lines!Y39,","),FIND($A$2,Lines!Y39))-FIND($A$2,Lines!Y39)-LEN($A$2)-1))</f>
        <v/>
      </c>
      <c r="Z39" s="30" t="str">
        <f>IF(ISERROR(FIND($A$2,Lines!Z39))=TRUE,"",MID(Lines!Z39,FIND($A$2,Lines!Z39)+LEN($A$2)+1,FIND(",",_xlfn.CONCAT(Lines!Z39,","),FIND($A$2,Lines!Z39))-FIND($A$2,Lines!Z39)-LEN($A$2)-1))</f>
        <v/>
      </c>
      <c r="AA39" s="30" t="str">
        <f>IF(ISERROR(FIND($A$2,Lines!AA39))=TRUE,"",MID(Lines!AA39,FIND($A$2,Lines!AA39)+LEN($A$2)+1,FIND(",",_xlfn.CONCAT(Lines!AA39,","),FIND($A$2,Lines!AA39))-FIND($A$2,Lines!AA39)-LEN($A$2)-1))</f>
        <v/>
      </c>
      <c r="AB39" s="30" t="str">
        <f>IF(ISERROR(FIND($A$2,Lines!AB39))=TRUE,"",MID(Lines!AB39,FIND($A$2,Lines!AB39)+LEN($A$2)+1,FIND(",",_xlfn.CONCAT(Lines!AB39,","),FIND($A$2,Lines!AB39))-FIND($A$2,Lines!AB39)-LEN($A$2)-1))</f>
        <v/>
      </c>
      <c r="AC39" s="30" t="str">
        <f>IF(ISERROR(FIND($A$2,Lines!AC39))=TRUE,"",MID(Lines!AC39,FIND($A$2,Lines!AC39)+LEN($A$2)+1,FIND(",",_xlfn.CONCAT(Lines!AC39,","),FIND($A$2,Lines!AC39))-FIND($A$2,Lines!AC39)-LEN($A$2)-1))</f>
        <v/>
      </c>
      <c r="AD39" s="30" t="str">
        <f>IF(ISERROR(FIND($A$2,Lines!AD39))=TRUE,"",MID(Lines!AD39,FIND($A$2,Lines!AD39)+LEN($A$2)+1,FIND(",",_xlfn.CONCAT(Lines!AD39,","),FIND($A$2,Lines!AD39))-FIND($A$2,Lines!AD39)-LEN($A$2)-1))</f>
        <v/>
      </c>
      <c r="AE39" s="30" t="str">
        <f>IF(ISERROR(FIND($A$2,Lines!AE39))=TRUE,"",MID(Lines!AE39,FIND($A$2,Lines!AE39)+LEN($A$2)+1,FIND(",",_xlfn.CONCAT(Lines!AE39,","),FIND($A$2,Lines!AE39))-FIND($A$2,Lines!AE39)-LEN($A$2)-1))</f>
        <v/>
      </c>
      <c r="AF39" s="30" t="str">
        <f>IF(ISERROR(FIND($A$2,Lines!AF39))=TRUE,"",MID(Lines!AF39,FIND($A$2,Lines!AF39)+LEN($A$2)+1,FIND(",",_xlfn.CONCAT(Lines!AF39,","),FIND($A$2,Lines!AF39))-FIND($A$2,Lines!AF39)-LEN($A$2)-1))</f>
        <v>2</v>
      </c>
      <c r="AG39" s="30" t="str">
        <f>IF(ISERROR(FIND($A$2,Lines!AG39))=TRUE,"",MID(Lines!AG39,FIND($A$2,Lines!AG39)+LEN($A$2)+1,FIND(",",_xlfn.CONCAT(Lines!AG39,","),FIND($A$2,Lines!AG39))-FIND($A$2,Lines!AG39)-LEN($A$2)-1))</f>
        <v/>
      </c>
      <c r="AH39" s="30" t="str">
        <f>IF(ISERROR(FIND($A$2,Lines!AH39))=TRUE,"",MID(Lines!AH39,FIND($A$2,Lines!AH39)+LEN($A$2)+1,FIND(",",_xlfn.CONCAT(Lines!AH39,","),FIND($A$2,Lines!AH39))-FIND($A$2,Lines!AH39)-LEN($A$2)-1))</f>
        <v/>
      </c>
      <c r="AI39" s="30" t="str">
        <f>IF(ISERROR(FIND($A$2,Lines!AI39))=TRUE,"",MID(Lines!AI39,FIND($A$2,Lines!AI39)+LEN($A$2)+1,FIND(",",_xlfn.CONCAT(Lines!AI39,","),FIND($A$2,Lines!AI39))-FIND($A$2,Lines!AI39)-LEN($A$2)-1))</f>
        <v/>
      </c>
      <c r="AJ39" s="30" t="str">
        <f>IF(ISERROR(FIND($A$2,Lines!AJ39))=TRUE,"",MID(Lines!AJ39,FIND($A$2,Lines!AJ39)+LEN($A$2)+1,FIND(",",_xlfn.CONCAT(Lines!AJ39,","),FIND($A$2,Lines!AJ39))-FIND($A$2,Lines!AJ39)-LEN($A$2)-1))</f>
        <v/>
      </c>
      <c r="AK39" s="65" t="str">
        <f>IF(ISERROR(FIND($A$2,Lines!AK39))=TRUE,"",MID(Lines!AK39,FIND($A$2,Lines!AK39)+LEN($A$2)+1,FIND(",",_xlfn.CONCAT(Lines!AK39,","),FIND($A$2,Lines!AK39))-FIND($A$2,Lines!AK39)-LEN($A$2)-1))</f>
        <v/>
      </c>
      <c r="AL39" s="50" t="str">
        <f>IF(ISERROR(FIND($A$2,Lines!AL39))=TRUE,"",MID(Lines!AL39,FIND($A$2,Lines!AL39)+LEN($A$2)+1,FIND(",",_xlfn.CONCAT(Lines!AL39,","),FIND($A$2,Lines!AL39))-FIND($A$2,Lines!AL39)-LEN($A$2)-1))</f>
        <v>1</v>
      </c>
      <c r="AM39" s="50" t="str">
        <f>IF(ISERROR(FIND($A$2,Lines!AM39))=TRUE,"",MID(Lines!AM39,FIND($A$2,Lines!AM39)+LEN($A$2)+1,FIND(",",_xlfn.CONCAT(Lines!AM39,","),FIND($A$2,Lines!AM39))-FIND($A$2,Lines!AM39)-LEN($A$2)-1))</f>
        <v>8</v>
      </c>
      <c r="AN39" s="50" t="str">
        <f>IF(ISERROR(FIND($A$2,Lines!AN39))=TRUE,"",MID(Lines!AN39,FIND($A$2,Lines!AN39)+LEN($A$2)+1,FIND(",",_xlfn.CONCAT(Lines!AN39,","),FIND($A$2,Lines!AN39))-FIND($A$2,Lines!AN39)-LEN($A$2)-1))</f>
        <v>4</v>
      </c>
      <c r="AO39" s="60" t="str">
        <f>IF(ISERROR(FIND($A$2,Lines!AO39))=TRUE,"",MID(Lines!AO39,FIND($A$2,Lines!AO39)+LEN($A$2)+1,FIND(",",_xlfn.CONCAT(Lines!AO39,","),FIND($A$2,Lines!AO39))-FIND($A$2,Lines!AO39)-LEN($A$2)-1))</f>
        <v>4</v>
      </c>
      <c r="AP39" s="30" t="str">
        <f>IF(ISERROR(FIND($A$2,Lines!AP39))=TRUE,"",MID(Lines!AP39,FIND($A$2,Lines!AP39)+LEN($A$2)+1,FIND(",",_xlfn.CONCAT(Lines!AP39,","),FIND($A$2,Lines!AP39))-FIND($A$2,Lines!AP39)-LEN($A$2)-1))</f>
        <v/>
      </c>
      <c r="AQ39" s="30" t="str">
        <f>IF(ISERROR(FIND($A$2,Lines!AQ39))=TRUE,"",MID(Lines!AQ39,FIND($A$2,Lines!AQ39)+LEN($A$2)+1,FIND(",",_xlfn.CONCAT(Lines!AQ39,","),FIND($A$2,Lines!AQ39))-FIND($A$2,Lines!AQ39)-LEN($A$2)-1))</f>
        <v/>
      </c>
      <c r="AR39" s="30" t="str">
        <f>IF(ISERROR(FIND($A$2,Lines!AR39))=TRUE,"",MID(Lines!AR39,FIND($A$2,Lines!AR39)+LEN($A$2)+1,FIND(",",_xlfn.CONCAT(Lines!AR39,","),FIND($A$2,Lines!AR39))-FIND($A$2,Lines!AR39)-LEN($A$2)-1))</f>
        <v/>
      </c>
      <c r="AS39" s="30" t="str">
        <f>IF(ISERROR(FIND($A$2,Lines!AS39))=TRUE,"",MID(Lines!AS39,FIND($A$2,Lines!AS39)+LEN($A$2)+1,FIND(",",_xlfn.CONCAT(Lines!AS39,","),FIND($A$2,Lines!AS39))-FIND($A$2,Lines!AS39)-LEN($A$2)-1))</f>
        <v/>
      </c>
      <c r="AT39" s="30" t="str">
        <f>IF(ISERROR(FIND($A$2,Lines!AT39))=TRUE,"",MID(Lines!AT39,FIND($A$2,Lines!AT39)+LEN($A$2)+1,FIND(",",_xlfn.CONCAT(Lines!AT39,","),FIND($A$2,Lines!AT39))-FIND($A$2,Lines!AT39)-LEN($A$2)-1))</f>
        <v/>
      </c>
    </row>
    <row r="40" spans="1:46" ht="20.25" customHeight="1">
      <c r="A40" s="2" t="s">
        <v>88</v>
      </c>
      <c r="B40" s="30" t="str">
        <f>IF(ISERROR(FIND($A$2,Lines!B40))=TRUE,"",MID(Lines!B40,FIND($A$2,Lines!B40)+LEN($A$2)+1,FIND(",",_xlfn.CONCAT(Lines!B40,","),FIND($A$2,Lines!B40))-FIND($A$2,Lines!B40)-LEN($A$2)-1))</f>
        <v/>
      </c>
      <c r="C40" s="30" t="str">
        <f>IF(ISERROR(FIND($A$2,Lines!C40))=TRUE,"",MID(Lines!C40,FIND($A$2,Lines!C40)+LEN($A$2)+1,FIND(",",_xlfn.CONCAT(Lines!C40,","),FIND($A$2,Lines!C40))-FIND($A$2,Lines!C40)-LEN($A$2)-1))</f>
        <v/>
      </c>
      <c r="D40" s="30" t="str">
        <f>IF(ISERROR(FIND($A$2,Lines!D40))=TRUE,"",MID(Lines!D40,FIND($A$2,Lines!D40)+LEN($A$2)+1,FIND(",",_xlfn.CONCAT(Lines!D40,","),FIND($A$2,Lines!D40))-FIND($A$2,Lines!D40)-LEN($A$2)-1))</f>
        <v/>
      </c>
      <c r="E40" s="30" t="str">
        <f>IF(ISERROR(FIND($A$2,Lines!E40))=TRUE,"",MID(Lines!E40,FIND($A$2,Lines!E40)+LEN($A$2)+1,FIND(",",_xlfn.CONCAT(Lines!E40,","),FIND($A$2,Lines!E40))-FIND($A$2,Lines!E40)-LEN($A$2)-1))</f>
        <v/>
      </c>
      <c r="F40" s="30" t="str">
        <f>IF(ISERROR(FIND($A$2,Lines!F40))=TRUE,"",MID(Lines!F40,FIND($A$2,Lines!F40)+LEN($A$2)+1,FIND(",",_xlfn.CONCAT(Lines!F40,","),FIND($A$2,Lines!F40))-FIND($A$2,Lines!F40)-LEN($A$2)-1))</f>
        <v/>
      </c>
      <c r="G40" s="30" t="str">
        <f>IF(ISERROR(FIND($A$2,Lines!G40))=TRUE,"",MID(Lines!G40,FIND($A$2,Lines!G40)+LEN($A$2)+1,FIND(",",_xlfn.CONCAT(Lines!G40,","),FIND($A$2,Lines!G40))-FIND($A$2,Lines!G40)-LEN($A$2)-1))</f>
        <v/>
      </c>
      <c r="H40" s="30" t="str">
        <f>IF(ISERROR(FIND($A$2,Lines!H40))=TRUE,"",MID(Lines!H40,FIND($A$2,Lines!H40)+LEN($A$2)+1,FIND(",",_xlfn.CONCAT(Lines!H40,","),FIND($A$2,Lines!H40))-FIND($A$2,Lines!H40)-LEN($A$2)-1))</f>
        <v/>
      </c>
      <c r="I40" s="30" t="str">
        <f>IF(ISERROR(FIND($A$2,Lines!I40))=TRUE,"",MID(Lines!I40,FIND($A$2,Lines!I40)+LEN($A$2)+1,FIND(",",_xlfn.CONCAT(Lines!I40,","),FIND($A$2,Lines!I40))-FIND($A$2,Lines!I40)-LEN($A$2)-1))</f>
        <v/>
      </c>
      <c r="J40" s="30" t="str">
        <f>IF(ISERROR(FIND($A$2,Lines!J40))=TRUE,"",MID(Lines!J40,FIND($A$2,Lines!J40)+LEN($A$2)+1,FIND(",",_xlfn.CONCAT(Lines!J40,","),FIND($A$2,Lines!J40))-FIND($A$2,Lines!J40)-LEN($A$2)-1))</f>
        <v/>
      </c>
      <c r="K40" s="30" t="str">
        <f>IF(ISERROR(FIND($A$2,Lines!K40))=TRUE,"",MID(Lines!K40,FIND($A$2,Lines!K40)+LEN($A$2)+1,FIND(",",_xlfn.CONCAT(Lines!K40,","),FIND($A$2,Lines!K40))-FIND($A$2,Lines!K40)-LEN($A$2)-1))</f>
        <v/>
      </c>
      <c r="L40" s="30" t="str">
        <f>IF(ISERROR(FIND($A$2,Lines!L40))=TRUE,"",MID(Lines!L40,FIND($A$2,Lines!L40)+LEN($A$2)+1,FIND(",",_xlfn.CONCAT(Lines!L40,","),FIND($A$2,Lines!L40))-FIND($A$2,Lines!L40)-LEN($A$2)-1))</f>
        <v/>
      </c>
      <c r="M40" s="30" t="str">
        <f>IF(ISERROR(FIND($A$2,Lines!M40))=TRUE,"",MID(Lines!M40,FIND($A$2,Lines!M40)+LEN($A$2)+1,FIND(",",_xlfn.CONCAT(Lines!M40,","),FIND($A$2,Lines!M40))-FIND($A$2,Lines!M40)-LEN($A$2)-1))</f>
        <v/>
      </c>
      <c r="N40" s="30" t="str">
        <f>IF(ISERROR(FIND($A$2,Lines!N40))=TRUE,"",MID(Lines!N40,FIND($A$2,Lines!N40)+LEN($A$2)+1,FIND(",",_xlfn.CONCAT(Lines!N40,","),FIND($A$2,Lines!N40))-FIND($A$2,Lines!N40)-LEN($A$2)-1))</f>
        <v/>
      </c>
      <c r="O40" s="30" t="str">
        <f>IF(ISERROR(FIND($A$2,Lines!O40))=TRUE,"",MID(Lines!O40,FIND($A$2,Lines!O40)+LEN($A$2)+1,FIND(",",_xlfn.CONCAT(Lines!O40,","),FIND($A$2,Lines!O40))-FIND($A$2,Lines!O40)-LEN($A$2)-1))</f>
        <v/>
      </c>
      <c r="P40" s="30" t="str">
        <f>IF(ISERROR(FIND($A$2,Lines!P40))=TRUE,"",MID(Lines!P40,FIND($A$2,Lines!P40)+LEN($A$2)+1,FIND(",",_xlfn.CONCAT(Lines!P40,","),FIND($A$2,Lines!P40))-FIND($A$2,Lines!P40)-LEN($A$2)-1))</f>
        <v/>
      </c>
      <c r="Q40" s="30" t="str">
        <f>IF(ISERROR(FIND($A$2,Lines!Q40))=TRUE,"",MID(Lines!Q40,FIND($A$2,Lines!Q40)+LEN($A$2)+1,FIND(",",_xlfn.CONCAT(Lines!Q40,","),FIND($A$2,Lines!Q40))-FIND($A$2,Lines!Q40)-LEN($A$2)-1))</f>
        <v/>
      </c>
      <c r="R40" s="30" t="str">
        <f>IF(ISERROR(FIND($A$2,Lines!R40))=TRUE,"",MID(Lines!R40,FIND($A$2,Lines!R40)+LEN($A$2)+1,FIND(",",_xlfn.CONCAT(Lines!R40,","),FIND($A$2,Lines!R40))-FIND($A$2,Lines!R40)-LEN($A$2)-1))</f>
        <v/>
      </c>
      <c r="S40" s="30" t="str">
        <f>IF(ISERROR(FIND($A$2,Lines!S40))=TRUE,"",MID(Lines!S40,FIND($A$2,Lines!S40)+LEN($A$2)+1,FIND(",",_xlfn.CONCAT(Lines!S40,","),FIND($A$2,Lines!S40))-FIND($A$2,Lines!S40)-LEN($A$2)-1))</f>
        <v/>
      </c>
      <c r="T40" s="30" t="str">
        <f>IF(ISERROR(FIND($A$2,Lines!T40))=TRUE,"",MID(Lines!T40,FIND($A$2,Lines!T40)+LEN($A$2)+1,FIND(",",_xlfn.CONCAT(Lines!T40,","),FIND($A$2,Lines!T40))-FIND($A$2,Lines!T40)-LEN($A$2)-1))</f>
        <v/>
      </c>
      <c r="U40" s="30" t="str">
        <f>IF(ISERROR(FIND($A$2,Lines!U40))=TRUE,"",MID(Lines!U40,FIND($A$2,Lines!U40)+LEN($A$2)+1,FIND(",",_xlfn.CONCAT(Lines!U40,","),FIND($A$2,Lines!U40))-FIND($A$2,Lines!U40)-LEN($A$2)-1))</f>
        <v/>
      </c>
      <c r="V40" s="30" t="str">
        <f>IF(ISERROR(FIND($A$2,Lines!V40))=TRUE,"",MID(Lines!V40,FIND($A$2,Lines!V40)+LEN($A$2)+1,FIND(",",_xlfn.CONCAT(Lines!V40,","),FIND($A$2,Lines!V40))-FIND($A$2,Lines!V40)-LEN($A$2)-1))</f>
        <v/>
      </c>
      <c r="W40" s="36" t="str">
        <f>IF(ISERROR(FIND($A$2,Lines!W40))=TRUE,"",MID(Lines!W40,FIND($A$2,Lines!W40)+LEN($A$2)+1,FIND(",",_xlfn.CONCAT(Lines!W40,","),FIND($A$2,Lines!W40))-FIND($A$2,Lines!W40)-LEN($A$2)-1))</f>
        <v/>
      </c>
      <c r="X40" s="30" t="str">
        <f>IF(ISERROR(FIND($A$2,Lines!X40))=TRUE,"",MID(Lines!X40,FIND($A$2,Lines!X40)+LEN($A$2)+1,FIND(",",_xlfn.CONCAT(Lines!X40,","),FIND($A$2,Lines!X40))-FIND($A$2,Lines!X40)-LEN($A$2)-1))</f>
        <v/>
      </c>
      <c r="Y40" s="30" t="str">
        <f>IF(ISERROR(FIND($A$2,Lines!Y40))=TRUE,"",MID(Lines!Y40,FIND($A$2,Lines!Y40)+LEN($A$2)+1,FIND(",",_xlfn.CONCAT(Lines!Y40,","),FIND($A$2,Lines!Y40))-FIND($A$2,Lines!Y40)-LEN($A$2)-1))</f>
        <v/>
      </c>
      <c r="Z40" s="30" t="str">
        <f>IF(ISERROR(FIND($A$2,Lines!Z40))=TRUE,"",MID(Lines!Z40,FIND($A$2,Lines!Z40)+LEN($A$2)+1,FIND(",",_xlfn.CONCAT(Lines!Z40,","),FIND($A$2,Lines!Z40))-FIND($A$2,Lines!Z40)-LEN($A$2)-1))</f>
        <v/>
      </c>
      <c r="AA40" s="30" t="str">
        <f>IF(ISERROR(FIND($A$2,Lines!AA40))=TRUE,"",MID(Lines!AA40,FIND($A$2,Lines!AA40)+LEN($A$2)+1,FIND(",",_xlfn.CONCAT(Lines!AA40,","),FIND($A$2,Lines!AA40))-FIND($A$2,Lines!AA40)-LEN($A$2)-1))</f>
        <v/>
      </c>
      <c r="AB40" s="30" t="str">
        <f>IF(ISERROR(FIND($A$2,Lines!AB40))=TRUE,"",MID(Lines!AB40,FIND($A$2,Lines!AB40)+LEN($A$2)+1,FIND(",",_xlfn.CONCAT(Lines!AB40,","),FIND($A$2,Lines!AB40))-FIND($A$2,Lines!AB40)-LEN($A$2)-1))</f>
        <v/>
      </c>
      <c r="AC40" s="30" t="str">
        <f>IF(ISERROR(FIND($A$2,Lines!AC40))=TRUE,"",MID(Lines!AC40,FIND($A$2,Lines!AC40)+LEN($A$2)+1,FIND(",",_xlfn.CONCAT(Lines!AC40,","),FIND($A$2,Lines!AC40))-FIND($A$2,Lines!AC40)-LEN($A$2)-1))</f>
        <v/>
      </c>
      <c r="AD40" s="30" t="str">
        <f>IF(ISERROR(FIND($A$2,Lines!AD40))=TRUE,"",MID(Lines!AD40,FIND($A$2,Lines!AD40)+LEN($A$2)+1,FIND(",",_xlfn.CONCAT(Lines!AD40,","),FIND($A$2,Lines!AD40))-FIND($A$2,Lines!AD40)-LEN($A$2)-1))</f>
        <v/>
      </c>
      <c r="AE40" s="30" t="str">
        <f>IF(ISERROR(FIND($A$2,Lines!AE40))=TRUE,"",MID(Lines!AE40,FIND($A$2,Lines!AE40)+LEN($A$2)+1,FIND(",",_xlfn.CONCAT(Lines!AE40,","),FIND($A$2,Lines!AE40))-FIND($A$2,Lines!AE40)-LEN($A$2)-1))</f>
        <v/>
      </c>
      <c r="AF40" s="30" t="str">
        <f>IF(ISERROR(FIND($A$2,Lines!AF40))=TRUE,"",MID(Lines!AF40,FIND($A$2,Lines!AF40)+LEN($A$2)+1,FIND(",",_xlfn.CONCAT(Lines!AF40,","),FIND($A$2,Lines!AF40))-FIND($A$2,Lines!AF40)-LEN($A$2)-1))</f>
        <v/>
      </c>
      <c r="AG40" s="30" t="str">
        <f>IF(ISERROR(FIND($A$2,Lines!AG40))=TRUE,"",MID(Lines!AG40,FIND($A$2,Lines!AG40)+LEN($A$2)+1,FIND(",",_xlfn.CONCAT(Lines!AG40,","),FIND($A$2,Lines!AG40))-FIND($A$2,Lines!AG40)-LEN($A$2)-1))</f>
        <v/>
      </c>
      <c r="AH40" s="30" t="str">
        <f>IF(ISERROR(FIND($A$2,Lines!AH40))=TRUE,"",MID(Lines!AH40,FIND($A$2,Lines!AH40)+LEN($A$2)+1,FIND(",",_xlfn.CONCAT(Lines!AH40,","),FIND($A$2,Lines!AH40))-FIND($A$2,Lines!AH40)-LEN($A$2)-1))</f>
        <v/>
      </c>
      <c r="AI40" s="30" t="str">
        <f>IF(ISERROR(FIND($A$2,Lines!AI40))=TRUE,"",MID(Lines!AI40,FIND($A$2,Lines!AI40)+LEN($A$2)+1,FIND(",",_xlfn.CONCAT(Lines!AI40,","),FIND($A$2,Lines!AI40))-FIND($A$2,Lines!AI40)-LEN($A$2)-1))</f>
        <v/>
      </c>
      <c r="AJ40" s="30" t="str">
        <f>IF(ISERROR(FIND($A$2,Lines!AJ40))=TRUE,"",MID(Lines!AJ40,FIND($A$2,Lines!AJ40)+LEN($A$2)+1,FIND(",",_xlfn.CONCAT(Lines!AJ40,","),FIND($A$2,Lines!AJ40))-FIND($A$2,Lines!AJ40)-LEN($A$2)-1))</f>
        <v/>
      </c>
      <c r="AK40" s="54" t="str">
        <f>IF(ISERROR(FIND($A$2,Lines!AK40))=TRUE,"",MID(Lines!AK40,FIND($A$2,Lines!AK40)+LEN($A$2)+1,FIND(",",_xlfn.CONCAT(Lines!AK40,","),FIND($A$2,Lines!AK40))-FIND($A$2,Lines!AK40)-LEN($A$2)-1))</f>
        <v>1</v>
      </c>
      <c r="AL40" s="66" t="str">
        <f>IF(ISERROR(FIND($A$2,Lines!AL40))=TRUE,"",MID(Lines!AL40,FIND($A$2,Lines!AL40)+LEN($A$2)+1,FIND(",",_xlfn.CONCAT(Lines!AL40,","),FIND($A$2,Lines!AL40))-FIND($A$2,Lines!AL40)-LEN($A$2)-1))</f>
        <v/>
      </c>
      <c r="AM40" s="43" t="str">
        <f>IF(ISERROR(FIND($A$2,Lines!AM40))=TRUE,"",MID(Lines!AM40,FIND($A$2,Lines!AM40)+LEN($A$2)+1,FIND(",",_xlfn.CONCAT(Lines!AM40,","),FIND($A$2,Lines!AM40))-FIND($A$2,Lines!AM40)-LEN($A$2)-1))</f>
        <v/>
      </c>
      <c r="AN40" s="43" t="str">
        <f>IF(ISERROR(FIND($A$2,Lines!AN40))=TRUE,"",MID(Lines!AN40,FIND($A$2,Lines!AN40)+LEN($A$2)+1,FIND(",",_xlfn.CONCAT(Lines!AN40,","),FIND($A$2,Lines!AN40))-FIND($A$2,Lines!AN40)-LEN($A$2)-1))</f>
        <v/>
      </c>
      <c r="AO40" s="61" t="str">
        <f>IF(ISERROR(FIND($A$2,Lines!AO40))=TRUE,"",MID(Lines!AO40,FIND($A$2,Lines!AO40)+LEN($A$2)+1,FIND(",",_xlfn.CONCAT(Lines!AO40,","),FIND($A$2,Lines!AO40))-FIND($A$2,Lines!AO40)-LEN($A$2)-1))</f>
        <v/>
      </c>
      <c r="AP40" s="30" t="str">
        <f>IF(ISERROR(FIND($A$2,Lines!AP40))=TRUE,"",MID(Lines!AP40,FIND($A$2,Lines!AP40)+LEN($A$2)+1,FIND(",",_xlfn.CONCAT(Lines!AP40,","),FIND($A$2,Lines!AP40))-FIND($A$2,Lines!AP40)-LEN($A$2)-1))</f>
        <v/>
      </c>
      <c r="AQ40" s="30" t="str">
        <f>IF(ISERROR(FIND($A$2,Lines!AQ40))=TRUE,"",MID(Lines!AQ40,FIND($A$2,Lines!AQ40)+LEN($A$2)+1,FIND(",",_xlfn.CONCAT(Lines!AQ40,","),FIND($A$2,Lines!AQ40))-FIND($A$2,Lines!AQ40)-LEN($A$2)-1))</f>
        <v/>
      </c>
      <c r="AR40" s="30" t="str">
        <f>IF(ISERROR(FIND($A$2,Lines!AR40))=TRUE,"",MID(Lines!AR40,FIND($A$2,Lines!AR40)+LEN($A$2)+1,FIND(",",_xlfn.CONCAT(Lines!AR40,","),FIND($A$2,Lines!AR40))-FIND($A$2,Lines!AR40)-LEN($A$2)-1))</f>
        <v/>
      </c>
      <c r="AS40" s="30" t="str">
        <f>IF(ISERROR(FIND($A$2,Lines!AS40))=TRUE,"",MID(Lines!AS40,FIND($A$2,Lines!AS40)+LEN($A$2)+1,FIND(",",_xlfn.CONCAT(Lines!AS40,","),FIND($A$2,Lines!AS40))-FIND($A$2,Lines!AS40)-LEN($A$2)-1))</f>
        <v/>
      </c>
      <c r="AT40" s="30" t="str">
        <f>IF(ISERROR(FIND($A$2,Lines!AT40))=TRUE,"",MID(Lines!AT40,FIND($A$2,Lines!AT40)+LEN($A$2)+1,FIND(",",_xlfn.CONCAT(Lines!AT40,","),FIND($A$2,Lines!AT40))-FIND($A$2,Lines!AT40)-LEN($A$2)-1))</f>
        <v/>
      </c>
    </row>
    <row r="41" spans="1:46" ht="20.25" customHeight="1">
      <c r="A41" s="2" t="s">
        <v>89</v>
      </c>
      <c r="B41" s="30" t="str">
        <f>IF(ISERROR(FIND($A$2,Lines!B41))=TRUE,"",MID(Lines!B41,FIND($A$2,Lines!B41)+LEN($A$2)+1,FIND(",",_xlfn.CONCAT(Lines!B41,","),FIND($A$2,Lines!B41))-FIND($A$2,Lines!B41)-LEN($A$2)-1))</f>
        <v/>
      </c>
      <c r="C41" s="30" t="str">
        <f>IF(ISERROR(FIND($A$2,Lines!C41))=TRUE,"",MID(Lines!C41,FIND($A$2,Lines!C41)+LEN($A$2)+1,FIND(",",_xlfn.CONCAT(Lines!C41,","),FIND($A$2,Lines!C41))-FIND($A$2,Lines!C41)-LEN($A$2)-1))</f>
        <v/>
      </c>
      <c r="D41" s="30" t="str">
        <f>IF(ISERROR(FIND($A$2,Lines!D41))=TRUE,"",MID(Lines!D41,FIND($A$2,Lines!D41)+LEN($A$2)+1,FIND(",",_xlfn.CONCAT(Lines!D41,","),FIND($A$2,Lines!D41))-FIND($A$2,Lines!D41)-LEN($A$2)-1))</f>
        <v/>
      </c>
      <c r="E41" s="30" t="str">
        <f>IF(ISERROR(FIND($A$2,Lines!E41))=TRUE,"",MID(Lines!E41,FIND($A$2,Lines!E41)+LEN($A$2)+1,FIND(",",_xlfn.CONCAT(Lines!E41,","),FIND($A$2,Lines!E41))-FIND($A$2,Lines!E41)-LEN($A$2)-1))</f>
        <v/>
      </c>
      <c r="F41" s="30" t="str">
        <f>IF(ISERROR(FIND($A$2,Lines!F41))=TRUE,"",MID(Lines!F41,FIND($A$2,Lines!F41)+LEN($A$2)+1,FIND(",",_xlfn.CONCAT(Lines!F41,","),FIND($A$2,Lines!F41))-FIND($A$2,Lines!F41)-LEN($A$2)-1))</f>
        <v/>
      </c>
      <c r="G41" s="30" t="str">
        <f>IF(ISERROR(FIND($A$2,Lines!G41))=TRUE,"",MID(Lines!G41,FIND($A$2,Lines!G41)+LEN($A$2)+1,FIND(",",_xlfn.CONCAT(Lines!G41,","),FIND($A$2,Lines!G41))-FIND($A$2,Lines!G41)-LEN($A$2)-1))</f>
        <v/>
      </c>
      <c r="H41" s="30" t="str">
        <f>IF(ISERROR(FIND($A$2,Lines!H41))=TRUE,"",MID(Lines!H41,FIND($A$2,Lines!H41)+LEN($A$2)+1,FIND(",",_xlfn.CONCAT(Lines!H41,","),FIND($A$2,Lines!H41))-FIND($A$2,Lines!H41)-LEN($A$2)-1))</f>
        <v/>
      </c>
      <c r="I41" s="30" t="str">
        <f>IF(ISERROR(FIND($A$2,Lines!I41))=TRUE,"",MID(Lines!I41,FIND($A$2,Lines!I41)+LEN($A$2)+1,FIND(",",_xlfn.CONCAT(Lines!I41,","),FIND($A$2,Lines!I41))-FIND($A$2,Lines!I41)-LEN($A$2)-1))</f>
        <v/>
      </c>
      <c r="J41" s="30" t="str">
        <f>IF(ISERROR(FIND($A$2,Lines!J41))=TRUE,"",MID(Lines!J41,FIND($A$2,Lines!J41)+LEN($A$2)+1,FIND(",",_xlfn.CONCAT(Lines!J41,","),FIND($A$2,Lines!J41))-FIND($A$2,Lines!J41)-LEN($A$2)-1))</f>
        <v/>
      </c>
      <c r="K41" s="30" t="str">
        <f>IF(ISERROR(FIND($A$2,Lines!K41))=TRUE,"",MID(Lines!K41,FIND($A$2,Lines!K41)+LEN($A$2)+1,FIND(",",_xlfn.CONCAT(Lines!K41,","),FIND($A$2,Lines!K41))-FIND($A$2,Lines!K41)-LEN($A$2)-1))</f>
        <v/>
      </c>
      <c r="L41" s="30" t="str">
        <f>IF(ISERROR(FIND($A$2,Lines!L41))=TRUE,"",MID(Lines!L41,FIND($A$2,Lines!L41)+LEN($A$2)+1,FIND(",",_xlfn.CONCAT(Lines!L41,","),FIND($A$2,Lines!L41))-FIND($A$2,Lines!L41)-LEN($A$2)-1))</f>
        <v/>
      </c>
      <c r="M41" s="30" t="str">
        <f>IF(ISERROR(FIND($A$2,Lines!M41))=TRUE,"",MID(Lines!M41,FIND($A$2,Lines!M41)+LEN($A$2)+1,FIND(",",_xlfn.CONCAT(Lines!M41,","),FIND($A$2,Lines!M41))-FIND($A$2,Lines!M41)-LEN($A$2)-1))</f>
        <v/>
      </c>
      <c r="N41" s="30" t="str">
        <f>IF(ISERROR(FIND($A$2,Lines!N41))=TRUE,"",MID(Lines!N41,FIND($A$2,Lines!N41)+LEN($A$2)+1,FIND(",",_xlfn.CONCAT(Lines!N41,","),FIND($A$2,Lines!N41))-FIND($A$2,Lines!N41)-LEN($A$2)-1))</f>
        <v/>
      </c>
      <c r="O41" s="30" t="str">
        <f>IF(ISERROR(FIND($A$2,Lines!O41))=TRUE,"",MID(Lines!O41,FIND($A$2,Lines!O41)+LEN($A$2)+1,FIND(",",_xlfn.CONCAT(Lines!O41,","),FIND($A$2,Lines!O41))-FIND($A$2,Lines!O41)-LEN($A$2)-1))</f>
        <v/>
      </c>
      <c r="P41" s="30" t="str">
        <f>IF(ISERROR(FIND($A$2,Lines!P41))=TRUE,"",MID(Lines!P41,FIND($A$2,Lines!P41)+LEN($A$2)+1,FIND(",",_xlfn.CONCAT(Lines!P41,","),FIND($A$2,Lines!P41))-FIND($A$2,Lines!P41)-LEN($A$2)-1))</f>
        <v/>
      </c>
      <c r="Q41" s="30" t="str">
        <f>IF(ISERROR(FIND($A$2,Lines!Q41))=TRUE,"",MID(Lines!Q41,FIND($A$2,Lines!Q41)+LEN($A$2)+1,FIND(",",_xlfn.CONCAT(Lines!Q41,","),FIND($A$2,Lines!Q41))-FIND($A$2,Lines!Q41)-LEN($A$2)-1))</f>
        <v/>
      </c>
      <c r="R41" s="30" t="str">
        <f>IF(ISERROR(FIND($A$2,Lines!R41))=TRUE,"",MID(Lines!R41,FIND($A$2,Lines!R41)+LEN($A$2)+1,FIND(",",_xlfn.CONCAT(Lines!R41,","),FIND($A$2,Lines!R41))-FIND($A$2,Lines!R41)-LEN($A$2)-1))</f>
        <v/>
      </c>
      <c r="S41" s="30" t="str">
        <f>IF(ISERROR(FIND($A$2,Lines!S41))=TRUE,"",MID(Lines!S41,FIND($A$2,Lines!S41)+LEN($A$2)+1,FIND(",",_xlfn.CONCAT(Lines!S41,","),FIND($A$2,Lines!S41))-FIND($A$2,Lines!S41)-LEN($A$2)-1))</f>
        <v/>
      </c>
      <c r="T41" s="30" t="str">
        <f>IF(ISERROR(FIND($A$2,Lines!T41))=TRUE,"",MID(Lines!T41,FIND($A$2,Lines!T41)+LEN($A$2)+1,FIND(",",_xlfn.CONCAT(Lines!T41,","),FIND($A$2,Lines!T41))-FIND($A$2,Lines!T41)-LEN($A$2)-1))</f>
        <v/>
      </c>
      <c r="U41" s="30" t="str">
        <f>IF(ISERROR(FIND($A$2,Lines!U41))=TRUE,"",MID(Lines!U41,FIND($A$2,Lines!U41)+LEN($A$2)+1,FIND(",",_xlfn.CONCAT(Lines!U41,","),FIND($A$2,Lines!U41))-FIND($A$2,Lines!U41)-LEN($A$2)-1))</f>
        <v/>
      </c>
      <c r="V41" s="30" t="str">
        <f>IF(ISERROR(FIND($A$2,Lines!V41))=TRUE,"",MID(Lines!V41,FIND($A$2,Lines!V41)+LEN($A$2)+1,FIND(",",_xlfn.CONCAT(Lines!V41,","),FIND($A$2,Lines!V41))-FIND($A$2,Lines!V41)-LEN($A$2)-1))</f>
        <v/>
      </c>
      <c r="W41" s="36" t="str">
        <f>IF(ISERROR(FIND($A$2,Lines!W41))=TRUE,"",MID(Lines!W41,FIND($A$2,Lines!W41)+LEN($A$2)+1,FIND(",",_xlfn.CONCAT(Lines!W41,","),FIND($A$2,Lines!W41))-FIND($A$2,Lines!W41)-LEN($A$2)-1))</f>
        <v/>
      </c>
      <c r="X41" s="30" t="str">
        <f>IF(ISERROR(FIND($A$2,Lines!X41))=TRUE,"",MID(Lines!X41,FIND($A$2,Lines!X41)+LEN($A$2)+1,FIND(",",_xlfn.CONCAT(Lines!X41,","),FIND($A$2,Lines!X41))-FIND($A$2,Lines!X41)-LEN($A$2)-1))</f>
        <v/>
      </c>
      <c r="Y41" s="30" t="str">
        <f>IF(ISERROR(FIND($A$2,Lines!Y41))=TRUE,"",MID(Lines!Y41,FIND($A$2,Lines!Y41)+LEN($A$2)+1,FIND(",",_xlfn.CONCAT(Lines!Y41,","),FIND($A$2,Lines!Y41))-FIND($A$2,Lines!Y41)-LEN($A$2)-1))</f>
        <v/>
      </c>
      <c r="Z41" s="30" t="str">
        <f>IF(ISERROR(FIND($A$2,Lines!Z41))=TRUE,"",MID(Lines!Z41,FIND($A$2,Lines!Z41)+LEN($A$2)+1,FIND(",",_xlfn.CONCAT(Lines!Z41,","),FIND($A$2,Lines!Z41))-FIND($A$2,Lines!Z41)-LEN($A$2)-1))</f>
        <v/>
      </c>
      <c r="AA41" s="30" t="str">
        <f>IF(ISERROR(FIND($A$2,Lines!AA41))=TRUE,"",MID(Lines!AA41,FIND($A$2,Lines!AA41)+LEN($A$2)+1,FIND(",",_xlfn.CONCAT(Lines!AA41,","),FIND($A$2,Lines!AA41))-FIND($A$2,Lines!AA41)-LEN($A$2)-1))</f>
        <v/>
      </c>
      <c r="AB41" s="30" t="str">
        <f>IF(ISERROR(FIND($A$2,Lines!AB41))=TRUE,"",MID(Lines!AB41,FIND($A$2,Lines!AB41)+LEN($A$2)+1,FIND(",",_xlfn.CONCAT(Lines!AB41,","),FIND($A$2,Lines!AB41))-FIND($A$2,Lines!AB41)-LEN($A$2)-1))</f>
        <v/>
      </c>
      <c r="AC41" s="30" t="str">
        <f>IF(ISERROR(FIND($A$2,Lines!AC41))=TRUE,"",MID(Lines!AC41,FIND($A$2,Lines!AC41)+LEN($A$2)+1,FIND(",",_xlfn.CONCAT(Lines!AC41,","),FIND($A$2,Lines!AC41))-FIND($A$2,Lines!AC41)-LEN($A$2)-1))</f>
        <v/>
      </c>
      <c r="AD41" s="30" t="str">
        <f>IF(ISERROR(FIND($A$2,Lines!AD41))=TRUE,"",MID(Lines!AD41,FIND($A$2,Lines!AD41)+LEN($A$2)+1,FIND(",",_xlfn.CONCAT(Lines!AD41,","),FIND($A$2,Lines!AD41))-FIND($A$2,Lines!AD41)-LEN($A$2)-1))</f>
        <v/>
      </c>
      <c r="AE41" s="30" t="str">
        <f>IF(ISERROR(FIND($A$2,Lines!AE41))=TRUE,"",MID(Lines!AE41,FIND($A$2,Lines!AE41)+LEN($A$2)+1,FIND(",",_xlfn.CONCAT(Lines!AE41,","),FIND($A$2,Lines!AE41))-FIND($A$2,Lines!AE41)-LEN($A$2)-1))</f>
        <v/>
      </c>
      <c r="AF41" s="30" t="str">
        <f>IF(ISERROR(FIND($A$2,Lines!AF41))=TRUE,"",MID(Lines!AF41,FIND($A$2,Lines!AF41)+LEN($A$2)+1,FIND(",",_xlfn.CONCAT(Lines!AF41,","),FIND($A$2,Lines!AF41))-FIND($A$2,Lines!AF41)-LEN($A$2)-1))</f>
        <v/>
      </c>
      <c r="AG41" s="30" t="str">
        <f>IF(ISERROR(FIND($A$2,Lines!AG41))=TRUE,"",MID(Lines!AG41,FIND($A$2,Lines!AG41)+LEN($A$2)+1,FIND(",",_xlfn.CONCAT(Lines!AG41,","),FIND($A$2,Lines!AG41))-FIND($A$2,Lines!AG41)-LEN($A$2)-1))</f>
        <v/>
      </c>
      <c r="AH41" s="30" t="str">
        <f>IF(ISERROR(FIND($A$2,Lines!AH41))=TRUE,"",MID(Lines!AH41,FIND($A$2,Lines!AH41)+LEN($A$2)+1,FIND(",",_xlfn.CONCAT(Lines!AH41,","),FIND($A$2,Lines!AH41))-FIND($A$2,Lines!AH41)-LEN($A$2)-1))</f>
        <v/>
      </c>
      <c r="AI41" s="30" t="str">
        <f>IF(ISERROR(FIND($A$2,Lines!AI41))=TRUE,"",MID(Lines!AI41,FIND($A$2,Lines!AI41)+LEN($A$2)+1,FIND(",",_xlfn.CONCAT(Lines!AI41,","),FIND($A$2,Lines!AI41))-FIND($A$2,Lines!AI41)-LEN($A$2)-1))</f>
        <v/>
      </c>
      <c r="AJ41" s="30" t="str">
        <f>IF(ISERROR(FIND($A$2,Lines!AJ41))=TRUE,"",MID(Lines!AJ41,FIND($A$2,Lines!AJ41)+LEN($A$2)+1,FIND(",",_xlfn.CONCAT(Lines!AJ41,","),FIND($A$2,Lines!AJ41))-FIND($A$2,Lines!AJ41)-LEN($A$2)-1))</f>
        <v/>
      </c>
      <c r="AK41" s="54" t="str">
        <f>IF(ISERROR(FIND($A$2,Lines!AK41))=TRUE,"",MID(Lines!AK41,FIND($A$2,Lines!AK41)+LEN($A$2)+1,FIND(",",_xlfn.CONCAT(Lines!AK41,","),FIND($A$2,Lines!AK41))-FIND($A$2,Lines!AK41)-LEN($A$2)-1))</f>
        <v>8</v>
      </c>
      <c r="AL41" s="43" t="str">
        <f>IF(ISERROR(FIND($A$2,Lines!AL41))=TRUE,"",MID(Lines!AL41,FIND($A$2,Lines!AL41)+LEN($A$2)+1,FIND(",",_xlfn.CONCAT(Lines!AL41,","),FIND($A$2,Lines!AL41))-FIND($A$2,Lines!AL41)-LEN($A$2)-1))</f>
        <v/>
      </c>
      <c r="AM41" s="66" t="str">
        <f>IF(ISERROR(FIND($A$2,Lines!AM41))=TRUE,"",MID(Lines!AM41,FIND($A$2,Lines!AM41)+LEN($A$2)+1,FIND(",",_xlfn.CONCAT(Lines!AM41,","),FIND($A$2,Lines!AM41))-FIND($A$2,Lines!AM41)-LEN($A$2)-1))</f>
        <v/>
      </c>
      <c r="AN41" s="43" t="str">
        <f>IF(ISERROR(FIND($A$2,Lines!AN41))=TRUE,"",MID(Lines!AN41,FIND($A$2,Lines!AN41)+LEN($A$2)+1,FIND(",",_xlfn.CONCAT(Lines!AN41,","),FIND($A$2,Lines!AN41))-FIND($A$2,Lines!AN41)-LEN($A$2)-1))</f>
        <v>7</v>
      </c>
      <c r="AO41" s="61" t="str">
        <f>IF(ISERROR(FIND($A$2,Lines!AO41))=TRUE,"",MID(Lines!AO41,FIND($A$2,Lines!AO41)+LEN($A$2)+1,FIND(",",_xlfn.CONCAT(Lines!AO41,","),FIND($A$2,Lines!AO41))-FIND($A$2,Lines!AO41)-LEN($A$2)-1))</f>
        <v>4</v>
      </c>
      <c r="AP41" s="30" t="str">
        <f>IF(ISERROR(FIND($A$2,Lines!AP41))=TRUE,"",MID(Lines!AP41,FIND($A$2,Lines!AP41)+LEN($A$2)+1,FIND(",",_xlfn.CONCAT(Lines!AP41,","),FIND($A$2,Lines!AP41))-FIND($A$2,Lines!AP41)-LEN($A$2)-1))</f>
        <v/>
      </c>
      <c r="AQ41" s="30" t="str">
        <f>IF(ISERROR(FIND($A$2,Lines!AQ41))=TRUE,"",MID(Lines!AQ41,FIND($A$2,Lines!AQ41)+LEN($A$2)+1,FIND(",",_xlfn.CONCAT(Lines!AQ41,","),FIND($A$2,Lines!AQ41))-FIND($A$2,Lines!AQ41)-LEN($A$2)-1))</f>
        <v/>
      </c>
      <c r="AR41" s="30" t="str">
        <f>IF(ISERROR(FIND($A$2,Lines!AR41))=TRUE,"",MID(Lines!AR41,FIND($A$2,Lines!AR41)+LEN($A$2)+1,FIND(",",_xlfn.CONCAT(Lines!AR41,","),FIND($A$2,Lines!AR41))-FIND($A$2,Lines!AR41)-LEN($A$2)-1))</f>
        <v/>
      </c>
      <c r="AS41" s="30" t="str">
        <f>IF(ISERROR(FIND($A$2,Lines!AS41))=TRUE,"",MID(Lines!AS41,FIND($A$2,Lines!AS41)+LEN($A$2)+1,FIND(",",_xlfn.CONCAT(Lines!AS41,","),FIND($A$2,Lines!AS41))-FIND($A$2,Lines!AS41)-LEN($A$2)-1))</f>
        <v/>
      </c>
      <c r="AT41" s="30" t="str">
        <f>IF(ISERROR(FIND($A$2,Lines!AT41))=TRUE,"",MID(Lines!AT41,FIND($A$2,Lines!AT41)+LEN($A$2)+1,FIND(",",_xlfn.CONCAT(Lines!AT41,","),FIND($A$2,Lines!AT41))-FIND($A$2,Lines!AT41)-LEN($A$2)-1))</f>
        <v/>
      </c>
    </row>
    <row r="42" spans="1:46" ht="20.25" customHeight="1">
      <c r="A42" s="2" t="s">
        <v>90</v>
      </c>
      <c r="B42" s="30" t="str">
        <f>IF(ISERROR(FIND($A$2,Lines!B42))=TRUE,"",MID(Lines!B42,FIND($A$2,Lines!B42)+LEN($A$2)+1,FIND(",",_xlfn.CONCAT(Lines!B42,","),FIND($A$2,Lines!B42))-FIND($A$2,Lines!B42)-LEN($A$2)-1))</f>
        <v/>
      </c>
      <c r="C42" s="30" t="str">
        <f>IF(ISERROR(FIND($A$2,Lines!C42))=TRUE,"",MID(Lines!C42,FIND($A$2,Lines!C42)+LEN($A$2)+1,FIND(",",_xlfn.CONCAT(Lines!C42,","),FIND($A$2,Lines!C42))-FIND($A$2,Lines!C42)-LEN($A$2)-1))</f>
        <v/>
      </c>
      <c r="D42" s="30" t="str">
        <f>IF(ISERROR(FIND($A$2,Lines!D42))=TRUE,"",MID(Lines!D42,FIND($A$2,Lines!D42)+LEN($A$2)+1,FIND(",",_xlfn.CONCAT(Lines!D42,","),FIND($A$2,Lines!D42))-FIND($A$2,Lines!D42)-LEN($A$2)-1))</f>
        <v/>
      </c>
      <c r="E42" s="30" t="str">
        <f>IF(ISERROR(FIND($A$2,Lines!E42))=TRUE,"",MID(Lines!E42,FIND($A$2,Lines!E42)+LEN($A$2)+1,FIND(",",_xlfn.CONCAT(Lines!E42,","),FIND($A$2,Lines!E42))-FIND($A$2,Lines!E42)-LEN($A$2)-1))</f>
        <v/>
      </c>
      <c r="F42" s="30" t="str">
        <f>IF(ISERROR(FIND($A$2,Lines!F42))=TRUE,"",MID(Lines!F42,FIND($A$2,Lines!F42)+LEN($A$2)+1,FIND(",",_xlfn.CONCAT(Lines!F42,","),FIND($A$2,Lines!F42))-FIND($A$2,Lines!F42)-LEN($A$2)-1))</f>
        <v/>
      </c>
      <c r="G42" s="30" t="str">
        <f>IF(ISERROR(FIND($A$2,Lines!G42))=TRUE,"",MID(Lines!G42,FIND($A$2,Lines!G42)+LEN($A$2)+1,FIND(",",_xlfn.CONCAT(Lines!G42,","),FIND($A$2,Lines!G42))-FIND($A$2,Lines!G42)-LEN($A$2)-1))</f>
        <v/>
      </c>
      <c r="H42" s="30" t="str">
        <f>IF(ISERROR(FIND($A$2,Lines!H42))=TRUE,"",MID(Lines!H42,FIND($A$2,Lines!H42)+LEN($A$2)+1,FIND(",",_xlfn.CONCAT(Lines!H42,","),FIND($A$2,Lines!H42))-FIND($A$2,Lines!H42)-LEN($A$2)-1))</f>
        <v/>
      </c>
      <c r="I42" s="30" t="str">
        <f>IF(ISERROR(FIND($A$2,Lines!I42))=TRUE,"",MID(Lines!I42,FIND($A$2,Lines!I42)+LEN($A$2)+1,FIND(",",_xlfn.CONCAT(Lines!I42,","),FIND($A$2,Lines!I42))-FIND($A$2,Lines!I42)-LEN($A$2)-1))</f>
        <v/>
      </c>
      <c r="J42" s="30" t="str">
        <f>IF(ISERROR(FIND($A$2,Lines!J42))=TRUE,"",MID(Lines!J42,FIND($A$2,Lines!J42)+LEN($A$2)+1,FIND(",",_xlfn.CONCAT(Lines!J42,","),FIND($A$2,Lines!J42))-FIND($A$2,Lines!J42)-LEN($A$2)-1))</f>
        <v/>
      </c>
      <c r="K42" s="30" t="str">
        <f>IF(ISERROR(FIND($A$2,Lines!K42))=TRUE,"",MID(Lines!K42,FIND($A$2,Lines!K42)+LEN($A$2)+1,FIND(",",_xlfn.CONCAT(Lines!K42,","),FIND($A$2,Lines!K42))-FIND($A$2,Lines!K42)-LEN($A$2)-1))</f>
        <v/>
      </c>
      <c r="L42" s="30" t="str">
        <f>IF(ISERROR(FIND($A$2,Lines!L42))=TRUE,"",MID(Lines!L42,FIND($A$2,Lines!L42)+LEN($A$2)+1,FIND(",",_xlfn.CONCAT(Lines!L42,","),FIND($A$2,Lines!L42))-FIND($A$2,Lines!L42)-LEN($A$2)-1))</f>
        <v/>
      </c>
      <c r="M42" s="30" t="str">
        <f>IF(ISERROR(FIND($A$2,Lines!M42))=TRUE,"",MID(Lines!M42,FIND($A$2,Lines!M42)+LEN($A$2)+1,FIND(",",_xlfn.CONCAT(Lines!M42,","),FIND($A$2,Lines!M42))-FIND($A$2,Lines!M42)-LEN($A$2)-1))</f>
        <v/>
      </c>
      <c r="N42" s="30" t="str">
        <f>IF(ISERROR(FIND($A$2,Lines!N42))=TRUE,"",MID(Lines!N42,FIND($A$2,Lines!N42)+LEN($A$2)+1,FIND(",",_xlfn.CONCAT(Lines!N42,","),FIND($A$2,Lines!N42))-FIND($A$2,Lines!N42)-LEN($A$2)-1))</f>
        <v/>
      </c>
      <c r="O42" s="30" t="str">
        <f>IF(ISERROR(FIND($A$2,Lines!O42))=TRUE,"",MID(Lines!O42,FIND($A$2,Lines!O42)+LEN($A$2)+1,FIND(",",_xlfn.CONCAT(Lines!O42,","),FIND($A$2,Lines!O42))-FIND($A$2,Lines!O42)-LEN($A$2)-1))</f>
        <v/>
      </c>
      <c r="P42" s="30" t="str">
        <f>IF(ISERROR(FIND($A$2,Lines!P42))=TRUE,"",MID(Lines!P42,FIND($A$2,Lines!P42)+LEN($A$2)+1,FIND(",",_xlfn.CONCAT(Lines!P42,","),FIND($A$2,Lines!P42))-FIND($A$2,Lines!P42)-LEN($A$2)-1))</f>
        <v/>
      </c>
      <c r="Q42" s="30" t="str">
        <f>IF(ISERROR(FIND($A$2,Lines!Q42))=TRUE,"",MID(Lines!Q42,FIND($A$2,Lines!Q42)+LEN($A$2)+1,FIND(",",_xlfn.CONCAT(Lines!Q42,","),FIND($A$2,Lines!Q42))-FIND($A$2,Lines!Q42)-LEN($A$2)-1))</f>
        <v/>
      </c>
      <c r="R42" s="30" t="str">
        <f>IF(ISERROR(FIND($A$2,Lines!R42))=TRUE,"",MID(Lines!R42,FIND($A$2,Lines!R42)+LEN($A$2)+1,FIND(",",_xlfn.CONCAT(Lines!R42,","),FIND($A$2,Lines!R42))-FIND($A$2,Lines!R42)-LEN($A$2)-1))</f>
        <v/>
      </c>
      <c r="S42" s="30" t="str">
        <f>IF(ISERROR(FIND($A$2,Lines!S42))=TRUE,"",MID(Lines!S42,FIND($A$2,Lines!S42)+LEN($A$2)+1,FIND(",",_xlfn.CONCAT(Lines!S42,","),FIND($A$2,Lines!S42))-FIND($A$2,Lines!S42)-LEN($A$2)-1))</f>
        <v/>
      </c>
      <c r="T42" s="30" t="str">
        <f>IF(ISERROR(FIND($A$2,Lines!T42))=TRUE,"",MID(Lines!T42,FIND($A$2,Lines!T42)+LEN($A$2)+1,FIND(",",_xlfn.CONCAT(Lines!T42,","),FIND($A$2,Lines!T42))-FIND($A$2,Lines!T42)-LEN($A$2)-1))</f>
        <v/>
      </c>
      <c r="U42" s="30" t="str">
        <f>IF(ISERROR(FIND($A$2,Lines!U42))=TRUE,"",MID(Lines!U42,FIND($A$2,Lines!U42)+LEN($A$2)+1,FIND(",",_xlfn.CONCAT(Lines!U42,","),FIND($A$2,Lines!U42))-FIND($A$2,Lines!U42)-LEN($A$2)-1))</f>
        <v/>
      </c>
      <c r="V42" s="30" t="str">
        <f>IF(ISERROR(FIND($A$2,Lines!V42))=TRUE,"",MID(Lines!V42,FIND($A$2,Lines!V42)+LEN($A$2)+1,FIND(",",_xlfn.CONCAT(Lines!V42,","),FIND($A$2,Lines!V42))-FIND($A$2,Lines!V42)-LEN($A$2)-1))</f>
        <v/>
      </c>
      <c r="W42" s="36" t="str">
        <f>IF(ISERROR(FIND($A$2,Lines!W42))=TRUE,"",MID(Lines!W42,FIND($A$2,Lines!W42)+LEN($A$2)+1,FIND(",",_xlfn.CONCAT(Lines!W42,","),FIND($A$2,Lines!W42))-FIND($A$2,Lines!W42)-LEN($A$2)-1))</f>
        <v/>
      </c>
      <c r="X42" s="30" t="str">
        <f>IF(ISERROR(FIND($A$2,Lines!X42))=TRUE,"",MID(Lines!X42,FIND($A$2,Lines!X42)+LEN($A$2)+1,FIND(",",_xlfn.CONCAT(Lines!X42,","),FIND($A$2,Lines!X42))-FIND($A$2,Lines!X42)-LEN($A$2)-1))</f>
        <v/>
      </c>
      <c r="Y42" s="30" t="str">
        <f>IF(ISERROR(FIND($A$2,Lines!Y42))=TRUE,"",MID(Lines!Y42,FIND($A$2,Lines!Y42)+LEN($A$2)+1,FIND(",",_xlfn.CONCAT(Lines!Y42,","),FIND($A$2,Lines!Y42))-FIND($A$2,Lines!Y42)-LEN($A$2)-1))</f>
        <v/>
      </c>
      <c r="Z42" s="30" t="str">
        <f>IF(ISERROR(FIND($A$2,Lines!Z42))=TRUE,"",MID(Lines!Z42,FIND($A$2,Lines!Z42)+LEN($A$2)+1,FIND(",",_xlfn.CONCAT(Lines!Z42,","),FIND($A$2,Lines!Z42))-FIND($A$2,Lines!Z42)-LEN($A$2)-1))</f>
        <v/>
      </c>
      <c r="AA42" s="30" t="str">
        <f>IF(ISERROR(FIND($A$2,Lines!AA42))=TRUE,"",MID(Lines!AA42,FIND($A$2,Lines!AA42)+LEN($A$2)+1,FIND(",",_xlfn.CONCAT(Lines!AA42,","),FIND($A$2,Lines!AA42))-FIND($A$2,Lines!AA42)-LEN($A$2)-1))</f>
        <v/>
      </c>
      <c r="AB42" s="30" t="str">
        <f>IF(ISERROR(FIND($A$2,Lines!AB42))=TRUE,"",MID(Lines!AB42,FIND($A$2,Lines!AB42)+LEN($A$2)+1,FIND(",",_xlfn.CONCAT(Lines!AB42,","),FIND($A$2,Lines!AB42))-FIND($A$2,Lines!AB42)-LEN($A$2)-1))</f>
        <v/>
      </c>
      <c r="AC42" s="30" t="str">
        <f>IF(ISERROR(FIND($A$2,Lines!AC42))=TRUE,"",MID(Lines!AC42,FIND($A$2,Lines!AC42)+LEN($A$2)+1,FIND(",",_xlfn.CONCAT(Lines!AC42,","),FIND($A$2,Lines!AC42))-FIND($A$2,Lines!AC42)-LEN($A$2)-1))</f>
        <v/>
      </c>
      <c r="AD42" s="30" t="str">
        <f>IF(ISERROR(FIND($A$2,Lines!AD42))=TRUE,"",MID(Lines!AD42,FIND($A$2,Lines!AD42)+LEN($A$2)+1,FIND(",",_xlfn.CONCAT(Lines!AD42,","),FIND($A$2,Lines!AD42))-FIND($A$2,Lines!AD42)-LEN($A$2)-1))</f>
        <v/>
      </c>
      <c r="AE42" s="30" t="str">
        <f>IF(ISERROR(FIND($A$2,Lines!AE42))=TRUE,"",MID(Lines!AE42,FIND($A$2,Lines!AE42)+LEN($A$2)+1,FIND(",",_xlfn.CONCAT(Lines!AE42,","),FIND($A$2,Lines!AE42))-FIND($A$2,Lines!AE42)-LEN($A$2)-1))</f>
        <v/>
      </c>
      <c r="AF42" s="30" t="str">
        <f>IF(ISERROR(FIND($A$2,Lines!AF42))=TRUE,"",MID(Lines!AF42,FIND($A$2,Lines!AF42)+LEN($A$2)+1,FIND(",",_xlfn.CONCAT(Lines!AF42,","),FIND($A$2,Lines!AF42))-FIND($A$2,Lines!AF42)-LEN($A$2)-1))</f>
        <v/>
      </c>
      <c r="AG42" s="30" t="str">
        <f>IF(ISERROR(FIND($A$2,Lines!AG42))=TRUE,"",MID(Lines!AG42,FIND($A$2,Lines!AG42)+LEN($A$2)+1,FIND(",",_xlfn.CONCAT(Lines!AG42,","),FIND($A$2,Lines!AG42))-FIND($A$2,Lines!AG42)-LEN($A$2)-1))</f>
        <v/>
      </c>
      <c r="AH42" s="30" t="str">
        <f>IF(ISERROR(FIND($A$2,Lines!AH42))=TRUE,"",MID(Lines!AH42,FIND($A$2,Lines!AH42)+LEN($A$2)+1,FIND(",",_xlfn.CONCAT(Lines!AH42,","),FIND($A$2,Lines!AH42))-FIND($A$2,Lines!AH42)-LEN($A$2)-1))</f>
        <v/>
      </c>
      <c r="AI42" s="30" t="str">
        <f>IF(ISERROR(FIND($A$2,Lines!AI42))=TRUE,"",MID(Lines!AI42,FIND($A$2,Lines!AI42)+LEN($A$2)+1,FIND(",",_xlfn.CONCAT(Lines!AI42,","),FIND($A$2,Lines!AI42))-FIND($A$2,Lines!AI42)-LEN($A$2)-1))</f>
        <v/>
      </c>
      <c r="AJ42" s="30" t="str">
        <f>IF(ISERROR(FIND($A$2,Lines!AJ42))=TRUE,"",MID(Lines!AJ42,FIND($A$2,Lines!AJ42)+LEN($A$2)+1,FIND(",",_xlfn.CONCAT(Lines!AJ42,","),FIND($A$2,Lines!AJ42))-FIND($A$2,Lines!AJ42)-LEN($A$2)-1))</f>
        <v/>
      </c>
      <c r="AK42" s="54" t="str">
        <f>IF(ISERROR(FIND($A$2,Lines!AK42))=TRUE,"",MID(Lines!AK42,FIND($A$2,Lines!AK42)+LEN($A$2)+1,FIND(",",_xlfn.CONCAT(Lines!AK42,","),FIND($A$2,Lines!AK42))-FIND($A$2,Lines!AK42)-LEN($A$2)-1))</f>
        <v>4</v>
      </c>
      <c r="AL42" s="43" t="str">
        <f>IF(ISERROR(FIND($A$2,Lines!AL42))=TRUE,"",MID(Lines!AL42,FIND($A$2,Lines!AL42)+LEN($A$2)+1,FIND(",",_xlfn.CONCAT(Lines!AL42,","),FIND($A$2,Lines!AL42))-FIND($A$2,Lines!AL42)-LEN($A$2)-1))</f>
        <v/>
      </c>
      <c r="AM42" s="43" t="str">
        <f>IF(ISERROR(FIND($A$2,Lines!AM42))=TRUE,"",MID(Lines!AM42,FIND($A$2,Lines!AM42)+LEN($A$2)+1,FIND(",",_xlfn.CONCAT(Lines!AM42,","),FIND($A$2,Lines!AM42))-FIND($A$2,Lines!AM42)-LEN($A$2)-1))</f>
        <v>7</v>
      </c>
      <c r="AN42" s="66" t="str">
        <f>IF(ISERROR(FIND($A$2,Lines!AN42))=TRUE,"",MID(Lines!AN42,FIND($A$2,Lines!AN42)+LEN($A$2)+1,FIND(",",_xlfn.CONCAT(Lines!AN42,","),FIND($A$2,Lines!AN42))-FIND($A$2,Lines!AN42)-LEN($A$2)-1))</f>
        <v/>
      </c>
      <c r="AO42" s="61" t="str">
        <f>IF(ISERROR(FIND($A$2,Lines!AO42))=TRUE,"",MID(Lines!AO42,FIND($A$2,Lines!AO42)+LEN($A$2)+1,FIND(",",_xlfn.CONCAT(Lines!AO42,","),FIND($A$2,Lines!AO42))-FIND($A$2,Lines!AO42)-LEN($A$2)-1))</f>
        <v/>
      </c>
      <c r="AP42" s="30" t="str">
        <f>IF(ISERROR(FIND($A$2,Lines!AP42))=TRUE,"",MID(Lines!AP42,FIND($A$2,Lines!AP42)+LEN($A$2)+1,FIND(",",_xlfn.CONCAT(Lines!AP42,","),FIND($A$2,Lines!AP42))-FIND($A$2,Lines!AP42)-LEN($A$2)-1))</f>
        <v/>
      </c>
      <c r="AQ42" s="30" t="str">
        <f>IF(ISERROR(FIND($A$2,Lines!AQ42))=TRUE,"",MID(Lines!AQ42,FIND($A$2,Lines!AQ42)+LEN($A$2)+1,FIND(",",_xlfn.CONCAT(Lines!AQ42,","),FIND($A$2,Lines!AQ42))-FIND($A$2,Lines!AQ42)-LEN($A$2)-1))</f>
        <v/>
      </c>
      <c r="AR42" s="30" t="str">
        <f>IF(ISERROR(FIND($A$2,Lines!AR42))=TRUE,"",MID(Lines!AR42,FIND($A$2,Lines!AR42)+LEN($A$2)+1,FIND(",",_xlfn.CONCAT(Lines!AR42,","),FIND($A$2,Lines!AR42))-FIND($A$2,Lines!AR42)-LEN($A$2)-1))</f>
        <v/>
      </c>
      <c r="AS42" s="30" t="str">
        <f>IF(ISERROR(FIND($A$2,Lines!AS42))=TRUE,"",MID(Lines!AS42,FIND($A$2,Lines!AS42)+LEN($A$2)+1,FIND(",",_xlfn.CONCAT(Lines!AS42,","),FIND($A$2,Lines!AS42))-FIND($A$2,Lines!AS42)-LEN($A$2)-1))</f>
        <v/>
      </c>
      <c r="AT42" s="30" t="str">
        <f>IF(ISERROR(FIND($A$2,Lines!AT42))=TRUE,"",MID(Lines!AT42,FIND($A$2,Lines!AT42)+LEN($A$2)+1,FIND(",",_xlfn.CONCAT(Lines!AT42,","),FIND($A$2,Lines!AT42))-FIND($A$2,Lines!AT42)-LEN($A$2)-1))</f>
        <v/>
      </c>
    </row>
    <row r="43" spans="1:46" ht="20.25" customHeight="1">
      <c r="A43" s="2" t="s">
        <v>91</v>
      </c>
      <c r="B43" s="30" t="str">
        <f>IF(ISERROR(FIND($A$2,Lines!B43))=TRUE,"",MID(Lines!B43,FIND($A$2,Lines!B43)+LEN($A$2)+1,FIND(",",_xlfn.CONCAT(Lines!B43,","),FIND($A$2,Lines!B43))-FIND($A$2,Lines!B43)-LEN($A$2)-1))</f>
        <v/>
      </c>
      <c r="C43" s="30" t="str">
        <f>IF(ISERROR(FIND($A$2,Lines!C43))=TRUE,"",MID(Lines!C43,FIND($A$2,Lines!C43)+LEN($A$2)+1,FIND(",",_xlfn.CONCAT(Lines!C43,","),FIND($A$2,Lines!C43))-FIND($A$2,Lines!C43)-LEN($A$2)-1))</f>
        <v/>
      </c>
      <c r="D43" s="30" t="str">
        <f>IF(ISERROR(FIND($A$2,Lines!D43))=TRUE,"",MID(Lines!D43,FIND($A$2,Lines!D43)+LEN($A$2)+1,FIND(",",_xlfn.CONCAT(Lines!D43,","),FIND($A$2,Lines!D43))-FIND($A$2,Lines!D43)-LEN($A$2)-1))</f>
        <v/>
      </c>
      <c r="E43" s="30" t="str">
        <f>IF(ISERROR(FIND($A$2,Lines!E43))=TRUE,"",MID(Lines!E43,FIND($A$2,Lines!E43)+LEN($A$2)+1,FIND(",",_xlfn.CONCAT(Lines!E43,","),FIND($A$2,Lines!E43))-FIND($A$2,Lines!E43)-LEN($A$2)-1))</f>
        <v/>
      </c>
      <c r="F43" s="30" t="str">
        <f>IF(ISERROR(FIND($A$2,Lines!F43))=TRUE,"",MID(Lines!F43,FIND($A$2,Lines!F43)+LEN($A$2)+1,FIND(",",_xlfn.CONCAT(Lines!F43,","),FIND($A$2,Lines!F43))-FIND($A$2,Lines!F43)-LEN($A$2)-1))</f>
        <v/>
      </c>
      <c r="G43" s="30" t="str">
        <f>IF(ISERROR(FIND($A$2,Lines!G43))=TRUE,"",MID(Lines!G43,FIND($A$2,Lines!G43)+LEN($A$2)+1,FIND(",",_xlfn.CONCAT(Lines!G43,","),FIND($A$2,Lines!G43))-FIND($A$2,Lines!G43)-LEN($A$2)-1))</f>
        <v/>
      </c>
      <c r="H43" s="30" t="str">
        <f>IF(ISERROR(FIND($A$2,Lines!H43))=TRUE,"",MID(Lines!H43,FIND($A$2,Lines!H43)+LEN($A$2)+1,FIND(",",_xlfn.CONCAT(Lines!H43,","),FIND($A$2,Lines!H43))-FIND($A$2,Lines!H43)-LEN($A$2)-1))</f>
        <v/>
      </c>
      <c r="I43" s="30" t="str">
        <f>IF(ISERROR(FIND($A$2,Lines!I43))=TRUE,"",MID(Lines!I43,FIND($A$2,Lines!I43)+LEN($A$2)+1,FIND(",",_xlfn.CONCAT(Lines!I43,","),FIND($A$2,Lines!I43))-FIND($A$2,Lines!I43)-LEN($A$2)-1))</f>
        <v/>
      </c>
      <c r="J43" s="30" t="str">
        <f>IF(ISERROR(FIND($A$2,Lines!J43))=TRUE,"",MID(Lines!J43,FIND($A$2,Lines!J43)+LEN($A$2)+1,FIND(",",_xlfn.CONCAT(Lines!J43,","),FIND($A$2,Lines!J43))-FIND($A$2,Lines!J43)-LEN($A$2)-1))</f>
        <v/>
      </c>
      <c r="K43" s="30" t="str">
        <f>IF(ISERROR(FIND($A$2,Lines!K43))=TRUE,"",MID(Lines!K43,FIND($A$2,Lines!K43)+LEN($A$2)+1,FIND(",",_xlfn.CONCAT(Lines!K43,","),FIND($A$2,Lines!K43))-FIND($A$2,Lines!K43)-LEN($A$2)-1))</f>
        <v/>
      </c>
      <c r="L43" s="30" t="str">
        <f>IF(ISERROR(FIND($A$2,Lines!L43))=TRUE,"",MID(Lines!L43,FIND($A$2,Lines!L43)+LEN($A$2)+1,FIND(",",_xlfn.CONCAT(Lines!L43,","),FIND($A$2,Lines!L43))-FIND($A$2,Lines!L43)-LEN($A$2)-1))</f>
        <v/>
      </c>
      <c r="M43" s="30" t="str">
        <f>IF(ISERROR(FIND($A$2,Lines!M43))=TRUE,"",MID(Lines!M43,FIND($A$2,Lines!M43)+LEN($A$2)+1,FIND(",",_xlfn.CONCAT(Lines!M43,","),FIND($A$2,Lines!M43))-FIND($A$2,Lines!M43)-LEN($A$2)-1))</f>
        <v/>
      </c>
      <c r="N43" s="30" t="str">
        <f>IF(ISERROR(FIND($A$2,Lines!N43))=TRUE,"",MID(Lines!N43,FIND($A$2,Lines!N43)+LEN($A$2)+1,FIND(",",_xlfn.CONCAT(Lines!N43,","),FIND($A$2,Lines!N43))-FIND($A$2,Lines!N43)-LEN($A$2)-1))</f>
        <v/>
      </c>
      <c r="O43" s="30" t="str">
        <f>IF(ISERROR(FIND($A$2,Lines!O43))=TRUE,"",MID(Lines!O43,FIND($A$2,Lines!O43)+LEN($A$2)+1,FIND(",",_xlfn.CONCAT(Lines!O43,","),FIND($A$2,Lines!O43))-FIND($A$2,Lines!O43)-LEN($A$2)-1))</f>
        <v/>
      </c>
      <c r="P43" s="30" t="str">
        <f>IF(ISERROR(FIND($A$2,Lines!P43))=TRUE,"",MID(Lines!P43,FIND($A$2,Lines!P43)+LEN($A$2)+1,FIND(",",_xlfn.CONCAT(Lines!P43,","),FIND($A$2,Lines!P43))-FIND($A$2,Lines!P43)-LEN($A$2)-1))</f>
        <v/>
      </c>
      <c r="Q43" s="30" t="str">
        <f>IF(ISERROR(FIND($A$2,Lines!Q43))=TRUE,"",MID(Lines!Q43,FIND($A$2,Lines!Q43)+LEN($A$2)+1,FIND(",",_xlfn.CONCAT(Lines!Q43,","),FIND($A$2,Lines!Q43))-FIND($A$2,Lines!Q43)-LEN($A$2)-1))</f>
        <v/>
      </c>
      <c r="R43" s="30" t="str">
        <f>IF(ISERROR(FIND($A$2,Lines!R43))=TRUE,"",MID(Lines!R43,FIND($A$2,Lines!R43)+LEN($A$2)+1,FIND(",",_xlfn.CONCAT(Lines!R43,","),FIND($A$2,Lines!R43))-FIND($A$2,Lines!R43)-LEN($A$2)-1))</f>
        <v/>
      </c>
      <c r="S43" s="30" t="str">
        <f>IF(ISERROR(FIND($A$2,Lines!S43))=TRUE,"",MID(Lines!S43,FIND($A$2,Lines!S43)+LEN($A$2)+1,FIND(",",_xlfn.CONCAT(Lines!S43,","),FIND($A$2,Lines!S43))-FIND($A$2,Lines!S43)-LEN($A$2)-1))</f>
        <v/>
      </c>
      <c r="T43" s="30" t="str">
        <f>IF(ISERROR(FIND($A$2,Lines!T43))=TRUE,"",MID(Lines!T43,FIND($A$2,Lines!T43)+LEN($A$2)+1,FIND(",",_xlfn.CONCAT(Lines!T43,","),FIND($A$2,Lines!T43))-FIND($A$2,Lines!T43)-LEN($A$2)-1))</f>
        <v/>
      </c>
      <c r="U43" s="30" t="str">
        <f>IF(ISERROR(FIND($A$2,Lines!U43))=TRUE,"",MID(Lines!U43,FIND($A$2,Lines!U43)+LEN($A$2)+1,FIND(",",_xlfn.CONCAT(Lines!U43,","),FIND($A$2,Lines!U43))-FIND($A$2,Lines!U43)-LEN($A$2)-1))</f>
        <v/>
      </c>
      <c r="V43" s="30" t="str">
        <f>IF(ISERROR(FIND($A$2,Lines!V43))=TRUE,"",MID(Lines!V43,FIND($A$2,Lines!V43)+LEN($A$2)+1,FIND(",",_xlfn.CONCAT(Lines!V43,","),FIND($A$2,Lines!V43))-FIND($A$2,Lines!V43)-LEN($A$2)-1))</f>
        <v/>
      </c>
      <c r="W43" s="36" t="str">
        <f>IF(ISERROR(FIND($A$2,Lines!W43))=TRUE,"",MID(Lines!W43,FIND($A$2,Lines!W43)+LEN($A$2)+1,FIND(",",_xlfn.CONCAT(Lines!W43,","),FIND($A$2,Lines!W43))-FIND($A$2,Lines!W43)-LEN($A$2)-1))</f>
        <v/>
      </c>
      <c r="X43" s="30" t="str">
        <f>IF(ISERROR(FIND($A$2,Lines!X43))=TRUE,"",MID(Lines!X43,FIND($A$2,Lines!X43)+LEN($A$2)+1,FIND(",",_xlfn.CONCAT(Lines!X43,","),FIND($A$2,Lines!X43))-FIND($A$2,Lines!X43)-LEN($A$2)-1))</f>
        <v/>
      </c>
      <c r="Y43" s="30" t="str">
        <f>IF(ISERROR(FIND($A$2,Lines!Y43))=TRUE,"",MID(Lines!Y43,FIND($A$2,Lines!Y43)+LEN($A$2)+1,FIND(",",_xlfn.CONCAT(Lines!Y43,","),FIND($A$2,Lines!Y43))-FIND($A$2,Lines!Y43)-LEN($A$2)-1))</f>
        <v/>
      </c>
      <c r="Z43" s="30" t="str">
        <f>IF(ISERROR(FIND($A$2,Lines!Z43))=TRUE,"",MID(Lines!Z43,FIND($A$2,Lines!Z43)+LEN($A$2)+1,FIND(",",_xlfn.CONCAT(Lines!Z43,","),FIND($A$2,Lines!Z43))-FIND($A$2,Lines!Z43)-LEN($A$2)-1))</f>
        <v/>
      </c>
      <c r="AA43" s="30" t="str">
        <f>IF(ISERROR(FIND($A$2,Lines!AA43))=TRUE,"",MID(Lines!AA43,FIND($A$2,Lines!AA43)+LEN($A$2)+1,FIND(",",_xlfn.CONCAT(Lines!AA43,","),FIND($A$2,Lines!AA43))-FIND($A$2,Lines!AA43)-LEN($A$2)-1))</f>
        <v/>
      </c>
      <c r="AB43" s="30" t="str">
        <f>IF(ISERROR(FIND($A$2,Lines!AB43))=TRUE,"",MID(Lines!AB43,FIND($A$2,Lines!AB43)+LEN($A$2)+1,FIND(",",_xlfn.CONCAT(Lines!AB43,","),FIND($A$2,Lines!AB43))-FIND($A$2,Lines!AB43)-LEN($A$2)-1))</f>
        <v/>
      </c>
      <c r="AC43" s="30" t="str">
        <f>IF(ISERROR(FIND($A$2,Lines!AC43))=TRUE,"",MID(Lines!AC43,FIND($A$2,Lines!AC43)+LEN($A$2)+1,FIND(",",_xlfn.CONCAT(Lines!AC43,","),FIND($A$2,Lines!AC43))-FIND($A$2,Lines!AC43)-LEN($A$2)-1))</f>
        <v/>
      </c>
      <c r="AD43" s="30" t="str">
        <f>IF(ISERROR(FIND($A$2,Lines!AD43))=TRUE,"",MID(Lines!AD43,FIND($A$2,Lines!AD43)+LEN($A$2)+1,FIND(",",_xlfn.CONCAT(Lines!AD43,","),FIND($A$2,Lines!AD43))-FIND($A$2,Lines!AD43)-LEN($A$2)-1))</f>
        <v/>
      </c>
      <c r="AE43" s="30" t="str">
        <f>IF(ISERROR(FIND($A$2,Lines!AE43))=TRUE,"",MID(Lines!AE43,FIND($A$2,Lines!AE43)+LEN($A$2)+1,FIND(",",_xlfn.CONCAT(Lines!AE43,","),FIND($A$2,Lines!AE43))-FIND($A$2,Lines!AE43)-LEN($A$2)-1))</f>
        <v/>
      </c>
      <c r="AF43" s="30" t="str">
        <f>IF(ISERROR(FIND($A$2,Lines!AF43))=TRUE,"",MID(Lines!AF43,FIND($A$2,Lines!AF43)+LEN($A$2)+1,FIND(",",_xlfn.CONCAT(Lines!AF43,","),FIND($A$2,Lines!AF43))-FIND($A$2,Lines!AF43)-LEN($A$2)-1))</f>
        <v/>
      </c>
      <c r="AG43" s="30" t="str">
        <f>IF(ISERROR(FIND($A$2,Lines!AG43))=TRUE,"",MID(Lines!AG43,FIND($A$2,Lines!AG43)+LEN($A$2)+1,FIND(",",_xlfn.CONCAT(Lines!AG43,","),FIND($A$2,Lines!AG43))-FIND($A$2,Lines!AG43)-LEN($A$2)-1))</f>
        <v/>
      </c>
      <c r="AH43" s="30" t="str">
        <f>IF(ISERROR(FIND($A$2,Lines!AH43))=TRUE,"",MID(Lines!AH43,FIND($A$2,Lines!AH43)+LEN($A$2)+1,FIND(",",_xlfn.CONCAT(Lines!AH43,","),FIND($A$2,Lines!AH43))-FIND($A$2,Lines!AH43)-LEN($A$2)-1))</f>
        <v/>
      </c>
      <c r="AI43" s="30" t="str">
        <f>IF(ISERROR(FIND($A$2,Lines!AI43))=TRUE,"",MID(Lines!AI43,FIND($A$2,Lines!AI43)+LEN($A$2)+1,FIND(",",_xlfn.CONCAT(Lines!AI43,","),FIND($A$2,Lines!AI43))-FIND($A$2,Lines!AI43)-LEN($A$2)-1))</f>
        <v/>
      </c>
      <c r="AJ43" s="30" t="str">
        <f>IF(ISERROR(FIND($A$2,Lines!AJ43))=TRUE,"",MID(Lines!AJ43,FIND($A$2,Lines!AJ43)+LEN($A$2)+1,FIND(",",_xlfn.CONCAT(Lines!AJ43,","),FIND($A$2,Lines!AJ43))-FIND($A$2,Lines!AJ43)-LEN($A$2)-1))</f>
        <v/>
      </c>
      <c r="AK43" s="58" t="str">
        <f>IF(ISERROR(FIND($A$2,Lines!AK43))=TRUE,"",MID(Lines!AK43,FIND($A$2,Lines!AK43)+LEN($A$2)+1,FIND(",",_xlfn.CONCAT(Lines!AK43,","),FIND($A$2,Lines!AK43))-FIND($A$2,Lines!AK43)-LEN($A$2)-1))</f>
        <v>4</v>
      </c>
      <c r="AL43" s="59" t="str">
        <f>IF(ISERROR(FIND($A$2,Lines!AL43))=TRUE,"",MID(Lines!AL43,FIND($A$2,Lines!AL43)+LEN($A$2)+1,FIND(",",_xlfn.CONCAT(Lines!AL43,","),FIND($A$2,Lines!AL43))-FIND($A$2,Lines!AL43)-LEN($A$2)-1))</f>
        <v/>
      </c>
      <c r="AM43" s="59" t="str">
        <f>IF(ISERROR(FIND($A$2,Lines!AM43))=TRUE,"",MID(Lines!AM43,FIND($A$2,Lines!AM43)+LEN($A$2)+1,FIND(",",_xlfn.CONCAT(Lines!AM43,","),FIND($A$2,Lines!AM43))-FIND($A$2,Lines!AM43)-LEN($A$2)-1))</f>
        <v>4</v>
      </c>
      <c r="AN43" s="59" t="str">
        <f>IF(ISERROR(FIND($A$2,Lines!AN43))=TRUE,"",MID(Lines!AN43,FIND($A$2,Lines!AN43)+LEN($A$2)+1,FIND(",",_xlfn.CONCAT(Lines!AN43,","),FIND($A$2,Lines!AN43))-FIND($A$2,Lines!AN43)-LEN($A$2)-1))</f>
        <v/>
      </c>
      <c r="AO43" s="67" t="str">
        <f>IF(ISERROR(FIND($A$2,Lines!AO43))=TRUE,"",MID(Lines!AO43,FIND($A$2,Lines!AO43)+LEN($A$2)+1,FIND(",",_xlfn.CONCAT(Lines!AO43,","),FIND($A$2,Lines!AO43))-FIND($A$2,Lines!AO43)-LEN($A$2)-1))</f>
        <v/>
      </c>
      <c r="AP43" s="45" t="str">
        <f>IF(ISERROR(FIND($A$2,Lines!AP43))=TRUE,"",MID(Lines!AP43,FIND($A$2,Lines!AP43)+LEN($A$2)+1,FIND(",",_xlfn.CONCAT(Lines!AP43,","),FIND($A$2,Lines!AP43))-FIND($A$2,Lines!AP43)-LEN($A$2)-1))</f>
        <v/>
      </c>
      <c r="AQ43" s="30" t="str">
        <f>IF(ISERROR(FIND($A$2,Lines!AQ43))=TRUE,"",MID(Lines!AQ43,FIND($A$2,Lines!AQ43)+LEN($A$2)+1,FIND(",",_xlfn.CONCAT(Lines!AQ43,","),FIND($A$2,Lines!AQ43))-FIND($A$2,Lines!AQ43)-LEN($A$2)-1))</f>
        <v/>
      </c>
      <c r="AR43" s="30" t="str">
        <f>IF(ISERROR(FIND($A$2,Lines!AR43))=TRUE,"",MID(Lines!AR43,FIND($A$2,Lines!AR43)+LEN($A$2)+1,FIND(",",_xlfn.CONCAT(Lines!AR43,","),FIND($A$2,Lines!AR43))-FIND($A$2,Lines!AR43)-LEN($A$2)-1))</f>
        <v/>
      </c>
      <c r="AS43" s="30" t="str">
        <f>IF(ISERROR(FIND($A$2,Lines!AS43))=TRUE,"",MID(Lines!AS43,FIND($A$2,Lines!AS43)+LEN($A$2)+1,FIND(",",_xlfn.CONCAT(Lines!AS43,","),FIND($A$2,Lines!AS43))-FIND($A$2,Lines!AS43)-LEN($A$2)-1))</f>
        <v/>
      </c>
      <c r="AT43" s="30" t="str">
        <f>IF(ISERROR(FIND($A$2,Lines!AT43))=TRUE,"",MID(Lines!AT43,FIND($A$2,Lines!AT43)+LEN($A$2)+1,FIND(",",_xlfn.CONCAT(Lines!AT43,","),FIND($A$2,Lines!AT43))-FIND($A$2,Lines!AT43)-LEN($A$2)-1))</f>
        <v/>
      </c>
    </row>
    <row r="44" spans="1:46" ht="20.25" customHeight="1">
      <c r="A44" s="2" t="s">
        <v>92</v>
      </c>
      <c r="B44" s="30" t="str">
        <f>IF(ISERROR(FIND($A$2,Lines!B44))=TRUE,"",MID(Lines!B44,FIND($A$2,Lines!B44)+LEN($A$2)+1,FIND(",",_xlfn.CONCAT(Lines!B44,","),FIND($A$2,Lines!B44))-FIND($A$2,Lines!B44)-LEN($A$2)-1))</f>
        <v/>
      </c>
      <c r="C44" s="30" t="str">
        <f>IF(ISERROR(FIND($A$2,Lines!C44))=TRUE,"",MID(Lines!C44,FIND($A$2,Lines!C44)+LEN($A$2)+1,FIND(",",_xlfn.CONCAT(Lines!C44,","),FIND($A$2,Lines!C44))-FIND($A$2,Lines!C44)-LEN($A$2)-1))</f>
        <v/>
      </c>
      <c r="D44" s="30" t="str">
        <f>IF(ISERROR(FIND($A$2,Lines!D44))=TRUE,"",MID(Lines!D44,FIND($A$2,Lines!D44)+LEN($A$2)+1,FIND(",",_xlfn.CONCAT(Lines!D44,","),FIND($A$2,Lines!D44))-FIND($A$2,Lines!D44)-LEN($A$2)-1))</f>
        <v/>
      </c>
      <c r="E44" s="30" t="str">
        <f>IF(ISERROR(FIND($A$2,Lines!E44))=TRUE,"",MID(Lines!E44,FIND($A$2,Lines!E44)+LEN($A$2)+1,FIND(",",_xlfn.CONCAT(Lines!E44,","),FIND($A$2,Lines!E44))-FIND($A$2,Lines!E44)-LEN($A$2)-1))</f>
        <v/>
      </c>
      <c r="F44" s="30" t="str">
        <f>IF(ISERROR(FIND($A$2,Lines!F44))=TRUE,"",MID(Lines!F44,FIND($A$2,Lines!F44)+LEN($A$2)+1,FIND(",",_xlfn.CONCAT(Lines!F44,","),FIND($A$2,Lines!F44))-FIND($A$2,Lines!F44)-LEN($A$2)-1))</f>
        <v/>
      </c>
      <c r="G44" s="30" t="str">
        <f>IF(ISERROR(FIND($A$2,Lines!G44))=TRUE,"",MID(Lines!G44,FIND($A$2,Lines!G44)+LEN($A$2)+1,FIND(",",_xlfn.CONCAT(Lines!G44,","),FIND($A$2,Lines!G44))-FIND($A$2,Lines!G44)-LEN($A$2)-1))</f>
        <v/>
      </c>
      <c r="H44" s="30" t="str">
        <f>IF(ISERROR(FIND($A$2,Lines!H44))=TRUE,"",MID(Lines!H44,FIND($A$2,Lines!H44)+LEN($A$2)+1,FIND(",",_xlfn.CONCAT(Lines!H44,","),FIND($A$2,Lines!H44))-FIND($A$2,Lines!H44)-LEN($A$2)-1))</f>
        <v/>
      </c>
      <c r="I44" s="30" t="str">
        <f>IF(ISERROR(FIND($A$2,Lines!I44))=TRUE,"",MID(Lines!I44,FIND($A$2,Lines!I44)+LEN($A$2)+1,FIND(",",_xlfn.CONCAT(Lines!I44,","),FIND($A$2,Lines!I44))-FIND($A$2,Lines!I44)-LEN($A$2)-1))</f>
        <v/>
      </c>
      <c r="J44" s="30" t="str">
        <f>IF(ISERROR(FIND($A$2,Lines!J44))=TRUE,"",MID(Lines!J44,FIND($A$2,Lines!J44)+LEN($A$2)+1,FIND(",",_xlfn.CONCAT(Lines!J44,","),FIND($A$2,Lines!J44))-FIND($A$2,Lines!J44)-LEN($A$2)-1))</f>
        <v/>
      </c>
      <c r="K44" s="30" t="str">
        <f>IF(ISERROR(FIND($A$2,Lines!K44))=TRUE,"",MID(Lines!K44,FIND($A$2,Lines!K44)+LEN($A$2)+1,FIND(",",_xlfn.CONCAT(Lines!K44,","),FIND($A$2,Lines!K44))-FIND($A$2,Lines!K44)-LEN($A$2)-1))</f>
        <v/>
      </c>
      <c r="L44" s="30" t="str">
        <f>IF(ISERROR(FIND($A$2,Lines!L44))=TRUE,"",MID(Lines!L44,FIND($A$2,Lines!L44)+LEN($A$2)+1,FIND(",",_xlfn.CONCAT(Lines!L44,","),FIND($A$2,Lines!L44))-FIND($A$2,Lines!L44)-LEN($A$2)-1))</f>
        <v/>
      </c>
      <c r="M44" s="30" t="str">
        <f>IF(ISERROR(FIND($A$2,Lines!M44))=TRUE,"",MID(Lines!M44,FIND($A$2,Lines!M44)+LEN($A$2)+1,FIND(",",_xlfn.CONCAT(Lines!M44,","),FIND($A$2,Lines!M44))-FIND($A$2,Lines!M44)-LEN($A$2)-1))</f>
        <v/>
      </c>
      <c r="N44" s="30" t="str">
        <f>IF(ISERROR(FIND($A$2,Lines!N44))=TRUE,"",MID(Lines!N44,FIND($A$2,Lines!N44)+LEN($A$2)+1,FIND(",",_xlfn.CONCAT(Lines!N44,","),FIND($A$2,Lines!N44))-FIND($A$2,Lines!N44)-LEN($A$2)-1))</f>
        <v/>
      </c>
      <c r="O44" s="30" t="str">
        <f>IF(ISERROR(FIND($A$2,Lines!O44))=TRUE,"",MID(Lines!O44,FIND($A$2,Lines!O44)+LEN($A$2)+1,FIND(",",_xlfn.CONCAT(Lines!O44,","),FIND($A$2,Lines!O44))-FIND($A$2,Lines!O44)-LEN($A$2)-1))</f>
        <v/>
      </c>
      <c r="P44" s="30" t="str">
        <f>IF(ISERROR(FIND($A$2,Lines!P44))=TRUE,"",MID(Lines!P44,FIND($A$2,Lines!P44)+LEN($A$2)+1,FIND(",",_xlfn.CONCAT(Lines!P44,","),FIND($A$2,Lines!P44))-FIND($A$2,Lines!P44)-LEN($A$2)-1))</f>
        <v/>
      </c>
      <c r="Q44" s="30" t="str">
        <f>IF(ISERROR(FIND($A$2,Lines!Q44))=TRUE,"",MID(Lines!Q44,FIND($A$2,Lines!Q44)+LEN($A$2)+1,FIND(",",_xlfn.CONCAT(Lines!Q44,","),FIND($A$2,Lines!Q44))-FIND($A$2,Lines!Q44)-LEN($A$2)-1))</f>
        <v/>
      </c>
      <c r="R44" s="30" t="str">
        <f>IF(ISERROR(FIND($A$2,Lines!R44))=TRUE,"",MID(Lines!R44,FIND($A$2,Lines!R44)+LEN($A$2)+1,FIND(",",_xlfn.CONCAT(Lines!R44,","),FIND($A$2,Lines!R44))-FIND($A$2,Lines!R44)-LEN($A$2)-1))</f>
        <v/>
      </c>
      <c r="S44" s="30" t="str">
        <f>IF(ISERROR(FIND($A$2,Lines!S44))=TRUE,"",MID(Lines!S44,FIND($A$2,Lines!S44)+LEN($A$2)+1,FIND(",",_xlfn.CONCAT(Lines!S44,","),FIND($A$2,Lines!S44))-FIND($A$2,Lines!S44)-LEN($A$2)-1))</f>
        <v/>
      </c>
      <c r="T44" s="30" t="str">
        <f>IF(ISERROR(FIND($A$2,Lines!T44))=TRUE,"",MID(Lines!T44,FIND($A$2,Lines!T44)+LEN($A$2)+1,FIND(",",_xlfn.CONCAT(Lines!T44,","),FIND($A$2,Lines!T44))-FIND($A$2,Lines!T44)-LEN($A$2)-1))</f>
        <v/>
      </c>
      <c r="U44" s="30" t="str">
        <f>IF(ISERROR(FIND($A$2,Lines!U44))=TRUE,"",MID(Lines!U44,FIND($A$2,Lines!U44)+LEN($A$2)+1,FIND(",",_xlfn.CONCAT(Lines!U44,","),FIND($A$2,Lines!U44))-FIND($A$2,Lines!U44)-LEN($A$2)-1))</f>
        <v/>
      </c>
      <c r="V44" s="30" t="str">
        <f>IF(ISERROR(FIND($A$2,Lines!V44))=TRUE,"",MID(Lines!V44,FIND($A$2,Lines!V44)+LEN($A$2)+1,FIND(",",_xlfn.CONCAT(Lines!V44,","),FIND($A$2,Lines!V44))-FIND($A$2,Lines!V44)-LEN($A$2)-1))</f>
        <v/>
      </c>
      <c r="W44" s="36" t="str">
        <f>IF(ISERROR(FIND($A$2,Lines!W44))=TRUE,"",MID(Lines!W44,FIND($A$2,Lines!W44)+LEN($A$2)+1,FIND(",",_xlfn.CONCAT(Lines!W44,","),FIND($A$2,Lines!W44))-FIND($A$2,Lines!W44)-LEN($A$2)-1))</f>
        <v/>
      </c>
      <c r="X44" s="30" t="str">
        <f>IF(ISERROR(FIND($A$2,Lines!X44))=TRUE,"",MID(Lines!X44,FIND($A$2,Lines!X44)+LEN($A$2)+1,FIND(",",_xlfn.CONCAT(Lines!X44,","),FIND($A$2,Lines!X44))-FIND($A$2,Lines!X44)-LEN($A$2)-1))</f>
        <v/>
      </c>
      <c r="Y44" s="30" t="str">
        <f>IF(ISERROR(FIND($A$2,Lines!Y44))=TRUE,"",MID(Lines!Y44,FIND($A$2,Lines!Y44)+LEN($A$2)+1,FIND(",",_xlfn.CONCAT(Lines!Y44,","),FIND($A$2,Lines!Y44))-FIND($A$2,Lines!Y44)-LEN($A$2)-1))</f>
        <v/>
      </c>
      <c r="Z44" s="30" t="str">
        <f>IF(ISERROR(FIND($A$2,Lines!Z44))=TRUE,"",MID(Lines!Z44,FIND($A$2,Lines!Z44)+LEN($A$2)+1,FIND(",",_xlfn.CONCAT(Lines!Z44,","),FIND($A$2,Lines!Z44))-FIND($A$2,Lines!Z44)-LEN($A$2)-1))</f>
        <v/>
      </c>
      <c r="AA44" s="30" t="str">
        <f>IF(ISERROR(FIND($A$2,Lines!AA44))=TRUE,"",MID(Lines!AA44,FIND($A$2,Lines!AA44)+LEN($A$2)+1,FIND(",",_xlfn.CONCAT(Lines!AA44,","),FIND($A$2,Lines!AA44))-FIND($A$2,Lines!AA44)-LEN($A$2)-1))</f>
        <v/>
      </c>
      <c r="AB44" s="30" t="str">
        <f>IF(ISERROR(FIND($A$2,Lines!AB44))=TRUE,"",MID(Lines!AB44,FIND($A$2,Lines!AB44)+LEN($A$2)+1,FIND(",",_xlfn.CONCAT(Lines!AB44,","),FIND($A$2,Lines!AB44))-FIND($A$2,Lines!AB44)-LEN($A$2)-1))</f>
        <v/>
      </c>
      <c r="AC44" s="30" t="str">
        <f>IF(ISERROR(FIND($A$2,Lines!AC44))=TRUE,"",MID(Lines!AC44,FIND($A$2,Lines!AC44)+LEN($A$2)+1,FIND(",",_xlfn.CONCAT(Lines!AC44,","),FIND($A$2,Lines!AC44))-FIND($A$2,Lines!AC44)-LEN($A$2)-1))</f>
        <v/>
      </c>
      <c r="AD44" s="30" t="str">
        <f>IF(ISERROR(FIND($A$2,Lines!AD44))=TRUE,"",MID(Lines!AD44,FIND($A$2,Lines!AD44)+LEN($A$2)+1,FIND(",",_xlfn.CONCAT(Lines!AD44,","),FIND($A$2,Lines!AD44))-FIND($A$2,Lines!AD44)-LEN($A$2)-1))</f>
        <v/>
      </c>
      <c r="AE44" s="30" t="str">
        <f>IF(ISERROR(FIND($A$2,Lines!AE44))=TRUE,"",MID(Lines!AE44,FIND($A$2,Lines!AE44)+LEN($A$2)+1,FIND(",",_xlfn.CONCAT(Lines!AE44,","),FIND($A$2,Lines!AE44))-FIND($A$2,Lines!AE44)-LEN($A$2)-1))</f>
        <v/>
      </c>
      <c r="AF44" s="30" t="str">
        <f>IF(ISERROR(FIND($A$2,Lines!AF44))=TRUE,"",MID(Lines!AF44,FIND($A$2,Lines!AF44)+LEN($A$2)+1,FIND(",",_xlfn.CONCAT(Lines!AF44,","),FIND($A$2,Lines!AF44))-FIND($A$2,Lines!AF44)-LEN($A$2)-1))</f>
        <v/>
      </c>
      <c r="AG44" s="30" t="str">
        <f>IF(ISERROR(FIND($A$2,Lines!AG44))=TRUE,"",MID(Lines!AG44,FIND($A$2,Lines!AG44)+LEN($A$2)+1,FIND(",",_xlfn.CONCAT(Lines!AG44,","),FIND($A$2,Lines!AG44))-FIND($A$2,Lines!AG44)-LEN($A$2)-1))</f>
        <v/>
      </c>
      <c r="AH44" s="30" t="str">
        <f>IF(ISERROR(FIND($A$2,Lines!AH44))=TRUE,"",MID(Lines!AH44,FIND($A$2,Lines!AH44)+LEN($A$2)+1,FIND(",",_xlfn.CONCAT(Lines!AH44,","),FIND($A$2,Lines!AH44))-FIND($A$2,Lines!AH44)-LEN($A$2)-1))</f>
        <v/>
      </c>
      <c r="AI44" s="30" t="str">
        <f>IF(ISERROR(FIND($A$2,Lines!AI44))=TRUE,"",MID(Lines!AI44,FIND($A$2,Lines!AI44)+LEN($A$2)+1,FIND(",",_xlfn.CONCAT(Lines!AI44,","),FIND($A$2,Lines!AI44))-FIND($A$2,Lines!AI44)-LEN($A$2)-1))</f>
        <v/>
      </c>
      <c r="AJ44" s="30" t="str">
        <f>IF(ISERROR(FIND($A$2,Lines!AJ44))=TRUE,"",MID(Lines!AJ44,FIND($A$2,Lines!AJ44)+LEN($A$2)+1,FIND(",",_xlfn.CONCAT(Lines!AJ44,","),FIND($A$2,Lines!AJ44))-FIND($A$2,Lines!AJ44)-LEN($A$2)-1))</f>
        <v/>
      </c>
      <c r="AK44" s="30" t="str">
        <f>IF(ISERROR(FIND($A$2,Lines!AK44))=TRUE,"",MID(Lines!AK44,FIND($A$2,Lines!AK44)+LEN($A$2)+1,FIND(",",_xlfn.CONCAT(Lines!AK44,","),FIND($A$2,Lines!AK44))-FIND($A$2,Lines!AK44)-LEN($A$2)-1))</f>
        <v/>
      </c>
      <c r="AL44" s="30" t="str">
        <f>IF(ISERROR(FIND($A$2,Lines!AL44))=TRUE,"",MID(Lines!AL44,FIND($A$2,Lines!AL44)+LEN($A$2)+1,FIND(",",_xlfn.CONCAT(Lines!AL44,","),FIND($A$2,Lines!AL44))-FIND($A$2,Lines!AL44)-LEN($A$2)-1))</f>
        <v/>
      </c>
      <c r="AM44" s="30" t="str">
        <f>IF(ISERROR(FIND($A$2,Lines!AM44))=TRUE,"",MID(Lines!AM44,FIND($A$2,Lines!AM44)+LEN($A$2)+1,FIND(",",_xlfn.CONCAT(Lines!AM44,","),FIND($A$2,Lines!AM44))-FIND($A$2,Lines!AM44)-LEN($A$2)-1))</f>
        <v/>
      </c>
      <c r="AN44" s="30" t="str">
        <f>IF(ISERROR(FIND($A$2,Lines!AN44))=TRUE,"",MID(Lines!AN44,FIND($A$2,Lines!AN44)+LEN($A$2)+1,FIND(",",_xlfn.CONCAT(Lines!AN44,","),FIND($A$2,Lines!AN44))-FIND($A$2,Lines!AN44)-LEN($A$2)-1))</f>
        <v/>
      </c>
      <c r="AO44" s="45" t="str">
        <f>IF(ISERROR(FIND($A$2,Lines!AO44))=TRUE,"",MID(Lines!AO44,FIND($A$2,Lines!AO44)+LEN($A$2)+1,FIND(",",_xlfn.CONCAT(Lines!AO44,","),FIND($A$2,Lines!AO44))-FIND($A$2,Lines!AO44)-LEN($A$2)-1))</f>
        <v/>
      </c>
      <c r="AP44" s="65" t="str">
        <f>IF(ISERROR(FIND($A$2,Lines!AP44))=TRUE,"",MID(Lines!AP44,FIND($A$2,Lines!AP44)+LEN($A$2)+1,FIND(",",_xlfn.CONCAT(Lines!AP44,","),FIND($A$2,Lines!AP44))-FIND($A$2,Lines!AP44)-LEN($A$2)-1))</f>
        <v/>
      </c>
      <c r="AQ44" s="62" t="str">
        <f>IF(ISERROR(FIND($A$2,Lines!AQ44))=TRUE,"",MID(Lines!AQ44,FIND($A$2,Lines!AQ44)+LEN($A$2)+1,FIND(",",_xlfn.CONCAT(Lines!AQ44,","),FIND($A$2,Lines!AQ44))-FIND($A$2,Lines!AQ44)-LEN($A$2)-1))</f>
        <v>4</v>
      </c>
      <c r="AR44" s="62" t="str">
        <f>IF(ISERROR(FIND($A$2,Lines!AR44))=TRUE,"",MID(Lines!AR44,FIND($A$2,Lines!AR44)+LEN($A$2)+1,FIND(",",_xlfn.CONCAT(Lines!AR44,","),FIND($A$2,Lines!AR44))-FIND($A$2,Lines!AR44)-LEN($A$2)-1))</f>
        <v/>
      </c>
      <c r="AS44" s="62" t="str">
        <f>IF(ISERROR(FIND($A$2,Lines!AS44))=TRUE,"",MID(Lines!AS44,FIND($A$2,Lines!AS44)+LEN($A$2)+1,FIND(",",_xlfn.CONCAT(Lines!AS44,","),FIND($A$2,Lines!AS44))-FIND($A$2,Lines!AS44)-LEN($A$2)-1))</f>
        <v/>
      </c>
      <c r="AT44" s="62" t="str">
        <f>IF(ISERROR(FIND($A$2,Lines!AT44))=TRUE,"",MID(Lines!AT44,FIND($A$2,Lines!AT44)+LEN($A$2)+1,FIND(",",_xlfn.CONCAT(Lines!AT44,","),FIND($A$2,Lines!AT44))-FIND($A$2,Lines!AT44)-LEN($A$2)-1))</f>
        <v>2</v>
      </c>
    </row>
    <row r="45" spans="1:46" ht="20.25" customHeight="1">
      <c r="A45" s="2" t="s">
        <v>93</v>
      </c>
      <c r="B45" s="30" t="str">
        <f>IF(ISERROR(FIND($A$2,Lines!B45))=TRUE,"",MID(Lines!B45,FIND($A$2,Lines!B45)+LEN($A$2)+1,FIND(",",_xlfn.CONCAT(Lines!B45,","),FIND($A$2,Lines!B45))-FIND($A$2,Lines!B45)-LEN($A$2)-1))</f>
        <v/>
      </c>
      <c r="C45" s="30" t="str">
        <f>IF(ISERROR(FIND($A$2,Lines!C45))=TRUE,"",MID(Lines!C45,FIND($A$2,Lines!C45)+LEN($A$2)+1,FIND(",",_xlfn.CONCAT(Lines!C45,","),FIND($A$2,Lines!C45))-FIND($A$2,Lines!C45)-LEN($A$2)-1))</f>
        <v/>
      </c>
      <c r="D45" s="30" t="str">
        <f>IF(ISERROR(FIND($A$2,Lines!D45))=TRUE,"",MID(Lines!D45,FIND($A$2,Lines!D45)+LEN($A$2)+1,FIND(",",_xlfn.CONCAT(Lines!D45,","),FIND($A$2,Lines!D45))-FIND($A$2,Lines!D45)-LEN($A$2)-1))</f>
        <v/>
      </c>
      <c r="E45" s="30" t="str">
        <f>IF(ISERROR(FIND($A$2,Lines!E45))=TRUE,"",MID(Lines!E45,FIND($A$2,Lines!E45)+LEN($A$2)+1,FIND(",",_xlfn.CONCAT(Lines!E45,","),FIND($A$2,Lines!E45))-FIND($A$2,Lines!E45)-LEN($A$2)-1))</f>
        <v/>
      </c>
      <c r="F45" s="30" t="str">
        <f>IF(ISERROR(FIND($A$2,Lines!F45))=TRUE,"",MID(Lines!F45,FIND($A$2,Lines!F45)+LEN($A$2)+1,FIND(",",_xlfn.CONCAT(Lines!F45,","),FIND($A$2,Lines!F45))-FIND($A$2,Lines!F45)-LEN($A$2)-1))</f>
        <v/>
      </c>
      <c r="G45" s="30" t="str">
        <f>IF(ISERROR(FIND($A$2,Lines!G45))=TRUE,"",MID(Lines!G45,FIND($A$2,Lines!G45)+LEN($A$2)+1,FIND(",",_xlfn.CONCAT(Lines!G45,","),FIND($A$2,Lines!G45))-FIND($A$2,Lines!G45)-LEN($A$2)-1))</f>
        <v/>
      </c>
      <c r="H45" s="30" t="str">
        <f>IF(ISERROR(FIND($A$2,Lines!H45))=TRUE,"",MID(Lines!H45,FIND($A$2,Lines!H45)+LEN($A$2)+1,FIND(",",_xlfn.CONCAT(Lines!H45,","),FIND($A$2,Lines!H45))-FIND($A$2,Lines!H45)-LEN($A$2)-1))</f>
        <v/>
      </c>
      <c r="I45" s="30" t="str">
        <f>IF(ISERROR(FIND($A$2,Lines!I45))=TRUE,"",MID(Lines!I45,FIND($A$2,Lines!I45)+LEN($A$2)+1,FIND(",",_xlfn.CONCAT(Lines!I45,","),FIND($A$2,Lines!I45))-FIND($A$2,Lines!I45)-LEN($A$2)-1))</f>
        <v/>
      </c>
      <c r="J45" s="30" t="str">
        <f>IF(ISERROR(FIND($A$2,Lines!J45))=TRUE,"",MID(Lines!J45,FIND($A$2,Lines!J45)+LEN($A$2)+1,FIND(",",_xlfn.CONCAT(Lines!J45,","),FIND($A$2,Lines!J45))-FIND($A$2,Lines!J45)-LEN($A$2)-1))</f>
        <v/>
      </c>
      <c r="K45" s="30" t="str">
        <f>IF(ISERROR(FIND($A$2,Lines!K45))=TRUE,"",MID(Lines!K45,FIND($A$2,Lines!K45)+LEN($A$2)+1,FIND(",",_xlfn.CONCAT(Lines!K45,","),FIND($A$2,Lines!K45))-FIND($A$2,Lines!K45)-LEN($A$2)-1))</f>
        <v/>
      </c>
      <c r="L45" s="30" t="str">
        <f>IF(ISERROR(FIND($A$2,Lines!L45))=TRUE,"",MID(Lines!L45,FIND($A$2,Lines!L45)+LEN($A$2)+1,FIND(",",_xlfn.CONCAT(Lines!L45,","),FIND($A$2,Lines!L45))-FIND($A$2,Lines!L45)-LEN($A$2)-1))</f>
        <v/>
      </c>
      <c r="M45" s="30" t="str">
        <f>IF(ISERROR(FIND($A$2,Lines!M45))=TRUE,"",MID(Lines!M45,FIND($A$2,Lines!M45)+LEN($A$2)+1,FIND(",",_xlfn.CONCAT(Lines!M45,","),FIND($A$2,Lines!M45))-FIND($A$2,Lines!M45)-LEN($A$2)-1))</f>
        <v/>
      </c>
      <c r="N45" s="30" t="str">
        <f>IF(ISERROR(FIND($A$2,Lines!N45))=TRUE,"",MID(Lines!N45,FIND($A$2,Lines!N45)+LEN($A$2)+1,FIND(",",_xlfn.CONCAT(Lines!N45,","),FIND($A$2,Lines!N45))-FIND($A$2,Lines!N45)-LEN($A$2)-1))</f>
        <v/>
      </c>
      <c r="O45" s="30" t="str">
        <f>IF(ISERROR(FIND($A$2,Lines!O45))=TRUE,"",MID(Lines!O45,FIND($A$2,Lines!O45)+LEN($A$2)+1,FIND(",",_xlfn.CONCAT(Lines!O45,","),FIND($A$2,Lines!O45))-FIND($A$2,Lines!O45)-LEN($A$2)-1))</f>
        <v/>
      </c>
      <c r="P45" s="30" t="str">
        <f>IF(ISERROR(FIND($A$2,Lines!P45))=TRUE,"",MID(Lines!P45,FIND($A$2,Lines!P45)+LEN($A$2)+1,FIND(",",_xlfn.CONCAT(Lines!P45,","),FIND($A$2,Lines!P45))-FIND($A$2,Lines!P45)-LEN($A$2)-1))</f>
        <v/>
      </c>
      <c r="Q45" s="30" t="str">
        <f>IF(ISERROR(FIND($A$2,Lines!Q45))=TRUE,"",MID(Lines!Q45,FIND($A$2,Lines!Q45)+LEN($A$2)+1,FIND(",",_xlfn.CONCAT(Lines!Q45,","),FIND($A$2,Lines!Q45))-FIND($A$2,Lines!Q45)-LEN($A$2)-1))</f>
        <v/>
      </c>
      <c r="R45" s="30" t="str">
        <f>IF(ISERROR(FIND($A$2,Lines!R45))=TRUE,"",MID(Lines!R45,FIND($A$2,Lines!R45)+LEN($A$2)+1,FIND(",",_xlfn.CONCAT(Lines!R45,","),FIND($A$2,Lines!R45))-FIND($A$2,Lines!R45)-LEN($A$2)-1))</f>
        <v/>
      </c>
      <c r="S45" s="30" t="str">
        <f>IF(ISERROR(FIND($A$2,Lines!S45))=TRUE,"",MID(Lines!S45,FIND($A$2,Lines!S45)+LEN($A$2)+1,FIND(",",_xlfn.CONCAT(Lines!S45,","),FIND($A$2,Lines!S45))-FIND($A$2,Lines!S45)-LEN($A$2)-1))</f>
        <v/>
      </c>
      <c r="T45" s="30" t="str">
        <f>IF(ISERROR(FIND($A$2,Lines!T45))=TRUE,"",MID(Lines!T45,FIND($A$2,Lines!T45)+LEN($A$2)+1,FIND(",",_xlfn.CONCAT(Lines!T45,","),FIND($A$2,Lines!T45))-FIND($A$2,Lines!T45)-LEN($A$2)-1))</f>
        <v/>
      </c>
      <c r="U45" s="30" t="str">
        <f>IF(ISERROR(FIND($A$2,Lines!U45))=TRUE,"",MID(Lines!U45,FIND($A$2,Lines!U45)+LEN($A$2)+1,FIND(",",_xlfn.CONCAT(Lines!U45,","),FIND($A$2,Lines!U45))-FIND($A$2,Lines!U45)-LEN($A$2)-1))</f>
        <v/>
      </c>
      <c r="V45" s="30" t="str">
        <f>IF(ISERROR(FIND($A$2,Lines!V45))=TRUE,"",MID(Lines!V45,FIND($A$2,Lines!V45)+LEN($A$2)+1,FIND(",",_xlfn.CONCAT(Lines!V45,","),FIND($A$2,Lines!V45))-FIND($A$2,Lines!V45)-LEN($A$2)-1))</f>
        <v/>
      </c>
      <c r="W45" s="36" t="str">
        <f>IF(ISERROR(FIND($A$2,Lines!W45))=TRUE,"",MID(Lines!W45,FIND($A$2,Lines!W45)+LEN($A$2)+1,FIND(",",_xlfn.CONCAT(Lines!W45,","),FIND($A$2,Lines!W45))-FIND($A$2,Lines!W45)-LEN($A$2)-1))</f>
        <v/>
      </c>
      <c r="X45" s="30" t="str">
        <f>IF(ISERROR(FIND($A$2,Lines!X45))=TRUE,"",MID(Lines!X45,FIND($A$2,Lines!X45)+LEN($A$2)+1,FIND(",",_xlfn.CONCAT(Lines!X45,","),FIND($A$2,Lines!X45))-FIND($A$2,Lines!X45)-LEN($A$2)-1))</f>
        <v/>
      </c>
      <c r="Y45" s="30" t="str">
        <f>IF(ISERROR(FIND($A$2,Lines!Y45))=TRUE,"",MID(Lines!Y45,FIND($A$2,Lines!Y45)+LEN($A$2)+1,FIND(",",_xlfn.CONCAT(Lines!Y45,","),FIND($A$2,Lines!Y45))-FIND($A$2,Lines!Y45)-LEN($A$2)-1))</f>
        <v/>
      </c>
      <c r="Z45" s="30" t="str">
        <f>IF(ISERROR(FIND($A$2,Lines!Z45))=TRUE,"",MID(Lines!Z45,FIND($A$2,Lines!Z45)+LEN($A$2)+1,FIND(",",_xlfn.CONCAT(Lines!Z45,","),FIND($A$2,Lines!Z45))-FIND($A$2,Lines!Z45)-LEN($A$2)-1))</f>
        <v/>
      </c>
      <c r="AA45" s="30" t="str">
        <f>IF(ISERROR(FIND($A$2,Lines!AA45))=TRUE,"",MID(Lines!AA45,FIND($A$2,Lines!AA45)+LEN($A$2)+1,FIND(",",_xlfn.CONCAT(Lines!AA45,","),FIND($A$2,Lines!AA45))-FIND($A$2,Lines!AA45)-LEN($A$2)-1))</f>
        <v/>
      </c>
      <c r="AB45" s="30" t="str">
        <f>IF(ISERROR(FIND($A$2,Lines!AB45))=TRUE,"",MID(Lines!AB45,FIND($A$2,Lines!AB45)+LEN($A$2)+1,FIND(",",_xlfn.CONCAT(Lines!AB45,","),FIND($A$2,Lines!AB45))-FIND($A$2,Lines!AB45)-LEN($A$2)-1))</f>
        <v>4</v>
      </c>
      <c r="AC45" s="30" t="str">
        <f>IF(ISERROR(FIND($A$2,Lines!AC45))=TRUE,"",MID(Lines!AC45,FIND($A$2,Lines!AC45)+LEN($A$2)+1,FIND(",",_xlfn.CONCAT(Lines!AC45,","),FIND($A$2,Lines!AC45))-FIND($A$2,Lines!AC45)-LEN($A$2)-1))</f>
        <v>3</v>
      </c>
      <c r="AD45" s="30" t="str">
        <f>IF(ISERROR(FIND($A$2,Lines!AD45))=TRUE,"",MID(Lines!AD45,FIND($A$2,Lines!AD45)+LEN($A$2)+1,FIND(",",_xlfn.CONCAT(Lines!AD45,","),FIND($A$2,Lines!AD45))-FIND($A$2,Lines!AD45)-LEN($A$2)-1))</f>
        <v/>
      </c>
      <c r="AE45" s="30" t="str">
        <f>IF(ISERROR(FIND($A$2,Lines!AE45))=TRUE,"",MID(Lines!AE45,FIND($A$2,Lines!AE45)+LEN($A$2)+1,FIND(",",_xlfn.CONCAT(Lines!AE45,","),FIND($A$2,Lines!AE45))-FIND($A$2,Lines!AE45)-LEN($A$2)-1))</f>
        <v/>
      </c>
      <c r="AF45" s="30" t="str">
        <f>IF(ISERROR(FIND($A$2,Lines!AF45))=TRUE,"",MID(Lines!AF45,FIND($A$2,Lines!AF45)+LEN($A$2)+1,FIND(",",_xlfn.CONCAT(Lines!AF45,","),FIND($A$2,Lines!AF45))-FIND($A$2,Lines!AF45)-LEN($A$2)-1))</f>
        <v/>
      </c>
      <c r="AG45" s="30" t="str">
        <f>IF(ISERROR(FIND($A$2,Lines!AG45))=TRUE,"",MID(Lines!AG45,FIND($A$2,Lines!AG45)+LEN($A$2)+1,FIND(",",_xlfn.CONCAT(Lines!AG45,","),FIND($A$2,Lines!AG45))-FIND($A$2,Lines!AG45)-LEN($A$2)-1))</f>
        <v/>
      </c>
      <c r="AH45" s="30" t="str">
        <f>IF(ISERROR(FIND($A$2,Lines!AH45))=TRUE,"",MID(Lines!AH45,FIND($A$2,Lines!AH45)+LEN($A$2)+1,FIND(",",_xlfn.CONCAT(Lines!AH45,","),FIND($A$2,Lines!AH45))-FIND($A$2,Lines!AH45)-LEN($A$2)-1))</f>
        <v/>
      </c>
      <c r="AI45" s="30" t="str">
        <f>IF(ISERROR(FIND($A$2,Lines!AI45))=TRUE,"",MID(Lines!AI45,FIND($A$2,Lines!AI45)+LEN($A$2)+1,FIND(",",_xlfn.CONCAT(Lines!AI45,","),FIND($A$2,Lines!AI45))-FIND($A$2,Lines!AI45)-LEN($A$2)-1))</f>
        <v/>
      </c>
      <c r="AJ45" s="30" t="str">
        <f>IF(ISERROR(FIND($A$2,Lines!AJ45))=TRUE,"",MID(Lines!AJ45,FIND($A$2,Lines!AJ45)+LEN($A$2)+1,FIND(",",_xlfn.CONCAT(Lines!AJ45,","),FIND($A$2,Lines!AJ45))-FIND($A$2,Lines!AJ45)-LEN($A$2)-1))</f>
        <v/>
      </c>
      <c r="AK45" s="30" t="str">
        <f>IF(ISERROR(FIND($A$2,Lines!AK45))=TRUE,"",MID(Lines!AK45,FIND($A$2,Lines!AK45)+LEN($A$2)+1,FIND(",",_xlfn.CONCAT(Lines!AK45,","),FIND($A$2,Lines!AK45))-FIND($A$2,Lines!AK45)-LEN($A$2)-1))</f>
        <v/>
      </c>
      <c r="AL45" s="30" t="str">
        <f>IF(ISERROR(FIND($A$2,Lines!AL45))=TRUE,"",MID(Lines!AL45,FIND($A$2,Lines!AL45)+LEN($A$2)+1,FIND(",",_xlfn.CONCAT(Lines!AL45,","),FIND($A$2,Lines!AL45))-FIND($A$2,Lines!AL45)-LEN($A$2)-1))</f>
        <v/>
      </c>
      <c r="AM45" s="30" t="str">
        <f>IF(ISERROR(FIND($A$2,Lines!AM45))=TRUE,"",MID(Lines!AM45,FIND($A$2,Lines!AM45)+LEN($A$2)+1,FIND(",",_xlfn.CONCAT(Lines!AM45,","),FIND($A$2,Lines!AM45))-FIND($A$2,Lines!AM45)-LEN($A$2)-1))</f>
        <v/>
      </c>
      <c r="AN45" s="30" t="str">
        <f>IF(ISERROR(FIND($A$2,Lines!AN45))=TRUE,"",MID(Lines!AN45,FIND($A$2,Lines!AN45)+LEN($A$2)+1,FIND(",",_xlfn.CONCAT(Lines!AN45,","),FIND($A$2,Lines!AN45))-FIND($A$2,Lines!AN45)-LEN($A$2)-1))</f>
        <v/>
      </c>
      <c r="AO45" s="30" t="str">
        <f>IF(ISERROR(FIND($A$2,Lines!AO45))=TRUE,"",MID(Lines!AO45,FIND($A$2,Lines!AO45)+LEN($A$2)+1,FIND(",",_xlfn.CONCAT(Lines!AO45,","),FIND($A$2,Lines!AO45))-FIND($A$2,Lines!AO45)-LEN($A$2)-1))</f>
        <v/>
      </c>
      <c r="AP45" s="57" t="str">
        <f>IF(ISERROR(FIND($A$2,Lines!AP45))=TRUE,"",MID(Lines!AP45,FIND($A$2,Lines!AP45)+LEN($A$2)+1,FIND(",",_xlfn.CONCAT(Lines!AP45,","),FIND($A$2,Lines!AP45))-FIND($A$2,Lines!AP45)-LEN($A$2)-1))</f>
        <v>4</v>
      </c>
      <c r="AQ45" s="66" t="str">
        <f>IF(ISERROR(FIND($A$2,Lines!AQ45))=TRUE,"",MID(Lines!AQ45,FIND($A$2,Lines!AQ45)+LEN($A$2)+1,FIND(",",_xlfn.CONCAT(Lines!AQ45,","),FIND($A$2,Lines!AQ45))-FIND($A$2,Lines!AQ45)-LEN($A$2)-1))</f>
        <v/>
      </c>
      <c r="AR45" s="44" t="str">
        <f>IF(ISERROR(FIND($A$2,Lines!AR45))=TRUE,"",MID(Lines!AR45,FIND($A$2,Lines!AR45)+LEN($A$2)+1,FIND(",",_xlfn.CONCAT(Lines!AR45,","),FIND($A$2,Lines!AR45))-FIND($A$2,Lines!AR45)-LEN($A$2)-1))</f>
        <v>4</v>
      </c>
      <c r="AS45" s="44" t="str">
        <f>IF(ISERROR(FIND($A$2,Lines!AS45))=TRUE,"",MID(Lines!AS45,FIND($A$2,Lines!AS45)+LEN($A$2)+1,FIND(",",_xlfn.CONCAT(Lines!AS45,","),FIND($A$2,Lines!AS45))-FIND($A$2,Lines!AS45)-LEN($A$2)-1))</f>
        <v/>
      </c>
      <c r="AT45" s="44" t="str">
        <f>IF(ISERROR(FIND($A$2,Lines!AT45))=TRUE,"",MID(Lines!AT45,FIND($A$2,Lines!AT45)+LEN($A$2)+1,FIND(",",_xlfn.CONCAT(Lines!AT45,","),FIND($A$2,Lines!AT45))-FIND($A$2,Lines!AT45)-LEN($A$2)-1))</f>
        <v>2</v>
      </c>
    </row>
    <row r="46" spans="1:46" ht="20.25" customHeight="1">
      <c r="A46" s="2" t="s">
        <v>94</v>
      </c>
      <c r="B46" s="30" t="str">
        <f>IF(ISERROR(FIND($A$2,Lines!B46))=TRUE,"",MID(Lines!B46,FIND($A$2,Lines!B46)+LEN($A$2)+1,FIND(",",_xlfn.CONCAT(Lines!B46,","),FIND($A$2,Lines!B46))-FIND($A$2,Lines!B46)-LEN($A$2)-1))</f>
        <v/>
      </c>
      <c r="C46" s="30" t="str">
        <f>IF(ISERROR(FIND($A$2,Lines!C46))=TRUE,"",MID(Lines!C46,FIND($A$2,Lines!C46)+LEN($A$2)+1,FIND(",",_xlfn.CONCAT(Lines!C46,","),FIND($A$2,Lines!C46))-FIND($A$2,Lines!C46)-LEN($A$2)-1))</f>
        <v/>
      </c>
      <c r="D46" s="30" t="str">
        <f>IF(ISERROR(FIND($A$2,Lines!D46))=TRUE,"",MID(Lines!D46,FIND($A$2,Lines!D46)+LEN($A$2)+1,FIND(",",_xlfn.CONCAT(Lines!D46,","),FIND($A$2,Lines!D46))-FIND($A$2,Lines!D46)-LEN($A$2)-1))</f>
        <v/>
      </c>
      <c r="E46" s="30" t="str">
        <f>IF(ISERROR(FIND($A$2,Lines!E46))=TRUE,"",MID(Lines!E46,FIND($A$2,Lines!E46)+LEN($A$2)+1,FIND(",",_xlfn.CONCAT(Lines!E46,","),FIND($A$2,Lines!E46))-FIND($A$2,Lines!E46)-LEN($A$2)-1))</f>
        <v/>
      </c>
      <c r="F46" s="30" t="str">
        <f>IF(ISERROR(FIND($A$2,Lines!F46))=TRUE,"",MID(Lines!F46,FIND($A$2,Lines!F46)+LEN($A$2)+1,FIND(",",_xlfn.CONCAT(Lines!F46,","),FIND($A$2,Lines!F46))-FIND($A$2,Lines!F46)-LEN($A$2)-1))</f>
        <v/>
      </c>
      <c r="G46" s="30" t="str">
        <f>IF(ISERROR(FIND($A$2,Lines!G46))=TRUE,"",MID(Lines!G46,FIND($A$2,Lines!G46)+LEN($A$2)+1,FIND(",",_xlfn.CONCAT(Lines!G46,","),FIND($A$2,Lines!G46))-FIND($A$2,Lines!G46)-LEN($A$2)-1))</f>
        <v/>
      </c>
      <c r="H46" s="30" t="str">
        <f>IF(ISERROR(FIND($A$2,Lines!H46))=TRUE,"",MID(Lines!H46,FIND($A$2,Lines!H46)+LEN($A$2)+1,FIND(",",_xlfn.CONCAT(Lines!H46,","),FIND($A$2,Lines!H46))-FIND($A$2,Lines!H46)-LEN($A$2)-1))</f>
        <v/>
      </c>
      <c r="I46" s="30" t="str">
        <f>IF(ISERROR(FIND($A$2,Lines!I46))=TRUE,"",MID(Lines!I46,FIND($A$2,Lines!I46)+LEN($A$2)+1,FIND(",",_xlfn.CONCAT(Lines!I46,","),FIND($A$2,Lines!I46))-FIND($A$2,Lines!I46)-LEN($A$2)-1))</f>
        <v/>
      </c>
      <c r="J46" s="30" t="str">
        <f>IF(ISERROR(FIND($A$2,Lines!J46))=TRUE,"",MID(Lines!J46,FIND($A$2,Lines!J46)+LEN($A$2)+1,FIND(",",_xlfn.CONCAT(Lines!J46,","),FIND($A$2,Lines!J46))-FIND($A$2,Lines!J46)-LEN($A$2)-1))</f>
        <v/>
      </c>
      <c r="K46" s="30" t="str">
        <f>IF(ISERROR(FIND($A$2,Lines!K46))=TRUE,"",MID(Lines!K46,FIND($A$2,Lines!K46)+LEN($A$2)+1,FIND(",",_xlfn.CONCAT(Lines!K46,","),FIND($A$2,Lines!K46))-FIND($A$2,Lines!K46)-LEN($A$2)-1))</f>
        <v/>
      </c>
      <c r="L46" s="30" t="str">
        <f>IF(ISERROR(FIND($A$2,Lines!L46))=TRUE,"",MID(Lines!L46,FIND($A$2,Lines!L46)+LEN($A$2)+1,FIND(",",_xlfn.CONCAT(Lines!L46,","),FIND($A$2,Lines!L46))-FIND($A$2,Lines!L46)-LEN($A$2)-1))</f>
        <v/>
      </c>
      <c r="M46" s="30" t="str">
        <f>IF(ISERROR(FIND($A$2,Lines!M46))=TRUE,"",MID(Lines!M46,FIND($A$2,Lines!M46)+LEN($A$2)+1,FIND(",",_xlfn.CONCAT(Lines!M46,","),FIND($A$2,Lines!M46))-FIND($A$2,Lines!M46)-LEN($A$2)-1))</f>
        <v/>
      </c>
      <c r="N46" s="30" t="str">
        <f>IF(ISERROR(FIND($A$2,Lines!N46))=TRUE,"",MID(Lines!N46,FIND($A$2,Lines!N46)+LEN($A$2)+1,FIND(",",_xlfn.CONCAT(Lines!N46,","),FIND($A$2,Lines!N46))-FIND($A$2,Lines!N46)-LEN($A$2)-1))</f>
        <v/>
      </c>
      <c r="O46" s="30" t="str">
        <f>IF(ISERROR(FIND($A$2,Lines!O46))=TRUE,"",MID(Lines!O46,FIND($A$2,Lines!O46)+LEN($A$2)+1,FIND(",",_xlfn.CONCAT(Lines!O46,","),FIND($A$2,Lines!O46))-FIND($A$2,Lines!O46)-LEN($A$2)-1))</f>
        <v/>
      </c>
      <c r="P46" s="30" t="str">
        <f>IF(ISERROR(FIND($A$2,Lines!P46))=TRUE,"",MID(Lines!P46,FIND($A$2,Lines!P46)+LEN($A$2)+1,FIND(",",_xlfn.CONCAT(Lines!P46,","),FIND($A$2,Lines!P46))-FIND($A$2,Lines!P46)-LEN($A$2)-1))</f>
        <v/>
      </c>
      <c r="Q46" s="30" t="str">
        <f>IF(ISERROR(FIND($A$2,Lines!Q46))=TRUE,"",MID(Lines!Q46,FIND($A$2,Lines!Q46)+LEN($A$2)+1,FIND(",",_xlfn.CONCAT(Lines!Q46,","),FIND($A$2,Lines!Q46))-FIND($A$2,Lines!Q46)-LEN($A$2)-1))</f>
        <v/>
      </c>
      <c r="R46" s="30" t="str">
        <f>IF(ISERROR(FIND($A$2,Lines!R46))=TRUE,"",MID(Lines!R46,FIND($A$2,Lines!R46)+LEN($A$2)+1,FIND(",",_xlfn.CONCAT(Lines!R46,","),FIND($A$2,Lines!R46))-FIND($A$2,Lines!R46)-LEN($A$2)-1))</f>
        <v/>
      </c>
      <c r="S46" s="30" t="str">
        <f>IF(ISERROR(FIND($A$2,Lines!S46))=TRUE,"",MID(Lines!S46,FIND($A$2,Lines!S46)+LEN($A$2)+1,FIND(",",_xlfn.CONCAT(Lines!S46,","),FIND($A$2,Lines!S46))-FIND($A$2,Lines!S46)-LEN($A$2)-1))</f>
        <v/>
      </c>
      <c r="T46" s="30" t="str">
        <f>IF(ISERROR(FIND($A$2,Lines!T46))=TRUE,"",MID(Lines!T46,FIND($A$2,Lines!T46)+LEN($A$2)+1,FIND(",",_xlfn.CONCAT(Lines!T46,","),FIND($A$2,Lines!T46))-FIND($A$2,Lines!T46)-LEN($A$2)-1))</f>
        <v/>
      </c>
      <c r="U46" s="30" t="str">
        <f>IF(ISERROR(FIND($A$2,Lines!U46))=TRUE,"",MID(Lines!U46,FIND($A$2,Lines!U46)+LEN($A$2)+1,FIND(",",_xlfn.CONCAT(Lines!U46,","),FIND($A$2,Lines!U46))-FIND($A$2,Lines!U46)-LEN($A$2)-1))</f>
        <v/>
      </c>
      <c r="V46" s="30" t="str">
        <f>IF(ISERROR(FIND($A$2,Lines!V46))=TRUE,"",MID(Lines!V46,FIND($A$2,Lines!V46)+LEN($A$2)+1,FIND(",",_xlfn.CONCAT(Lines!V46,","),FIND($A$2,Lines!V46))-FIND($A$2,Lines!V46)-LEN($A$2)-1))</f>
        <v/>
      </c>
      <c r="W46" s="36" t="str">
        <f>IF(ISERROR(FIND($A$2,Lines!W46))=TRUE,"",MID(Lines!W46,FIND($A$2,Lines!W46)+LEN($A$2)+1,FIND(",",_xlfn.CONCAT(Lines!W46,","),FIND($A$2,Lines!W46))-FIND($A$2,Lines!W46)-LEN($A$2)-1))</f>
        <v/>
      </c>
      <c r="X46" s="30" t="str">
        <f>IF(ISERROR(FIND($A$2,Lines!X46))=TRUE,"",MID(Lines!X46,FIND($A$2,Lines!X46)+LEN($A$2)+1,FIND(",",_xlfn.CONCAT(Lines!X46,","),FIND($A$2,Lines!X46))-FIND($A$2,Lines!X46)-LEN($A$2)-1))</f>
        <v/>
      </c>
      <c r="Y46" s="30" t="str">
        <f>IF(ISERROR(FIND($A$2,Lines!Y46))=TRUE,"",MID(Lines!Y46,FIND($A$2,Lines!Y46)+LEN($A$2)+1,FIND(",",_xlfn.CONCAT(Lines!Y46,","),FIND($A$2,Lines!Y46))-FIND($A$2,Lines!Y46)-LEN($A$2)-1))</f>
        <v/>
      </c>
      <c r="Z46" s="30" t="str">
        <f>IF(ISERROR(FIND($A$2,Lines!Z46))=TRUE,"",MID(Lines!Z46,FIND($A$2,Lines!Z46)+LEN($A$2)+1,FIND(",",_xlfn.CONCAT(Lines!Z46,","),FIND($A$2,Lines!Z46))-FIND($A$2,Lines!Z46)-LEN($A$2)-1))</f>
        <v/>
      </c>
      <c r="AA46" s="30" t="str">
        <f>IF(ISERROR(FIND($A$2,Lines!AA46))=TRUE,"",MID(Lines!AA46,FIND($A$2,Lines!AA46)+LEN($A$2)+1,FIND(",",_xlfn.CONCAT(Lines!AA46,","),FIND($A$2,Lines!AA46))-FIND($A$2,Lines!AA46)-LEN($A$2)-1))</f>
        <v/>
      </c>
      <c r="AB46" s="30" t="str">
        <f>IF(ISERROR(FIND($A$2,Lines!AB46))=TRUE,"",MID(Lines!AB46,FIND($A$2,Lines!AB46)+LEN($A$2)+1,FIND(",",_xlfn.CONCAT(Lines!AB46,","),FIND($A$2,Lines!AB46))-FIND($A$2,Lines!AB46)-LEN($A$2)-1))</f>
        <v/>
      </c>
      <c r="AC46" s="30" t="str">
        <f>IF(ISERROR(FIND($A$2,Lines!AC46))=TRUE,"",MID(Lines!AC46,FIND($A$2,Lines!AC46)+LEN($A$2)+1,FIND(",",_xlfn.CONCAT(Lines!AC46,","),FIND($A$2,Lines!AC46))-FIND($A$2,Lines!AC46)-LEN($A$2)-1))</f>
        <v/>
      </c>
      <c r="AD46" s="30" t="str">
        <f>IF(ISERROR(FIND($A$2,Lines!AD46))=TRUE,"",MID(Lines!AD46,FIND($A$2,Lines!AD46)+LEN($A$2)+1,FIND(",",_xlfn.CONCAT(Lines!AD46,","),FIND($A$2,Lines!AD46))-FIND($A$2,Lines!AD46)-LEN($A$2)-1))</f>
        <v/>
      </c>
      <c r="AE46" s="30" t="str">
        <f>IF(ISERROR(FIND($A$2,Lines!AE46))=TRUE,"",MID(Lines!AE46,FIND($A$2,Lines!AE46)+LEN($A$2)+1,FIND(",",_xlfn.CONCAT(Lines!AE46,","),FIND($A$2,Lines!AE46))-FIND($A$2,Lines!AE46)-LEN($A$2)-1))</f>
        <v/>
      </c>
      <c r="AF46" s="30" t="str">
        <f>IF(ISERROR(FIND($A$2,Lines!AF46))=TRUE,"",MID(Lines!AF46,FIND($A$2,Lines!AF46)+LEN($A$2)+1,FIND(",",_xlfn.CONCAT(Lines!AF46,","),FIND($A$2,Lines!AF46))-FIND($A$2,Lines!AF46)-LEN($A$2)-1))</f>
        <v/>
      </c>
      <c r="AG46" s="30" t="str">
        <f>IF(ISERROR(FIND($A$2,Lines!AG46))=TRUE,"",MID(Lines!AG46,FIND($A$2,Lines!AG46)+LEN($A$2)+1,FIND(",",_xlfn.CONCAT(Lines!AG46,","),FIND($A$2,Lines!AG46))-FIND($A$2,Lines!AG46)-LEN($A$2)-1))</f>
        <v/>
      </c>
      <c r="AH46" s="30" t="str">
        <f>IF(ISERROR(FIND($A$2,Lines!AH46))=TRUE,"",MID(Lines!AH46,FIND($A$2,Lines!AH46)+LEN($A$2)+1,FIND(",",_xlfn.CONCAT(Lines!AH46,","),FIND($A$2,Lines!AH46))-FIND($A$2,Lines!AH46)-LEN($A$2)-1))</f>
        <v/>
      </c>
      <c r="AI46" s="30" t="str">
        <f>IF(ISERROR(FIND($A$2,Lines!AI46))=TRUE,"",MID(Lines!AI46,FIND($A$2,Lines!AI46)+LEN($A$2)+1,FIND(",",_xlfn.CONCAT(Lines!AI46,","),FIND($A$2,Lines!AI46))-FIND($A$2,Lines!AI46)-LEN($A$2)-1))</f>
        <v/>
      </c>
      <c r="AJ46" s="30" t="str">
        <f>IF(ISERROR(FIND($A$2,Lines!AJ46))=TRUE,"",MID(Lines!AJ46,FIND($A$2,Lines!AJ46)+LEN($A$2)+1,FIND(",",_xlfn.CONCAT(Lines!AJ46,","),FIND($A$2,Lines!AJ46))-FIND($A$2,Lines!AJ46)-LEN($A$2)-1))</f>
        <v/>
      </c>
      <c r="AK46" s="30" t="str">
        <f>IF(ISERROR(FIND($A$2,Lines!AK46))=TRUE,"",MID(Lines!AK46,FIND($A$2,Lines!AK46)+LEN($A$2)+1,FIND(",",_xlfn.CONCAT(Lines!AK46,","),FIND($A$2,Lines!AK46))-FIND($A$2,Lines!AK46)-LEN($A$2)-1))</f>
        <v/>
      </c>
      <c r="AL46" s="30" t="str">
        <f>IF(ISERROR(FIND($A$2,Lines!AL46))=TRUE,"",MID(Lines!AL46,FIND($A$2,Lines!AL46)+LEN($A$2)+1,FIND(",",_xlfn.CONCAT(Lines!AL46,","),FIND($A$2,Lines!AL46))-FIND($A$2,Lines!AL46)-LEN($A$2)-1))</f>
        <v/>
      </c>
      <c r="AM46" s="30" t="str">
        <f>IF(ISERROR(FIND($A$2,Lines!AM46))=TRUE,"",MID(Lines!AM46,FIND($A$2,Lines!AM46)+LEN($A$2)+1,FIND(",",_xlfn.CONCAT(Lines!AM46,","),FIND($A$2,Lines!AM46))-FIND($A$2,Lines!AM46)-LEN($A$2)-1))</f>
        <v/>
      </c>
      <c r="AN46" s="30" t="str">
        <f>IF(ISERROR(FIND($A$2,Lines!AN46))=TRUE,"",MID(Lines!AN46,FIND($A$2,Lines!AN46)+LEN($A$2)+1,FIND(",",_xlfn.CONCAT(Lines!AN46,","),FIND($A$2,Lines!AN46))-FIND($A$2,Lines!AN46)-LEN($A$2)-1))</f>
        <v/>
      </c>
      <c r="AO46" s="30" t="str">
        <f>IF(ISERROR(FIND($A$2,Lines!AO46))=TRUE,"",MID(Lines!AO46,FIND($A$2,Lines!AO46)+LEN($A$2)+1,FIND(",",_xlfn.CONCAT(Lines!AO46,","),FIND($A$2,Lines!AO46))-FIND($A$2,Lines!AO46)-LEN($A$2)-1))</f>
        <v/>
      </c>
      <c r="AP46" s="57" t="str">
        <f>IF(ISERROR(FIND($A$2,Lines!AP46))=TRUE,"",MID(Lines!AP46,FIND($A$2,Lines!AP46)+LEN($A$2)+1,FIND(",",_xlfn.CONCAT(Lines!AP46,","),FIND($A$2,Lines!AP46))-FIND($A$2,Lines!AP46)-LEN($A$2)-1))</f>
        <v/>
      </c>
      <c r="AQ46" s="44" t="str">
        <f>IF(ISERROR(FIND($A$2,Lines!AQ46))=TRUE,"",MID(Lines!AQ46,FIND($A$2,Lines!AQ46)+LEN($A$2)+1,FIND(",",_xlfn.CONCAT(Lines!AQ46,","),FIND($A$2,Lines!AQ46))-FIND($A$2,Lines!AQ46)-LEN($A$2)-1))</f>
        <v>4</v>
      </c>
      <c r="AR46" s="66" t="str">
        <f>IF(ISERROR(FIND($A$2,Lines!AR46))=TRUE,"",MID(Lines!AR46,FIND($A$2,Lines!AR46)+LEN($A$2)+1,FIND(",",_xlfn.CONCAT(Lines!AR46,","),FIND($A$2,Lines!AR46))-FIND($A$2,Lines!AR46)-LEN($A$2)-1))</f>
        <v/>
      </c>
      <c r="AS46" s="44" t="str">
        <f>IF(ISERROR(FIND($A$2,Lines!AS46))=TRUE,"",MID(Lines!AS46,FIND($A$2,Lines!AS46)+LEN($A$2)+1,FIND(",",_xlfn.CONCAT(Lines!AS46,","),FIND($A$2,Lines!AS46))-FIND($A$2,Lines!AS46)-LEN($A$2)-1))</f>
        <v/>
      </c>
      <c r="AT46" s="44" t="str">
        <f>IF(ISERROR(FIND($A$2,Lines!AT46))=TRUE,"",MID(Lines!AT46,FIND($A$2,Lines!AT46)+LEN($A$2)+1,FIND(",",_xlfn.CONCAT(Lines!AT46,","),FIND($A$2,Lines!AT46))-FIND($A$2,Lines!AT46)-LEN($A$2)-1))</f>
        <v>3</v>
      </c>
    </row>
    <row r="47" spans="1:46" ht="20.25" customHeight="1">
      <c r="A47" s="2" t="s">
        <v>95</v>
      </c>
      <c r="B47" s="30" t="str">
        <f>IF(ISERROR(FIND($A$2,Lines!B47))=TRUE,"",MID(Lines!B47,FIND($A$2,Lines!B47)+LEN($A$2)+1,FIND(",",_xlfn.CONCAT(Lines!B47,","),FIND($A$2,Lines!B47))-FIND($A$2,Lines!B47)-LEN($A$2)-1))</f>
        <v/>
      </c>
      <c r="C47" s="30" t="str">
        <f>IF(ISERROR(FIND($A$2,Lines!C47))=TRUE,"",MID(Lines!C47,FIND($A$2,Lines!C47)+LEN($A$2)+1,FIND(",",_xlfn.CONCAT(Lines!C47,","),FIND($A$2,Lines!C47))-FIND($A$2,Lines!C47)-LEN($A$2)-1))</f>
        <v/>
      </c>
      <c r="D47" s="30" t="str">
        <f>IF(ISERROR(FIND($A$2,Lines!D47))=TRUE,"",MID(Lines!D47,FIND($A$2,Lines!D47)+LEN($A$2)+1,FIND(",",_xlfn.CONCAT(Lines!D47,","),FIND($A$2,Lines!D47))-FIND($A$2,Lines!D47)-LEN($A$2)-1))</f>
        <v/>
      </c>
      <c r="E47" s="30" t="str">
        <f>IF(ISERROR(FIND($A$2,Lines!E47))=TRUE,"",MID(Lines!E47,FIND($A$2,Lines!E47)+LEN($A$2)+1,FIND(",",_xlfn.CONCAT(Lines!E47,","),FIND($A$2,Lines!E47))-FIND($A$2,Lines!E47)-LEN($A$2)-1))</f>
        <v/>
      </c>
      <c r="F47" s="30" t="str">
        <f>IF(ISERROR(FIND($A$2,Lines!F47))=TRUE,"",MID(Lines!F47,FIND($A$2,Lines!F47)+LEN($A$2)+1,FIND(",",_xlfn.CONCAT(Lines!F47,","),FIND($A$2,Lines!F47))-FIND($A$2,Lines!F47)-LEN($A$2)-1))</f>
        <v/>
      </c>
      <c r="G47" s="30" t="str">
        <f>IF(ISERROR(FIND($A$2,Lines!G47))=TRUE,"",MID(Lines!G47,FIND($A$2,Lines!G47)+LEN($A$2)+1,FIND(",",_xlfn.CONCAT(Lines!G47,","),FIND($A$2,Lines!G47))-FIND($A$2,Lines!G47)-LEN($A$2)-1))</f>
        <v/>
      </c>
      <c r="H47" s="30" t="str">
        <f>IF(ISERROR(FIND($A$2,Lines!H47))=TRUE,"",MID(Lines!H47,FIND($A$2,Lines!H47)+LEN($A$2)+1,FIND(",",_xlfn.CONCAT(Lines!H47,","),FIND($A$2,Lines!H47))-FIND($A$2,Lines!H47)-LEN($A$2)-1))</f>
        <v/>
      </c>
      <c r="I47" s="30" t="str">
        <f>IF(ISERROR(FIND($A$2,Lines!I47))=TRUE,"",MID(Lines!I47,FIND($A$2,Lines!I47)+LEN($A$2)+1,FIND(",",_xlfn.CONCAT(Lines!I47,","),FIND($A$2,Lines!I47))-FIND($A$2,Lines!I47)-LEN($A$2)-1))</f>
        <v/>
      </c>
      <c r="J47" s="30" t="str">
        <f>IF(ISERROR(FIND($A$2,Lines!J47))=TRUE,"",MID(Lines!J47,FIND($A$2,Lines!J47)+LEN($A$2)+1,FIND(",",_xlfn.CONCAT(Lines!J47,","),FIND($A$2,Lines!J47))-FIND($A$2,Lines!J47)-LEN($A$2)-1))</f>
        <v/>
      </c>
      <c r="K47" s="30" t="str">
        <f>IF(ISERROR(FIND($A$2,Lines!K47))=TRUE,"",MID(Lines!K47,FIND($A$2,Lines!K47)+LEN($A$2)+1,FIND(",",_xlfn.CONCAT(Lines!K47,","),FIND($A$2,Lines!K47))-FIND($A$2,Lines!K47)-LEN($A$2)-1))</f>
        <v/>
      </c>
      <c r="L47" s="30" t="str">
        <f>IF(ISERROR(FIND($A$2,Lines!L47))=TRUE,"",MID(Lines!L47,FIND($A$2,Lines!L47)+LEN($A$2)+1,FIND(",",_xlfn.CONCAT(Lines!L47,","),FIND($A$2,Lines!L47))-FIND($A$2,Lines!L47)-LEN($A$2)-1))</f>
        <v/>
      </c>
      <c r="M47" s="30" t="str">
        <f>IF(ISERROR(FIND($A$2,Lines!M47))=TRUE,"",MID(Lines!M47,FIND($A$2,Lines!M47)+LEN($A$2)+1,FIND(",",_xlfn.CONCAT(Lines!M47,","),FIND($A$2,Lines!M47))-FIND($A$2,Lines!M47)-LEN($A$2)-1))</f>
        <v/>
      </c>
      <c r="N47" s="30" t="str">
        <f>IF(ISERROR(FIND($A$2,Lines!N47))=TRUE,"",MID(Lines!N47,FIND($A$2,Lines!N47)+LEN($A$2)+1,FIND(",",_xlfn.CONCAT(Lines!N47,","),FIND($A$2,Lines!N47))-FIND($A$2,Lines!N47)-LEN($A$2)-1))</f>
        <v/>
      </c>
      <c r="O47" s="30" t="str">
        <f>IF(ISERROR(FIND($A$2,Lines!O47))=TRUE,"",MID(Lines!O47,FIND($A$2,Lines!O47)+LEN($A$2)+1,FIND(",",_xlfn.CONCAT(Lines!O47,","),FIND($A$2,Lines!O47))-FIND($A$2,Lines!O47)-LEN($A$2)-1))</f>
        <v/>
      </c>
      <c r="P47" s="30" t="str">
        <f>IF(ISERROR(FIND($A$2,Lines!P47))=TRUE,"",MID(Lines!P47,FIND($A$2,Lines!P47)+LEN($A$2)+1,FIND(",",_xlfn.CONCAT(Lines!P47,","),FIND($A$2,Lines!P47))-FIND($A$2,Lines!P47)-LEN($A$2)-1))</f>
        <v/>
      </c>
      <c r="Q47" s="30" t="str">
        <f>IF(ISERROR(FIND($A$2,Lines!Q47))=TRUE,"",MID(Lines!Q47,FIND($A$2,Lines!Q47)+LEN($A$2)+1,FIND(",",_xlfn.CONCAT(Lines!Q47,","),FIND($A$2,Lines!Q47))-FIND($A$2,Lines!Q47)-LEN($A$2)-1))</f>
        <v/>
      </c>
      <c r="R47" s="30" t="str">
        <f>IF(ISERROR(FIND($A$2,Lines!R47))=TRUE,"",MID(Lines!R47,FIND($A$2,Lines!R47)+LEN($A$2)+1,FIND(",",_xlfn.CONCAT(Lines!R47,","),FIND($A$2,Lines!R47))-FIND($A$2,Lines!R47)-LEN($A$2)-1))</f>
        <v/>
      </c>
      <c r="S47" s="30" t="str">
        <f>IF(ISERROR(FIND($A$2,Lines!S47))=TRUE,"",MID(Lines!S47,FIND($A$2,Lines!S47)+LEN($A$2)+1,FIND(",",_xlfn.CONCAT(Lines!S47,","),FIND($A$2,Lines!S47))-FIND($A$2,Lines!S47)-LEN($A$2)-1))</f>
        <v/>
      </c>
      <c r="T47" s="30" t="str">
        <f>IF(ISERROR(FIND($A$2,Lines!T47))=TRUE,"",MID(Lines!T47,FIND($A$2,Lines!T47)+LEN($A$2)+1,FIND(",",_xlfn.CONCAT(Lines!T47,","),FIND($A$2,Lines!T47))-FIND($A$2,Lines!T47)-LEN($A$2)-1))</f>
        <v/>
      </c>
      <c r="U47" s="30" t="str">
        <f>IF(ISERROR(FIND($A$2,Lines!U47))=TRUE,"",MID(Lines!U47,FIND($A$2,Lines!U47)+LEN($A$2)+1,FIND(",",_xlfn.CONCAT(Lines!U47,","),FIND($A$2,Lines!U47))-FIND($A$2,Lines!U47)-LEN($A$2)-1))</f>
        <v/>
      </c>
      <c r="V47" s="30" t="str">
        <f>IF(ISERROR(FIND($A$2,Lines!V47))=TRUE,"",MID(Lines!V47,FIND($A$2,Lines!V47)+LEN($A$2)+1,FIND(",",_xlfn.CONCAT(Lines!V47,","),FIND($A$2,Lines!V47))-FIND($A$2,Lines!V47)-LEN($A$2)-1))</f>
        <v/>
      </c>
      <c r="W47" s="36" t="str">
        <f>IF(ISERROR(FIND($A$2,Lines!W47))=TRUE,"",MID(Lines!W47,FIND($A$2,Lines!W47)+LEN($A$2)+1,FIND(",",_xlfn.CONCAT(Lines!W47,","),FIND($A$2,Lines!W47))-FIND($A$2,Lines!W47)-LEN($A$2)-1))</f>
        <v/>
      </c>
      <c r="X47" s="30" t="str">
        <f>IF(ISERROR(FIND($A$2,Lines!X47))=TRUE,"",MID(Lines!X47,FIND($A$2,Lines!X47)+LEN($A$2)+1,FIND(",",_xlfn.CONCAT(Lines!X47,","),FIND($A$2,Lines!X47))-FIND($A$2,Lines!X47)-LEN($A$2)-1))</f>
        <v/>
      </c>
      <c r="Y47" s="30" t="str">
        <f>IF(ISERROR(FIND($A$2,Lines!Y47))=TRUE,"",MID(Lines!Y47,FIND($A$2,Lines!Y47)+LEN($A$2)+1,FIND(",",_xlfn.CONCAT(Lines!Y47,","),FIND($A$2,Lines!Y47))-FIND($A$2,Lines!Y47)-LEN($A$2)-1))</f>
        <v/>
      </c>
      <c r="Z47" s="30" t="str">
        <f>IF(ISERROR(FIND($A$2,Lines!Z47))=TRUE,"",MID(Lines!Z47,FIND($A$2,Lines!Z47)+LEN($A$2)+1,FIND(",",_xlfn.CONCAT(Lines!Z47,","),FIND($A$2,Lines!Z47))-FIND($A$2,Lines!Z47)-LEN($A$2)-1))</f>
        <v/>
      </c>
      <c r="AA47" s="30" t="str">
        <f>IF(ISERROR(FIND($A$2,Lines!AA47))=TRUE,"",MID(Lines!AA47,FIND($A$2,Lines!AA47)+LEN($A$2)+1,FIND(",",_xlfn.CONCAT(Lines!AA47,","),FIND($A$2,Lines!AA47))-FIND($A$2,Lines!AA47)-LEN($A$2)-1))</f>
        <v/>
      </c>
      <c r="AB47" s="30" t="str">
        <f>IF(ISERROR(FIND($A$2,Lines!AB47))=TRUE,"",MID(Lines!AB47,FIND($A$2,Lines!AB47)+LEN($A$2)+1,FIND(",",_xlfn.CONCAT(Lines!AB47,","),FIND($A$2,Lines!AB47))-FIND($A$2,Lines!AB47)-LEN($A$2)-1))</f>
        <v/>
      </c>
      <c r="AC47" s="30" t="str">
        <f>IF(ISERROR(FIND($A$2,Lines!AC47))=TRUE,"",MID(Lines!AC47,FIND($A$2,Lines!AC47)+LEN($A$2)+1,FIND(",",_xlfn.CONCAT(Lines!AC47,","),FIND($A$2,Lines!AC47))-FIND($A$2,Lines!AC47)-LEN($A$2)-1))</f>
        <v/>
      </c>
      <c r="AD47" s="30" t="str">
        <f>IF(ISERROR(FIND($A$2,Lines!AD47))=TRUE,"",MID(Lines!AD47,FIND($A$2,Lines!AD47)+LEN($A$2)+1,FIND(",",_xlfn.CONCAT(Lines!AD47,","),FIND($A$2,Lines!AD47))-FIND($A$2,Lines!AD47)-LEN($A$2)-1))</f>
        <v/>
      </c>
      <c r="AE47" s="30" t="str">
        <f>IF(ISERROR(FIND($A$2,Lines!AE47))=TRUE,"",MID(Lines!AE47,FIND($A$2,Lines!AE47)+LEN($A$2)+1,FIND(",",_xlfn.CONCAT(Lines!AE47,","),FIND($A$2,Lines!AE47))-FIND($A$2,Lines!AE47)-LEN($A$2)-1))</f>
        <v/>
      </c>
      <c r="AF47" s="30" t="str">
        <f>IF(ISERROR(FIND($A$2,Lines!AF47))=TRUE,"",MID(Lines!AF47,FIND($A$2,Lines!AF47)+LEN($A$2)+1,FIND(",",_xlfn.CONCAT(Lines!AF47,","),FIND($A$2,Lines!AF47))-FIND($A$2,Lines!AF47)-LEN($A$2)-1))</f>
        <v/>
      </c>
      <c r="AG47" s="30" t="str">
        <f>IF(ISERROR(FIND($A$2,Lines!AG47))=TRUE,"",MID(Lines!AG47,FIND($A$2,Lines!AG47)+LEN($A$2)+1,FIND(",",_xlfn.CONCAT(Lines!AG47,","),FIND($A$2,Lines!AG47))-FIND($A$2,Lines!AG47)-LEN($A$2)-1))</f>
        <v/>
      </c>
      <c r="AH47" s="30" t="str">
        <f>IF(ISERROR(FIND($A$2,Lines!AH47))=TRUE,"",MID(Lines!AH47,FIND($A$2,Lines!AH47)+LEN($A$2)+1,FIND(",",_xlfn.CONCAT(Lines!AH47,","),FIND($A$2,Lines!AH47))-FIND($A$2,Lines!AH47)-LEN($A$2)-1))</f>
        <v/>
      </c>
      <c r="AI47" s="30" t="str">
        <f>IF(ISERROR(FIND($A$2,Lines!AI47))=TRUE,"",MID(Lines!AI47,FIND($A$2,Lines!AI47)+LEN($A$2)+1,FIND(",",_xlfn.CONCAT(Lines!AI47,","),FIND($A$2,Lines!AI47))-FIND($A$2,Lines!AI47)-LEN($A$2)-1))</f>
        <v/>
      </c>
      <c r="AJ47" s="30" t="str">
        <f>IF(ISERROR(FIND($A$2,Lines!AJ47))=TRUE,"",MID(Lines!AJ47,FIND($A$2,Lines!AJ47)+LEN($A$2)+1,FIND(",",_xlfn.CONCAT(Lines!AJ47,","),FIND($A$2,Lines!AJ47))-FIND($A$2,Lines!AJ47)-LEN($A$2)-1))</f>
        <v/>
      </c>
      <c r="AK47" s="30" t="str">
        <f>IF(ISERROR(FIND($A$2,Lines!AK47))=TRUE,"",MID(Lines!AK47,FIND($A$2,Lines!AK47)+LEN($A$2)+1,FIND(",",_xlfn.CONCAT(Lines!AK47,","),FIND($A$2,Lines!AK47))-FIND($A$2,Lines!AK47)-LEN($A$2)-1))</f>
        <v/>
      </c>
      <c r="AL47" s="30" t="str">
        <f>IF(ISERROR(FIND($A$2,Lines!AL47))=TRUE,"",MID(Lines!AL47,FIND($A$2,Lines!AL47)+LEN($A$2)+1,FIND(",",_xlfn.CONCAT(Lines!AL47,","),FIND($A$2,Lines!AL47))-FIND($A$2,Lines!AL47)-LEN($A$2)-1))</f>
        <v/>
      </c>
      <c r="AM47" s="30" t="str">
        <f>IF(ISERROR(FIND($A$2,Lines!AM47))=TRUE,"",MID(Lines!AM47,FIND($A$2,Lines!AM47)+LEN($A$2)+1,FIND(",",_xlfn.CONCAT(Lines!AM47,","),FIND($A$2,Lines!AM47))-FIND($A$2,Lines!AM47)-LEN($A$2)-1))</f>
        <v/>
      </c>
      <c r="AN47" s="30" t="str">
        <f>IF(ISERROR(FIND($A$2,Lines!AN47))=TRUE,"",MID(Lines!AN47,FIND($A$2,Lines!AN47)+LEN($A$2)+1,FIND(",",_xlfn.CONCAT(Lines!AN47,","),FIND($A$2,Lines!AN47))-FIND($A$2,Lines!AN47)-LEN($A$2)-1))</f>
        <v/>
      </c>
      <c r="AO47" s="30" t="str">
        <f>IF(ISERROR(FIND($A$2,Lines!AO47))=TRUE,"",MID(Lines!AO47,FIND($A$2,Lines!AO47)+LEN($A$2)+1,FIND(",",_xlfn.CONCAT(Lines!AO47,","),FIND($A$2,Lines!AO47))-FIND($A$2,Lines!AO47)-LEN($A$2)-1))</f>
        <v/>
      </c>
      <c r="AP47" s="57" t="str">
        <f>IF(ISERROR(FIND($A$2,Lines!AP47))=TRUE,"",MID(Lines!AP47,FIND($A$2,Lines!AP47)+LEN($A$2)+1,FIND(",",_xlfn.CONCAT(Lines!AP47,","),FIND($A$2,Lines!AP47))-FIND($A$2,Lines!AP47)-LEN($A$2)-1))</f>
        <v/>
      </c>
      <c r="AQ47" s="44" t="str">
        <f>IF(ISERROR(FIND($A$2,Lines!AQ47))=TRUE,"",MID(Lines!AQ47,FIND($A$2,Lines!AQ47)+LEN($A$2)+1,FIND(",",_xlfn.CONCAT(Lines!AQ47,","),FIND($A$2,Lines!AQ47))-FIND($A$2,Lines!AQ47)-LEN($A$2)-1))</f>
        <v/>
      </c>
      <c r="AR47" s="44" t="str">
        <f>IF(ISERROR(FIND($A$2,Lines!AR47))=TRUE,"",MID(Lines!AR47,FIND($A$2,Lines!AR47)+LEN($A$2)+1,FIND(",",_xlfn.CONCAT(Lines!AR47,","),FIND($A$2,Lines!AR47))-FIND($A$2,Lines!AR47)-LEN($A$2)-1))</f>
        <v/>
      </c>
      <c r="AS47" s="66" t="str">
        <f>IF(ISERROR(FIND($A$2,Lines!AS47))=TRUE,"",MID(Lines!AS47,FIND($A$2,Lines!AS47)+LEN($A$2)+1,FIND(",",_xlfn.CONCAT(Lines!AS47,","),FIND($A$2,Lines!AS47))-FIND($A$2,Lines!AS47)-LEN($A$2)-1))</f>
        <v/>
      </c>
      <c r="AT47" s="44" t="str">
        <f>IF(ISERROR(FIND($A$2,Lines!AT47))=TRUE,"",MID(Lines!AT47,FIND($A$2,Lines!AT47)+LEN($A$2)+1,FIND(",",_xlfn.CONCAT(Lines!AT47,","),FIND($A$2,Lines!AT47))-FIND($A$2,Lines!AT47)-LEN($A$2)-1))</f>
        <v>2</v>
      </c>
    </row>
    <row r="48" spans="1:46" ht="20.25" customHeight="1">
      <c r="A48" s="2" t="s">
        <v>96</v>
      </c>
      <c r="B48" s="30" t="str">
        <f>IF(ISERROR(FIND($A$2,Lines!B48))=TRUE,"",MID(Lines!B48,FIND($A$2,Lines!B48)+LEN($A$2)+1,FIND(",",_xlfn.CONCAT(Lines!B48,","),FIND($A$2,Lines!B48))-FIND($A$2,Lines!B48)-LEN($A$2)-1))</f>
        <v/>
      </c>
      <c r="C48" s="30" t="str">
        <f>IF(ISERROR(FIND($A$2,Lines!C48))=TRUE,"",MID(Lines!C48,FIND($A$2,Lines!C48)+LEN($A$2)+1,FIND(",",_xlfn.CONCAT(Lines!C48,","),FIND($A$2,Lines!C48))-FIND($A$2,Lines!C48)-LEN($A$2)-1))</f>
        <v/>
      </c>
      <c r="D48" s="30" t="str">
        <f>IF(ISERROR(FIND($A$2,Lines!D48))=TRUE,"",MID(Lines!D48,FIND($A$2,Lines!D48)+LEN($A$2)+1,FIND(",",_xlfn.CONCAT(Lines!D48,","),FIND($A$2,Lines!D48))-FIND($A$2,Lines!D48)-LEN($A$2)-1))</f>
        <v/>
      </c>
      <c r="E48" s="30" t="str">
        <f>IF(ISERROR(FIND($A$2,Lines!E48))=TRUE,"",MID(Lines!E48,FIND($A$2,Lines!E48)+LEN($A$2)+1,FIND(",",_xlfn.CONCAT(Lines!E48,","),FIND($A$2,Lines!E48))-FIND($A$2,Lines!E48)-LEN($A$2)-1))</f>
        <v/>
      </c>
      <c r="F48" s="30" t="str">
        <f>IF(ISERROR(FIND($A$2,Lines!F48))=TRUE,"",MID(Lines!F48,FIND($A$2,Lines!F48)+LEN($A$2)+1,FIND(",",_xlfn.CONCAT(Lines!F48,","),FIND($A$2,Lines!F48))-FIND($A$2,Lines!F48)-LEN($A$2)-1))</f>
        <v/>
      </c>
      <c r="G48" s="30" t="str">
        <f>IF(ISERROR(FIND($A$2,Lines!G48))=TRUE,"",MID(Lines!G48,FIND($A$2,Lines!G48)+LEN($A$2)+1,FIND(",",_xlfn.CONCAT(Lines!G48,","),FIND($A$2,Lines!G48))-FIND($A$2,Lines!G48)-LEN($A$2)-1))</f>
        <v/>
      </c>
      <c r="H48" s="30" t="str">
        <f>IF(ISERROR(FIND($A$2,Lines!H48))=TRUE,"",MID(Lines!H48,FIND($A$2,Lines!H48)+LEN($A$2)+1,FIND(",",_xlfn.CONCAT(Lines!H48,","),FIND($A$2,Lines!H48))-FIND($A$2,Lines!H48)-LEN($A$2)-1))</f>
        <v/>
      </c>
      <c r="I48" s="30" t="str">
        <f>IF(ISERROR(FIND($A$2,Lines!I48))=TRUE,"",MID(Lines!I48,FIND($A$2,Lines!I48)+LEN($A$2)+1,FIND(",",_xlfn.CONCAT(Lines!I48,","),FIND($A$2,Lines!I48))-FIND($A$2,Lines!I48)-LEN($A$2)-1))</f>
        <v/>
      </c>
      <c r="J48" s="30" t="str">
        <f>IF(ISERROR(FIND($A$2,Lines!J48))=TRUE,"",MID(Lines!J48,FIND($A$2,Lines!J48)+LEN($A$2)+1,FIND(",",_xlfn.CONCAT(Lines!J48,","),FIND($A$2,Lines!J48))-FIND($A$2,Lines!J48)-LEN($A$2)-1))</f>
        <v/>
      </c>
      <c r="K48" s="30" t="str">
        <f>IF(ISERROR(FIND($A$2,Lines!K48))=TRUE,"",MID(Lines!K48,FIND($A$2,Lines!K48)+LEN($A$2)+1,FIND(",",_xlfn.CONCAT(Lines!K48,","),FIND($A$2,Lines!K48))-FIND($A$2,Lines!K48)-LEN($A$2)-1))</f>
        <v/>
      </c>
      <c r="L48" s="30" t="str">
        <f>IF(ISERROR(FIND($A$2,Lines!L48))=TRUE,"",MID(Lines!L48,FIND($A$2,Lines!L48)+LEN($A$2)+1,FIND(",",_xlfn.CONCAT(Lines!L48,","),FIND($A$2,Lines!L48))-FIND($A$2,Lines!L48)-LEN($A$2)-1))</f>
        <v/>
      </c>
      <c r="M48" s="30" t="str">
        <f>IF(ISERROR(FIND($A$2,Lines!M48))=TRUE,"",MID(Lines!M48,FIND($A$2,Lines!M48)+LEN($A$2)+1,FIND(",",_xlfn.CONCAT(Lines!M48,","),FIND($A$2,Lines!M48))-FIND($A$2,Lines!M48)-LEN($A$2)-1))</f>
        <v/>
      </c>
      <c r="N48" s="30" t="str">
        <f>IF(ISERROR(FIND($A$2,Lines!N48))=TRUE,"",MID(Lines!N48,FIND($A$2,Lines!N48)+LEN($A$2)+1,FIND(",",_xlfn.CONCAT(Lines!N48,","),FIND($A$2,Lines!N48))-FIND($A$2,Lines!N48)-LEN($A$2)-1))</f>
        <v/>
      </c>
      <c r="O48" s="30" t="str">
        <f>IF(ISERROR(FIND($A$2,Lines!O48))=TRUE,"",MID(Lines!O48,FIND($A$2,Lines!O48)+LEN($A$2)+1,FIND(",",_xlfn.CONCAT(Lines!O48,","),FIND($A$2,Lines!O48))-FIND($A$2,Lines!O48)-LEN($A$2)-1))</f>
        <v/>
      </c>
      <c r="P48" s="30" t="str">
        <f>IF(ISERROR(FIND($A$2,Lines!P48))=TRUE,"",MID(Lines!P48,FIND($A$2,Lines!P48)+LEN($A$2)+1,FIND(",",_xlfn.CONCAT(Lines!P48,","),FIND($A$2,Lines!P48))-FIND($A$2,Lines!P48)-LEN($A$2)-1))</f>
        <v/>
      </c>
      <c r="Q48" s="30" t="str">
        <f>IF(ISERROR(FIND($A$2,Lines!Q48))=TRUE,"",MID(Lines!Q48,FIND($A$2,Lines!Q48)+LEN($A$2)+1,FIND(",",_xlfn.CONCAT(Lines!Q48,","),FIND($A$2,Lines!Q48))-FIND($A$2,Lines!Q48)-LEN($A$2)-1))</f>
        <v/>
      </c>
      <c r="R48" s="30" t="str">
        <f>IF(ISERROR(FIND($A$2,Lines!R48))=TRUE,"",MID(Lines!R48,FIND($A$2,Lines!R48)+LEN($A$2)+1,FIND(",",_xlfn.CONCAT(Lines!R48,","),FIND($A$2,Lines!R48))-FIND($A$2,Lines!R48)-LEN($A$2)-1))</f>
        <v/>
      </c>
      <c r="S48" s="30" t="str">
        <f>IF(ISERROR(FIND($A$2,Lines!S48))=TRUE,"",MID(Lines!S48,FIND($A$2,Lines!S48)+LEN($A$2)+1,FIND(",",_xlfn.CONCAT(Lines!S48,","),FIND($A$2,Lines!S48))-FIND($A$2,Lines!S48)-LEN($A$2)-1))</f>
        <v/>
      </c>
      <c r="T48" s="30" t="str">
        <f>IF(ISERROR(FIND($A$2,Lines!T48))=TRUE,"",MID(Lines!T48,FIND($A$2,Lines!T48)+LEN($A$2)+1,FIND(",",_xlfn.CONCAT(Lines!T48,","),FIND($A$2,Lines!T48))-FIND($A$2,Lines!T48)-LEN($A$2)-1))</f>
        <v/>
      </c>
      <c r="U48" s="30" t="str">
        <f>IF(ISERROR(FIND($A$2,Lines!U48))=TRUE,"",MID(Lines!U48,FIND($A$2,Lines!U48)+LEN($A$2)+1,FIND(",",_xlfn.CONCAT(Lines!U48,","),FIND($A$2,Lines!U48))-FIND($A$2,Lines!U48)-LEN($A$2)-1))</f>
        <v/>
      </c>
      <c r="V48" s="30" t="str">
        <f>IF(ISERROR(FIND($A$2,Lines!V48))=TRUE,"",MID(Lines!V48,FIND($A$2,Lines!V48)+LEN($A$2)+1,FIND(",",_xlfn.CONCAT(Lines!V48,","),FIND($A$2,Lines!V48))-FIND($A$2,Lines!V48)-LEN($A$2)-1))</f>
        <v/>
      </c>
      <c r="W48" s="36" t="str">
        <f>IF(ISERROR(FIND($A$2,Lines!W48))=TRUE,"",MID(Lines!W48,FIND($A$2,Lines!W48)+LEN($A$2)+1,FIND(",",_xlfn.CONCAT(Lines!W48,","),FIND($A$2,Lines!W48))-FIND($A$2,Lines!W48)-LEN($A$2)-1))</f>
        <v/>
      </c>
      <c r="X48" s="30" t="str">
        <f>IF(ISERROR(FIND($A$2,Lines!X48))=TRUE,"",MID(Lines!X48,FIND($A$2,Lines!X48)+LEN($A$2)+1,FIND(",",_xlfn.CONCAT(Lines!X48,","),FIND($A$2,Lines!X48))-FIND($A$2,Lines!X48)-LEN($A$2)-1))</f>
        <v/>
      </c>
      <c r="Y48" s="30" t="str">
        <f>IF(ISERROR(FIND($A$2,Lines!Y48))=TRUE,"",MID(Lines!Y48,FIND($A$2,Lines!Y48)+LEN($A$2)+1,FIND(",",_xlfn.CONCAT(Lines!Y48,","),FIND($A$2,Lines!Y48))-FIND($A$2,Lines!Y48)-LEN($A$2)-1))</f>
        <v/>
      </c>
      <c r="Z48" s="30" t="str">
        <f>IF(ISERROR(FIND($A$2,Lines!Z48))=TRUE,"",MID(Lines!Z48,FIND($A$2,Lines!Z48)+LEN($A$2)+1,FIND(",",_xlfn.CONCAT(Lines!Z48,","),FIND($A$2,Lines!Z48))-FIND($A$2,Lines!Z48)-LEN($A$2)-1))</f>
        <v/>
      </c>
      <c r="AA48" s="30" t="str">
        <f>IF(ISERROR(FIND($A$2,Lines!AA48))=TRUE,"",MID(Lines!AA48,FIND($A$2,Lines!AA48)+LEN($A$2)+1,FIND(",",_xlfn.CONCAT(Lines!AA48,","),FIND($A$2,Lines!AA48))-FIND($A$2,Lines!AA48)-LEN($A$2)-1))</f>
        <v/>
      </c>
      <c r="AB48" s="30" t="str">
        <f>IF(ISERROR(FIND($A$2,Lines!AB48))=TRUE,"",MID(Lines!AB48,FIND($A$2,Lines!AB48)+LEN($A$2)+1,FIND(",",_xlfn.CONCAT(Lines!AB48,","),FIND($A$2,Lines!AB48))-FIND($A$2,Lines!AB48)-LEN($A$2)-1))</f>
        <v/>
      </c>
      <c r="AC48" s="30" t="str">
        <f>IF(ISERROR(FIND($A$2,Lines!AC48))=TRUE,"",MID(Lines!AC48,FIND($A$2,Lines!AC48)+LEN($A$2)+1,FIND(",",_xlfn.CONCAT(Lines!AC48,","),FIND($A$2,Lines!AC48))-FIND($A$2,Lines!AC48)-LEN($A$2)-1))</f>
        <v/>
      </c>
      <c r="AD48" s="30" t="str">
        <f>IF(ISERROR(FIND($A$2,Lines!AD48))=TRUE,"",MID(Lines!AD48,FIND($A$2,Lines!AD48)+LEN($A$2)+1,FIND(",",_xlfn.CONCAT(Lines!AD48,","),FIND($A$2,Lines!AD48))-FIND($A$2,Lines!AD48)-LEN($A$2)-1))</f>
        <v/>
      </c>
      <c r="AE48" s="30" t="str">
        <f>IF(ISERROR(FIND($A$2,Lines!AE48))=TRUE,"",MID(Lines!AE48,FIND($A$2,Lines!AE48)+LEN($A$2)+1,FIND(",",_xlfn.CONCAT(Lines!AE48,","),FIND($A$2,Lines!AE48))-FIND($A$2,Lines!AE48)-LEN($A$2)-1))</f>
        <v/>
      </c>
      <c r="AF48" s="30" t="str">
        <f>IF(ISERROR(FIND($A$2,Lines!AF48))=TRUE,"",MID(Lines!AF48,FIND($A$2,Lines!AF48)+LEN($A$2)+1,FIND(",",_xlfn.CONCAT(Lines!AF48,","),FIND($A$2,Lines!AF48))-FIND($A$2,Lines!AF48)-LEN($A$2)-1))</f>
        <v/>
      </c>
      <c r="AG48" s="30" t="str">
        <f>IF(ISERROR(FIND($A$2,Lines!AG48))=TRUE,"",MID(Lines!AG48,FIND($A$2,Lines!AG48)+LEN($A$2)+1,FIND(",",_xlfn.CONCAT(Lines!AG48,","),FIND($A$2,Lines!AG48))-FIND($A$2,Lines!AG48)-LEN($A$2)-1))</f>
        <v/>
      </c>
      <c r="AH48" s="30" t="str">
        <f>IF(ISERROR(FIND($A$2,Lines!AH48))=TRUE,"",MID(Lines!AH48,FIND($A$2,Lines!AH48)+LEN($A$2)+1,FIND(",",_xlfn.CONCAT(Lines!AH48,","),FIND($A$2,Lines!AH48))-FIND($A$2,Lines!AH48)-LEN($A$2)-1))</f>
        <v/>
      </c>
      <c r="AI48" s="30" t="str">
        <f>IF(ISERROR(FIND($A$2,Lines!AI48))=TRUE,"",MID(Lines!AI48,FIND($A$2,Lines!AI48)+LEN($A$2)+1,FIND(",",_xlfn.CONCAT(Lines!AI48,","),FIND($A$2,Lines!AI48))-FIND($A$2,Lines!AI48)-LEN($A$2)-1))</f>
        <v/>
      </c>
      <c r="AJ48" s="30" t="str">
        <f>IF(ISERROR(FIND($A$2,Lines!AJ48))=TRUE,"",MID(Lines!AJ48,FIND($A$2,Lines!AJ48)+LEN($A$2)+1,FIND(",",_xlfn.CONCAT(Lines!AJ48,","),FIND($A$2,Lines!AJ48))-FIND($A$2,Lines!AJ48)-LEN($A$2)-1))</f>
        <v/>
      </c>
      <c r="AK48" s="30" t="str">
        <f>IF(ISERROR(FIND($A$2,Lines!AK48))=TRUE,"",MID(Lines!AK48,FIND($A$2,Lines!AK48)+LEN($A$2)+1,FIND(",",_xlfn.CONCAT(Lines!AK48,","),FIND($A$2,Lines!AK48))-FIND($A$2,Lines!AK48)-LEN($A$2)-1))</f>
        <v/>
      </c>
      <c r="AL48" s="30" t="str">
        <f>IF(ISERROR(FIND($A$2,Lines!AL48))=TRUE,"",MID(Lines!AL48,FIND($A$2,Lines!AL48)+LEN($A$2)+1,FIND(",",_xlfn.CONCAT(Lines!AL48,","),FIND($A$2,Lines!AL48))-FIND($A$2,Lines!AL48)-LEN($A$2)-1))</f>
        <v/>
      </c>
      <c r="AM48" s="30" t="str">
        <f>IF(ISERROR(FIND($A$2,Lines!AM48))=TRUE,"",MID(Lines!AM48,FIND($A$2,Lines!AM48)+LEN($A$2)+1,FIND(",",_xlfn.CONCAT(Lines!AM48,","),FIND($A$2,Lines!AM48))-FIND($A$2,Lines!AM48)-LEN($A$2)-1))</f>
        <v/>
      </c>
      <c r="AN48" s="30" t="str">
        <f>IF(ISERROR(FIND($A$2,Lines!AN48))=TRUE,"",MID(Lines!AN48,FIND($A$2,Lines!AN48)+LEN($A$2)+1,FIND(",",_xlfn.CONCAT(Lines!AN48,","),FIND($A$2,Lines!AN48))-FIND($A$2,Lines!AN48)-LEN($A$2)-1))</f>
        <v/>
      </c>
      <c r="AO48" s="30" t="str">
        <f>IF(ISERROR(FIND($A$2,Lines!AO48))=TRUE,"",MID(Lines!AO48,FIND($A$2,Lines!AO48)+LEN($A$2)+1,FIND(",",_xlfn.CONCAT(Lines!AO48,","),FIND($A$2,Lines!AO48))-FIND($A$2,Lines!AO48)-LEN($A$2)-1))</f>
        <v/>
      </c>
      <c r="AP48" s="57" t="str">
        <f>IF(ISERROR(FIND($A$2,Lines!AP48))=TRUE,"",MID(Lines!AP48,FIND($A$2,Lines!AP48)+LEN($A$2)+1,FIND(",",_xlfn.CONCAT(Lines!AP48,","),FIND($A$2,Lines!AP48))-FIND($A$2,Lines!AP48)-LEN($A$2)-1))</f>
        <v>2</v>
      </c>
      <c r="AQ48" s="44" t="str">
        <f>IF(ISERROR(FIND($A$2,Lines!AQ48))=TRUE,"",MID(Lines!AQ48,FIND($A$2,Lines!AQ48)+LEN($A$2)+1,FIND(",",_xlfn.CONCAT(Lines!AQ48,","),FIND($A$2,Lines!AQ48))-FIND($A$2,Lines!AQ48)-LEN($A$2)-1))</f>
        <v>2</v>
      </c>
      <c r="AR48" s="44" t="str">
        <f>IF(ISERROR(FIND($A$2,Lines!AR48))=TRUE,"",MID(Lines!AR48,FIND($A$2,Lines!AR48)+LEN($A$2)+1,FIND(",",_xlfn.CONCAT(Lines!AR48,","),FIND($A$2,Lines!AR48))-FIND($A$2,Lines!AR48)-LEN($A$2)-1))</f>
        <v>3</v>
      </c>
      <c r="AS48" s="44" t="str">
        <f>IF(ISERROR(FIND($A$2,Lines!AS48))=TRUE,"",MID(Lines!AS48,FIND($A$2,Lines!AS48)+LEN($A$2)+1,FIND(",",_xlfn.CONCAT(Lines!AS48,","),FIND($A$2,Lines!AS48))-FIND($A$2,Lines!AS48)-LEN($A$2)-1))</f>
        <v>2</v>
      </c>
      <c r="AT48" s="66" t="str">
        <f>IF(ISERROR(FIND($A$2,Lines!AT48))=TRUE,"",MID(Lines!AT48,FIND($A$2,Lines!AT48)+LEN($A$2)+1,FIND(",",_xlfn.CONCAT(Lines!AT48,","),FIND($A$2,Lines!AT48))-FIND($A$2,Lines!AT48)-LEN($A$2)-1))</f>
        <v/>
      </c>
    </row>
    <row r="49" spans="2:41" ht="20.25" customHeight="1"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1" spans="2:41" ht="20.25" customHeight="1">
      <c r="B51" s="235" t="s">
        <v>97</v>
      </c>
      <c r="C51" s="235"/>
      <c r="D51" s="5"/>
    </row>
    <row r="52" spans="2:41" ht="20.25" customHeight="1">
      <c r="B52" s="6" t="s">
        <v>98</v>
      </c>
      <c r="C52" s="6" t="s">
        <v>99</v>
      </c>
      <c r="D52" s="5"/>
    </row>
    <row r="53" spans="2:41" ht="20.25" customHeight="1">
      <c r="B53" s="7" t="s">
        <v>100</v>
      </c>
      <c r="C53" s="7">
        <v>180</v>
      </c>
      <c r="D53" s="5"/>
    </row>
    <row r="54" spans="2:41" ht="20.25" customHeight="1">
      <c r="B54" s="7" t="s">
        <v>101</v>
      </c>
      <c r="C54" s="7">
        <v>120</v>
      </c>
      <c r="D54" s="5"/>
    </row>
    <row r="55" spans="2:41" ht="20.25" customHeight="1">
      <c r="B55" s="7" t="s">
        <v>102</v>
      </c>
      <c r="C55" s="7">
        <v>40</v>
      </c>
      <c r="D55" s="5"/>
    </row>
    <row r="56" spans="2:41" ht="20.25" customHeight="1">
      <c r="B56" s="7" t="s">
        <v>103</v>
      </c>
      <c r="C56" s="7">
        <v>20</v>
      </c>
      <c r="D56" s="5"/>
    </row>
    <row r="57" spans="2:41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7"/>
  <sheetViews>
    <sheetView zoomScale="132" zoomScaleNormal="100" zoomScalePageLayoutView="160" workbookViewId="0">
      <selection sqref="A1:XFD1048576"/>
    </sheetView>
  </sheetViews>
  <sheetFormatPr baseColWidth="10" defaultColWidth="9.5" defaultRowHeight="20.25" customHeight="1"/>
  <cols>
    <col min="1" max="1" width="10.33203125" bestFit="1" customWidth="1"/>
    <col min="2" max="2" width="11.6640625" bestFit="1" customWidth="1"/>
    <col min="3" max="3" width="22.33203125" bestFit="1" customWidth="1"/>
    <col min="4" max="4" width="8.5" bestFit="1" customWidth="1"/>
    <col min="5" max="8" width="6.6640625" bestFit="1" customWidth="1"/>
    <col min="9" max="9" width="4.83203125" bestFit="1" customWidth="1"/>
    <col min="10" max="10" width="6.6640625" bestFit="1" customWidth="1"/>
    <col min="11" max="11" width="4.83203125" bestFit="1" customWidth="1"/>
    <col min="12" max="14" width="6.6640625" bestFit="1" customWidth="1"/>
    <col min="15" max="15" width="8.5" bestFit="1" customWidth="1"/>
    <col min="16" max="18" width="6.6640625" bestFit="1" customWidth="1"/>
    <col min="19" max="19" width="4.83203125" bestFit="1" customWidth="1"/>
    <col min="20" max="20" width="10.33203125" bestFit="1" customWidth="1"/>
    <col min="21" max="22" width="6.6640625" bestFit="1" customWidth="1"/>
    <col min="23" max="23" width="10.33203125" bestFit="1" customWidth="1"/>
    <col min="24" max="29" width="6.6640625" bestFit="1" customWidth="1"/>
    <col min="30" max="30" width="4.83203125" bestFit="1" customWidth="1"/>
    <col min="31" max="38" width="6.6640625" bestFit="1" customWidth="1"/>
    <col min="39" max="39" width="10.33203125" bestFit="1" customWidth="1"/>
    <col min="40" max="46" width="6.6640625" bestFit="1" customWidth="1"/>
  </cols>
  <sheetData>
    <row r="1" spans="1:46" ht="20.25" customHeight="1">
      <c r="B1" s="234"/>
      <c r="C1" s="234"/>
      <c r="D1" s="234"/>
      <c r="E1" s="234"/>
      <c r="F1" s="234"/>
      <c r="G1" s="1"/>
    </row>
    <row r="2" spans="1:46" ht="20.25" customHeight="1">
      <c r="A2" t="s">
        <v>217</v>
      </c>
      <c r="B2" s="1">
        <v>0.4</v>
      </c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IF(ISERROR(FIND($A$2,Lines!B4))=TRUE,"",MID(Lines!B4,FIND($A$2,Lines!B4)+LEN($A$2)+1,FIND(",",_xlfn.CONCAT(Lines!B4,","),FIND($A$2,Lines!B4))-FIND($A$2,Lines!B4)-LEN($A$2)-1))</f>
        <v/>
      </c>
      <c r="C4" s="26" t="str">
        <f>IF(ISERROR(FIND($A$2,Lines!C4))=TRUE,"",MID(Lines!C4,FIND($A$2,Lines!C4)+LEN($A$2)+1,FIND(",",_xlfn.CONCAT(Lines!C4,","),FIND($A$2,Lines!C4))-FIND($A$2,Lines!C4)-LEN($A$2)-1))</f>
        <v/>
      </c>
      <c r="D4" s="26" t="str">
        <f>IF(ISERROR(FIND($A$2,Lines!D4))=TRUE,"",MID(Lines!D4,FIND($A$2,Lines!D4)+LEN($A$2)+1,FIND(",",_xlfn.CONCAT(Lines!D4,","),FIND($A$2,Lines!D4))-FIND($A$2,Lines!D4)-LEN($A$2)-1))</f>
        <v/>
      </c>
      <c r="E4" s="26" t="str">
        <f>IF(ISERROR(FIND($A$2,Lines!E4))=TRUE,"",MID(Lines!E4,FIND($A$2,Lines!E4)+LEN($A$2)+1,FIND(",",_xlfn.CONCAT(Lines!E4,","),FIND($A$2,Lines!E4))-FIND($A$2,Lines!E4)-LEN($A$2)-1))</f>
        <v/>
      </c>
      <c r="F4" s="26" t="str">
        <f>IF(ISERROR(FIND($A$2,Lines!F4))=TRUE,"",MID(Lines!F4,FIND($A$2,Lines!F4)+LEN($A$2)+1,FIND(",",_xlfn.CONCAT(Lines!F4,","),FIND($A$2,Lines!F4))-FIND($A$2,Lines!F4)-LEN($A$2)-1))</f>
        <v/>
      </c>
      <c r="G4" s="26" t="str">
        <f>IF(ISERROR(FIND($A$2,Lines!G4))=TRUE,"",MID(Lines!G4,FIND($A$2,Lines!G4)+LEN($A$2)+1,FIND(",",_xlfn.CONCAT(Lines!G4,","),FIND($A$2,Lines!G4))-FIND($A$2,Lines!G4)-LEN($A$2)-1))</f>
        <v/>
      </c>
      <c r="H4" s="26" t="str">
        <f>IF(ISERROR(FIND($A$2,Lines!H4))=TRUE,"",MID(Lines!H4,FIND($A$2,Lines!H4)+LEN($A$2)+1,FIND(",",_xlfn.CONCAT(Lines!H4,","),FIND($A$2,Lines!H4))-FIND($A$2,Lines!H4)-LEN($A$2)-1))</f>
        <v/>
      </c>
      <c r="I4" s="26" t="str">
        <f>IF(ISERROR(FIND($A$2,Lines!I4))=TRUE,"",MID(Lines!I4,FIND($A$2,Lines!I4)+LEN($A$2)+1,FIND(",",_xlfn.CONCAT(Lines!I4,","),FIND($A$2,Lines!I4))-FIND($A$2,Lines!I4)-LEN($A$2)-1))</f>
        <v/>
      </c>
      <c r="J4" s="26" t="str">
        <f>IF(ISERROR(FIND($A$2,Lines!J4))=TRUE,"",MID(Lines!J4,FIND($A$2,Lines!J4)+LEN($A$2)+1,FIND(",",_xlfn.CONCAT(Lines!J4,","),FIND($A$2,Lines!J4))-FIND($A$2,Lines!J4)-LEN($A$2)-1))</f>
        <v/>
      </c>
      <c r="K4" s="26" t="str">
        <f>IF(ISERROR(FIND($A$2,Lines!K4))=TRUE,"",MID(Lines!K4,FIND($A$2,Lines!K4)+LEN($A$2)+1,FIND(",",_xlfn.CONCAT(Lines!K4,","),FIND($A$2,Lines!K4))-FIND($A$2,Lines!K4)-LEN($A$2)-1))</f>
        <v/>
      </c>
      <c r="L4" s="26" t="str">
        <f>IF(ISERROR(FIND($A$2,Lines!L4))=TRUE,"",MID(Lines!L4,FIND($A$2,Lines!L4)+LEN($A$2)+1,FIND(",",_xlfn.CONCAT(Lines!L4,","),FIND($A$2,Lines!L4))-FIND($A$2,Lines!L4)-LEN($A$2)-1))</f>
        <v/>
      </c>
      <c r="M4" s="27" t="str">
        <f>IF(ISERROR(FIND($A$2,Lines!M4))=TRUE,"",MID(Lines!M4,FIND($A$2,Lines!M4)+LEN($A$2)+1,FIND(",",_xlfn.CONCAT(Lines!M4,","),FIND($A$2,Lines!M4))-FIND($A$2,Lines!M4)-LEN($A$2)-1))</f>
        <v/>
      </c>
      <c r="N4" s="30" t="str">
        <f>IF(ISERROR(FIND($A$2,Lines!N4))=TRUE,"",MID(Lines!N4,FIND($A$2,Lines!N4)+LEN($A$2)+1,FIND(",",_xlfn.CONCAT(Lines!N4,","),FIND($A$2,Lines!N4))-FIND($A$2,Lines!N4)-LEN($A$2)-1))</f>
        <v/>
      </c>
      <c r="O4" s="30" t="str">
        <f>IF(ISERROR(FIND($A$2,Lines!O4))=TRUE,"",MID(Lines!O4,FIND($A$2,Lines!O4)+LEN($A$2)+1,FIND(",",_xlfn.CONCAT(Lines!O4,","),FIND($A$2,Lines!O4))-FIND($A$2,Lines!O4)-LEN($A$2)-1))</f>
        <v/>
      </c>
      <c r="P4" s="30" t="str">
        <f>IF(ISERROR(FIND($A$2,Lines!P4))=TRUE,"",MID(Lines!P4,FIND($A$2,Lines!P4)+LEN($A$2)+1,FIND(",",_xlfn.CONCAT(Lines!P4,","),FIND($A$2,Lines!P4))-FIND($A$2,Lines!P4)-LEN($A$2)-1))</f>
        <v/>
      </c>
      <c r="Q4" s="30" t="str">
        <f>IF(ISERROR(FIND($A$2,Lines!Q4))=TRUE,"",MID(Lines!Q4,FIND($A$2,Lines!Q4)+LEN($A$2)+1,FIND(",",_xlfn.CONCAT(Lines!Q4,","),FIND($A$2,Lines!Q4))-FIND($A$2,Lines!Q4)-LEN($A$2)-1))</f>
        <v/>
      </c>
      <c r="R4" s="30" t="str">
        <f>IF(ISERROR(FIND($A$2,Lines!R4))=TRUE,"",MID(Lines!R4,FIND($A$2,Lines!R4)+LEN($A$2)+1,FIND(",",_xlfn.CONCAT(Lines!R4,","),FIND($A$2,Lines!R4))-FIND($A$2,Lines!R4)-LEN($A$2)-1))</f>
        <v/>
      </c>
      <c r="S4" s="30" t="str">
        <f>IF(ISERROR(FIND($A$2,Lines!S4))=TRUE,"",MID(Lines!S4,FIND($A$2,Lines!S4)+LEN($A$2)+1,FIND(",",_xlfn.CONCAT(Lines!S4,","),FIND($A$2,Lines!S4))-FIND($A$2,Lines!S4)-LEN($A$2)-1))</f>
        <v/>
      </c>
      <c r="T4" s="30" t="str">
        <f>IF(ISERROR(FIND($A$2,Lines!T4))=TRUE,"",MID(Lines!T4,FIND($A$2,Lines!T4)+LEN($A$2)+1,FIND(",",_xlfn.CONCAT(Lines!T4,","),FIND($A$2,Lines!T4))-FIND($A$2,Lines!T4)-LEN($A$2)-1))</f>
        <v/>
      </c>
      <c r="U4" s="30" t="str">
        <f>IF(ISERROR(FIND($A$2,Lines!U4))=TRUE,"",MID(Lines!U4,FIND($A$2,Lines!U4)+LEN($A$2)+1,FIND(",",_xlfn.CONCAT(Lines!U4,","),FIND($A$2,Lines!U4))-FIND($A$2,Lines!U4)-LEN($A$2)-1))</f>
        <v/>
      </c>
      <c r="V4" s="30" t="str">
        <f>IF(ISERROR(FIND($A$2,Lines!V4))=TRUE,"",MID(Lines!V4,FIND($A$2,Lines!V4)+LEN($A$2)+1,FIND(",",_xlfn.CONCAT(Lines!V4,","),FIND($A$2,Lines!V4))-FIND($A$2,Lines!V4)-LEN($A$2)-1))</f>
        <v/>
      </c>
      <c r="W4" s="36" t="str">
        <f>IF(ISERROR(FIND($A$2,Lines!W4))=TRUE,"",MID(Lines!W4,FIND($A$2,Lines!W4)+LEN($A$2)+1,FIND(",",_xlfn.CONCAT(Lines!W4,","),FIND($A$2,Lines!W4))-FIND($A$2,Lines!W4)-LEN($A$2)-1))</f>
        <v/>
      </c>
      <c r="X4" s="30" t="str">
        <f>IF(ISERROR(FIND($A$2,Lines!X4))=TRUE,"",MID(Lines!X4,FIND($A$2,Lines!X4)+LEN($A$2)+1,FIND(",",_xlfn.CONCAT(Lines!X4,","),FIND($A$2,Lines!X4))-FIND($A$2,Lines!X4)-LEN($A$2)-1))</f>
        <v/>
      </c>
      <c r="Y4" s="30" t="str">
        <f>IF(ISERROR(FIND($A$2,Lines!Y4))=TRUE,"",MID(Lines!Y4,FIND($A$2,Lines!Y4)+LEN($A$2)+1,FIND(",",_xlfn.CONCAT(Lines!Y4,","),FIND($A$2,Lines!Y4))-FIND($A$2,Lines!Y4)-LEN($A$2)-1))</f>
        <v/>
      </c>
      <c r="Z4" s="30" t="str">
        <f>IF(ISERROR(FIND($A$2,Lines!Z4))=TRUE,"",MID(Lines!Z4,FIND($A$2,Lines!Z4)+LEN($A$2)+1,FIND(",",_xlfn.CONCAT(Lines!Z4,","),FIND($A$2,Lines!Z4))-FIND($A$2,Lines!Z4)-LEN($A$2)-1))</f>
        <v/>
      </c>
      <c r="AA4" s="30" t="str">
        <f>IF(ISERROR(FIND($A$2,Lines!AA4))=TRUE,"",MID(Lines!AA4,FIND($A$2,Lines!AA4)+LEN($A$2)+1,FIND(",",_xlfn.CONCAT(Lines!AA4,","),FIND($A$2,Lines!AA4))-FIND($A$2,Lines!AA4)-LEN($A$2)-1))</f>
        <v/>
      </c>
      <c r="AB4" s="30" t="str">
        <f>IF(ISERROR(FIND($A$2,Lines!AB4))=TRUE,"",MID(Lines!AB4,FIND($A$2,Lines!AB4)+LEN($A$2)+1,FIND(",",_xlfn.CONCAT(Lines!AB4,","),FIND($A$2,Lines!AB4))-FIND($A$2,Lines!AB4)-LEN($A$2)-1))</f>
        <v/>
      </c>
      <c r="AC4" s="30" t="str">
        <f>IF(ISERROR(FIND($A$2,Lines!AC4))=TRUE,"",MID(Lines!AC4,FIND($A$2,Lines!AC4)+LEN($A$2)+1,FIND(",",_xlfn.CONCAT(Lines!AC4,","),FIND($A$2,Lines!AC4))-FIND($A$2,Lines!AC4)-LEN($A$2)-1))</f>
        <v/>
      </c>
      <c r="AD4" s="30" t="str">
        <f>IF(ISERROR(FIND($A$2,Lines!AD4))=TRUE,"",MID(Lines!AD4,FIND($A$2,Lines!AD4)+LEN($A$2)+1,FIND(",",_xlfn.CONCAT(Lines!AD4,","),FIND($A$2,Lines!AD4))-FIND($A$2,Lines!AD4)-LEN($A$2)-1))</f>
        <v/>
      </c>
      <c r="AE4" s="30" t="str">
        <f>IF(ISERROR(FIND($A$2,Lines!AE4))=TRUE,"",MID(Lines!AE4,FIND($A$2,Lines!AE4)+LEN($A$2)+1,FIND(",",_xlfn.CONCAT(Lines!AE4,","),FIND($A$2,Lines!AE4))-FIND($A$2,Lines!AE4)-LEN($A$2)-1))</f>
        <v/>
      </c>
      <c r="AF4" s="30" t="str">
        <f>IF(ISERROR(FIND($A$2,Lines!AF4))=TRUE,"",MID(Lines!AF4,FIND($A$2,Lines!AF4)+LEN($A$2)+1,FIND(",",_xlfn.CONCAT(Lines!AF4,","),FIND($A$2,Lines!AF4))-FIND($A$2,Lines!AF4)-LEN($A$2)-1))</f>
        <v/>
      </c>
      <c r="AG4" s="30" t="str">
        <f>IF(ISERROR(FIND($A$2,Lines!AG4))=TRUE,"",MID(Lines!AG4,FIND($A$2,Lines!AG4)+LEN($A$2)+1,FIND(",",_xlfn.CONCAT(Lines!AG4,","),FIND($A$2,Lines!AG4))-FIND($A$2,Lines!AG4)-LEN($A$2)-1))</f>
        <v/>
      </c>
      <c r="AH4" s="30" t="str">
        <f>IF(ISERROR(FIND($A$2,Lines!AH4))=TRUE,"",MID(Lines!AH4,FIND($A$2,Lines!AH4)+LEN($A$2)+1,FIND(",",_xlfn.CONCAT(Lines!AH4,","),FIND($A$2,Lines!AH4))-FIND($A$2,Lines!AH4)-LEN($A$2)-1))</f>
        <v/>
      </c>
      <c r="AI4" s="30" t="str">
        <f>IF(ISERROR(FIND($A$2,Lines!AI4))=TRUE,"",MID(Lines!AI4,FIND($A$2,Lines!AI4)+LEN($A$2)+1,FIND(",",_xlfn.CONCAT(Lines!AI4,","),FIND($A$2,Lines!AI4))-FIND($A$2,Lines!AI4)-LEN($A$2)-1))</f>
        <v/>
      </c>
      <c r="AJ4" s="30" t="str">
        <f>IF(ISERROR(FIND($A$2,Lines!AJ4))=TRUE,"",MID(Lines!AJ4,FIND($A$2,Lines!AJ4)+LEN($A$2)+1,FIND(",",_xlfn.CONCAT(Lines!AJ4,","),FIND($A$2,Lines!AJ4))-FIND($A$2,Lines!AJ4)-LEN($A$2)-1))</f>
        <v/>
      </c>
      <c r="AK4" s="30" t="str">
        <f>IF(ISERROR(FIND($A$2,Lines!AK4))=TRUE,"",MID(Lines!AK4,FIND($A$2,Lines!AK4)+LEN($A$2)+1,FIND(",",_xlfn.CONCAT(Lines!AK4,","),FIND($A$2,Lines!AK4))-FIND($A$2,Lines!AK4)-LEN($A$2)-1))</f>
        <v/>
      </c>
      <c r="AL4" s="30" t="str">
        <f>IF(ISERROR(FIND($A$2,Lines!AL4))=TRUE,"",MID(Lines!AL4,FIND($A$2,Lines!AL4)+LEN($A$2)+1,FIND(",",_xlfn.CONCAT(Lines!AL4,","),FIND($A$2,Lines!AL4))-FIND($A$2,Lines!AL4)-LEN($A$2)-1))</f>
        <v/>
      </c>
      <c r="AM4" s="30" t="str">
        <f>IF(ISERROR(FIND($A$2,Lines!AM4))=TRUE,"",MID(Lines!AM4,FIND($A$2,Lines!AM4)+LEN($A$2)+1,FIND(",",_xlfn.CONCAT(Lines!AM4,","),FIND($A$2,Lines!AM4))-FIND($A$2,Lines!AM4)-LEN($A$2)-1))</f>
        <v/>
      </c>
      <c r="AN4" s="30" t="str">
        <f>IF(ISERROR(FIND($A$2,Lines!AN4))=TRUE,"",MID(Lines!AN4,FIND($A$2,Lines!AN4)+LEN($A$2)+1,FIND(",",_xlfn.CONCAT(Lines!AN4,","),FIND($A$2,Lines!AN4))-FIND($A$2,Lines!AN4)-LEN($A$2)-1))</f>
        <v/>
      </c>
      <c r="AO4" s="30" t="str">
        <f>IF(ISERROR(FIND($A$2,Lines!AO4))=TRUE,"",MID(Lines!AO4,FIND($A$2,Lines!AO4)+LEN($A$2)+1,FIND(",",_xlfn.CONCAT(Lines!AO4,","),FIND($A$2,Lines!AO4))-FIND($A$2,Lines!AO4)-LEN($A$2)-1))</f>
        <v/>
      </c>
      <c r="AP4" s="30" t="str">
        <f>IF(ISERROR(FIND($A$2,Lines!AP4))=TRUE,"",MID(Lines!AP4,FIND($A$2,Lines!AP4)+LEN($A$2)+1,FIND(",",_xlfn.CONCAT(Lines!AP4,","),FIND($A$2,Lines!AP4))-FIND($A$2,Lines!AP4)-LEN($A$2)-1))</f>
        <v/>
      </c>
      <c r="AQ4" s="30" t="str">
        <f>IF(ISERROR(FIND($A$2,Lines!AQ4))=TRUE,"",MID(Lines!AQ4,FIND($A$2,Lines!AQ4)+LEN($A$2)+1,FIND(",",_xlfn.CONCAT(Lines!AQ4,","),FIND($A$2,Lines!AQ4))-FIND($A$2,Lines!AQ4)-LEN($A$2)-1))</f>
        <v/>
      </c>
      <c r="AR4" s="30" t="str">
        <f>IF(ISERROR(FIND($A$2,Lines!AR4))=TRUE,"",MID(Lines!AR4,FIND($A$2,Lines!AR4)+LEN($A$2)+1,FIND(",",_xlfn.CONCAT(Lines!AR4,","),FIND($A$2,Lines!AR4))-FIND($A$2,Lines!AR4)-LEN($A$2)-1))</f>
        <v/>
      </c>
      <c r="AS4" s="30" t="str">
        <f>IF(ISERROR(FIND($A$2,Lines!AS4))=TRUE,"",MID(Lines!AS4,FIND($A$2,Lines!AS4)+LEN($A$2)+1,FIND(",",_xlfn.CONCAT(Lines!AS4,","),FIND($A$2,Lines!AS4))-FIND($A$2,Lines!AS4)-LEN($A$2)-1))</f>
        <v/>
      </c>
      <c r="AT4" s="30" t="str">
        <f>IF(ISERROR(FIND($A$2,Lines!AT4))=TRUE,"",MID(Lines!AT4,FIND($A$2,Lines!AT4)+LEN($A$2)+1,FIND(",",_xlfn.CONCAT(Lines!AT4,","),FIND($A$2,Lines!AT4))-FIND($A$2,Lines!AT4)-LEN($A$2)-1))</f>
        <v/>
      </c>
    </row>
    <row r="5" spans="1:46" ht="20.25" customHeight="1">
      <c r="A5" s="2" t="s">
        <v>56</v>
      </c>
      <c r="B5" s="26" t="str">
        <f>IF(ISERROR(FIND($A$2,Lines!B5))=TRUE,"",MID(Lines!B5,FIND($A$2,Lines!B5)+LEN($A$2)+1,FIND(",",_xlfn.CONCAT(Lines!B5,","),FIND($A$2,Lines!B5))-FIND($A$2,Lines!B5)-LEN($A$2)-1))</f>
        <v/>
      </c>
      <c r="C5" s="63" t="str">
        <f>IF(ISERROR(FIND($A$2,Lines!C5))=TRUE,"",MID(Lines!C5,FIND($A$2,Lines!C5)+LEN($A$2)+1,FIND(",",_xlfn.CONCAT(Lines!C5,","),FIND($A$2,Lines!C5))-FIND($A$2,Lines!C5)-LEN($A$2)-1))</f>
        <v/>
      </c>
      <c r="D5" s="26" t="str">
        <f>IF(ISERROR(FIND($A$2,Lines!D5))=TRUE,"",MID(Lines!D5,FIND($A$2,Lines!D5)+LEN($A$2)+1,FIND(",",_xlfn.CONCAT(Lines!D5,","),FIND($A$2,Lines!D5))-FIND($A$2,Lines!D5)-LEN($A$2)-1))</f>
        <v/>
      </c>
      <c r="E5" s="26" t="str">
        <f>IF(ISERROR(FIND($A$2,Lines!E5))=TRUE,"",MID(Lines!E5,FIND($A$2,Lines!E5)+LEN($A$2)+1,FIND(",",_xlfn.CONCAT(Lines!E5,","),FIND($A$2,Lines!E5))-FIND($A$2,Lines!E5)-LEN($A$2)-1))</f>
        <v/>
      </c>
      <c r="F5" s="26" t="str">
        <f>IF(ISERROR(FIND($A$2,Lines!F5))=TRUE,"",MID(Lines!F5,FIND($A$2,Lines!F5)+LEN($A$2)+1,FIND(",",_xlfn.CONCAT(Lines!F5,","),FIND($A$2,Lines!F5))-FIND($A$2,Lines!F5)-LEN($A$2)-1))</f>
        <v/>
      </c>
      <c r="G5" s="26" t="str">
        <f>IF(ISERROR(FIND($A$2,Lines!G5))=TRUE,"",MID(Lines!G5,FIND($A$2,Lines!G5)+LEN($A$2)+1,FIND(",",_xlfn.CONCAT(Lines!G5,","),FIND($A$2,Lines!G5))-FIND($A$2,Lines!G5)-LEN($A$2)-1))</f>
        <v/>
      </c>
      <c r="H5" s="26" t="str">
        <f>IF(ISERROR(FIND($A$2,Lines!H5))=TRUE,"",MID(Lines!H5,FIND($A$2,Lines!H5)+LEN($A$2)+1,FIND(",",_xlfn.CONCAT(Lines!H5,","),FIND($A$2,Lines!H5))-FIND($A$2,Lines!H5)-LEN($A$2)-1))</f>
        <v/>
      </c>
      <c r="I5" s="26" t="str">
        <f>IF(ISERROR(FIND($A$2,Lines!I5))=TRUE,"",MID(Lines!I5,FIND($A$2,Lines!I5)+LEN($A$2)+1,FIND(",",_xlfn.CONCAT(Lines!I5,","),FIND($A$2,Lines!I5))-FIND($A$2,Lines!I5)-LEN($A$2)-1))</f>
        <v/>
      </c>
      <c r="J5" s="26" t="str">
        <f>IF(ISERROR(FIND($A$2,Lines!J5))=TRUE,"",MID(Lines!J5,FIND($A$2,Lines!J5)+LEN($A$2)+1,FIND(",",_xlfn.CONCAT(Lines!J5,","),FIND($A$2,Lines!J5))-FIND($A$2,Lines!J5)-LEN($A$2)-1))</f>
        <v/>
      </c>
      <c r="K5" s="26" t="str">
        <f>IF(ISERROR(FIND($A$2,Lines!K5))=TRUE,"",MID(Lines!K5,FIND($A$2,Lines!K5)+LEN($A$2)+1,FIND(",",_xlfn.CONCAT(Lines!K5,","),FIND($A$2,Lines!K5))-FIND($A$2,Lines!K5)-LEN($A$2)-1))</f>
        <v/>
      </c>
      <c r="L5" s="26" t="str">
        <f>IF(ISERROR(FIND($A$2,Lines!L5))=TRUE,"",MID(Lines!L5,FIND($A$2,Lines!L5)+LEN($A$2)+1,FIND(",",_xlfn.CONCAT(Lines!L5,","),FIND($A$2,Lines!L5))-FIND($A$2,Lines!L5)-LEN($A$2)-1))</f>
        <v/>
      </c>
      <c r="M5" s="27" t="str">
        <f>IF(ISERROR(FIND($A$2,Lines!M5))=TRUE,"",MID(Lines!M5,FIND($A$2,Lines!M5)+LEN($A$2)+1,FIND(",",_xlfn.CONCAT(Lines!M5,","),FIND($A$2,Lines!M5))-FIND($A$2,Lines!M5)-LEN($A$2)-1))</f>
        <v/>
      </c>
      <c r="N5" s="30" t="str">
        <f>IF(ISERROR(FIND($A$2,Lines!N5))=TRUE,"",MID(Lines!N5,FIND($A$2,Lines!N5)+LEN($A$2)+1,FIND(",",_xlfn.CONCAT(Lines!N5,","),FIND($A$2,Lines!N5))-FIND($A$2,Lines!N5)-LEN($A$2)-1))</f>
        <v/>
      </c>
      <c r="O5" s="30" t="str">
        <f>IF(ISERROR(FIND($A$2,Lines!O5))=TRUE,"",MID(Lines!O5,FIND($A$2,Lines!O5)+LEN($A$2)+1,FIND(",",_xlfn.CONCAT(Lines!O5,","),FIND($A$2,Lines!O5))-FIND($A$2,Lines!O5)-LEN($A$2)-1))</f>
        <v/>
      </c>
      <c r="P5" s="30" t="str">
        <f>IF(ISERROR(FIND($A$2,Lines!P5))=TRUE,"",MID(Lines!P5,FIND($A$2,Lines!P5)+LEN($A$2)+1,FIND(",",_xlfn.CONCAT(Lines!P5,","),FIND($A$2,Lines!P5))-FIND($A$2,Lines!P5)-LEN($A$2)-1))</f>
        <v/>
      </c>
      <c r="Q5" s="30" t="str">
        <f>IF(ISERROR(FIND($A$2,Lines!Q5))=TRUE,"",MID(Lines!Q5,FIND($A$2,Lines!Q5)+LEN($A$2)+1,FIND(",",_xlfn.CONCAT(Lines!Q5,","),FIND($A$2,Lines!Q5))-FIND($A$2,Lines!Q5)-LEN($A$2)-1))</f>
        <v/>
      </c>
      <c r="R5" s="30" t="str">
        <f>IF(ISERROR(FIND($A$2,Lines!R5))=TRUE,"",MID(Lines!R5,FIND($A$2,Lines!R5)+LEN($A$2)+1,FIND(",",_xlfn.CONCAT(Lines!R5,","),FIND($A$2,Lines!R5))-FIND($A$2,Lines!R5)-LEN($A$2)-1))</f>
        <v/>
      </c>
      <c r="S5" s="30" t="str">
        <f>IF(ISERROR(FIND($A$2,Lines!S5))=TRUE,"",MID(Lines!S5,FIND($A$2,Lines!S5)+LEN($A$2)+1,FIND(",",_xlfn.CONCAT(Lines!S5,","),FIND($A$2,Lines!S5))-FIND($A$2,Lines!S5)-LEN($A$2)-1))</f>
        <v/>
      </c>
      <c r="T5" s="30" t="str">
        <f>IF(ISERROR(FIND($A$2,Lines!T5))=TRUE,"",MID(Lines!T5,FIND($A$2,Lines!T5)+LEN($A$2)+1,FIND(",",_xlfn.CONCAT(Lines!T5,","),FIND($A$2,Lines!T5))-FIND($A$2,Lines!T5)-LEN($A$2)-1))</f>
        <v/>
      </c>
      <c r="U5" s="30" t="str">
        <f>IF(ISERROR(FIND($A$2,Lines!U5))=TRUE,"",MID(Lines!U5,FIND($A$2,Lines!U5)+LEN($A$2)+1,FIND(",",_xlfn.CONCAT(Lines!U5,","),FIND($A$2,Lines!U5))-FIND($A$2,Lines!U5)-LEN($A$2)-1))</f>
        <v/>
      </c>
      <c r="V5" s="30" t="str">
        <f>IF(ISERROR(FIND($A$2,Lines!V5))=TRUE,"",MID(Lines!V5,FIND($A$2,Lines!V5)+LEN($A$2)+1,FIND(",",_xlfn.CONCAT(Lines!V5,","),FIND($A$2,Lines!V5))-FIND($A$2,Lines!V5)-LEN($A$2)-1))</f>
        <v/>
      </c>
      <c r="W5" s="36" t="str">
        <f>IF(ISERROR(FIND($A$2,Lines!W5))=TRUE,"",MID(Lines!W5,FIND($A$2,Lines!W5)+LEN($A$2)+1,FIND(",",_xlfn.CONCAT(Lines!W5,","),FIND($A$2,Lines!W5))-FIND($A$2,Lines!W5)-LEN($A$2)-1))</f>
        <v/>
      </c>
      <c r="X5" s="30" t="str">
        <f>IF(ISERROR(FIND($A$2,Lines!X5))=TRUE,"",MID(Lines!X5,FIND($A$2,Lines!X5)+LEN($A$2)+1,FIND(",",_xlfn.CONCAT(Lines!X5,","),FIND($A$2,Lines!X5))-FIND($A$2,Lines!X5)-LEN($A$2)-1))</f>
        <v/>
      </c>
      <c r="Y5" s="30" t="str">
        <f>IF(ISERROR(FIND($A$2,Lines!Y5))=TRUE,"",MID(Lines!Y5,FIND($A$2,Lines!Y5)+LEN($A$2)+1,FIND(",",_xlfn.CONCAT(Lines!Y5,","),FIND($A$2,Lines!Y5))-FIND($A$2,Lines!Y5)-LEN($A$2)-1))</f>
        <v/>
      </c>
      <c r="Z5" s="30" t="str">
        <f>IF(ISERROR(FIND($A$2,Lines!Z5))=TRUE,"",MID(Lines!Z5,FIND($A$2,Lines!Z5)+LEN($A$2)+1,FIND(",",_xlfn.CONCAT(Lines!Z5,","),FIND($A$2,Lines!Z5))-FIND($A$2,Lines!Z5)-LEN($A$2)-1))</f>
        <v/>
      </c>
      <c r="AA5" s="30" t="str">
        <f>IF(ISERROR(FIND($A$2,Lines!AA5))=TRUE,"",MID(Lines!AA5,FIND($A$2,Lines!AA5)+LEN($A$2)+1,FIND(",",_xlfn.CONCAT(Lines!AA5,","),FIND($A$2,Lines!AA5))-FIND($A$2,Lines!AA5)-LEN($A$2)-1))</f>
        <v/>
      </c>
      <c r="AB5" s="30" t="str">
        <f>IF(ISERROR(FIND($A$2,Lines!AB5))=TRUE,"",MID(Lines!AB5,FIND($A$2,Lines!AB5)+LEN($A$2)+1,FIND(",",_xlfn.CONCAT(Lines!AB5,","),FIND($A$2,Lines!AB5))-FIND($A$2,Lines!AB5)-LEN($A$2)-1))</f>
        <v/>
      </c>
      <c r="AC5" s="30" t="str">
        <f>IF(ISERROR(FIND($A$2,Lines!AC5))=TRUE,"",MID(Lines!AC5,FIND($A$2,Lines!AC5)+LEN($A$2)+1,FIND(",",_xlfn.CONCAT(Lines!AC5,","),FIND($A$2,Lines!AC5))-FIND($A$2,Lines!AC5)-LEN($A$2)-1))</f>
        <v/>
      </c>
      <c r="AD5" s="30" t="str">
        <f>IF(ISERROR(FIND($A$2,Lines!AD5))=TRUE,"",MID(Lines!AD5,FIND($A$2,Lines!AD5)+LEN($A$2)+1,FIND(",",_xlfn.CONCAT(Lines!AD5,","),FIND($A$2,Lines!AD5))-FIND($A$2,Lines!AD5)-LEN($A$2)-1))</f>
        <v/>
      </c>
      <c r="AE5" s="30" t="str">
        <f>IF(ISERROR(FIND($A$2,Lines!AE5))=TRUE,"",MID(Lines!AE5,FIND($A$2,Lines!AE5)+LEN($A$2)+1,FIND(",",_xlfn.CONCAT(Lines!AE5,","),FIND($A$2,Lines!AE5))-FIND($A$2,Lines!AE5)-LEN($A$2)-1))</f>
        <v/>
      </c>
      <c r="AF5" s="30" t="str">
        <f>IF(ISERROR(FIND($A$2,Lines!AF5))=TRUE,"",MID(Lines!AF5,FIND($A$2,Lines!AF5)+LEN($A$2)+1,FIND(",",_xlfn.CONCAT(Lines!AF5,","),FIND($A$2,Lines!AF5))-FIND($A$2,Lines!AF5)-LEN($A$2)-1))</f>
        <v/>
      </c>
      <c r="AG5" s="30" t="str">
        <f>IF(ISERROR(FIND($A$2,Lines!AG5))=TRUE,"",MID(Lines!AG5,FIND($A$2,Lines!AG5)+LEN($A$2)+1,FIND(",",_xlfn.CONCAT(Lines!AG5,","),FIND($A$2,Lines!AG5))-FIND($A$2,Lines!AG5)-LEN($A$2)-1))</f>
        <v/>
      </c>
      <c r="AH5" s="30" t="str">
        <f>IF(ISERROR(FIND($A$2,Lines!AH5))=TRUE,"",MID(Lines!AH5,FIND($A$2,Lines!AH5)+LEN($A$2)+1,FIND(",",_xlfn.CONCAT(Lines!AH5,","),FIND($A$2,Lines!AH5))-FIND($A$2,Lines!AH5)-LEN($A$2)-1))</f>
        <v/>
      </c>
      <c r="AI5" s="30" t="str">
        <f>IF(ISERROR(FIND($A$2,Lines!AI5))=TRUE,"",MID(Lines!AI5,FIND($A$2,Lines!AI5)+LEN($A$2)+1,FIND(",",_xlfn.CONCAT(Lines!AI5,","),FIND($A$2,Lines!AI5))-FIND($A$2,Lines!AI5)-LEN($A$2)-1))</f>
        <v/>
      </c>
      <c r="AJ5" s="30" t="str">
        <f>IF(ISERROR(FIND($A$2,Lines!AJ5))=TRUE,"",MID(Lines!AJ5,FIND($A$2,Lines!AJ5)+LEN($A$2)+1,FIND(",",_xlfn.CONCAT(Lines!AJ5,","),FIND($A$2,Lines!AJ5))-FIND($A$2,Lines!AJ5)-LEN($A$2)-1))</f>
        <v/>
      </c>
      <c r="AK5" s="30" t="str">
        <f>IF(ISERROR(FIND($A$2,Lines!AK5))=TRUE,"",MID(Lines!AK5,FIND($A$2,Lines!AK5)+LEN($A$2)+1,FIND(",",_xlfn.CONCAT(Lines!AK5,","),FIND($A$2,Lines!AK5))-FIND($A$2,Lines!AK5)-LEN($A$2)-1))</f>
        <v/>
      </c>
      <c r="AL5" s="30" t="str">
        <f>IF(ISERROR(FIND($A$2,Lines!AL5))=TRUE,"",MID(Lines!AL5,FIND($A$2,Lines!AL5)+LEN($A$2)+1,FIND(",",_xlfn.CONCAT(Lines!AL5,","),FIND($A$2,Lines!AL5))-FIND($A$2,Lines!AL5)-LEN($A$2)-1))</f>
        <v/>
      </c>
      <c r="AM5" s="30" t="str">
        <f>IF(ISERROR(FIND($A$2,Lines!AM5))=TRUE,"",MID(Lines!AM5,FIND($A$2,Lines!AM5)+LEN($A$2)+1,FIND(",",_xlfn.CONCAT(Lines!AM5,","),FIND($A$2,Lines!AM5))-FIND($A$2,Lines!AM5)-LEN($A$2)-1))</f>
        <v/>
      </c>
      <c r="AN5" s="30" t="str">
        <f>IF(ISERROR(FIND($A$2,Lines!AN5))=TRUE,"",MID(Lines!AN5,FIND($A$2,Lines!AN5)+LEN($A$2)+1,FIND(",",_xlfn.CONCAT(Lines!AN5,","),FIND($A$2,Lines!AN5))-FIND($A$2,Lines!AN5)-LEN($A$2)-1))</f>
        <v/>
      </c>
      <c r="AO5" s="30" t="str">
        <f>IF(ISERROR(FIND($A$2,Lines!AO5))=TRUE,"",MID(Lines!AO5,FIND($A$2,Lines!AO5)+LEN($A$2)+1,FIND(",",_xlfn.CONCAT(Lines!AO5,","),FIND($A$2,Lines!AO5))-FIND($A$2,Lines!AO5)-LEN($A$2)-1))</f>
        <v/>
      </c>
      <c r="AP5" s="30" t="str">
        <f>IF(ISERROR(FIND($A$2,Lines!AP5))=TRUE,"",MID(Lines!AP5,FIND($A$2,Lines!AP5)+LEN($A$2)+1,FIND(",",_xlfn.CONCAT(Lines!AP5,","),FIND($A$2,Lines!AP5))-FIND($A$2,Lines!AP5)-LEN($A$2)-1))</f>
        <v/>
      </c>
      <c r="AQ5" s="30" t="str">
        <f>IF(ISERROR(FIND($A$2,Lines!AQ5))=TRUE,"",MID(Lines!AQ5,FIND($A$2,Lines!AQ5)+LEN($A$2)+1,FIND(",",_xlfn.CONCAT(Lines!AQ5,","),FIND($A$2,Lines!AQ5))-FIND($A$2,Lines!AQ5)-LEN($A$2)-1))</f>
        <v/>
      </c>
      <c r="AR5" s="30" t="str">
        <f>IF(ISERROR(FIND($A$2,Lines!AR5))=TRUE,"",MID(Lines!AR5,FIND($A$2,Lines!AR5)+LEN($A$2)+1,FIND(",",_xlfn.CONCAT(Lines!AR5,","),FIND($A$2,Lines!AR5))-FIND($A$2,Lines!AR5)-LEN($A$2)-1))</f>
        <v/>
      </c>
      <c r="AS5" s="30" t="str">
        <f>IF(ISERROR(FIND($A$2,Lines!AS5))=TRUE,"",MID(Lines!AS5,FIND($A$2,Lines!AS5)+LEN($A$2)+1,FIND(",",_xlfn.CONCAT(Lines!AS5,","),FIND($A$2,Lines!AS5))-FIND($A$2,Lines!AS5)-LEN($A$2)-1))</f>
        <v/>
      </c>
      <c r="AT5" s="30" t="str">
        <f>IF(ISERROR(FIND($A$2,Lines!AT5))=TRUE,"",MID(Lines!AT5,FIND($A$2,Lines!AT5)+LEN($A$2)+1,FIND(",",_xlfn.CONCAT(Lines!AT5,","),FIND($A$2,Lines!AT5))-FIND($A$2,Lines!AT5)-LEN($A$2)-1))</f>
        <v/>
      </c>
    </row>
    <row r="6" spans="1:46" ht="20.25" customHeight="1">
      <c r="A6" s="2" t="s">
        <v>57</v>
      </c>
      <c r="B6" s="26" t="str">
        <f>IF(ISERROR(FIND($A$2,Lines!B6))=TRUE,"",MID(Lines!B6,FIND($A$2,Lines!B6)+LEN($A$2)+1,FIND(",",_xlfn.CONCAT(Lines!B6,","),FIND($A$2,Lines!B6))-FIND($A$2,Lines!B6)-LEN($A$2)-1))</f>
        <v/>
      </c>
      <c r="C6" s="26" t="str">
        <f>IF(ISERROR(FIND($A$2,Lines!C6))=TRUE,"",MID(Lines!C6,FIND($A$2,Lines!C6)+LEN($A$2)+1,FIND(",",_xlfn.CONCAT(Lines!C6,","),FIND($A$2,Lines!C6))-FIND($A$2,Lines!C6)-LEN($A$2)-1))</f>
        <v/>
      </c>
      <c r="D6" s="63" t="str">
        <f>IF(ISERROR(FIND($A$2,Lines!D6))=TRUE,"",MID(Lines!D6,FIND($A$2,Lines!D6)+LEN($A$2)+1,FIND(",",_xlfn.CONCAT(Lines!D6,","),FIND($A$2,Lines!D6))-FIND($A$2,Lines!D6)-LEN($A$2)-1))</f>
        <v/>
      </c>
      <c r="E6" s="26" t="str">
        <f>IF(ISERROR(FIND($A$2,Lines!E6))=TRUE,"",MID(Lines!E6,FIND($A$2,Lines!E6)+LEN($A$2)+1,FIND(",",_xlfn.CONCAT(Lines!E6,","),FIND($A$2,Lines!E6))-FIND($A$2,Lines!E6)-LEN($A$2)-1))</f>
        <v/>
      </c>
      <c r="F6" s="26" t="str">
        <f>IF(ISERROR(FIND($A$2,Lines!F6))=TRUE,"",MID(Lines!F6,FIND($A$2,Lines!F6)+LEN($A$2)+1,FIND(",",_xlfn.CONCAT(Lines!F6,","),FIND($A$2,Lines!F6))-FIND($A$2,Lines!F6)-LEN($A$2)-1))</f>
        <v/>
      </c>
      <c r="G6" s="26" t="str">
        <f>IF(ISERROR(FIND($A$2,Lines!G6))=TRUE,"",MID(Lines!G6,FIND($A$2,Lines!G6)+LEN($A$2)+1,FIND(",",_xlfn.CONCAT(Lines!G6,","),FIND($A$2,Lines!G6))-FIND($A$2,Lines!G6)-LEN($A$2)-1))</f>
        <v/>
      </c>
      <c r="H6" s="26" t="str">
        <f>IF(ISERROR(FIND($A$2,Lines!H6))=TRUE,"",MID(Lines!H6,FIND($A$2,Lines!H6)+LEN($A$2)+1,FIND(",",_xlfn.CONCAT(Lines!H6,","),FIND($A$2,Lines!H6))-FIND($A$2,Lines!H6)-LEN($A$2)-1))</f>
        <v/>
      </c>
      <c r="I6" s="26" t="str">
        <f>IF(ISERROR(FIND($A$2,Lines!I6))=TRUE,"",MID(Lines!I6,FIND($A$2,Lines!I6)+LEN($A$2)+1,FIND(",",_xlfn.CONCAT(Lines!I6,","),FIND($A$2,Lines!I6))-FIND($A$2,Lines!I6)-LEN($A$2)-1))</f>
        <v/>
      </c>
      <c r="J6" s="26" t="str">
        <f>IF(ISERROR(FIND($A$2,Lines!J6))=TRUE,"",MID(Lines!J6,FIND($A$2,Lines!J6)+LEN($A$2)+1,FIND(",",_xlfn.CONCAT(Lines!J6,","),FIND($A$2,Lines!J6))-FIND($A$2,Lines!J6)-LEN($A$2)-1))</f>
        <v/>
      </c>
      <c r="K6" s="26" t="str">
        <f>IF(ISERROR(FIND($A$2,Lines!K6))=TRUE,"",MID(Lines!K6,FIND($A$2,Lines!K6)+LEN($A$2)+1,FIND(",",_xlfn.CONCAT(Lines!K6,","),FIND($A$2,Lines!K6))-FIND($A$2,Lines!K6)-LEN($A$2)-1))</f>
        <v/>
      </c>
      <c r="L6" s="26" t="str">
        <f>IF(ISERROR(FIND($A$2,Lines!L6))=TRUE,"",MID(Lines!L6,FIND($A$2,Lines!L6)+LEN($A$2)+1,FIND(",",_xlfn.CONCAT(Lines!L6,","),FIND($A$2,Lines!L6))-FIND($A$2,Lines!L6)-LEN($A$2)-1))</f>
        <v/>
      </c>
      <c r="M6" s="27" t="str">
        <f>IF(ISERROR(FIND($A$2,Lines!M6))=TRUE,"",MID(Lines!M6,FIND($A$2,Lines!M6)+LEN($A$2)+1,FIND(",",_xlfn.CONCAT(Lines!M6,","),FIND($A$2,Lines!M6))-FIND($A$2,Lines!M6)-LEN($A$2)-1))</f>
        <v/>
      </c>
      <c r="N6" s="30" t="str">
        <f>IF(ISERROR(FIND($A$2,Lines!N6))=TRUE,"",MID(Lines!N6,FIND($A$2,Lines!N6)+LEN($A$2)+1,FIND(",",_xlfn.CONCAT(Lines!N6,","),FIND($A$2,Lines!N6))-FIND($A$2,Lines!N6)-LEN($A$2)-1))</f>
        <v/>
      </c>
      <c r="O6" s="30" t="str">
        <f>IF(ISERROR(FIND($A$2,Lines!O6))=TRUE,"",MID(Lines!O6,FIND($A$2,Lines!O6)+LEN($A$2)+1,FIND(",",_xlfn.CONCAT(Lines!O6,","),FIND($A$2,Lines!O6))-FIND($A$2,Lines!O6)-LEN($A$2)-1))</f>
        <v/>
      </c>
      <c r="P6" s="30" t="str">
        <f>IF(ISERROR(FIND($A$2,Lines!P6))=TRUE,"",MID(Lines!P6,FIND($A$2,Lines!P6)+LEN($A$2)+1,FIND(",",_xlfn.CONCAT(Lines!P6,","),FIND($A$2,Lines!P6))-FIND($A$2,Lines!P6)-LEN($A$2)-1))</f>
        <v/>
      </c>
      <c r="Q6" s="30" t="str">
        <f>IF(ISERROR(FIND($A$2,Lines!Q6))=TRUE,"",MID(Lines!Q6,FIND($A$2,Lines!Q6)+LEN($A$2)+1,FIND(",",_xlfn.CONCAT(Lines!Q6,","),FIND($A$2,Lines!Q6))-FIND($A$2,Lines!Q6)-LEN($A$2)-1))</f>
        <v/>
      </c>
      <c r="R6" s="30" t="str">
        <f>IF(ISERROR(FIND($A$2,Lines!R6))=TRUE,"",MID(Lines!R6,FIND($A$2,Lines!R6)+LEN($A$2)+1,FIND(",",_xlfn.CONCAT(Lines!R6,","),FIND($A$2,Lines!R6))-FIND($A$2,Lines!R6)-LEN($A$2)-1))</f>
        <v/>
      </c>
      <c r="S6" s="30" t="str">
        <f>IF(ISERROR(FIND($A$2,Lines!S6))=TRUE,"",MID(Lines!S6,FIND($A$2,Lines!S6)+LEN($A$2)+1,FIND(",",_xlfn.CONCAT(Lines!S6,","),FIND($A$2,Lines!S6))-FIND($A$2,Lines!S6)-LEN($A$2)-1))</f>
        <v/>
      </c>
      <c r="T6" s="30" t="str">
        <f>IF(ISERROR(FIND($A$2,Lines!T6))=TRUE,"",MID(Lines!T6,FIND($A$2,Lines!T6)+LEN($A$2)+1,FIND(",",_xlfn.CONCAT(Lines!T6,","),FIND($A$2,Lines!T6))-FIND($A$2,Lines!T6)-LEN($A$2)-1))</f>
        <v/>
      </c>
      <c r="U6" s="30" t="str">
        <f>IF(ISERROR(FIND($A$2,Lines!U6))=TRUE,"",MID(Lines!U6,FIND($A$2,Lines!U6)+LEN($A$2)+1,FIND(",",_xlfn.CONCAT(Lines!U6,","),FIND($A$2,Lines!U6))-FIND($A$2,Lines!U6)-LEN($A$2)-1))</f>
        <v/>
      </c>
      <c r="V6" s="30" t="str">
        <f>IF(ISERROR(FIND($A$2,Lines!V6))=TRUE,"",MID(Lines!V6,FIND($A$2,Lines!V6)+LEN($A$2)+1,FIND(",",_xlfn.CONCAT(Lines!V6,","),FIND($A$2,Lines!V6))-FIND($A$2,Lines!V6)-LEN($A$2)-1))</f>
        <v/>
      </c>
      <c r="W6" s="36" t="str">
        <f>IF(ISERROR(FIND($A$2,Lines!W6))=TRUE,"",MID(Lines!W6,FIND($A$2,Lines!W6)+LEN($A$2)+1,FIND(",",_xlfn.CONCAT(Lines!W6,","),FIND($A$2,Lines!W6))-FIND($A$2,Lines!W6)-LEN($A$2)-1))</f>
        <v/>
      </c>
      <c r="X6" s="30" t="str">
        <f>IF(ISERROR(FIND($A$2,Lines!X6))=TRUE,"",MID(Lines!X6,FIND($A$2,Lines!X6)+LEN($A$2)+1,FIND(",",_xlfn.CONCAT(Lines!X6,","),FIND($A$2,Lines!X6))-FIND($A$2,Lines!X6)-LEN($A$2)-1))</f>
        <v/>
      </c>
      <c r="Y6" s="30" t="str">
        <f>IF(ISERROR(FIND($A$2,Lines!Y6))=TRUE,"",MID(Lines!Y6,FIND($A$2,Lines!Y6)+LEN($A$2)+1,FIND(",",_xlfn.CONCAT(Lines!Y6,","),FIND($A$2,Lines!Y6))-FIND($A$2,Lines!Y6)-LEN($A$2)-1))</f>
        <v/>
      </c>
      <c r="Z6" s="30" t="str">
        <f>IF(ISERROR(FIND($A$2,Lines!Z6))=TRUE,"",MID(Lines!Z6,FIND($A$2,Lines!Z6)+LEN($A$2)+1,FIND(",",_xlfn.CONCAT(Lines!Z6,","),FIND($A$2,Lines!Z6))-FIND($A$2,Lines!Z6)-LEN($A$2)-1))</f>
        <v/>
      </c>
      <c r="AA6" s="30" t="str">
        <f>IF(ISERROR(FIND($A$2,Lines!AA6))=TRUE,"",MID(Lines!AA6,FIND($A$2,Lines!AA6)+LEN($A$2)+1,FIND(",",_xlfn.CONCAT(Lines!AA6,","),FIND($A$2,Lines!AA6))-FIND($A$2,Lines!AA6)-LEN($A$2)-1))</f>
        <v/>
      </c>
      <c r="AB6" s="30" t="str">
        <f>IF(ISERROR(FIND($A$2,Lines!AB6))=TRUE,"",MID(Lines!AB6,FIND($A$2,Lines!AB6)+LEN($A$2)+1,FIND(",",_xlfn.CONCAT(Lines!AB6,","),FIND($A$2,Lines!AB6))-FIND($A$2,Lines!AB6)-LEN($A$2)-1))</f>
        <v/>
      </c>
      <c r="AC6" s="30" t="str">
        <f>IF(ISERROR(FIND($A$2,Lines!AC6))=TRUE,"",MID(Lines!AC6,FIND($A$2,Lines!AC6)+LEN($A$2)+1,FIND(",",_xlfn.CONCAT(Lines!AC6,","),FIND($A$2,Lines!AC6))-FIND($A$2,Lines!AC6)-LEN($A$2)-1))</f>
        <v/>
      </c>
      <c r="AD6" s="30" t="str">
        <f>IF(ISERROR(FIND($A$2,Lines!AD6))=TRUE,"",MID(Lines!AD6,FIND($A$2,Lines!AD6)+LEN($A$2)+1,FIND(",",_xlfn.CONCAT(Lines!AD6,","),FIND($A$2,Lines!AD6))-FIND($A$2,Lines!AD6)-LEN($A$2)-1))</f>
        <v/>
      </c>
      <c r="AE6" s="30" t="str">
        <f>IF(ISERROR(FIND($A$2,Lines!AE6))=TRUE,"",MID(Lines!AE6,FIND($A$2,Lines!AE6)+LEN($A$2)+1,FIND(",",_xlfn.CONCAT(Lines!AE6,","),FIND($A$2,Lines!AE6))-FIND($A$2,Lines!AE6)-LEN($A$2)-1))</f>
        <v/>
      </c>
      <c r="AF6" s="30" t="str">
        <f>IF(ISERROR(FIND($A$2,Lines!AF6))=TRUE,"",MID(Lines!AF6,FIND($A$2,Lines!AF6)+LEN($A$2)+1,FIND(",",_xlfn.CONCAT(Lines!AF6,","),FIND($A$2,Lines!AF6))-FIND($A$2,Lines!AF6)-LEN($A$2)-1))</f>
        <v/>
      </c>
      <c r="AG6" s="30" t="str">
        <f>IF(ISERROR(FIND($A$2,Lines!AG6))=TRUE,"",MID(Lines!AG6,FIND($A$2,Lines!AG6)+LEN($A$2)+1,FIND(",",_xlfn.CONCAT(Lines!AG6,","),FIND($A$2,Lines!AG6))-FIND($A$2,Lines!AG6)-LEN($A$2)-1))</f>
        <v/>
      </c>
      <c r="AH6" s="30" t="str">
        <f>IF(ISERROR(FIND($A$2,Lines!AH6))=TRUE,"",MID(Lines!AH6,FIND($A$2,Lines!AH6)+LEN($A$2)+1,FIND(",",_xlfn.CONCAT(Lines!AH6,","),FIND($A$2,Lines!AH6))-FIND($A$2,Lines!AH6)-LEN($A$2)-1))</f>
        <v/>
      </c>
      <c r="AI6" s="30" t="str">
        <f>IF(ISERROR(FIND($A$2,Lines!AI6))=TRUE,"",MID(Lines!AI6,FIND($A$2,Lines!AI6)+LEN($A$2)+1,FIND(",",_xlfn.CONCAT(Lines!AI6,","),FIND($A$2,Lines!AI6))-FIND($A$2,Lines!AI6)-LEN($A$2)-1))</f>
        <v/>
      </c>
      <c r="AJ6" s="30" t="str">
        <f>IF(ISERROR(FIND($A$2,Lines!AJ6))=TRUE,"",MID(Lines!AJ6,FIND($A$2,Lines!AJ6)+LEN($A$2)+1,FIND(",",_xlfn.CONCAT(Lines!AJ6,","),FIND($A$2,Lines!AJ6))-FIND($A$2,Lines!AJ6)-LEN($A$2)-1))</f>
        <v/>
      </c>
      <c r="AK6" s="30" t="str">
        <f>IF(ISERROR(FIND($A$2,Lines!AK6))=TRUE,"",MID(Lines!AK6,FIND($A$2,Lines!AK6)+LEN($A$2)+1,FIND(",",_xlfn.CONCAT(Lines!AK6,","),FIND($A$2,Lines!AK6))-FIND($A$2,Lines!AK6)-LEN($A$2)-1))</f>
        <v/>
      </c>
      <c r="AL6" s="30" t="str">
        <f>IF(ISERROR(FIND($A$2,Lines!AL6))=TRUE,"",MID(Lines!AL6,FIND($A$2,Lines!AL6)+LEN($A$2)+1,FIND(",",_xlfn.CONCAT(Lines!AL6,","),FIND($A$2,Lines!AL6))-FIND($A$2,Lines!AL6)-LEN($A$2)-1))</f>
        <v/>
      </c>
      <c r="AM6" s="30" t="str">
        <f>IF(ISERROR(FIND($A$2,Lines!AM6))=TRUE,"",MID(Lines!AM6,FIND($A$2,Lines!AM6)+LEN($A$2)+1,FIND(",",_xlfn.CONCAT(Lines!AM6,","),FIND($A$2,Lines!AM6))-FIND($A$2,Lines!AM6)-LEN($A$2)-1))</f>
        <v/>
      </c>
      <c r="AN6" s="30" t="str">
        <f>IF(ISERROR(FIND($A$2,Lines!AN6))=TRUE,"",MID(Lines!AN6,FIND($A$2,Lines!AN6)+LEN($A$2)+1,FIND(",",_xlfn.CONCAT(Lines!AN6,","),FIND($A$2,Lines!AN6))-FIND($A$2,Lines!AN6)-LEN($A$2)-1))</f>
        <v/>
      </c>
      <c r="AO6" s="30" t="str">
        <f>IF(ISERROR(FIND($A$2,Lines!AO6))=TRUE,"",MID(Lines!AO6,FIND($A$2,Lines!AO6)+LEN($A$2)+1,FIND(",",_xlfn.CONCAT(Lines!AO6,","),FIND($A$2,Lines!AO6))-FIND($A$2,Lines!AO6)-LEN($A$2)-1))</f>
        <v/>
      </c>
      <c r="AP6" s="30" t="str">
        <f>IF(ISERROR(FIND($A$2,Lines!AP6))=TRUE,"",MID(Lines!AP6,FIND($A$2,Lines!AP6)+LEN($A$2)+1,FIND(",",_xlfn.CONCAT(Lines!AP6,","),FIND($A$2,Lines!AP6))-FIND($A$2,Lines!AP6)-LEN($A$2)-1))</f>
        <v/>
      </c>
      <c r="AQ6" s="30" t="str">
        <f>IF(ISERROR(FIND($A$2,Lines!AQ6))=TRUE,"",MID(Lines!AQ6,FIND($A$2,Lines!AQ6)+LEN($A$2)+1,FIND(",",_xlfn.CONCAT(Lines!AQ6,","),FIND($A$2,Lines!AQ6))-FIND($A$2,Lines!AQ6)-LEN($A$2)-1))</f>
        <v/>
      </c>
      <c r="AR6" s="30" t="str">
        <f>IF(ISERROR(FIND($A$2,Lines!AR6))=TRUE,"",MID(Lines!AR6,FIND($A$2,Lines!AR6)+LEN($A$2)+1,FIND(",",_xlfn.CONCAT(Lines!AR6,","),FIND($A$2,Lines!AR6))-FIND($A$2,Lines!AR6)-LEN($A$2)-1))</f>
        <v/>
      </c>
      <c r="AS6" s="30" t="str">
        <f>IF(ISERROR(FIND($A$2,Lines!AS6))=TRUE,"",MID(Lines!AS6,FIND($A$2,Lines!AS6)+LEN($A$2)+1,FIND(",",_xlfn.CONCAT(Lines!AS6,","),FIND($A$2,Lines!AS6))-FIND($A$2,Lines!AS6)-LEN($A$2)-1))</f>
        <v/>
      </c>
      <c r="AT6" s="30" t="str">
        <f>IF(ISERROR(FIND($A$2,Lines!AT6))=TRUE,"",MID(Lines!AT6,FIND($A$2,Lines!AT6)+LEN($A$2)+1,FIND(",",_xlfn.CONCAT(Lines!AT6,","),FIND($A$2,Lines!AT6))-FIND($A$2,Lines!AT6)-LEN($A$2)-1))</f>
        <v/>
      </c>
    </row>
    <row r="7" spans="1:46" ht="20.25" customHeight="1">
      <c r="A7" s="2" t="s">
        <v>58</v>
      </c>
      <c r="B7" s="26" t="str">
        <f>IF(ISERROR(FIND($A$2,Lines!B7))=TRUE,"",MID(Lines!B7,FIND($A$2,Lines!B7)+LEN($A$2)+1,FIND(",",_xlfn.CONCAT(Lines!B7,","),FIND($A$2,Lines!B7))-FIND($A$2,Lines!B7)-LEN($A$2)-1))</f>
        <v/>
      </c>
      <c r="C7" s="26" t="str">
        <f>IF(ISERROR(FIND($A$2,Lines!C7))=TRUE,"",MID(Lines!C7,FIND($A$2,Lines!C7)+LEN($A$2)+1,FIND(",",_xlfn.CONCAT(Lines!C7,","),FIND($A$2,Lines!C7))-FIND($A$2,Lines!C7)-LEN($A$2)-1))</f>
        <v/>
      </c>
      <c r="D7" s="26" t="str">
        <f>IF(ISERROR(FIND($A$2,Lines!D7))=TRUE,"",MID(Lines!D7,FIND($A$2,Lines!D7)+LEN($A$2)+1,FIND(",",_xlfn.CONCAT(Lines!D7,","),FIND($A$2,Lines!D7))-FIND($A$2,Lines!D7)-LEN($A$2)-1))</f>
        <v/>
      </c>
      <c r="E7" s="63" t="str">
        <f>IF(ISERROR(FIND($A$2,Lines!E7))=TRUE,"",MID(Lines!E7,FIND($A$2,Lines!E7)+LEN($A$2)+1,FIND(",",_xlfn.CONCAT(Lines!E7,","),FIND($A$2,Lines!E7))-FIND($A$2,Lines!E7)-LEN($A$2)-1))</f>
        <v/>
      </c>
      <c r="F7" s="26" t="str">
        <f>IF(ISERROR(FIND($A$2,Lines!F7))=TRUE,"",MID(Lines!F7,FIND($A$2,Lines!F7)+LEN($A$2)+1,FIND(",",_xlfn.CONCAT(Lines!F7,","),FIND($A$2,Lines!F7))-FIND($A$2,Lines!F7)-LEN($A$2)-1))</f>
        <v/>
      </c>
      <c r="G7" s="26" t="str">
        <f>IF(ISERROR(FIND($A$2,Lines!G7))=TRUE,"",MID(Lines!G7,FIND($A$2,Lines!G7)+LEN($A$2)+1,FIND(",",_xlfn.CONCAT(Lines!G7,","),FIND($A$2,Lines!G7))-FIND($A$2,Lines!G7)-LEN($A$2)-1))</f>
        <v/>
      </c>
      <c r="H7" s="26" t="str">
        <f>IF(ISERROR(FIND($A$2,Lines!H7))=TRUE,"",MID(Lines!H7,FIND($A$2,Lines!H7)+LEN($A$2)+1,FIND(",",_xlfn.CONCAT(Lines!H7,","),FIND($A$2,Lines!H7))-FIND($A$2,Lines!H7)-LEN($A$2)-1))</f>
        <v/>
      </c>
      <c r="I7" s="26" t="str">
        <f>IF(ISERROR(FIND($A$2,Lines!I7))=TRUE,"",MID(Lines!I7,FIND($A$2,Lines!I7)+LEN($A$2)+1,FIND(",",_xlfn.CONCAT(Lines!I7,","),FIND($A$2,Lines!I7))-FIND($A$2,Lines!I7)-LEN($A$2)-1))</f>
        <v/>
      </c>
      <c r="J7" s="26" t="str">
        <f>IF(ISERROR(FIND($A$2,Lines!J7))=TRUE,"",MID(Lines!J7,FIND($A$2,Lines!J7)+LEN($A$2)+1,FIND(",",_xlfn.CONCAT(Lines!J7,","),FIND($A$2,Lines!J7))-FIND($A$2,Lines!J7)-LEN($A$2)-1))</f>
        <v/>
      </c>
      <c r="K7" s="26" t="str">
        <f>IF(ISERROR(FIND($A$2,Lines!K7))=TRUE,"",MID(Lines!K7,FIND($A$2,Lines!K7)+LEN($A$2)+1,FIND(",",_xlfn.CONCAT(Lines!K7,","),FIND($A$2,Lines!K7))-FIND($A$2,Lines!K7)-LEN($A$2)-1))</f>
        <v/>
      </c>
      <c r="L7" s="26" t="str">
        <f>IF(ISERROR(FIND($A$2,Lines!L7))=TRUE,"",MID(Lines!L7,FIND($A$2,Lines!L7)+LEN($A$2)+1,FIND(",",_xlfn.CONCAT(Lines!L7,","),FIND($A$2,Lines!L7))-FIND($A$2,Lines!L7)-LEN($A$2)-1))</f>
        <v/>
      </c>
      <c r="M7" s="27" t="str">
        <f>IF(ISERROR(FIND($A$2,Lines!M7))=TRUE,"",MID(Lines!M7,FIND($A$2,Lines!M7)+LEN($A$2)+1,FIND(",",_xlfn.CONCAT(Lines!M7,","),FIND($A$2,Lines!M7))-FIND($A$2,Lines!M7)-LEN($A$2)-1))</f>
        <v/>
      </c>
      <c r="N7" s="30" t="str">
        <f>IF(ISERROR(FIND($A$2,Lines!N7))=TRUE,"",MID(Lines!N7,FIND($A$2,Lines!N7)+LEN($A$2)+1,FIND(",",_xlfn.CONCAT(Lines!N7,","),FIND($A$2,Lines!N7))-FIND($A$2,Lines!N7)-LEN($A$2)-1))</f>
        <v/>
      </c>
      <c r="O7" s="30" t="str">
        <f>IF(ISERROR(FIND($A$2,Lines!O7))=TRUE,"",MID(Lines!O7,FIND($A$2,Lines!O7)+LEN($A$2)+1,FIND(",",_xlfn.CONCAT(Lines!O7,","),FIND($A$2,Lines!O7))-FIND($A$2,Lines!O7)-LEN($A$2)-1))</f>
        <v/>
      </c>
      <c r="P7" s="30" t="str">
        <f>IF(ISERROR(FIND($A$2,Lines!P7))=TRUE,"",MID(Lines!P7,FIND($A$2,Lines!P7)+LEN($A$2)+1,FIND(",",_xlfn.CONCAT(Lines!P7,","),FIND($A$2,Lines!P7))-FIND($A$2,Lines!P7)-LEN($A$2)-1))</f>
        <v/>
      </c>
      <c r="Q7" s="30" t="str">
        <f>IF(ISERROR(FIND($A$2,Lines!Q7))=TRUE,"",MID(Lines!Q7,FIND($A$2,Lines!Q7)+LEN($A$2)+1,FIND(",",_xlfn.CONCAT(Lines!Q7,","),FIND($A$2,Lines!Q7))-FIND($A$2,Lines!Q7)-LEN($A$2)-1))</f>
        <v/>
      </c>
      <c r="R7" s="30" t="str">
        <f>IF(ISERROR(FIND($A$2,Lines!R7))=TRUE,"",MID(Lines!R7,FIND($A$2,Lines!R7)+LEN($A$2)+1,FIND(",",_xlfn.CONCAT(Lines!R7,","),FIND($A$2,Lines!R7))-FIND($A$2,Lines!R7)-LEN($A$2)-1))</f>
        <v/>
      </c>
      <c r="S7" s="30" t="str">
        <f>IF(ISERROR(FIND($A$2,Lines!S7))=TRUE,"",MID(Lines!S7,FIND($A$2,Lines!S7)+LEN($A$2)+1,FIND(",",_xlfn.CONCAT(Lines!S7,","),FIND($A$2,Lines!S7))-FIND($A$2,Lines!S7)-LEN($A$2)-1))</f>
        <v/>
      </c>
      <c r="T7" s="30" t="str">
        <f>IF(ISERROR(FIND($A$2,Lines!T7))=TRUE,"",MID(Lines!T7,FIND($A$2,Lines!T7)+LEN($A$2)+1,FIND(",",_xlfn.CONCAT(Lines!T7,","),FIND($A$2,Lines!T7))-FIND($A$2,Lines!T7)-LEN($A$2)-1))</f>
        <v/>
      </c>
      <c r="U7" s="30" t="str">
        <f>IF(ISERROR(FIND($A$2,Lines!U7))=TRUE,"",MID(Lines!U7,FIND($A$2,Lines!U7)+LEN($A$2)+1,FIND(",",_xlfn.CONCAT(Lines!U7,","),FIND($A$2,Lines!U7))-FIND($A$2,Lines!U7)-LEN($A$2)-1))</f>
        <v/>
      </c>
      <c r="V7" s="30" t="str">
        <f>IF(ISERROR(FIND($A$2,Lines!V7))=TRUE,"",MID(Lines!V7,FIND($A$2,Lines!V7)+LEN($A$2)+1,FIND(",",_xlfn.CONCAT(Lines!V7,","),FIND($A$2,Lines!V7))-FIND($A$2,Lines!V7)-LEN($A$2)-1))</f>
        <v/>
      </c>
      <c r="W7" s="36" t="str">
        <f>IF(ISERROR(FIND($A$2,Lines!W7))=TRUE,"",MID(Lines!W7,FIND($A$2,Lines!W7)+LEN($A$2)+1,FIND(",",_xlfn.CONCAT(Lines!W7,","),FIND($A$2,Lines!W7))-FIND($A$2,Lines!W7)-LEN($A$2)-1))</f>
        <v/>
      </c>
      <c r="X7" s="30" t="str">
        <f>IF(ISERROR(FIND($A$2,Lines!X7))=TRUE,"",MID(Lines!X7,FIND($A$2,Lines!X7)+LEN($A$2)+1,FIND(",",_xlfn.CONCAT(Lines!X7,","),FIND($A$2,Lines!X7))-FIND($A$2,Lines!X7)-LEN($A$2)-1))</f>
        <v/>
      </c>
      <c r="Y7" s="30" t="str">
        <f>IF(ISERROR(FIND($A$2,Lines!Y7))=TRUE,"",MID(Lines!Y7,FIND($A$2,Lines!Y7)+LEN($A$2)+1,FIND(",",_xlfn.CONCAT(Lines!Y7,","),FIND($A$2,Lines!Y7))-FIND($A$2,Lines!Y7)-LEN($A$2)-1))</f>
        <v/>
      </c>
      <c r="Z7" s="30" t="str">
        <f>IF(ISERROR(FIND($A$2,Lines!Z7))=TRUE,"",MID(Lines!Z7,FIND($A$2,Lines!Z7)+LEN($A$2)+1,FIND(",",_xlfn.CONCAT(Lines!Z7,","),FIND($A$2,Lines!Z7))-FIND($A$2,Lines!Z7)-LEN($A$2)-1))</f>
        <v/>
      </c>
      <c r="AA7" s="30" t="str">
        <f>IF(ISERROR(FIND($A$2,Lines!AA7))=TRUE,"",MID(Lines!AA7,FIND($A$2,Lines!AA7)+LEN($A$2)+1,FIND(",",_xlfn.CONCAT(Lines!AA7,","),FIND($A$2,Lines!AA7))-FIND($A$2,Lines!AA7)-LEN($A$2)-1))</f>
        <v/>
      </c>
      <c r="AB7" s="30" t="str">
        <f>IF(ISERROR(FIND($A$2,Lines!AB7))=TRUE,"",MID(Lines!AB7,FIND($A$2,Lines!AB7)+LEN($A$2)+1,FIND(",",_xlfn.CONCAT(Lines!AB7,","),FIND($A$2,Lines!AB7))-FIND($A$2,Lines!AB7)-LEN($A$2)-1))</f>
        <v/>
      </c>
      <c r="AC7" s="30" t="str">
        <f>IF(ISERROR(FIND($A$2,Lines!AC7))=TRUE,"",MID(Lines!AC7,FIND($A$2,Lines!AC7)+LEN($A$2)+1,FIND(",",_xlfn.CONCAT(Lines!AC7,","),FIND($A$2,Lines!AC7))-FIND($A$2,Lines!AC7)-LEN($A$2)-1))</f>
        <v/>
      </c>
      <c r="AD7" s="30" t="str">
        <f>IF(ISERROR(FIND($A$2,Lines!AD7))=TRUE,"",MID(Lines!AD7,FIND($A$2,Lines!AD7)+LEN($A$2)+1,FIND(",",_xlfn.CONCAT(Lines!AD7,","),FIND($A$2,Lines!AD7))-FIND($A$2,Lines!AD7)-LEN($A$2)-1))</f>
        <v/>
      </c>
      <c r="AE7" s="30" t="str">
        <f>IF(ISERROR(FIND($A$2,Lines!AE7))=TRUE,"",MID(Lines!AE7,FIND($A$2,Lines!AE7)+LEN($A$2)+1,FIND(",",_xlfn.CONCAT(Lines!AE7,","),FIND($A$2,Lines!AE7))-FIND($A$2,Lines!AE7)-LEN($A$2)-1))</f>
        <v/>
      </c>
      <c r="AF7" s="30" t="str">
        <f>IF(ISERROR(FIND($A$2,Lines!AF7))=TRUE,"",MID(Lines!AF7,FIND($A$2,Lines!AF7)+LEN($A$2)+1,FIND(",",_xlfn.CONCAT(Lines!AF7,","),FIND($A$2,Lines!AF7))-FIND($A$2,Lines!AF7)-LEN($A$2)-1))</f>
        <v/>
      </c>
      <c r="AG7" s="30" t="str">
        <f>IF(ISERROR(FIND($A$2,Lines!AG7))=TRUE,"",MID(Lines!AG7,FIND($A$2,Lines!AG7)+LEN($A$2)+1,FIND(",",_xlfn.CONCAT(Lines!AG7,","),FIND($A$2,Lines!AG7))-FIND($A$2,Lines!AG7)-LEN($A$2)-1))</f>
        <v/>
      </c>
      <c r="AH7" s="30" t="str">
        <f>IF(ISERROR(FIND($A$2,Lines!AH7))=TRUE,"",MID(Lines!AH7,FIND($A$2,Lines!AH7)+LEN($A$2)+1,FIND(",",_xlfn.CONCAT(Lines!AH7,","),FIND($A$2,Lines!AH7))-FIND($A$2,Lines!AH7)-LEN($A$2)-1))</f>
        <v/>
      </c>
      <c r="AI7" s="30" t="str">
        <f>IF(ISERROR(FIND($A$2,Lines!AI7))=TRUE,"",MID(Lines!AI7,FIND($A$2,Lines!AI7)+LEN($A$2)+1,FIND(",",_xlfn.CONCAT(Lines!AI7,","),FIND($A$2,Lines!AI7))-FIND($A$2,Lines!AI7)-LEN($A$2)-1))</f>
        <v/>
      </c>
      <c r="AJ7" s="30" t="str">
        <f>IF(ISERROR(FIND($A$2,Lines!AJ7))=TRUE,"",MID(Lines!AJ7,FIND($A$2,Lines!AJ7)+LEN($A$2)+1,FIND(",",_xlfn.CONCAT(Lines!AJ7,","),FIND($A$2,Lines!AJ7))-FIND($A$2,Lines!AJ7)-LEN($A$2)-1))</f>
        <v/>
      </c>
      <c r="AK7" s="30" t="str">
        <f>IF(ISERROR(FIND($A$2,Lines!AK7))=TRUE,"",MID(Lines!AK7,FIND($A$2,Lines!AK7)+LEN($A$2)+1,FIND(",",_xlfn.CONCAT(Lines!AK7,","),FIND($A$2,Lines!AK7))-FIND($A$2,Lines!AK7)-LEN($A$2)-1))</f>
        <v/>
      </c>
      <c r="AL7" s="30" t="str">
        <f>IF(ISERROR(FIND($A$2,Lines!AL7))=TRUE,"",MID(Lines!AL7,FIND($A$2,Lines!AL7)+LEN($A$2)+1,FIND(",",_xlfn.CONCAT(Lines!AL7,","),FIND($A$2,Lines!AL7))-FIND($A$2,Lines!AL7)-LEN($A$2)-1))</f>
        <v/>
      </c>
      <c r="AM7" s="30" t="str">
        <f>IF(ISERROR(FIND($A$2,Lines!AM7))=TRUE,"",MID(Lines!AM7,FIND($A$2,Lines!AM7)+LEN($A$2)+1,FIND(",",_xlfn.CONCAT(Lines!AM7,","),FIND($A$2,Lines!AM7))-FIND($A$2,Lines!AM7)-LEN($A$2)-1))</f>
        <v/>
      </c>
      <c r="AN7" s="30" t="str">
        <f>IF(ISERROR(FIND($A$2,Lines!AN7))=TRUE,"",MID(Lines!AN7,FIND($A$2,Lines!AN7)+LEN($A$2)+1,FIND(",",_xlfn.CONCAT(Lines!AN7,","),FIND($A$2,Lines!AN7))-FIND($A$2,Lines!AN7)-LEN($A$2)-1))</f>
        <v/>
      </c>
      <c r="AO7" s="30" t="str">
        <f>IF(ISERROR(FIND($A$2,Lines!AO7))=TRUE,"",MID(Lines!AO7,FIND($A$2,Lines!AO7)+LEN($A$2)+1,FIND(",",_xlfn.CONCAT(Lines!AO7,","),FIND($A$2,Lines!AO7))-FIND($A$2,Lines!AO7)-LEN($A$2)-1))</f>
        <v/>
      </c>
      <c r="AP7" s="30" t="str">
        <f>IF(ISERROR(FIND($A$2,Lines!AP7))=TRUE,"",MID(Lines!AP7,FIND($A$2,Lines!AP7)+LEN($A$2)+1,FIND(",",_xlfn.CONCAT(Lines!AP7,","),FIND($A$2,Lines!AP7))-FIND($A$2,Lines!AP7)-LEN($A$2)-1))</f>
        <v/>
      </c>
      <c r="AQ7" s="30" t="str">
        <f>IF(ISERROR(FIND($A$2,Lines!AQ7))=TRUE,"",MID(Lines!AQ7,FIND($A$2,Lines!AQ7)+LEN($A$2)+1,FIND(",",_xlfn.CONCAT(Lines!AQ7,","),FIND($A$2,Lines!AQ7))-FIND($A$2,Lines!AQ7)-LEN($A$2)-1))</f>
        <v/>
      </c>
      <c r="AR7" s="30" t="str">
        <f>IF(ISERROR(FIND($A$2,Lines!AR7))=TRUE,"",MID(Lines!AR7,FIND($A$2,Lines!AR7)+LEN($A$2)+1,FIND(",",_xlfn.CONCAT(Lines!AR7,","),FIND($A$2,Lines!AR7))-FIND($A$2,Lines!AR7)-LEN($A$2)-1))</f>
        <v/>
      </c>
      <c r="AS7" s="30" t="str">
        <f>IF(ISERROR(FIND($A$2,Lines!AS7))=TRUE,"",MID(Lines!AS7,FIND($A$2,Lines!AS7)+LEN($A$2)+1,FIND(",",_xlfn.CONCAT(Lines!AS7,","),FIND($A$2,Lines!AS7))-FIND($A$2,Lines!AS7)-LEN($A$2)-1))</f>
        <v/>
      </c>
      <c r="AT7" s="30" t="str">
        <f>IF(ISERROR(FIND($A$2,Lines!AT7))=TRUE,"",MID(Lines!AT7,FIND($A$2,Lines!AT7)+LEN($A$2)+1,FIND(",",_xlfn.CONCAT(Lines!AT7,","),FIND($A$2,Lines!AT7))-FIND($A$2,Lines!AT7)-LEN($A$2)-1))</f>
        <v/>
      </c>
    </row>
    <row r="8" spans="1:46" ht="20.25" customHeight="1">
      <c r="A8" s="2" t="s">
        <v>59</v>
      </c>
      <c r="B8" s="26" t="str">
        <f>IF(ISERROR(FIND($A$2,Lines!B8))=TRUE,"",MID(Lines!B8,FIND($A$2,Lines!B8)+LEN($A$2)+1,FIND(",",_xlfn.CONCAT(Lines!B8,","),FIND($A$2,Lines!B8))-FIND($A$2,Lines!B8)-LEN($A$2)-1))</f>
        <v/>
      </c>
      <c r="C8" s="26" t="str">
        <f>IF(ISERROR(FIND($A$2,Lines!C8))=TRUE,"",MID(Lines!C8,FIND($A$2,Lines!C8)+LEN($A$2)+1,FIND(",",_xlfn.CONCAT(Lines!C8,","),FIND($A$2,Lines!C8))-FIND($A$2,Lines!C8)-LEN($A$2)-1))</f>
        <v/>
      </c>
      <c r="D8" s="26" t="str">
        <f>IF(ISERROR(FIND($A$2,Lines!D8))=TRUE,"",MID(Lines!D8,FIND($A$2,Lines!D8)+LEN($A$2)+1,FIND(",",_xlfn.CONCAT(Lines!D8,","),FIND($A$2,Lines!D8))-FIND($A$2,Lines!D8)-LEN($A$2)-1))</f>
        <v/>
      </c>
      <c r="E8" s="26" t="str">
        <f>IF(ISERROR(FIND($A$2,Lines!E8))=TRUE,"",MID(Lines!E8,FIND($A$2,Lines!E8)+LEN($A$2)+1,FIND(",",_xlfn.CONCAT(Lines!E8,","),FIND($A$2,Lines!E8))-FIND($A$2,Lines!E8)-LEN($A$2)-1))</f>
        <v/>
      </c>
      <c r="F8" s="63" t="str">
        <f>IF(ISERROR(FIND($A$2,Lines!F8))=TRUE,"",MID(Lines!F8,FIND($A$2,Lines!F8)+LEN($A$2)+1,FIND(",",_xlfn.CONCAT(Lines!F8,","),FIND($A$2,Lines!F8))-FIND($A$2,Lines!F8)-LEN($A$2)-1))</f>
        <v/>
      </c>
      <c r="G8" s="26" t="str">
        <f>IF(ISERROR(FIND($A$2,Lines!G8))=TRUE,"",MID(Lines!G8,FIND($A$2,Lines!G8)+LEN($A$2)+1,FIND(",",_xlfn.CONCAT(Lines!G8,","),FIND($A$2,Lines!G8))-FIND($A$2,Lines!G8)-LEN($A$2)-1))</f>
        <v/>
      </c>
      <c r="H8" s="26" t="str">
        <f>IF(ISERROR(FIND($A$2,Lines!H8))=TRUE,"",MID(Lines!H8,FIND($A$2,Lines!H8)+LEN($A$2)+1,FIND(",",_xlfn.CONCAT(Lines!H8,","),FIND($A$2,Lines!H8))-FIND($A$2,Lines!H8)-LEN($A$2)-1))</f>
        <v/>
      </c>
      <c r="I8" s="26" t="str">
        <f>IF(ISERROR(FIND($A$2,Lines!I8))=TRUE,"",MID(Lines!I8,FIND($A$2,Lines!I8)+LEN($A$2)+1,FIND(",",_xlfn.CONCAT(Lines!I8,","),FIND($A$2,Lines!I8))-FIND($A$2,Lines!I8)-LEN($A$2)-1))</f>
        <v/>
      </c>
      <c r="J8" s="26" t="str">
        <f>IF(ISERROR(FIND($A$2,Lines!J8))=TRUE,"",MID(Lines!J8,FIND($A$2,Lines!J8)+LEN($A$2)+1,FIND(",",_xlfn.CONCAT(Lines!J8,","),FIND($A$2,Lines!J8))-FIND($A$2,Lines!J8)-LEN($A$2)-1))</f>
        <v/>
      </c>
      <c r="K8" s="26" t="str">
        <f>IF(ISERROR(FIND($A$2,Lines!K8))=TRUE,"",MID(Lines!K8,FIND($A$2,Lines!K8)+LEN($A$2)+1,FIND(",",_xlfn.CONCAT(Lines!K8,","),FIND($A$2,Lines!K8))-FIND($A$2,Lines!K8)-LEN($A$2)-1))</f>
        <v/>
      </c>
      <c r="L8" s="26" t="str">
        <f>IF(ISERROR(FIND($A$2,Lines!L8))=TRUE,"",MID(Lines!L8,FIND($A$2,Lines!L8)+LEN($A$2)+1,FIND(",",_xlfn.CONCAT(Lines!L8,","),FIND($A$2,Lines!L8))-FIND($A$2,Lines!L8)-LEN($A$2)-1))</f>
        <v/>
      </c>
      <c r="M8" s="27" t="str">
        <f>IF(ISERROR(FIND($A$2,Lines!M8))=TRUE,"",MID(Lines!M8,FIND($A$2,Lines!M8)+LEN($A$2)+1,FIND(",",_xlfn.CONCAT(Lines!M8,","),FIND($A$2,Lines!M8))-FIND($A$2,Lines!M8)-LEN($A$2)-1))</f>
        <v/>
      </c>
      <c r="N8" s="30" t="str">
        <f>IF(ISERROR(FIND($A$2,Lines!N8))=TRUE,"",MID(Lines!N8,FIND($A$2,Lines!N8)+LEN($A$2)+1,FIND(",",_xlfn.CONCAT(Lines!N8,","),FIND($A$2,Lines!N8))-FIND($A$2,Lines!N8)-LEN($A$2)-1))</f>
        <v/>
      </c>
      <c r="O8" s="30" t="str">
        <f>IF(ISERROR(FIND($A$2,Lines!O8))=TRUE,"",MID(Lines!O8,FIND($A$2,Lines!O8)+LEN($A$2)+1,FIND(",",_xlfn.CONCAT(Lines!O8,","),FIND($A$2,Lines!O8))-FIND($A$2,Lines!O8)-LEN($A$2)-1))</f>
        <v/>
      </c>
      <c r="P8" s="30" t="str">
        <f>IF(ISERROR(FIND($A$2,Lines!P8))=TRUE,"",MID(Lines!P8,FIND($A$2,Lines!P8)+LEN($A$2)+1,FIND(",",_xlfn.CONCAT(Lines!P8,","),FIND($A$2,Lines!P8))-FIND($A$2,Lines!P8)-LEN($A$2)-1))</f>
        <v/>
      </c>
      <c r="Q8" s="30" t="str">
        <f>IF(ISERROR(FIND($A$2,Lines!Q8))=TRUE,"",MID(Lines!Q8,FIND($A$2,Lines!Q8)+LEN($A$2)+1,FIND(",",_xlfn.CONCAT(Lines!Q8,","),FIND($A$2,Lines!Q8))-FIND($A$2,Lines!Q8)-LEN($A$2)-1))</f>
        <v/>
      </c>
      <c r="R8" s="30" t="str">
        <f>IF(ISERROR(FIND($A$2,Lines!R8))=TRUE,"",MID(Lines!R8,FIND($A$2,Lines!R8)+LEN($A$2)+1,FIND(",",_xlfn.CONCAT(Lines!R8,","),FIND($A$2,Lines!R8))-FIND($A$2,Lines!R8)-LEN($A$2)-1))</f>
        <v/>
      </c>
      <c r="S8" s="30" t="str">
        <f>IF(ISERROR(FIND($A$2,Lines!S8))=TRUE,"",MID(Lines!S8,FIND($A$2,Lines!S8)+LEN($A$2)+1,FIND(",",_xlfn.CONCAT(Lines!S8,","),FIND($A$2,Lines!S8))-FIND($A$2,Lines!S8)-LEN($A$2)-1))</f>
        <v/>
      </c>
      <c r="T8" s="30" t="str">
        <f>IF(ISERROR(FIND($A$2,Lines!T8))=TRUE,"",MID(Lines!T8,FIND($A$2,Lines!T8)+LEN($A$2)+1,FIND(",",_xlfn.CONCAT(Lines!T8,","),FIND($A$2,Lines!T8))-FIND($A$2,Lines!T8)-LEN($A$2)-1))</f>
        <v/>
      </c>
      <c r="U8" s="30" t="str">
        <f>IF(ISERROR(FIND($A$2,Lines!U8))=TRUE,"",MID(Lines!U8,FIND($A$2,Lines!U8)+LEN($A$2)+1,FIND(",",_xlfn.CONCAT(Lines!U8,","),FIND($A$2,Lines!U8))-FIND($A$2,Lines!U8)-LEN($A$2)-1))</f>
        <v/>
      </c>
      <c r="V8" s="30" t="str">
        <f>IF(ISERROR(FIND($A$2,Lines!V8))=TRUE,"",MID(Lines!V8,FIND($A$2,Lines!V8)+LEN($A$2)+1,FIND(",",_xlfn.CONCAT(Lines!V8,","),FIND($A$2,Lines!V8))-FIND($A$2,Lines!V8)-LEN($A$2)-1))</f>
        <v/>
      </c>
      <c r="W8" s="36" t="str">
        <f>IF(ISERROR(FIND($A$2,Lines!W8))=TRUE,"",MID(Lines!W8,FIND($A$2,Lines!W8)+LEN($A$2)+1,FIND(",",_xlfn.CONCAT(Lines!W8,","),FIND($A$2,Lines!W8))-FIND($A$2,Lines!W8)-LEN($A$2)-1))</f>
        <v/>
      </c>
      <c r="X8" s="30" t="str">
        <f>IF(ISERROR(FIND($A$2,Lines!X8))=TRUE,"",MID(Lines!X8,FIND($A$2,Lines!X8)+LEN($A$2)+1,FIND(",",_xlfn.CONCAT(Lines!X8,","),FIND($A$2,Lines!X8))-FIND($A$2,Lines!X8)-LEN($A$2)-1))</f>
        <v/>
      </c>
      <c r="Y8" s="30" t="str">
        <f>IF(ISERROR(FIND($A$2,Lines!Y8))=TRUE,"",MID(Lines!Y8,FIND($A$2,Lines!Y8)+LEN($A$2)+1,FIND(",",_xlfn.CONCAT(Lines!Y8,","),FIND($A$2,Lines!Y8))-FIND($A$2,Lines!Y8)-LEN($A$2)-1))</f>
        <v/>
      </c>
      <c r="Z8" s="30" t="str">
        <f>IF(ISERROR(FIND($A$2,Lines!Z8))=TRUE,"",MID(Lines!Z8,FIND($A$2,Lines!Z8)+LEN($A$2)+1,FIND(",",_xlfn.CONCAT(Lines!Z8,","),FIND($A$2,Lines!Z8))-FIND($A$2,Lines!Z8)-LEN($A$2)-1))</f>
        <v/>
      </c>
      <c r="AA8" s="30" t="str">
        <f>IF(ISERROR(FIND($A$2,Lines!AA8))=TRUE,"",MID(Lines!AA8,FIND($A$2,Lines!AA8)+LEN($A$2)+1,FIND(",",_xlfn.CONCAT(Lines!AA8,","),FIND($A$2,Lines!AA8))-FIND($A$2,Lines!AA8)-LEN($A$2)-1))</f>
        <v/>
      </c>
      <c r="AB8" s="30" t="str">
        <f>IF(ISERROR(FIND($A$2,Lines!AB8))=TRUE,"",MID(Lines!AB8,FIND($A$2,Lines!AB8)+LEN($A$2)+1,FIND(",",_xlfn.CONCAT(Lines!AB8,","),FIND($A$2,Lines!AB8))-FIND($A$2,Lines!AB8)-LEN($A$2)-1))</f>
        <v/>
      </c>
      <c r="AC8" s="30" t="str">
        <f>IF(ISERROR(FIND($A$2,Lines!AC8))=TRUE,"",MID(Lines!AC8,FIND($A$2,Lines!AC8)+LEN($A$2)+1,FIND(",",_xlfn.CONCAT(Lines!AC8,","),FIND($A$2,Lines!AC8))-FIND($A$2,Lines!AC8)-LEN($A$2)-1))</f>
        <v/>
      </c>
      <c r="AD8" s="30" t="str">
        <f>IF(ISERROR(FIND($A$2,Lines!AD8))=TRUE,"",MID(Lines!AD8,FIND($A$2,Lines!AD8)+LEN($A$2)+1,FIND(",",_xlfn.CONCAT(Lines!AD8,","),FIND($A$2,Lines!AD8))-FIND($A$2,Lines!AD8)-LEN($A$2)-1))</f>
        <v/>
      </c>
      <c r="AE8" s="30" t="str">
        <f>IF(ISERROR(FIND($A$2,Lines!AE8))=TRUE,"",MID(Lines!AE8,FIND($A$2,Lines!AE8)+LEN($A$2)+1,FIND(",",_xlfn.CONCAT(Lines!AE8,","),FIND($A$2,Lines!AE8))-FIND($A$2,Lines!AE8)-LEN($A$2)-1))</f>
        <v/>
      </c>
      <c r="AF8" s="30" t="str">
        <f>IF(ISERROR(FIND($A$2,Lines!AF8))=TRUE,"",MID(Lines!AF8,FIND($A$2,Lines!AF8)+LEN($A$2)+1,FIND(",",_xlfn.CONCAT(Lines!AF8,","),FIND($A$2,Lines!AF8))-FIND($A$2,Lines!AF8)-LEN($A$2)-1))</f>
        <v/>
      </c>
      <c r="AG8" s="30" t="str">
        <f>IF(ISERROR(FIND($A$2,Lines!AG8))=TRUE,"",MID(Lines!AG8,FIND($A$2,Lines!AG8)+LEN($A$2)+1,FIND(",",_xlfn.CONCAT(Lines!AG8,","),FIND($A$2,Lines!AG8))-FIND($A$2,Lines!AG8)-LEN($A$2)-1))</f>
        <v/>
      </c>
      <c r="AH8" s="30" t="str">
        <f>IF(ISERROR(FIND($A$2,Lines!AH8))=TRUE,"",MID(Lines!AH8,FIND($A$2,Lines!AH8)+LEN($A$2)+1,FIND(",",_xlfn.CONCAT(Lines!AH8,","),FIND($A$2,Lines!AH8))-FIND($A$2,Lines!AH8)-LEN($A$2)-1))</f>
        <v/>
      </c>
      <c r="AI8" s="30" t="str">
        <f>IF(ISERROR(FIND($A$2,Lines!AI8))=TRUE,"",MID(Lines!AI8,FIND($A$2,Lines!AI8)+LEN($A$2)+1,FIND(",",_xlfn.CONCAT(Lines!AI8,","),FIND($A$2,Lines!AI8))-FIND($A$2,Lines!AI8)-LEN($A$2)-1))</f>
        <v/>
      </c>
      <c r="AJ8" s="30" t="str">
        <f>IF(ISERROR(FIND($A$2,Lines!AJ8))=TRUE,"",MID(Lines!AJ8,FIND($A$2,Lines!AJ8)+LEN($A$2)+1,FIND(",",_xlfn.CONCAT(Lines!AJ8,","),FIND($A$2,Lines!AJ8))-FIND($A$2,Lines!AJ8)-LEN($A$2)-1))</f>
        <v/>
      </c>
      <c r="AK8" s="30" t="str">
        <f>IF(ISERROR(FIND($A$2,Lines!AK8))=TRUE,"",MID(Lines!AK8,FIND($A$2,Lines!AK8)+LEN($A$2)+1,FIND(",",_xlfn.CONCAT(Lines!AK8,","),FIND($A$2,Lines!AK8))-FIND($A$2,Lines!AK8)-LEN($A$2)-1))</f>
        <v/>
      </c>
      <c r="AL8" s="30" t="str">
        <f>IF(ISERROR(FIND($A$2,Lines!AL8))=TRUE,"",MID(Lines!AL8,FIND($A$2,Lines!AL8)+LEN($A$2)+1,FIND(",",_xlfn.CONCAT(Lines!AL8,","),FIND($A$2,Lines!AL8))-FIND($A$2,Lines!AL8)-LEN($A$2)-1))</f>
        <v/>
      </c>
      <c r="AM8" s="30" t="str">
        <f>IF(ISERROR(FIND($A$2,Lines!AM8))=TRUE,"",MID(Lines!AM8,FIND($A$2,Lines!AM8)+LEN($A$2)+1,FIND(",",_xlfn.CONCAT(Lines!AM8,","),FIND($A$2,Lines!AM8))-FIND($A$2,Lines!AM8)-LEN($A$2)-1))</f>
        <v/>
      </c>
      <c r="AN8" s="30" t="str">
        <f>IF(ISERROR(FIND($A$2,Lines!AN8))=TRUE,"",MID(Lines!AN8,FIND($A$2,Lines!AN8)+LEN($A$2)+1,FIND(",",_xlfn.CONCAT(Lines!AN8,","),FIND($A$2,Lines!AN8))-FIND($A$2,Lines!AN8)-LEN($A$2)-1))</f>
        <v/>
      </c>
      <c r="AO8" s="30" t="str">
        <f>IF(ISERROR(FIND($A$2,Lines!AO8))=TRUE,"",MID(Lines!AO8,FIND($A$2,Lines!AO8)+LEN($A$2)+1,FIND(",",_xlfn.CONCAT(Lines!AO8,","),FIND($A$2,Lines!AO8))-FIND($A$2,Lines!AO8)-LEN($A$2)-1))</f>
        <v/>
      </c>
      <c r="AP8" s="30" t="str">
        <f>IF(ISERROR(FIND($A$2,Lines!AP8))=TRUE,"",MID(Lines!AP8,FIND($A$2,Lines!AP8)+LEN($A$2)+1,FIND(",",_xlfn.CONCAT(Lines!AP8,","),FIND($A$2,Lines!AP8))-FIND($A$2,Lines!AP8)-LEN($A$2)-1))</f>
        <v/>
      </c>
      <c r="AQ8" s="30" t="str">
        <f>IF(ISERROR(FIND($A$2,Lines!AQ8))=TRUE,"",MID(Lines!AQ8,FIND($A$2,Lines!AQ8)+LEN($A$2)+1,FIND(",",_xlfn.CONCAT(Lines!AQ8,","),FIND($A$2,Lines!AQ8))-FIND($A$2,Lines!AQ8)-LEN($A$2)-1))</f>
        <v/>
      </c>
      <c r="AR8" s="30" t="str">
        <f>IF(ISERROR(FIND($A$2,Lines!AR8))=TRUE,"",MID(Lines!AR8,FIND($A$2,Lines!AR8)+LEN($A$2)+1,FIND(",",_xlfn.CONCAT(Lines!AR8,","),FIND($A$2,Lines!AR8))-FIND($A$2,Lines!AR8)-LEN($A$2)-1))</f>
        <v/>
      </c>
      <c r="AS8" s="30" t="str">
        <f>IF(ISERROR(FIND($A$2,Lines!AS8))=TRUE,"",MID(Lines!AS8,FIND($A$2,Lines!AS8)+LEN($A$2)+1,FIND(",",_xlfn.CONCAT(Lines!AS8,","),FIND($A$2,Lines!AS8))-FIND($A$2,Lines!AS8)-LEN($A$2)-1))</f>
        <v/>
      </c>
      <c r="AT8" s="30" t="str">
        <f>IF(ISERROR(FIND($A$2,Lines!AT8))=TRUE,"",MID(Lines!AT8,FIND($A$2,Lines!AT8)+LEN($A$2)+1,FIND(",",_xlfn.CONCAT(Lines!AT8,","),FIND($A$2,Lines!AT8))-FIND($A$2,Lines!AT8)-LEN($A$2)-1))</f>
        <v/>
      </c>
    </row>
    <row r="9" spans="1:46" ht="20.25" customHeight="1">
      <c r="A9" s="2" t="s">
        <v>60</v>
      </c>
      <c r="B9" s="26" t="str">
        <f>IF(ISERROR(FIND($A$2,Lines!B9))=TRUE,"",MID(Lines!B9,FIND($A$2,Lines!B9)+LEN($A$2)+1,FIND(",",_xlfn.CONCAT(Lines!B9,","),FIND($A$2,Lines!B9))-FIND($A$2,Lines!B9)-LEN($A$2)-1))</f>
        <v/>
      </c>
      <c r="C9" s="26" t="str">
        <f>IF(ISERROR(FIND($A$2,Lines!C9))=TRUE,"",MID(Lines!C9,FIND($A$2,Lines!C9)+LEN($A$2)+1,FIND(",",_xlfn.CONCAT(Lines!C9,","),FIND($A$2,Lines!C9))-FIND($A$2,Lines!C9)-LEN($A$2)-1))</f>
        <v/>
      </c>
      <c r="D9" s="26" t="str">
        <f>IF(ISERROR(FIND($A$2,Lines!D9))=TRUE,"",MID(Lines!D9,FIND($A$2,Lines!D9)+LEN($A$2)+1,FIND(",",_xlfn.CONCAT(Lines!D9,","),FIND($A$2,Lines!D9))-FIND($A$2,Lines!D9)-LEN($A$2)-1))</f>
        <v/>
      </c>
      <c r="E9" s="26" t="str">
        <f>IF(ISERROR(FIND($A$2,Lines!E9))=TRUE,"",MID(Lines!E9,FIND($A$2,Lines!E9)+LEN($A$2)+1,FIND(",",_xlfn.CONCAT(Lines!E9,","),FIND($A$2,Lines!E9))-FIND($A$2,Lines!E9)-LEN($A$2)-1))</f>
        <v/>
      </c>
      <c r="F9" s="26" t="str">
        <f>IF(ISERROR(FIND($A$2,Lines!F9))=TRUE,"",MID(Lines!F9,FIND($A$2,Lines!F9)+LEN($A$2)+1,FIND(",",_xlfn.CONCAT(Lines!F9,","),FIND($A$2,Lines!F9))-FIND($A$2,Lines!F9)-LEN($A$2)-1))</f>
        <v/>
      </c>
      <c r="G9" s="63" t="str">
        <f>IF(ISERROR(FIND($A$2,Lines!G9))=TRUE,"",MID(Lines!G9,FIND($A$2,Lines!G9)+LEN($A$2)+1,FIND(",",_xlfn.CONCAT(Lines!G9,","),FIND($A$2,Lines!G9))-FIND($A$2,Lines!G9)-LEN($A$2)-1))</f>
        <v/>
      </c>
      <c r="H9" s="26" t="str">
        <f>IF(ISERROR(FIND($A$2,Lines!H9))=TRUE,"",MID(Lines!H9,FIND($A$2,Lines!H9)+LEN($A$2)+1,FIND(",",_xlfn.CONCAT(Lines!H9,","),FIND($A$2,Lines!H9))-FIND($A$2,Lines!H9)-LEN($A$2)-1))</f>
        <v/>
      </c>
      <c r="I9" s="26" t="str">
        <f>IF(ISERROR(FIND($A$2,Lines!I9))=TRUE,"",MID(Lines!I9,FIND($A$2,Lines!I9)+LEN($A$2)+1,FIND(",",_xlfn.CONCAT(Lines!I9,","),FIND($A$2,Lines!I9))-FIND($A$2,Lines!I9)-LEN($A$2)-1))</f>
        <v/>
      </c>
      <c r="J9" s="26" t="str">
        <f>IF(ISERROR(FIND($A$2,Lines!J9))=TRUE,"",MID(Lines!J9,FIND($A$2,Lines!J9)+LEN($A$2)+1,FIND(",",_xlfn.CONCAT(Lines!J9,","),FIND($A$2,Lines!J9))-FIND($A$2,Lines!J9)-LEN($A$2)-1))</f>
        <v/>
      </c>
      <c r="K9" s="26" t="str">
        <f>IF(ISERROR(FIND($A$2,Lines!K9))=TRUE,"",MID(Lines!K9,FIND($A$2,Lines!K9)+LEN($A$2)+1,FIND(",",_xlfn.CONCAT(Lines!K9,","),FIND($A$2,Lines!K9))-FIND($A$2,Lines!K9)-LEN($A$2)-1))</f>
        <v/>
      </c>
      <c r="L9" s="26" t="str">
        <f>IF(ISERROR(FIND($A$2,Lines!L9))=TRUE,"",MID(Lines!L9,FIND($A$2,Lines!L9)+LEN($A$2)+1,FIND(",",_xlfn.CONCAT(Lines!L9,","),FIND($A$2,Lines!L9))-FIND($A$2,Lines!L9)-LEN($A$2)-1))</f>
        <v/>
      </c>
      <c r="M9" s="27" t="str">
        <f>IF(ISERROR(FIND($A$2,Lines!M9))=TRUE,"",MID(Lines!M9,FIND($A$2,Lines!M9)+LEN($A$2)+1,FIND(",",_xlfn.CONCAT(Lines!M9,","),FIND($A$2,Lines!M9))-FIND($A$2,Lines!M9)-LEN($A$2)-1))</f>
        <v/>
      </c>
      <c r="N9" s="30" t="str">
        <f>IF(ISERROR(FIND($A$2,Lines!N9))=TRUE,"",MID(Lines!N9,FIND($A$2,Lines!N9)+LEN($A$2)+1,FIND(",",_xlfn.CONCAT(Lines!N9,","),FIND($A$2,Lines!N9))-FIND($A$2,Lines!N9)-LEN($A$2)-1))</f>
        <v/>
      </c>
      <c r="O9" s="30" t="str">
        <f>IF(ISERROR(FIND($A$2,Lines!O9))=TRUE,"",MID(Lines!O9,FIND($A$2,Lines!O9)+LEN($A$2)+1,FIND(",",_xlfn.CONCAT(Lines!O9,","),FIND($A$2,Lines!O9))-FIND($A$2,Lines!O9)-LEN($A$2)-1))</f>
        <v/>
      </c>
      <c r="P9" s="30" t="str">
        <f>IF(ISERROR(FIND($A$2,Lines!P9))=TRUE,"",MID(Lines!P9,FIND($A$2,Lines!P9)+LEN($A$2)+1,FIND(",",_xlfn.CONCAT(Lines!P9,","),FIND($A$2,Lines!P9))-FIND($A$2,Lines!P9)-LEN($A$2)-1))</f>
        <v/>
      </c>
      <c r="Q9" s="30" t="str">
        <f>IF(ISERROR(FIND($A$2,Lines!Q9))=TRUE,"",MID(Lines!Q9,FIND($A$2,Lines!Q9)+LEN($A$2)+1,FIND(",",_xlfn.CONCAT(Lines!Q9,","),FIND($A$2,Lines!Q9))-FIND($A$2,Lines!Q9)-LEN($A$2)-1))</f>
        <v/>
      </c>
      <c r="R9" s="30" t="str">
        <f>IF(ISERROR(FIND($A$2,Lines!R9))=TRUE,"",MID(Lines!R9,FIND($A$2,Lines!R9)+LEN($A$2)+1,FIND(",",_xlfn.CONCAT(Lines!R9,","),FIND($A$2,Lines!R9))-FIND($A$2,Lines!R9)-LEN($A$2)-1))</f>
        <v/>
      </c>
      <c r="S9" s="30" t="str">
        <f>IF(ISERROR(FIND($A$2,Lines!S9))=TRUE,"",MID(Lines!S9,FIND($A$2,Lines!S9)+LEN($A$2)+1,FIND(",",_xlfn.CONCAT(Lines!S9,","),FIND($A$2,Lines!S9))-FIND($A$2,Lines!S9)-LEN($A$2)-1))</f>
        <v/>
      </c>
      <c r="T9" s="30" t="str">
        <f>IF(ISERROR(FIND($A$2,Lines!T9))=TRUE,"",MID(Lines!T9,FIND($A$2,Lines!T9)+LEN($A$2)+1,FIND(",",_xlfn.CONCAT(Lines!T9,","),FIND($A$2,Lines!T9))-FIND($A$2,Lines!T9)-LEN($A$2)-1))</f>
        <v/>
      </c>
      <c r="U9" s="30" t="str">
        <f>IF(ISERROR(FIND($A$2,Lines!U9))=TRUE,"",MID(Lines!U9,FIND($A$2,Lines!U9)+LEN($A$2)+1,FIND(",",_xlfn.CONCAT(Lines!U9,","),FIND($A$2,Lines!U9))-FIND($A$2,Lines!U9)-LEN($A$2)-1))</f>
        <v/>
      </c>
      <c r="V9" s="30" t="str">
        <f>IF(ISERROR(FIND($A$2,Lines!V9))=TRUE,"",MID(Lines!V9,FIND($A$2,Lines!V9)+LEN($A$2)+1,FIND(",",_xlfn.CONCAT(Lines!V9,","),FIND($A$2,Lines!V9))-FIND($A$2,Lines!V9)-LEN($A$2)-1))</f>
        <v/>
      </c>
      <c r="W9" s="36" t="str">
        <f>IF(ISERROR(FIND($A$2,Lines!W9))=TRUE,"",MID(Lines!W9,FIND($A$2,Lines!W9)+LEN($A$2)+1,FIND(",",_xlfn.CONCAT(Lines!W9,","),FIND($A$2,Lines!W9))-FIND($A$2,Lines!W9)-LEN($A$2)-1))</f>
        <v/>
      </c>
      <c r="X9" s="30" t="str">
        <f>IF(ISERROR(FIND($A$2,Lines!X9))=TRUE,"",MID(Lines!X9,FIND($A$2,Lines!X9)+LEN($A$2)+1,FIND(",",_xlfn.CONCAT(Lines!X9,","),FIND($A$2,Lines!X9))-FIND($A$2,Lines!X9)-LEN($A$2)-1))</f>
        <v/>
      </c>
      <c r="Y9" s="30" t="str">
        <f>IF(ISERROR(FIND($A$2,Lines!Y9))=TRUE,"",MID(Lines!Y9,FIND($A$2,Lines!Y9)+LEN($A$2)+1,FIND(",",_xlfn.CONCAT(Lines!Y9,","),FIND($A$2,Lines!Y9))-FIND($A$2,Lines!Y9)-LEN($A$2)-1))</f>
        <v/>
      </c>
      <c r="Z9" s="30" t="str">
        <f>IF(ISERROR(FIND($A$2,Lines!Z9))=TRUE,"",MID(Lines!Z9,FIND($A$2,Lines!Z9)+LEN($A$2)+1,FIND(",",_xlfn.CONCAT(Lines!Z9,","),FIND($A$2,Lines!Z9))-FIND($A$2,Lines!Z9)-LEN($A$2)-1))</f>
        <v/>
      </c>
      <c r="AA9" s="30" t="str">
        <f>IF(ISERROR(FIND($A$2,Lines!AA9))=TRUE,"",MID(Lines!AA9,FIND($A$2,Lines!AA9)+LEN($A$2)+1,FIND(",",_xlfn.CONCAT(Lines!AA9,","),FIND($A$2,Lines!AA9))-FIND($A$2,Lines!AA9)-LEN($A$2)-1))</f>
        <v/>
      </c>
      <c r="AB9" s="30" t="str">
        <f>IF(ISERROR(FIND($A$2,Lines!AB9))=TRUE,"",MID(Lines!AB9,FIND($A$2,Lines!AB9)+LEN($A$2)+1,FIND(",",_xlfn.CONCAT(Lines!AB9,","),FIND($A$2,Lines!AB9))-FIND($A$2,Lines!AB9)-LEN($A$2)-1))</f>
        <v/>
      </c>
      <c r="AC9" s="30" t="str">
        <f>IF(ISERROR(FIND($A$2,Lines!AC9))=TRUE,"",MID(Lines!AC9,FIND($A$2,Lines!AC9)+LEN($A$2)+1,FIND(",",_xlfn.CONCAT(Lines!AC9,","),FIND($A$2,Lines!AC9))-FIND($A$2,Lines!AC9)-LEN($A$2)-1))</f>
        <v/>
      </c>
      <c r="AD9" s="30" t="str">
        <f>IF(ISERROR(FIND($A$2,Lines!AD9))=TRUE,"",MID(Lines!AD9,FIND($A$2,Lines!AD9)+LEN($A$2)+1,FIND(",",_xlfn.CONCAT(Lines!AD9,","),FIND($A$2,Lines!AD9))-FIND($A$2,Lines!AD9)-LEN($A$2)-1))</f>
        <v/>
      </c>
      <c r="AE9" s="30" t="str">
        <f>IF(ISERROR(FIND($A$2,Lines!AE9))=TRUE,"",MID(Lines!AE9,FIND($A$2,Lines!AE9)+LEN($A$2)+1,FIND(",",_xlfn.CONCAT(Lines!AE9,","),FIND($A$2,Lines!AE9))-FIND($A$2,Lines!AE9)-LEN($A$2)-1))</f>
        <v/>
      </c>
      <c r="AF9" s="30" t="str">
        <f>IF(ISERROR(FIND($A$2,Lines!AF9))=TRUE,"",MID(Lines!AF9,FIND($A$2,Lines!AF9)+LEN($A$2)+1,FIND(",",_xlfn.CONCAT(Lines!AF9,","),FIND($A$2,Lines!AF9))-FIND($A$2,Lines!AF9)-LEN($A$2)-1))</f>
        <v/>
      </c>
      <c r="AG9" s="30" t="str">
        <f>IF(ISERROR(FIND($A$2,Lines!AG9))=TRUE,"",MID(Lines!AG9,FIND($A$2,Lines!AG9)+LEN($A$2)+1,FIND(",",_xlfn.CONCAT(Lines!AG9,","),FIND($A$2,Lines!AG9))-FIND($A$2,Lines!AG9)-LEN($A$2)-1))</f>
        <v/>
      </c>
      <c r="AH9" s="30" t="str">
        <f>IF(ISERROR(FIND($A$2,Lines!AH9))=TRUE,"",MID(Lines!AH9,FIND($A$2,Lines!AH9)+LEN($A$2)+1,FIND(",",_xlfn.CONCAT(Lines!AH9,","),FIND($A$2,Lines!AH9))-FIND($A$2,Lines!AH9)-LEN($A$2)-1))</f>
        <v/>
      </c>
      <c r="AI9" s="30" t="str">
        <f>IF(ISERROR(FIND($A$2,Lines!AI9))=TRUE,"",MID(Lines!AI9,FIND($A$2,Lines!AI9)+LEN($A$2)+1,FIND(",",_xlfn.CONCAT(Lines!AI9,","),FIND($A$2,Lines!AI9))-FIND($A$2,Lines!AI9)-LEN($A$2)-1))</f>
        <v/>
      </c>
      <c r="AJ9" s="30" t="str">
        <f>IF(ISERROR(FIND($A$2,Lines!AJ9))=TRUE,"",MID(Lines!AJ9,FIND($A$2,Lines!AJ9)+LEN($A$2)+1,FIND(",",_xlfn.CONCAT(Lines!AJ9,","),FIND($A$2,Lines!AJ9))-FIND($A$2,Lines!AJ9)-LEN($A$2)-1))</f>
        <v/>
      </c>
      <c r="AK9" s="30" t="str">
        <f>IF(ISERROR(FIND($A$2,Lines!AK9))=TRUE,"",MID(Lines!AK9,FIND($A$2,Lines!AK9)+LEN($A$2)+1,FIND(",",_xlfn.CONCAT(Lines!AK9,","),FIND($A$2,Lines!AK9))-FIND($A$2,Lines!AK9)-LEN($A$2)-1))</f>
        <v/>
      </c>
      <c r="AL9" s="30" t="str">
        <f>IF(ISERROR(FIND($A$2,Lines!AL9))=TRUE,"",MID(Lines!AL9,FIND($A$2,Lines!AL9)+LEN($A$2)+1,FIND(",",_xlfn.CONCAT(Lines!AL9,","),FIND($A$2,Lines!AL9))-FIND($A$2,Lines!AL9)-LEN($A$2)-1))</f>
        <v/>
      </c>
      <c r="AM9" s="30" t="str">
        <f>IF(ISERROR(FIND($A$2,Lines!AM9))=TRUE,"",MID(Lines!AM9,FIND($A$2,Lines!AM9)+LEN($A$2)+1,FIND(",",_xlfn.CONCAT(Lines!AM9,","),FIND($A$2,Lines!AM9))-FIND($A$2,Lines!AM9)-LEN($A$2)-1))</f>
        <v/>
      </c>
      <c r="AN9" s="30" t="str">
        <f>IF(ISERROR(FIND($A$2,Lines!AN9))=TRUE,"",MID(Lines!AN9,FIND($A$2,Lines!AN9)+LEN($A$2)+1,FIND(",",_xlfn.CONCAT(Lines!AN9,","),FIND($A$2,Lines!AN9))-FIND($A$2,Lines!AN9)-LEN($A$2)-1))</f>
        <v/>
      </c>
      <c r="AO9" s="30" t="str">
        <f>IF(ISERROR(FIND($A$2,Lines!AO9))=TRUE,"",MID(Lines!AO9,FIND($A$2,Lines!AO9)+LEN($A$2)+1,FIND(",",_xlfn.CONCAT(Lines!AO9,","),FIND($A$2,Lines!AO9))-FIND($A$2,Lines!AO9)-LEN($A$2)-1))</f>
        <v/>
      </c>
      <c r="AP9" s="30" t="str">
        <f>IF(ISERROR(FIND($A$2,Lines!AP9))=TRUE,"",MID(Lines!AP9,FIND($A$2,Lines!AP9)+LEN($A$2)+1,FIND(",",_xlfn.CONCAT(Lines!AP9,","),FIND($A$2,Lines!AP9))-FIND($A$2,Lines!AP9)-LEN($A$2)-1))</f>
        <v/>
      </c>
      <c r="AQ9" s="30" t="str">
        <f>IF(ISERROR(FIND($A$2,Lines!AQ9))=TRUE,"",MID(Lines!AQ9,FIND($A$2,Lines!AQ9)+LEN($A$2)+1,FIND(",",_xlfn.CONCAT(Lines!AQ9,","),FIND($A$2,Lines!AQ9))-FIND($A$2,Lines!AQ9)-LEN($A$2)-1))</f>
        <v/>
      </c>
      <c r="AR9" s="30" t="str">
        <f>IF(ISERROR(FIND($A$2,Lines!AR9))=TRUE,"",MID(Lines!AR9,FIND($A$2,Lines!AR9)+LEN($A$2)+1,FIND(",",_xlfn.CONCAT(Lines!AR9,","),FIND($A$2,Lines!AR9))-FIND($A$2,Lines!AR9)-LEN($A$2)-1))</f>
        <v/>
      </c>
      <c r="AS9" s="30" t="str">
        <f>IF(ISERROR(FIND($A$2,Lines!AS9))=TRUE,"",MID(Lines!AS9,FIND($A$2,Lines!AS9)+LEN($A$2)+1,FIND(",",_xlfn.CONCAT(Lines!AS9,","),FIND($A$2,Lines!AS9))-FIND($A$2,Lines!AS9)-LEN($A$2)-1))</f>
        <v/>
      </c>
      <c r="AT9" s="30" t="str">
        <f>IF(ISERROR(FIND($A$2,Lines!AT9))=TRUE,"",MID(Lines!AT9,FIND($A$2,Lines!AT9)+LEN($A$2)+1,FIND(",",_xlfn.CONCAT(Lines!AT9,","),FIND($A$2,Lines!AT9))-FIND($A$2,Lines!AT9)-LEN($A$2)-1))</f>
        <v/>
      </c>
    </row>
    <row r="10" spans="1:46" ht="20.25" customHeight="1">
      <c r="A10" s="2" t="s">
        <v>61</v>
      </c>
      <c r="B10" s="26" t="str">
        <f>IF(ISERROR(FIND($A$2,Lines!B10))=TRUE,"",MID(Lines!B10,FIND($A$2,Lines!B10)+LEN($A$2)+1,FIND(",",_xlfn.CONCAT(Lines!B10,","),FIND($A$2,Lines!B10))-FIND($A$2,Lines!B10)-LEN($A$2)-1))</f>
        <v/>
      </c>
      <c r="C10" s="26" t="str">
        <f>IF(ISERROR(FIND($A$2,Lines!C10))=TRUE,"",MID(Lines!C10,FIND($A$2,Lines!C10)+LEN($A$2)+1,FIND(",",_xlfn.CONCAT(Lines!C10,","),FIND($A$2,Lines!C10))-FIND($A$2,Lines!C10)-LEN($A$2)-1))</f>
        <v/>
      </c>
      <c r="D10" s="26" t="str">
        <f>IF(ISERROR(FIND($A$2,Lines!D10))=TRUE,"",MID(Lines!D10,FIND($A$2,Lines!D10)+LEN($A$2)+1,FIND(",",_xlfn.CONCAT(Lines!D10,","),FIND($A$2,Lines!D10))-FIND($A$2,Lines!D10)-LEN($A$2)-1))</f>
        <v/>
      </c>
      <c r="E10" s="26" t="str">
        <f>IF(ISERROR(FIND($A$2,Lines!E10))=TRUE,"",MID(Lines!E10,FIND($A$2,Lines!E10)+LEN($A$2)+1,FIND(",",_xlfn.CONCAT(Lines!E10,","),FIND($A$2,Lines!E10))-FIND($A$2,Lines!E10)-LEN($A$2)-1))</f>
        <v/>
      </c>
      <c r="F10" s="26" t="str">
        <f>IF(ISERROR(FIND($A$2,Lines!F10))=TRUE,"",MID(Lines!F10,FIND($A$2,Lines!F10)+LEN($A$2)+1,FIND(",",_xlfn.CONCAT(Lines!F10,","),FIND($A$2,Lines!F10))-FIND($A$2,Lines!F10)-LEN($A$2)-1))</f>
        <v/>
      </c>
      <c r="G10" s="26" t="str">
        <f>IF(ISERROR(FIND($A$2,Lines!G10))=TRUE,"",MID(Lines!G10,FIND($A$2,Lines!G10)+LEN($A$2)+1,FIND(",",_xlfn.CONCAT(Lines!G10,","),FIND($A$2,Lines!G10))-FIND($A$2,Lines!G10)-LEN($A$2)-1))</f>
        <v/>
      </c>
      <c r="H10" s="63" t="str">
        <f>IF(ISERROR(FIND($A$2,Lines!H10))=TRUE,"",MID(Lines!H10,FIND($A$2,Lines!H10)+LEN($A$2)+1,FIND(",",_xlfn.CONCAT(Lines!H10,","),FIND($A$2,Lines!H10))-FIND($A$2,Lines!H10)-LEN($A$2)-1))</f>
        <v/>
      </c>
      <c r="I10" s="26" t="str">
        <f>IF(ISERROR(FIND($A$2,Lines!I10))=TRUE,"",MID(Lines!I10,FIND($A$2,Lines!I10)+LEN($A$2)+1,FIND(",",_xlfn.CONCAT(Lines!I10,","),FIND($A$2,Lines!I10))-FIND($A$2,Lines!I10)-LEN($A$2)-1))</f>
        <v/>
      </c>
      <c r="J10" s="26" t="str">
        <f>IF(ISERROR(FIND($A$2,Lines!J10))=TRUE,"",MID(Lines!J10,FIND($A$2,Lines!J10)+LEN($A$2)+1,FIND(",",_xlfn.CONCAT(Lines!J10,","),FIND($A$2,Lines!J10))-FIND($A$2,Lines!J10)-LEN($A$2)-1))</f>
        <v/>
      </c>
      <c r="K10" s="26" t="str">
        <f>IF(ISERROR(FIND($A$2,Lines!K10))=TRUE,"",MID(Lines!K10,FIND($A$2,Lines!K10)+LEN($A$2)+1,FIND(",",_xlfn.CONCAT(Lines!K10,","),FIND($A$2,Lines!K10))-FIND($A$2,Lines!K10)-LEN($A$2)-1))</f>
        <v/>
      </c>
      <c r="L10" s="26" t="str">
        <f>IF(ISERROR(FIND($A$2,Lines!L10))=TRUE,"",MID(Lines!L10,FIND($A$2,Lines!L10)+LEN($A$2)+1,FIND(",",_xlfn.CONCAT(Lines!L10,","),FIND($A$2,Lines!L10))-FIND($A$2,Lines!L10)-LEN($A$2)-1))</f>
        <v/>
      </c>
      <c r="M10" s="27" t="str">
        <f>IF(ISERROR(FIND($A$2,Lines!M10))=TRUE,"",MID(Lines!M10,FIND($A$2,Lines!M10)+LEN($A$2)+1,FIND(",",_xlfn.CONCAT(Lines!M10,","),FIND($A$2,Lines!M10))-FIND($A$2,Lines!M10)-LEN($A$2)-1))</f>
        <v/>
      </c>
      <c r="N10" s="30" t="str">
        <f>IF(ISERROR(FIND($A$2,Lines!N10))=TRUE,"",MID(Lines!N10,FIND($A$2,Lines!N10)+LEN($A$2)+1,FIND(",",_xlfn.CONCAT(Lines!N10,","),FIND($A$2,Lines!N10))-FIND($A$2,Lines!N10)-LEN($A$2)-1))</f>
        <v/>
      </c>
      <c r="O10" s="30" t="str">
        <f>IF(ISERROR(FIND($A$2,Lines!O10))=TRUE,"",MID(Lines!O10,FIND($A$2,Lines!O10)+LEN($A$2)+1,FIND(",",_xlfn.CONCAT(Lines!O10,","),FIND($A$2,Lines!O10))-FIND($A$2,Lines!O10)-LEN($A$2)-1))</f>
        <v/>
      </c>
      <c r="P10" s="30" t="str">
        <f>IF(ISERROR(FIND($A$2,Lines!P10))=TRUE,"",MID(Lines!P10,FIND($A$2,Lines!P10)+LEN($A$2)+1,FIND(",",_xlfn.CONCAT(Lines!P10,","),FIND($A$2,Lines!P10))-FIND($A$2,Lines!P10)-LEN($A$2)-1))</f>
        <v/>
      </c>
      <c r="Q10" s="30" t="str">
        <f>IF(ISERROR(FIND($A$2,Lines!Q10))=TRUE,"",MID(Lines!Q10,FIND($A$2,Lines!Q10)+LEN($A$2)+1,FIND(",",_xlfn.CONCAT(Lines!Q10,","),FIND($A$2,Lines!Q10))-FIND($A$2,Lines!Q10)-LEN($A$2)-1))</f>
        <v/>
      </c>
      <c r="R10" s="30" t="str">
        <f>IF(ISERROR(FIND($A$2,Lines!R10))=TRUE,"",MID(Lines!R10,FIND($A$2,Lines!R10)+LEN($A$2)+1,FIND(",",_xlfn.CONCAT(Lines!R10,","),FIND($A$2,Lines!R10))-FIND($A$2,Lines!R10)-LEN($A$2)-1))</f>
        <v/>
      </c>
      <c r="S10" s="30" t="str">
        <f>IF(ISERROR(FIND($A$2,Lines!S10))=TRUE,"",MID(Lines!S10,FIND($A$2,Lines!S10)+LEN($A$2)+1,FIND(",",_xlfn.CONCAT(Lines!S10,","),FIND($A$2,Lines!S10))-FIND($A$2,Lines!S10)-LEN($A$2)-1))</f>
        <v/>
      </c>
      <c r="T10" s="30" t="str">
        <f>IF(ISERROR(FIND($A$2,Lines!T10))=TRUE,"",MID(Lines!T10,FIND($A$2,Lines!T10)+LEN($A$2)+1,FIND(",",_xlfn.CONCAT(Lines!T10,","),FIND($A$2,Lines!T10))-FIND($A$2,Lines!T10)-LEN($A$2)-1))</f>
        <v/>
      </c>
      <c r="U10" s="30" t="str">
        <f>IF(ISERROR(FIND($A$2,Lines!U10))=TRUE,"",MID(Lines!U10,FIND($A$2,Lines!U10)+LEN($A$2)+1,FIND(",",_xlfn.CONCAT(Lines!U10,","),FIND($A$2,Lines!U10))-FIND($A$2,Lines!U10)-LEN($A$2)-1))</f>
        <v/>
      </c>
      <c r="V10" s="30" t="str">
        <f>IF(ISERROR(FIND($A$2,Lines!V10))=TRUE,"",MID(Lines!V10,FIND($A$2,Lines!V10)+LEN($A$2)+1,FIND(",",_xlfn.CONCAT(Lines!V10,","),FIND($A$2,Lines!V10))-FIND($A$2,Lines!V10)-LEN($A$2)-1))</f>
        <v/>
      </c>
      <c r="W10" s="36" t="str">
        <f>IF(ISERROR(FIND($A$2,Lines!W10))=TRUE,"",MID(Lines!W10,FIND($A$2,Lines!W10)+LEN($A$2)+1,FIND(",",_xlfn.CONCAT(Lines!W10,","),FIND($A$2,Lines!W10))-FIND($A$2,Lines!W10)-LEN($A$2)-1))</f>
        <v/>
      </c>
      <c r="X10" s="30" t="str">
        <f>IF(ISERROR(FIND($A$2,Lines!X10))=TRUE,"",MID(Lines!X10,FIND($A$2,Lines!X10)+LEN($A$2)+1,FIND(",",_xlfn.CONCAT(Lines!X10,","),FIND($A$2,Lines!X10))-FIND($A$2,Lines!X10)-LEN($A$2)-1))</f>
        <v/>
      </c>
      <c r="Y10" s="30" t="str">
        <f>IF(ISERROR(FIND($A$2,Lines!Y10))=TRUE,"",MID(Lines!Y10,FIND($A$2,Lines!Y10)+LEN($A$2)+1,FIND(",",_xlfn.CONCAT(Lines!Y10,","),FIND($A$2,Lines!Y10))-FIND($A$2,Lines!Y10)-LEN($A$2)-1))</f>
        <v/>
      </c>
      <c r="Z10" s="30" t="str">
        <f>IF(ISERROR(FIND($A$2,Lines!Z10))=TRUE,"",MID(Lines!Z10,FIND($A$2,Lines!Z10)+LEN($A$2)+1,FIND(",",_xlfn.CONCAT(Lines!Z10,","),FIND($A$2,Lines!Z10))-FIND($A$2,Lines!Z10)-LEN($A$2)-1))</f>
        <v/>
      </c>
      <c r="AA10" s="30" t="str">
        <f>IF(ISERROR(FIND($A$2,Lines!AA10))=TRUE,"",MID(Lines!AA10,FIND($A$2,Lines!AA10)+LEN($A$2)+1,FIND(",",_xlfn.CONCAT(Lines!AA10,","),FIND($A$2,Lines!AA10))-FIND($A$2,Lines!AA10)-LEN($A$2)-1))</f>
        <v/>
      </c>
      <c r="AB10" s="30" t="str">
        <f>IF(ISERROR(FIND($A$2,Lines!AB10))=TRUE,"",MID(Lines!AB10,FIND($A$2,Lines!AB10)+LEN($A$2)+1,FIND(",",_xlfn.CONCAT(Lines!AB10,","),FIND($A$2,Lines!AB10))-FIND($A$2,Lines!AB10)-LEN($A$2)-1))</f>
        <v/>
      </c>
      <c r="AC10" s="30" t="str">
        <f>IF(ISERROR(FIND($A$2,Lines!AC10))=TRUE,"",MID(Lines!AC10,FIND($A$2,Lines!AC10)+LEN($A$2)+1,FIND(",",_xlfn.CONCAT(Lines!AC10,","),FIND($A$2,Lines!AC10))-FIND($A$2,Lines!AC10)-LEN($A$2)-1))</f>
        <v/>
      </c>
      <c r="AD10" s="30" t="str">
        <f>IF(ISERROR(FIND($A$2,Lines!AD10))=TRUE,"",MID(Lines!AD10,FIND($A$2,Lines!AD10)+LEN($A$2)+1,FIND(",",_xlfn.CONCAT(Lines!AD10,","),FIND($A$2,Lines!AD10))-FIND($A$2,Lines!AD10)-LEN($A$2)-1))</f>
        <v/>
      </c>
      <c r="AE10" s="30" t="str">
        <f>IF(ISERROR(FIND($A$2,Lines!AE10))=TRUE,"",MID(Lines!AE10,FIND($A$2,Lines!AE10)+LEN($A$2)+1,FIND(",",_xlfn.CONCAT(Lines!AE10,","),FIND($A$2,Lines!AE10))-FIND($A$2,Lines!AE10)-LEN($A$2)-1))</f>
        <v/>
      </c>
      <c r="AF10" s="30" t="str">
        <f>IF(ISERROR(FIND($A$2,Lines!AF10))=TRUE,"",MID(Lines!AF10,FIND($A$2,Lines!AF10)+LEN($A$2)+1,FIND(",",_xlfn.CONCAT(Lines!AF10,","),FIND($A$2,Lines!AF10))-FIND($A$2,Lines!AF10)-LEN($A$2)-1))</f>
        <v/>
      </c>
      <c r="AG10" s="30" t="str">
        <f>IF(ISERROR(FIND($A$2,Lines!AG10))=TRUE,"",MID(Lines!AG10,FIND($A$2,Lines!AG10)+LEN($A$2)+1,FIND(",",_xlfn.CONCAT(Lines!AG10,","),FIND($A$2,Lines!AG10))-FIND($A$2,Lines!AG10)-LEN($A$2)-1))</f>
        <v/>
      </c>
      <c r="AH10" s="30" t="str">
        <f>IF(ISERROR(FIND($A$2,Lines!AH10))=TRUE,"",MID(Lines!AH10,FIND($A$2,Lines!AH10)+LEN($A$2)+1,FIND(",",_xlfn.CONCAT(Lines!AH10,","),FIND($A$2,Lines!AH10))-FIND($A$2,Lines!AH10)-LEN($A$2)-1))</f>
        <v/>
      </c>
      <c r="AI10" s="30" t="str">
        <f>IF(ISERROR(FIND($A$2,Lines!AI10))=TRUE,"",MID(Lines!AI10,FIND($A$2,Lines!AI10)+LEN($A$2)+1,FIND(",",_xlfn.CONCAT(Lines!AI10,","),FIND($A$2,Lines!AI10))-FIND($A$2,Lines!AI10)-LEN($A$2)-1))</f>
        <v/>
      </c>
      <c r="AJ10" s="30" t="str">
        <f>IF(ISERROR(FIND($A$2,Lines!AJ10))=TRUE,"",MID(Lines!AJ10,FIND($A$2,Lines!AJ10)+LEN($A$2)+1,FIND(",",_xlfn.CONCAT(Lines!AJ10,","),FIND($A$2,Lines!AJ10))-FIND($A$2,Lines!AJ10)-LEN($A$2)-1))</f>
        <v/>
      </c>
      <c r="AK10" s="30" t="str">
        <f>IF(ISERROR(FIND($A$2,Lines!AK10))=TRUE,"",MID(Lines!AK10,FIND($A$2,Lines!AK10)+LEN($A$2)+1,FIND(",",_xlfn.CONCAT(Lines!AK10,","),FIND($A$2,Lines!AK10))-FIND($A$2,Lines!AK10)-LEN($A$2)-1))</f>
        <v/>
      </c>
      <c r="AL10" s="30" t="str">
        <f>IF(ISERROR(FIND($A$2,Lines!AL10))=TRUE,"",MID(Lines!AL10,FIND($A$2,Lines!AL10)+LEN($A$2)+1,FIND(",",_xlfn.CONCAT(Lines!AL10,","),FIND($A$2,Lines!AL10))-FIND($A$2,Lines!AL10)-LEN($A$2)-1))</f>
        <v/>
      </c>
      <c r="AM10" s="30" t="str">
        <f>IF(ISERROR(FIND($A$2,Lines!AM10))=TRUE,"",MID(Lines!AM10,FIND($A$2,Lines!AM10)+LEN($A$2)+1,FIND(",",_xlfn.CONCAT(Lines!AM10,","),FIND($A$2,Lines!AM10))-FIND($A$2,Lines!AM10)-LEN($A$2)-1))</f>
        <v/>
      </c>
      <c r="AN10" s="30" t="str">
        <f>IF(ISERROR(FIND($A$2,Lines!AN10))=TRUE,"",MID(Lines!AN10,FIND($A$2,Lines!AN10)+LEN($A$2)+1,FIND(",",_xlfn.CONCAT(Lines!AN10,","),FIND($A$2,Lines!AN10))-FIND($A$2,Lines!AN10)-LEN($A$2)-1))</f>
        <v/>
      </c>
      <c r="AO10" s="30" t="str">
        <f>IF(ISERROR(FIND($A$2,Lines!AO10))=TRUE,"",MID(Lines!AO10,FIND($A$2,Lines!AO10)+LEN($A$2)+1,FIND(",",_xlfn.CONCAT(Lines!AO10,","),FIND($A$2,Lines!AO10))-FIND($A$2,Lines!AO10)-LEN($A$2)-1))</f>
        <v/>
      </c>
      <c r="AP10" s="30" t="str">
        <f>IF(ISERROR(FIND($A$2,Lines!AP10))=TRUE,"",MID(Lines!AP10,FIND($A$2,Lines!AP10)+LEN($A$2)+1,FIND(",",_xlfn.CONCAT(Lines!AP10,","),FIND($A$2,Lines!AP10))-FIND($A$2,Lines!AP10)-LEN($A$2)-1))</f>
        <v/>
      </c>
      <c r="AQ10" s="30" t="str">
        <f>IF(ISERROR(FIND($A$2,Lines!AQ10))=TRUE,"",MID(Lines!AQ10,FIND($A$2,Lines!AQ10)+LEN($A$2)+1,FIND(",",_xlfn.CONCAT(Lines!AQ10,","),FIND($A$2,Lines!AQ10))-FIND($A$2,Lines!AQ10)-LEN($A$2)-1))</f>
        <v/>
      </c>
      <c r="AR10" s="30" t="str">
        <f>IF(ISERROR(FIND($A$2,Lines!AR10))=TRUE,"",MID(Lines!AR10,FIND($A$2,Lines!AR10)+LEN($A$2)+1,FIND(",",_xlfn.CONCAT(Lines!AR10,","),FIND($A$2,Lines!AR10))-FIND($A$2,Lines!AR10)-LEN($A$2)-1))</f>
        <v/>
      </c>
      <c r="AS10" s="30" t="str">
        <f>IF(ISERROR(FIND($A$2,Lines!AS10))=TRUE,"",MID(Lines!AS10,FIND($A$2,Lines!AS10)+LEN($A$2)+1,FIND(",",_xlfn.CONCAT(Lines!AS10,","),FIND($A$2,Lines!AS10))-FIND($A$2,Lines!AS10)-LEN($A$2)-1))</f>
        <v/>
      </c>
      <c r="AT10" s="30" t="str">
        <f>IF(ISERROR(FIND($A$2,Lines!AT10))=TRUE,"",MID(Lines!AT10,FIND($A$2,Lines!AT10)+LEN($A$2)+1,FIND(",",_xlfn.CONCAT(Lines!AT10,","),FIND($A$2,Lines!AT10))-FIND($A$2,Lines!AT10)-LEN($A$2)-1))</f>
        <v/>
      </c>
    </row>
    <row r="11" spans="1:46" ht="20.25" customHeight="1">
      <c r="A11" s="2" t="s">
        <v>54</v>
      </c>
      <c r="B11" s="26" t="str">
        <f>IF(ISERROR(FIND($A$2,Lines!B11))=TRUE,"",MID(Lines!B11,FIND($A$2,Lines!B11)+LEN($A$2)+1,FIND(",",_xlfn.CONCAT(Lines!B11,","),FIND($A$2,Lines!B11))-FIND($A$2,Lines!B11)-LEN($A$2)-1))</f>
        <v/>
      </c>
      <c r="C11" s="26" t="str">
        <f>IF(ISERROR(FIND($A$2,Lines!C11))=TRUE,"",MID(Lines!C11,FIND($A$2,Lines!C11)+LEN($A$2)+1,FIND(",",_xlfn.CONCAT(Lines!C11,","),FIND($A$2,Lines!C11))-FIND($A$2,Lines!C11)-LEN($A$2)-1))</f>
        <v/>
      </c>
      <c r="D11" s="26" t="str">
        <f>IF(ISERROR(FIND($A$2,Lines!D11))=TRUE,"",MID(Lines!D11,FIND($A$2,Lines!D11)+LEN($A$2)+1,FIND(",",_xlfn.CONCAT(Lines!D11,","),FIND($A$2,Lines!D11))-FIND($A$2,Lines!D11)-LEN($A$2)-1))</f>
        <v/>
      </c>
      <c r="E11" s="26" t="str">
        <f>IF(ISERROR(FIND($A$2,Lines!E11))=TRUE,"",MID(Lines!E11,FIND($A$2,Lines!E11)+LEN($A$2)+1,FIND(",",_xlfn.CONCAT(Lines!E11,","),FIND($A$2,Lines!E11))-FIND($A$2,Lines!E11)-LEN($A$2)-1))</f>
        <v/>
      </c>
      <c r="F11" s="26" t="str">
        <f>IF(ISERROR(FIND($A$2,Lines!F11))=TRUE,"",MID(Lines!F11,FIND($A$2,Lines!F11)+LEN($A$2)+1,FIND(",",_xlfn.CONCAT(Lines!F11,","),FIND($A$2,Lines!F11))-FIND($A$2,Lines!F11)-LEN($A$2)-1))</f>
        <v/>
      </c>
      <c r="G11" s="26" t="str">
        <f>IF(ISERROR(FIND($A$2,Lines!G11))=TRUE,"",MID(Lines!G11,FIND($A$2,Lines!G11)+LEN($A$2)+1,FIND(",",_xlfn.CONCAT(Lines!G11,","),FIND($A$2,Lines!G11))-FIND($A$2,Lines!G11)-LEN($A$2)-1))</f>
        <v/>
      </c>
      <c r="H11" s="26" t="str">
        <f>IF(ISERROR(FIND($A$2,Lines!H11))=TRUE,"",MID(Lines!H11,FIND($A$2,Lines!H11)+LEN($A$2)+1,FIND(",",_xlfn.CONCAT(Lines!H11,","),FIND($A$2,Lines!H11))-FIND($A$2,Lines!H11)-LEN($A$2)-1))</f>
        <v/>
      </c>
      <c r="I11" s="63" t="str">
        <f>IF(ISERROR(FIND($A$2,Lines!I11))=TRUE,"",MID(Lines!I11,FIND($A$2,Lines!I11)+LEN($A$2)+1,FIND(",",_xlfn.CONCAT(Lines!I11,","),FIND($A$2,Lines!I11))-FIND($A$2,Lines!I11)-LEN($A$2)-1))</f>
        <v/>
      </c>
      <c r="J11" s="26" t="str">
        <f>IF(ISERROR(FIND($A$2,Lines!J11))=TRUE,"",MID(Lines!J11,FIND($A$2,Lines!J11)+LEN($A$2)+1,FIND(",",_xlfn.CONCAT(Lines!J11,","),FIND($A$2,Lines!J11))-FIND($A$2,Lines!J11)-LEN($A$2)-1))</f>
        <v/>
      </c>
      <c r="K11" s="26" t="str">
        <f>IF(ISERROR(FIND($A$2,Lines!K11))=TRUE,"",MID(Lines!K11,FIND($A$2,Lines!K11)+LEN($A$2)+1,FIND(",",_xlfn.CONCAT(Lines!K11,","),FIND($A$2,Lines!K11))-FIND($A$2,Lines!K11)-LEN($A$2)-1))</f>
        <v/>
      </c>
      <c r="L11" s="26" t="str">
        <f>IF(ISERROR(FIND($A$2,Lines!L11))=TRUE,"",MID(Lines!L11,FIND($A$2,Lines!L11)+LEN($A$2)+1,FIND(",",_xlfn.CONCAT(Lines!L11,","),FIND($A$2,Lines!L11))-FIND($A$2,Lines!L11)-LEN($A$2)-1))</f>
        <v/>
      </c>
      <c r="M11" s="27" t="str">
        <f>IF(ISERROR(FIND($A$2,Lines!M11))=TRUE,"",MID(Lines!M11,FIND($A$2,Lines!M11)+LEN($A$2)+1,FIND(",",_xlfn.CONCAT(Lines!M11,","),FIND($A$2,Lines!M11))-FIND($A$2,Lines!M11)-LEN($A$2)-1))</f>
        <v/>
      </c>
      <c r="N11" s="30" t="str">
        <f>IF(ISERROR(FIND($A$2,Lines!N11))=TRUE,"",MID(Lines!N11,FIND($A$2,Lines!N11)+LEN($A$2)+1,FIND(",",_xlfn.CONCAT(Lines!N11,","),FIND($A$2,Lines!N11))-FIND($A$2,Lines!N11)-LEN($A$2)-1))</f>
        <v/>
      </c>
      <c r="O11" s="30" t="str">
        <f>IF(ISERROR(FIND($A$2,Lines!O11))=TRUE,"",MID(Lines!O11,FIND($A$2,Lines!O11)+LEN($A$2)+1,FIND(",",_xlfn.CONCAT(Lines!O11,","),FIND($A$2,Lines!O11))-FIND($A$2,Lines!O11)-LEN($A$2)-1))</f>
        <v/>
      </c>
      <c r="P11" s="30" t="str">
        <f>IF(ISERROR(FIND($A$2,Lines!P11))=TRUE,"",MID(Lines!P11,FIND($A$2,Lines!P11)+LEN($A$2)+1,FIND(",",_xlfn.CONCAT(Lines!P11,","),FIND($A$2,Lines!P11))-FIND($A$2,Lines!P11)-LEN($A$2)-1))</f>
        <v/>
      </c>
      <c r="Q11" s="30" t="str">
        <f>IF(ISERROR(FIND($A$2,Lines!Q11))=TRUE,"",MID(Lines!Q11,FIND($A$2,Lines!Q11)+LEN($A$2)+1,FIND(",",_xlfn.CONCAT(Lines!Q11,","),FIND($A$2,Lines!Q11))-FIND($A$2,Lines!Q11)-LEN($A$2)-1))</f>
        <v/>
      </c>
      <c r="R11" s="30" t="str">
        <f>IF(ISERROR(FIND($A$2,Lines!R11))=TRUE,"",MID(Lines!R11,FIND($A$2,Lines!R11)+LEN($A$2)+1,FIND(",",_xlfn.CONCAT(Lines!R11,","),FIND($A$2,Lines!R11))-FIND($A$2,Lines!R11)-LEN($A$2)-1))</f>
        <v/>
      </c>
      <c r="S11" s="30" t="str">
        <f>IF(ISERROR(FIND($A$2,Lines!S11))=TRUE,"",MID(Lines!S11,FIND($A$2,Lines!S11)+LEN($A$2)+1,FIND(",",_xlfn.CONCAT(Lines!S11,","),FIND($A$2,Lines!S11))-FIND($A$2,Lines!S11)-LEN($A$2)-1))</f>
        <v/>
      </c>
      <c r="T11" s="30" t="str">
        <f>IF(ISERROR(FIND($A$2,Lines!T11))=TRUE,"",MID(Lines!T11,FIND($A$2,Lines!T11)+LEN($A$2)+1,FIND(",",_xlfn.CONCAT(Lines!T11,","),FIND($A$2,Lines!T11))-FIND($A$2,Lines!T11)-LEN($A$2)-1))</f>
        <v/>
      </c>
      <c r="U11" s="30" t="str">
        <f>IF(ISERROR(FIND($A$2,Lines!U11))=TRUE,"",MID(Lines!U11,FIND($A$2,Lines!U11)+LEN($A$2)+1,FIND(",",_xlfn.CONCAT(Lines!U11,","),FIND($A$2,Lines!U11))-FIND($A$2,Lines!U11)-LEN($A$2)-1))</f>
        <v/>
      </c>
      <c r="V11" s="30" t="str">
        <f>IF(ISERROR(FIND($A$2,Lines!V11))=TRUE,"",MID(Lines!V11,FIND($A$2,Lines!V11)+LEN($A$2)+1,FIND(",",_xlfn.CONCAT(Lines!V11,","),FIND($A$2,Lines!V11))-FIND($A$2,Lines!V11)-LEN($A$2)-1))</f>
        <v/>
      </c>
      <c r="W11" s="36" t="str">
        <f>IF(ISERROR(FIND($A$2,Lines!W11))=TRUE,"",MID(Lines!W11,FIND($A$2,Lines!W11)+LEN($A$2)+1,FIND(",",_xlfn.CONCAT(Lines!W11,","),FIND($A$2,Lines!W11))-FIND($A$2,Lines!W11)-LEN($A$2)-1))</f>
        <v/>
      </c>
      <c r="X11" s="30" t="str">
        <f>IF(ISERROR(FIND($A$2,Lines!X11))=TRUE,"",MID(Lines!X11,FIND($A$2,Lines!X11)+LEN($A$2)+1,FIND(",",_xlfn.CONCAT(Lines!X11,","),FIND($A$2,Lines!X11))-FIND($A$2,Lines!X11)-LEN($A$2)-1))</f>
        <v/>
      </c>
      <c r="Y11" s="30" t="str">
        <f>IF(ISERROR(FIND($A$2,Lines!Y11))=TRUE,"",MID(Lines!Y11,FIND($A$2,Lines!Y11)+LEN($A$2)+1,FIND(",",_xlfn.CONCAT(Lines!Y11,","),FIND($A$2,Lines!Y11))-FIND($A$2,Lines!Y11)-LEN($A$2)-1))</f>
        <v/>
      </c>
      <c r="Z11" s="30" t="str">
        <f>IF(ISERROR(FIND($A$2,Lines!Z11))=TRUE,"",MID(Lines!Z11,FIND($A$2,Lines!Z11)+LEN($A$2)+1,FIND(",",_xlfn.CONCAT(Lines!Z11,","),FIND($A$2,Lines!Z11))-FIND($A$2,Lines!Z11)-LEN($A$2)-1))</f>
        <v/>
      </c>
      <c r="AA11" s="30" t="str">
        <f>IF(ISERROR(FIND($A$2,Lines!AA11))=TRUE,"",MID(Lines!AA11,FIND($A$2,Lines!AA11)+LEN($A$2)+1,FIND(",",_xlfn.CONCAT(Lines!AA11,","),FIND($A$2,Lines!AA11))-FIND($A$2,Lines!AA11)-LEN($A$2)-1))</f>
        <v/>
      </c>
      <c r="AB11" s="30" t="str">
        <f>IF(ISERROR(FIND($A$2,Lines!AB11))=TRUE,"",MID(Lines!AB11,FIND($A$2,Lines!AB11)+LEN($A$2)+1,FIND(",",_xlfn.CONCAT(Lines!AB11,","),FIND($A$2,Lines!AB11))-FIND($A$2,Lines!AB11)-LEN($A$2)-1))</f>
        <v/>
      </c>
      <c r="AC11" s="30" t="str">
        <f>IF(ISERROR(FIND($A$2,Lines!AC11))=TRUE,"",MID(Lines!AC11,FIND($A$2,Lines!AC11)+LEN($A$2)+1,FIND(",",_xlfn.CONCAT(Lines!AC11,","),FIND($A$2,Lines!AC11))-FIND($A$2,Lines!AC11)-LEN($A$2)-1))</f>
        <v/>
      </c>
      <c r="AD11" s="30" t="str">
        <f>IF(ISERROR(FIND($A$2,Lines!AD11))=TRUE,"",MID(Lines!AD11,FIND($A$2,Lines!AD11)+LEN($A$2)+1,FIND(",",_xlfn.CONCAT(Lines!AD11,","),FIND($A$2,Lines!AD11))-FIND($A$2,Lines!AD11)-LEN($A$2)-1))</f>
        <v/>
      </c>
      <c r="AE11" s="30" t="str">
        <f>IF(ISERROR(FIND($A$2,Lines!AE11))=TRUE,"",MID(Lines!AE11,FIND($A$2,Lines!AE11)+LEN($A$2)+1,FIND(",",_xlfn.CONCAT(Lines!AE11,","),FIND($A$2,Lines!AE11))-FIND($A$2,Lines!AE11)-LEN($A$2)-1))</f>
        <v/>
      </c>
      <c r="AF11" s="30" t="str">
        <f>IF(ISERROR(FIND($A$2,Lines!AF11))=TRUE,"",MID(Lines!AF11,FIND($A$2,Lines!AF11)+LEN($A$2)+1,FIND(",",_xlfn.CONCAT(Lines!AF11,","),FIND($A$2,Lines!AF11))-FIND($A$2,Lines!AF11)-LEN($A$2)-1))</f>
        <v/>
      </c>
      <c r="AG11" s="30" t="str">
        <f>IF(ISERROR(FIND($A$2,Lines!AG11))=TRUE,"",MID(Lines!AG11,FIND($A$2,Lines!AG11)+LEN($A$2)+1,FIND(",",_xlfn.CONCAT(Lines!AG11,","),FIND($A$2,Lines!AG11))-FIND($A$2,Lines!AG11)-LEN($A$2)-1))</f>
        <v/>
      </c>
      <c r="AH11" s="30" t="str">
        <f>IF(ISERROR(FIND($A$2,Lines!AH11))=TRUE,"",MID(Lines!AH11,FIND($A$2,Lines!AH11)+LEN($A$2)+1,FIND(",",_xlfn.CONCAT(Lines!AH11,","),FIND($A$2,Lines!AH11))-FIND($A$2,Lines!AH11)-LEN($A$2)-1))</f>
        <v/>
      </c>
      <c r="AI11" s="30" t="str">
        <f>IF(ISERROR(FIND($A$2,Lines!AI11))=TRUE,"",MID(Lines!AI11,FIND($A$2,Lines!AI11)+LEN($A$2)+1,FIND(",",_xlfn.CONCAT(Lines!AI11,","),FIND($A$2,Lines!AI11))-FIND($A$2,Lines!AI11)-LEN($A$2)-1))</f>
        <v/>
      </c>
      <c r="AJ11" s="30" t="str">
        <f>IF(ISERROR(FIND($A$2,Lines!AJ11))=TRUE,"",MID(Lines!AJ11,FIND($A$2,Lines!AJ11)+LEN($A$2)+1,FIND(",",_xlfn.CONCAT(Lines!AJ11,","),FIND($A$2,Lines!AJ11))-FIND($A$2,Lines!AJ11)-LEN($A$2)-1))</f>
        <v/>
      </c>
      <c r="AK11" s="30" t="str">
        <f>IF(ISERROR(FIND($A$2,Lines!AK11))=TRUE,"",MID(Lines!AK11,FIND($A$2,Lines!AK11)+LEN($A$2)+1,FIND(",",_xlfn.CONCAT(Lines!AK11,","),FIND($A$2,Lines!AK11))-FIND($A$2,Lines!AK11)-LEN($A$2)-1))</f>
        <v/>
      </c>
      <c r="AL11" s="30" t="str">
        <f>IF(ISERROR(FIND($A$2,Lines!AL11))=TRUE,"",MID(Lines!AL11,FIND($A$2,Lines!AL11)+LEN($A$2)+1,FIND(",",_xlfn.CONCAT(Lines!AL11,","),FIND($A$2,Lines!AL11))-FIND($A$2,Lines!AL11)-LEN($A$2)-1))</f>
        <v/>
      </c>
      <c r="AM11" s="30" t="str">
        <f>IF(ISERROR(FIND($A$2,Lines!AM11))=TRUE,"",MID(Lines!AM11,FIND($A$2,Lines!AM11)+LEN($A$2)+1,FIND(",",_xlfn.CONCAT(Lines!AM11,","),FIND($A$2,Lines!AM11))-FIND($A$2,Lines!AM11)-LEN($A$2)-1))</f>
        <v/>
      </c>
      <c r="AN11" s="30" t="str">
        <f>IF(ISERROR(FIND($A$2,Lines!AN11))=TRUE,"",MID(Lines!AN11,FIND($A$2,Lines!AN11)+LEN($A$2)+1,FIND(",",_xlfn.CONCAT(Lines!AN11,","),FIND($A$2,Lines!AN11))-FIND($A$2,Lines!AN11)-LEN($A$2)-1))</f>
        <v/>
      </c>
      <c r="AO11" s="30" t="str">
        <f>IF(ISERROR(FIND($A$2,Lines!AO11))=TRUE,"",MID(Lines!AO11,FIND($A$2,Lines!AO11)+LEN($A$2)+1,FIND(",",_xlfn.CONCAT(Lines!AO11,","),FIND($A$2,Lines!AO11))-FIND($A$2,Lines!AO11)-LEN($A$2)-1))</f>
        <v/>
      </c>
      <c r="AP11" s="30" t="str">
        <f>IF(ISERROR(FIND($A$2,Lines!AP11))=TRUE,"",MID(Lines!AP11,FIND($A$2,Lines!AP11)+LEN($A$2)+1,FIND(",",_xlfn.CONCAT(Lines!AP11,","),FIND($A$2,Lines!AP11))-FIND($A$2,Lines!AP11)-LEN($A$2)-1))</f>
        <v/>
      </c>
      <c r="AQ11" s="30" t="str">
        <f>IF(ISERROR(FIND($A$2,Lines!AQ11))=TRUE,"",MID(Lines!AQ11,FIND($A$2,Lines!AQ11)+LEN($A$2)+1,FIND(",",_xlfn.CONCAT(Lines!AQ11,","),FIND($A$2,Lines!AQ11))-FIND($A$2,Lines!AQ11)-LEN($A$2)-1))</f>
        <v/>
      </c>
      <c r="AR11" s="30" t="str">
        <f>IF(ISERROR(FIND($A$2,Lines!AR11))=TRUE,"",MID(Lines!AR11,FIND($A$2,Lines!AR11)+LEN($A$2)+1,FIND(",",_xlfn.CONCAT(Lines!AR11,","),FIND($A$2,Lines!AR11))-FIND($A$2,Lines!AR11)-LEN($A$2)-1))</f>
        <v/>
      </c>
      <c r="AS11" s="30" t="str">
        <f>IF(ISERROR(FIND($A$2,Lines!AS11))=TRUE,"",MID(Lines!AS11,FIND($A$2,Lines!AS11)+LEN($A$2)+1,FIND(",",_xlfn.CONCAT(Lines!AS11,","),FIND($A$2,Lines!AS11))-FIND($A$2,Lines!AS11)-LEN($A$2)-1))</f>
        <v/>
      </c>
      <c r="AT11" s="30" t="str">
        <f>IF(ISERROR(FIND($A$2,Lines!AT11))=TRUE,"",MID(Lines!AT11,FIND($A$2,Lines!AT11)+LEN($A$2)+1,FIND(",",_xlfn.CONCAT(Lines!AT11,","),FIND($A$2,Lines!AT11))-FIND($A$2,Lines!AT11)-LEN($A$2)-1))</f>
        <v/>
      </c>
    </row>
    <row r="12" spans="1:46" ht="20.25" customHeight="1">
      <c r="A12" s="2" t="s">
        <v>62</v>
      </c>
      <c r="B12" s="26" t="str">
        <f>IF(ISERROR(FIND($A$2,Lines!B12))=TRUE,"",MID(Lines!B12,FIND($A$2,Lines!B12)+LEN($A$2)+1,FIND(",",_xlfn.CONCAT(Lines!B12,","),FIND($A$2,Lines!B12))-FIND($A$2,Lines!B12)-LEN($A$2)-1))</f>
        <v/>
      </c>
      <c r="C12" s="26" t="str">
        <f>IF(ISERROR(FIND($A$2,Lines!C12))=TRUE,"",MID(Lines!C12,FIND($A$2,Lines!C12)+LEN($A$2)+1,FIND(",",_xlfn.CONCAT(Lines!C12,","),FIND($A$2,Lines!C12))-FIND($A$2,Lines!C12)-LEN($A$2)-1))</f>
        <v/>
      </c>
      <c r="D12" s="26" t="str">
        <f>IF(ISERROR(FIND($A$2,Lines!D12))=TRUE,"",MID(Lines!D12,FIND($A$2,Lines!D12)+LEN($A$2)+1,FIND(",",_xlfn.CONCAT(Lines!D12,","),FIND($A$2,Lines!D12))-FIND($A$2,Lines!D12)-LEN($A$2)-1))</f>
        <v/>
      </c>
      <c r="E12" s="26" t="str">
        <f>IF(ISERROR(FIND($A$2,Lines!E12))=TRUE,"",MID(Lines!E12,FIND($A$2,Lines!E12)+LEN($A$2)+1,FIND(",",_xlfn.CONCAT(Lines!E12,","),FIND($A$2,Lines!E12))-FIND($A$2,Lines!E12)-LEN($A$2)-1))</f>
        <v/>
      </c>
      <c r="F12" s="26" t="str">
        <f>IF(ISERROR(FIND($A$2,Lines!F12))=TRUE,"",MID(Lines!F12,FIND($A$2,Lines!F12)+LEN($A$2)+1,FIND(",",_xlfn.CONCAT(Lines!F12,","),FIND($A$2,Lines!F12))-FIND($A$2,Lines!F12)-LEN($A$2)-1))</f>
        <v/>
      </c>
      <c r="G12" s="26" t="str">
        <f>IF(ISERROR(FIND($A$2,Lines!G12))=TRUE,"",MID(Lines!G12,FIND($A$2,Lines!G12)+LEN($A$2)+1,FIND(",",_xlfn.CONCAT(Lines!G12,","),FIND($A$2,Lines!G12))-FIND($A$2,Lines!G12)-LEN($A$2)-1))</f>
        <v/>
      </c>
      <c r="H12" s="26" t="str">
        <f>IF(ISERROR(FIND($A$2,Lines!H12))=TRUE,"",MID(Lines!H12,FIND($A$2,Lines!H12)+LEN($A$2)+1,FIND(",",_xlfn.CONCAT(Lines!H12,","),FIND($A$2,Lines!H12))-FIND($A$2,Lines!H12)-LEN($A$2)-1))</f>
        <v/>
      </c>
      <c r="I12" s="26" t="str">
        <f>IF(ISERROR(FIND($A$2,Lines!I12))=TRUE,"",MID(Lines!I12,FIND($A$2,Lines!I12)+LEN($A$2)+1,FIND(",",_xlfn.CONCAT(Lines!I12,","),FIND($A$2,Lines!I12))-FIND($A$2,Lines!I12)-LEN($A$2)-1))</f>
        <v/>
      </c>
      <c r="J12" s="63" t="str">
        <f>IF(ISERROR(FIND($A$2,Lines!J12))=TRUE,"",MID(Lines!J12,FIND($A$2,Lines!J12)+LEN($A$2)+1,FIND(",",_xlfn.CONCAT(Lines!J12,","),FIND($A$2,Lines!J12))-FIND($A$2,Lines!J12)-LEN($A$2)-1))</f>
        <v/>
      </c>
      <c r="K12" s="26" t="str">
        <f>IF(ISERROR(FIND($A$2,Lines!K12))=TRUE,"",MID(Lines!K12,FIND($A$2,Lines!K12)+LEN($A$2)+1,FIND(",",_xlfn.CONCAT(Lines!K12,","),FIND($A$2,Lines!K12))-FIND($A$2,Lines!K12)-LEN($A$2)-1))</f>
        <v/>
      </c>
      <c r="L12" s="26" t="str">
        <f>IF(ISERROR(FIND($A$2,Lines!L12))=TRUE,"",MID(Lines!L12,FIND($A$2,Lines!L12)+LEN($A$2)+1,FIND(",",_xlfn.CONCAT(Lines!L12,","),FIND($A$2,Lines!L12))-FIND($A$2,Lines!L12)-LEN($A$2)-1))</f>
        <v/>
      </c>
      <c r="M12" s="69" t="str">
        <f>IF(ISERROR(FIND($A$2,Lines!M12))=TRUE,"",MID(Lines!M12,FIND($A$2,Lines!M12)+LEN($A$2)+1,FIND(",",_xlfn.CONCAT(Lines!M12,","),FIND($A$2,Lines!M12))-FIND($A$2,Lines!M12)-LEN($A$2)-1))</f>
        <v/>
      </c>
      <c r="N12" s="30" t="str">
        <f>IF(ISERROR(FIND($A$2,Lines!N12))=TRUE,"",MID(Lines!N12,FIND($A$2,Lines!N12)+LEN($A$2)+1,FIND(",",_xlfn.CONCAT(Lines!N12,","),FIND($A$2,Lines!N12))-FIND($A$2,Lines!N12)-LEN($A$2)-1))</f>
        <v/>
      </c>
      <c r="O12" s="30" t="str">
        <f>IF(ISERROR(FIND($A$2,Lines!O12))=TRUE,"",MID(Lines!O12,FIND($A$2,Lines!O12)+LEN($A$2)+1,FIND(",",_xlfn.CONCAT(Lines!O12,","),FIND($A$2,Lines!O12))-FIND($A$2,Lines!O12)-LEN($A$2)-1))</f>
        <v/>
      </c>
      <c r="P12" s="30" t="str">
        <f>IF(ISERROR(FIND($A$2,Lines!P12))=TRUE,"",MID(Lines!P12,FIND($A$2,Lines!P12)+LEN($A$2)+1,FIND(",",_xlfn.CONCAT(Lines!P12,","),FIND($A$2,Lines!P12))-FIND($A$2,Lines!P12)-LEN($A$2)-1))</f>
        <v/>
      </c>
      <c r="Q12" s="30" t="str">
        <f>IF(ISERROR(FIND($A$2,Lines!Q12))=TRUE,"",MID(Lines!Q12,FIND($A$2,Lines!Q12)+LEN($A$2)+1,FIND(",",_xlfn.CONCAT(Lines!Q12,","),FIND($A$2,Lines!Q12))-FIND($A$2,Lines!Q12)-LEN($A$2)-1))</f>
        <v/>
      </c>
      <c r="R12" s="30" t="str">
        <f>IF(ISERROR(FIND($A$2,Lines!R12))=TRUE,"",MID(Lines!R12,FIND($A$2,Lines!R12)+LEN($A$2)+1,FIND(",",_xlfn.CONCAT(Lines!R12,","),FIND($A$2,Lines!R12))-FIND($A$2,Lines!R12)-LEN($A$2)-1))</f>
        <v/>
      </c>
      <c r="S12" s="30" t="str">
        <f>IF(ISERROR(FIND($A$2,Lines!S12))=TRUE,"",MID(Lines!S12,FIND($A$2,Lines!S12)+LEN($A$2)+1,FIND(",",_xlfn.CONCAT(Lines!S12,","),FIND($A$2,Lines!S12))-FIND($A$2,Lines!S12)-LEN($A$2)-1))</f>
        <v/>
      </c>
      <c r="T12" s="30" t="str">
        <f>IF(ISERROR(FIND($A$2,Lines!T12))=TRUE,"",MID(Lines!T12,FIND($A$2,Lines!T12)+LEN($A$2)+1,FIND(",",_xlfn.CONCAT(Lines!T12,","),FIND($A$2,Lines!T12))-FIND($A$2,Lines!T12)-LEN($A$2)-1))</f>
        <v/>
      </c>
      <c r="U12" s="30" t="str">
        <f>IF(ISERROR(FIND($A$2,Lines!U12))=TRUE,"",MID(Lines!U12,FIND($A$2,Lines!U12)+LEN($A$2)+1,FIND(",",_xlfn.CONCAT(Lines!U12,","),FIND($A$2,Lines!U12))-FIND($A$2,Lines!U12)-LEN($A$2)-1))</f>
        <v/>
      </c>
      <c r="V12" s="30" t="str">
        <f>IF(ISERROR(FIND($A$2,Lines!V12))=TRUE,"",MID(Lines!V12,FIND($A$2,Lines!V12)+LEN($A$2)+1,FIND(",",_xlfn.CONCAT(Lines!V12,","),FIND($A$2,Lines!V12))-FIND($A$2,Lines!V12)-LEN($A$2)-1))</f>
        <v/>
      </c>
      <c r="W12" s="36" t="str">
        <f>IF(ISERROR(FIND($A$2,Lines!W12))=TRUE,"",MID(Lines!W12,FIND($A$2,Lines!W12)+LEN($A$2)+1,FIND(",",_xlfn.CONCAT(Lines!W12,","),FIND($A$2,Lines!W12))-FIND($A$2,Lines!W12)-LEN($A$2)-1))</f>
        <v/>
      </c>
      <c r="X12" s="30" t="str">
        <f>IF(ISERROR(FIND($A$2,Lines!X12))=TRUE,"",MID(Lines!X12,FIND($A$2,Lines!X12)+LEN($A$2)+1,FIND(",",_xlfn.CONCAT(Lines!X12,","),FIND($A$2,Lines!X12))-FIND($A$2,Lines!X12)-LEN($A$2)-1))</f>
        <v/>
      </c>
      <c r="Y12" s="30" t="str">
        <f>IF(ISERROR(FIND($A$2,Lines!Y12))=TRUE,"",MID(Lines!Y12,FIND($A$2,Lines!Y12)+LEN($A$2)+1,FIND(",",_xlfn.CONCAT(Lines!Y12,","),FIND($A$2,Lines!Y12))-FIND($A$2,Lines!Y12)-LEN($A$2)-1))</f>
        <v/>
      </c>
      <c r="Z12" s="30" t="str">
        <f>IF(ISERROR(FIND($A$2,Lines!Z12))=TRUE,"",MID(Lines!Z12,FIND($A$2,Lines!Z12)+LEN($A$2)+1,FIND(",",_xlfn.CONCAT(Lines!Z12,","),FIND($A$2,Lines!Z12))-FIND($A$2,Lines!Z12)-LEN($A$2)-1))</f>
        <v/>
      </c>
      <c r="AA12" s="30" t="str">
        <f>IF(ISERROR(FIND($A$2,Lines!AA12))=TRUE,"",MID(Lines!AA12,FIND($A$2,Lines!AA12)+LEN($A$2)+1,FIND(",",_xlfn.CONCAT(Lines!AA12,","),FIND($A$2,Lines!AA12))-FIND($A$2,Lines!AA12)-LEN($A$2)-1))</f>
        <v/>
      </c>
      <c r="AB12" s="30" t="str">
        <f>IF(ISERROR(FIND($A$2,Lines!AB12))=TRUE,"",MID(Lines!AB12,FIND($A$2,Lines!AB12)+LEN($A$2)+1,FIND(",",_xlfn.CONCAT(Lines!AB12,","),FIND($A$2,Lines!AB12))-FIND($A$2,Lines!AB12)-LEN($A$2)-1))</f>
        <v/>
      </c>
      <c r="AC12" s="30" t="str">
        <f>IF(ISERROR(FIND($A$2,Lines!AC12))=TRUE,"",MID(Lines!AC12,FIND($A$2,Lines!AC12)+LEN($A$2)+1,FIND(",",_xlfn.CONCAT(Lines!AC12,","),FIND($A$2,Lines!AC12))-FIND($A$2,Lines!AC12)-LEN($A$2)-1))</f>
        <v/>
      </c>
      <c r="AD12" s="30" t="str">
        <f>IF(ISERROR(FIND($A$2,Lines!AD12))=TRUE,"",MID(Lines!AD12,FIND($A$2,Lines!AD12)+LEN($A$2)+1,FIND(",",_xlfn.CONCAT(Lines!AD12,","),FIND($A$2,Lines!AD12))-FIND($A$2,Lines!AD12)-LEN($A$2)-1))</f>
        <v/>
      </c>
      <c r="AE12" s="30" t="str">
        <f>IF(ISERROR(FIND($A$2,Lines!AE12))=TRUE,"",MID(Lines!AE12,FIND($A$2,Lines!AE12)+LEN($A$2)+1,FIND(",",_xlfn.CONCAT(Lines!AE12,","),FIND($A$2,Lines!AE12))-FIND($A$2,Lines!AE12)-LEN($A$2)-1))</f>
        <v/>
      </c>
      <c r="AF12" s="30" t="str">
        <f>IF(ISERROR(FIND($A$2,Lines!AF12))=TRUE,"",MID(Lines!AF12,FIND($A$2,Lines!AF12)+LEN($A$2)+1,FIND(",",_xlfn.CONCAT(Lines!AF12,","),FIND($A$2,Lines!AF12))-FIND($A$2,Lines!AF12)-LEN($A$2)-1))</f>
        <v/>
      </c>
      <c r="AG12" s="30" t="str">
        <f>IF(ISERROR(FIND($A$2,Lines!AG12))=TRUE,"",MID(Lines!AG12,FIND($A$2,Lines!AG12)+LEN($A$2)+1,FIND(",",_xlfn.CONCAT(Lines!AG12,","),FIND($A$2,Lines!AG12))-FIND($A$2,Lines!AG12)-LEN($A$2)-1))</f>
        <v/>
      </c>
      <c r="AH12" s="30" t="str">
        <f>IF(ISERROR(FIND($A$2,Lines!AH12))=TRUE,"",MID(Lines!AH12,FIND($A$2,Lines!AH12)+LEN($A$2)+1,FIND(",",_xlfn.CONCAT(Lines!AH12,","),FIND($A$2,Lines!AH12))-FIND($A$2,Lines!AH12)-LEN($A$2)-1))</f>
        <v/>
      </c>
      <c r="AI12" s="30" t="str">
        <f>IF(ISERROR(FIND($A$2,Lines!AI12))=TRUE,"",MID(Lines!AI12,FIND($A$2,Lines!AI12)+LEN($A$2)+1,FIND(",",_xlfn.CONCAT(Lines!AI12,","),FIND($A$2,Lines!AI12))-FIND($A$2,Lines!AI12)-LEN($A$2)-1))</f>
        <v/>
      </c>
      <c r="AJ12" s="30" t="str">
        <f>IF(ISERROR(FIND($A$2,Lines!AJ12))=TRUE,"",MID(Lines!AJ12,FIND($A$2,Lines!AJ12)+LEN($A$2)+1,FIND(",",_xlfn.CONCAT(Lines!AJ12,","),FIND($A$2,Lines!AJ12))-FIND($A$2,Lines!AJ12)-LEN($A$2)-1))</f>
        <v/>
      </c>
      <c r="AK12" s="30" t="str">
        <f>IF(ISERROR(FIND($A$2,Lines!AK12))=TRUE,"",MID(Lines!AK12,FIND($A$2,Lines!AK12)+LEN($A$2)+1,FIND(",",_xlfn.CONCAT(Lines!AK12,","),FIND($A$2,Lines!AK12))-FIND($A$2,Lines!AK12)-LEN($A$2)-1))</f>
        <v/>
      </c>
      <c r="AL12" s="30" t="str">
        <f>IF(ISERROR(FIND($A$2,Lines!AL12))=TRUE,"",MID(Lines!AL12,FIND($A$2,Lines!AL12)+LEN($A$2)+1,FIND(",",_xlfn.CONCAT(Lines!AL12,","),FIND($A$2,Lines!AL12))-FIND($A$2,Lines!AL12)-LEN($A$2)-1))</f>
        <v/>
      </c>
      <c r="AM12" s="30" t="str">
        <f>IF(ISERROR(FIND($A$2,Lines!AM12))=TRUE,"",MID(Lines!AM12,FIND($A$2,Lines!AM12)+LEN($A$2)+1,FIND(",",_xlfn.CONCAT(Lines!AM12,","),FIND($A$2,Lines!AM12))-FIND($A$2,Lines!AM12)-LEN($A$2)-1))</f>
        <v/>
      </c>
      <c r="AN12" s="30" t="str">
        <f>IF(ISERROR(FIND($A$2,Lines!AN12))=TRUE,"",MID(Lines!AN12,FIND($A$2,Lines!AN12)+LEN($A$2)+1,FIND(",",_xlfn.CONCAT(Lines!AN12,","),FIND($A$2,Lines!AN12))-FIND($A$2,Lines!AN12)-LEN($A$2)-1))</f>
        <v/>
      </c>
      <c r="AO12" s="30" t="str">
        <f>IF(ISERROR(FIND($A$2,Lines!AO12))=TRUE,"",MID(Lines!AO12,FIND($A$2,Lines!AO12)+LEN($A$2)+1,FIND(",",_xlfn.CONCAT(Lines!AO12,","),FIND($A$2,Lines!AO12))-FIND($A$2,Lines!AO12)-LEN($A$2)-1))</f>
        <v/>
      </c>
      <c r="AP12" s="30" t="str">
        <f>IF(ISERROR(FIND($A$2,Lines!AP12))=TRUE,"",MID(Lines!AP12,FIND($A$2,Lines!AP12)+LEN($A$2)+1,FIND(",",_xlfn.CONCAT(Lines!AP12,","),FIND($A$2,Lines!AP12))-FIND($A$2,Lines!AP12)-LEN($A$2)-1))</f>
        <v/>
      </c>
      <c r="AQ12" s="30" t="str">
        <f>IF(ISERROR(FIND($A$2,Lines!AQ12))=TRUE,"",MID(Lines!AQ12,FIND($A$2,Lines!AQ12)+LEN($A$2)+1,FIND(",",_xlfn.CONCAT(Lines!AQ12,","),FIND($A$2,Lines!AQ12))-FIND($A$2,Lines!AQ12)-LEN($A$2)-1))</f>
        <v/>
      </c>
      <c r="AR12" s="30" t="str">
        <f>IF(ISERROR(FIND($A$2,Lines!AR12))=TRUE,"",MID(Lines!AR12,FIND($A$2,Lines!AR12)+LEN($A$2)+1,FIND(",",_xlfn.CONCAT(Lines!AR12,","),FIND($A$2,Lines!AR12))-FIND($A$2,Lines!AR12)-LEN($A$2)-1))</f>
        <v/>
      </c>
      <c r="AS12" s="30" t="str">
        <f>IF(ISERROR(FIND($A$2,Lines!AS12))=TRUE,"",MID(Lines!AS12,FIND($A$2,Lines!AS12)+LEN($A$2)+1,FIND(",",_xlfn.CONCAT(Lines!AS12,","),FIND($A$2,Lines!AS12))-FIND($A$2,Lines!AS12)-LEN($A$2)-1))</f>
        <v/>
      </c>
      <c r="AT12" s="30" t="str">
        <f>IF(ISERROR(FIND($A$2,Lines!AT12))=TRUE,"",MID(Lines!AT12,FIND($A$2,Lines!AT12)+LEN($A$2)+1,FIND(",",_xlfn.CONCAT(Lines!AT12,","),FIND($A$2,Lines!AT12))-FIND($A$2,Lines!AT12)-LEN($A$2)-1))</f>
        <v/>
      </c>
    </row>
    <row r="13" spans="1:46" ht="20.25" customHeight="1">
      <c r="A13" s="2" t="s">
        <v>63</v>
      </c>
      <c r="B13" s="26" t="str">
        <f>IF(ISERROR(FIND($A$2,Lines!B13))=TRUE,"",MID(Lines!B13,FIND($A$2,Lines!B13)+LEN($A$2)+1,FIND(",",_xlfn.CONCAT(Lines!B13,","),FIND($A$2,Lines!B13))-FIND($A$2,Lines!B13)-LEN($A$2)-1))</f>
        <v/>
      </c>
      <c r="C13" s="26" t="str">
        <f>IF(ISERROR(FIND($A$2,Lines!C13))=TRUE,"",MID(Lines!C13,FIND($A$2,Lines!C13)+LEN($A$2)+1,FIND(",",_xlfn.CONCAT(Lines!C13,","),FIND($A$2,Lines!C13))-FIND($A$2,Lines!C13)-LEN($A$2)-1))</f>
        <v/>
      </c>
      <c r="D13" s="26" t="str">
        <f>IF(ISERROR(FIND($A$2,Lines!D13))=TRUE,"",MID(Lines!D13,FIND($A$2,Lines!D13)+LEN($A$2)+1,FIND(",",_xlfn.CONCAT(Lines!D13,","),FIND($A$2,Lines!D13))-FIND($A$2,Lines!D13)-LEN($A$2)-1))</f>
        <v/>
      </c>
      <c r="E13" s="26" t="str">
        <f>IF(ISERROR(FIND($A$2,Lines!E13))=TRUE,"",MID(Lines!E13,FIND($A$2,Lines!E13)+LEN($A$2)+1,FIND(",",_xlfn.CONCAT(Lines!E13,","),FIND($A$2,Lines!E13))-FIND($A$2,Lines!E13)-LEN($A$2)-1))</f>
        <v/>
      </c>
      <c r="F13" s="26" t="str">
        <f>IF(ISERROR(FIND($A$2,Lines!F13))=TRUE,"",MID(Lines!F13,FIND($A$2,Lines!F13)+LEN($A$2)+1,FIND(",",_xlfn.CONCAT(Lines!F13,","),FIND($A$2,Lines!F13))-FIND($A$2,Lines!F13)-LEN($A$2)-1))</f>
        <v/>
      </c>
      <c r="G13" s="26" t="str">
        <f>IF(ISERROR(FIND($A$2,Lines!G13))=TRUE,"",MID(Lines!G13,FIND($A$2,Lines!G13)+LEN($A$2)+1,FIND(",",_xlfn.CONCAT(Lines!G13,","),FIND($A$2,Lines!G13))-FIND($A$2,Lines!G13)-LEN($A$2)-1))</f>
        <v/>
      </c>
      <c r="H13" s="26" t="str">
        <f>IF(ISERROR(FIND($A$2,Lines!H13))=TRUE,"",MID(Lines!H13,FIND($A$2,Lines!H13)+LEN($A$2)+1,FIND(",",_xlfn.CONCAT(Lines!H13,","),FIND($A$2,Lines!H13))-FIND($A$2,Lines!H13)-LEN($A$2)-1))</f>
        <v/>
      </c>
      <c r="I13" s="26" t="str">
        <f>IF(ISERROR(FIND($A$2,Lines!I13))=TRUE,"",MID(Lines!I13,FIND($A$2,Lines!I13)+LEN($A$2)+1,FIND(",",_xlfn.CONCAT(Lines!I13,","),FIND($A$2,Lines!I13))-FIND($A$2,Lines!I13)-LEN($A$2)-1))</f>
        <v/>
      </c>
      <c r="J13" s="26" t="str">
        <f>IF(ISERROR(FIND($A$2,Lines!J13))=TRUE,"",MID(Lines!J13,FIND($A$2,Lines!J13)+LEN($A$2)+1,FIND(",",_xlfn.CONCAT(Lines!J13,","),FIND($A$2,Lines!J13))-FIND($A$2,Lines!J13)-LEN($A$2)-1))</f>
        <v/>
      </c>
      <c r="K13" s="63" t="str">
        <f>IF(ISERROR(FIND($A$2,Lines!K13))=TRUE,"",MID(Lines!K13,FIND($A$2,Lines!K13)+LEN($A$2)+1,FIND(",",_xlfn.CONCAT(Lines!K13,","),FIND($A$2,Lines!K13))-FIND($A$2,Lines!K13)-LEN($A$2)-1))</f>
        <v/>
      </c>
      <c r="L13" s="26" t="str">
        <f>IF(ISERROR(FIND($A$2,Lines!L13))=TRUE,"",MID(Lines!L13,FIND($A$2,Lines!L13)+LEN($A$2)+1,FIND(",",_xlfn.CONCAT(Lines!L13,","),FIND($A$2,Lines!L13))-FIND($A$2,Lines!L13)-LEN($A$2)-1))</f>
        <v/>
      </c>
      <c r="M13" s="27" t="str">
        <f>IF(ISERROR(FIND($A$2,Lines!M13))=TRUE,"",MID(Lines!M13,FIND($A$2,Lines!M13)+LEN($A$2)+1,FIND(",",_xlfn.CONCAT(Lines!M13,","),FIND($A$2,Lines!M13))-FIND($A$2,Lines!M13)-LEN($A$2)-1))</f>
        <v/>
      </c>
      <c r="N13" s="30" t="str">
        <f>IF(ISERROR(FIND($A$2,Lines!N13))=TRUE,"",MID(Lines!N13,FIND($A$2,Lines!N13)+LEN($A$2)+1,FIND(",",_xlfn.CONCAT(Lines!N13,","),FIND($A$2,Lines!N13))-FIND($A$2,Lines!N13)-LEN($A$2)-1))</f>
        <v/>
      </c>
      <c r="O13" s="30" t="str">
        <f>IF(ISERROR(FIND($A$2,Lines!O13))=TRUE,"",MID(Lines!O13,FIND($A$2,Lines!O13)+LEN($A$2)+1,FIND(",",_xlfn.CONCAT(Lines!O13,","),FIND($A$2,Lines!O13))-FIND($A$2,Lines!O13)-LEN($A$2)-1))</f>
        <v/>
      </c>
      <c r="P13" s="30" t="str">
        <f>IF(ISERROR(FIND($A$2,Lines!P13))=TRUE,"",MID(Lines!P13,FIND($A$2,Lines!P13)+LEN($A$2)+1,FIND(",",_xlfn.CONCAT(Lines!P13,","),FIND($A$2,Lines!P13))-FIND($A$2,Lines!P13)-LEN($A$2)-1))</f>
        <v/>
      </c>
      <c r="Q13" s="30" t="str">
        <f>IF(ISERROR(FIND($A$2,Lines!Q13))=TRUE,"",MID(Lines!Q13,FIND($A$2,Lines!Q13)+LEN($A$2)+1,FIND(",",_xlfn.CONCAT(Lines!Q13,","),FIND($A$2,Lines!Q13))-FIND($A$2,Lines!Q13)-LEN($A$2)-1))</f>
        <v/>
      </c>
      <c r="R13" s="30" t="str">
        <f>IF(ISERROR(FIND($A$2,Lines!R13))=TRUE,"",MID(Lines!R13,FIND($A$2,Lines!R13)+LEN($A$2)+1,FIND(",",_xlfn.CONCAT(Lines!R13,","),FIND($A$2,Lines!R13))-FIND($A$2,Lines!R13)-LEN($A$2)-1))</f>
        <v/>
      </c>
      <c r="S13" s="30" t="str">
        <f>IF(ISERROR(FIND($A$2,Lines!S13))=TRUE,"",MID(Lines!S13,FIND($A$2,Lines!S13)+LEN($A$2)+1,FIND(",",_xlfn.CONCAT(Lines!S13,","),FIND($A$2,Lines!S13))-FIND($A$2,Lines!S13)-LEN($A$2)-1))</f>
        <v/>
      </c>
      <c r="T13" s="30" t="str">
        <f>IF(ISERROR(FIND($A$2,Lines!T13))=TRUE,"",MID(Lines!T13,FIND($A$2,Lines!T13)+LEN($A$2)+1,FIND(",",_xlfn.CONCAT(Lines!T13,","),FIND($A$2,Lines!T13))-FIND($A$2,Lines!T13)-LEN($A$2)-1))</f>
        <v/>
      </c>
      <c r="U13" s="30" t="str">
        <f>IF(ISERROR(FIND($A$2,Lines!U13))=TRUE,"",MID(Lines!U13,FIND($A$2,Lines!U13)+LEN($A$2)+1,FIND(",",_xlfn.CONCAT(Lines!U13,","),FIND($A$2,Lines!U13))-FIND($A$2,Lines!U13)-LEN($A$2)-1))</f>
        <v/>
      </c>
      <c r="V13" s="30" t="str">
        <f>IF(ISERROR(FIND($A$2,Lines!V13))=TRUE,"",MID(Lines!V13,FIND($A$2,Lines!V13)+LEN($A$2)+1,FIND(",",_xlfn.CONCAT(Lines!V13,","),FIND($A$2,Lines!V13))-FIND($A$2,Lines!V13)-LEN($A$2)-1))</f>
        <v/>
      </c>
      <c r="W13" s="36" t="str">
        <f>IF(ISERROR(FIND($A$2,Lines!W13))=TRUE,"",MID(Lines!W13,FIND($A$2,Lines!W13)+LEN($A$2)+1,FIND(",",_xlfn.CONCAT(Lines!W13,","),FIND($A$2,Lines!W13))-FIND($A$2,Lines!W13)-LEN($A$2)-1))</f>
        <v/>
      </c>
      <c r="X13" s="30" t="str">
        <f>IF(ISERROR(FIND($A$2,Lines!X13))=TRUE,"",MID(Lines!X13,FIND($A$2,Lines!X13)+LEN($A$2)+1,FIND(",",_xlfn.CONCAT(Lines!X13,","),FIND($A$2,Lines!X13))-FIND($A$2,Lines!X13)-LEN($A$2)-1))</f>
        <v/>
      </c>
      <c r="Y13" s="30" t="str">
        <f>IF(ISERROR(FIND($A$2,Lines!Y13))=TRUE,"",MID(Lines!Y13,FIND($A$2,Lines!Y13)+LEN($A$2)+1,FIND(",",_xlfn.CONCAT(Lines!Y13,","),FIND($A$2,Lines!Y13))-FIND($A$2,Lines!Y13)-LEN($A$2)-1))</f>
        <v/>
      </c>
      <c r="Z13" s="30" t="str">
        <f>IF(ISERROR(FIND($A$2,Lines!Z13))=TRUE,"",MID(Lines!Z13,FIND($A$2,Lines!Z13)+LEN($A$2)+1,FIND(",",_xlfn.CONCAT(Lines!Z13,","),FIND($A$2,Lines!Z13))-FIND($A$2,Lines!Z13)-LEN($A$2)-1))</f>
        <v/>
      </c>
      <c r="AA13" s="30" t="str">
        <f>IF(ISERROR(FIND($A$2,Lines!AA13))=TRUE,"",MID(Lines!AA13,FIND($A$2,Lines!AA13)+LEN($A$2)+1,FIND(",",_xlfn.CONCAT(Lines!AA13,","),FIND($A$2,Lines!AA13))-FIND($A$2,Lines!AA13)-LEN($A$2)-1))</f>
        <v/>
      </c>
      <c r="AB13" s="30" t="str">
        <f>IF(ISERROR(FIND($A$2,Lines!AB13))=TRUE,"",MID(Lines!AB13,FIND($A$2,Lines!AB13)+LEN($A$2)+1,FIND(",",_xlfn.CONCAT(Lines!AB13,","),FIND($A$2,Lines!AB13))-FIND($A$2,Lines!AB13)-LEN($A$2)-1))</f>
        <v/>
      </c>
      <c r="AC13" s="30" t="str">
        <f>IF(ISERROR(FIND($A$2,Lines!AC13))=TRUE,"",MID(Lines!AC13,FIND($A$2,Lines!AC13)+LEN($A$2)+1,FIND(",",_xlfn.CONCAT(Lines!AC13,","),FIND($A$2,Lines!AC13))-FIND($A$2,Lines!AC13)-LEN($A$2)-1))</f>
        <v/>
      </c>
      <c r="AD13" s="30" t="str">
        <f>IF(ISERROR(FIND($A$2,Lines!AD13))=TRUE,"",MID(Lines!AD13,FIND($A$2,Lines!AD13)+LEN($A$2)+1,FIND(",",_xlfn.CONCAT(Lines!AD13,","),FIND($A$2,Lines!AD13))-FIND($A$2,Lines!AD13)-LEN($A$2)-1))</f>
        <v/>
      </c>
      <c r="AE13" s="30" t="str">
        <f>IF(ISERROR(FIND($A$2,Lines!AE13))=TRUE,"",MID(Lines!AE13,FIND($A$2,Lines!AE13)+LEN($A$2)+1,FIND(",",_xlfn.CONCAT(Lines!AE13,","),FIND($A$2,Lines!AE13))-FIND($A$2,Lines!AE13)-LEN($A$2)-1))</f>
        <v/>
      </c>
      <c r="AF13" s="30" t="str">
        <f>IF(ISERROR(FIND($A$2,Lines!AF13))=TRUE,"",MID(Lines!AF13,FIND($A$2,Lines!AF13)+LEN($A$2)+1,FIND(",",_xlfn.CONCAT(Lines!AF13,","),FIND($A$2,Lines!AF13))-FIND($A$2,Lines!AF13)-LEN($A$2)-1))</f>
        <v/>
      </c>
      <c r="AG13" s="30" t="str">
        <f>IF(ISERROR(FIND($A$2,Lines!AG13))=TRUE,"",MID(Lines!AG13,FIND($A$2,Lines!AG13)+LEN($A$2)+1,FIND(",",_xlfn.CONCAT(Lines!AG13,","),FIND($A$2,Lines!AG13))-FIND($A$2,Lines!AG13)-LEN($A$2)-1))</f>
        <v/>
      </c>
      <c r="AH13" s="30" t="str">
        <f>IF(ISERROR(FIND($A$2,Lines!AH13))=TRUE,"",MID(Lines!AH13,FIND($A$2,Lines!AH13)+LEN($A$2)+1,FIND(",",_xlfn.CONCAT(Lines!AH13,","),FIND($A$2,Lines!AH13))-FIND($A$2,Lines!AH13)-LEN($A$2)-1))</f>
        <v/>
      </c>
      <c r="AI13" s="30" t="str">
        <f>IF(ISERROR(FIND($A$2,Lines!AI13))=TRUE,"",MID(Lines!AI13,FIND($A$2,Lines!AI13)+LEN($A$2)+1,FIND(",",_xlfn.CONCAT(Lines!AI13,","),FIND($A$2,Lines!AI13))-FIND($A$2,Lines!AI13)-LEN($A$2)-1))</f>
        <v/>
      </c>
      <c r="AJ13" s="30" t="str">
        <f>IF(ISERROR(FIND($A$2,Lines!AJ13))=TRUE,"",MID(Lines!AJ13,FIND($A$2,Lines!AJ13)+LEN($A$2)+1,FIND(",",_xlfn.CONCAT(Lines!AJ13,","),FIND($A$2,Lines!AJ13))-FIND($A$2,Lines!AJ13)-LEN($A$2)-1))</f>
        <v/>
      </c>
      <c r="AK13" s="30" t="str">
        <f>IF(ISERROR(FIND($A$2,Lines!AK13))=TRUE,"",MID(Lines!AK13,FIND($A$2,Lines!AK13)+LEN($A$2)+1,FIND(",",_xlfn.CONCAT(Lines!AK13,","),FIND($A$2,Lines!AK13))-FIND($A$2,Lines!AK13)-LEN($A$2)-1))</f>
        <v/>
      </c>
      <c r="AL13" s="30" t="str">
        <f>IF(ISERROR(FIND($A$2,Lines!AL13))=TRUE,"",MID(Lines!AL13,FIND($A$2,Lines!AL13)+LEN($A$2)+1,FIND(",",_xlfn.CONCAT(Lines!AL13,","),FIND($A$2,Lines!AL13))-FIND($A$2,Lines!AL13)-LEN($A$2)-1))</f>
        <v/>
      </c>
      <c r="AM13" s="30" t="str">
        <f>IF(ISERROR(FIND($A$2,Lines!AM13))=TRUE,"",MID(Lines!AM13,FIND($A$2,Lines!AM13)+LEN($A$2)+1,FIND(",",_xlfn.CONCAT(Lines!AM13,","),FIND($A$2,Lines!AM13))-FIND($A$2,Lines!AM13)-LEN($A$2)-1))</f>
        <v/>
      </c>
      <c r="AN13" s="30" t="str">
        <f>IF(ISERROR(FIND($A$2,Lines!AN13))=TRUE,"",MID(Lines!AN13,FIND($A$2,Lines!AN13)+LEN($A$2)+1,FIND(",",_xlfn.CONCAT(Lines!AN13,","),FIND($A$2,Lines!AN13))-FIND($A$2,Lines!AN13)-LEN($A$2)-1))</f>
        <v/>
      </c>
      <c r="AO13" s="30" t="str">
        <f>IF(ISERROR(FIND($A$2,Lines!AO13))=TRUE,"",MID(Lines!AO13,FIND($A$2,Lines!AO13)+LEN($A$2)+1,FIND(",",_xlfn.CONCAT(Lines!AO13,","),FIND($A$2,Lines!AO13))-FIND($A$2,Lines!AO13)-LEN($A$2)-1))</f>
        <v/>
      </c>
      <c r="AP13" s="30" t="str">
        <f>IF(ISERROR(FIND($A$2,Lines!AP13))=TRUE,"",MID(Lines!AP13,FIND($A$2,Lines!AP13)+LEN($A$2)+1,FIND(",",_xlfn.CONCAT(Lines!AP13,","),FIND($A$2,Lines!AP13))-FIND($A$2,Lines!AP13)-LEN($A$2)-1))</f>
        <v/>
      </c>
      <c r="AQ13" s="30" t="str">
        <f>IF(ISERROR(FIND($A$2,Lines!AQ13))=TRUE,"",MID(Lines!AQ13,FIND($A$2,Lines!AQ13)+LEN($A$2)+1,FIND(",",_xlfn.CONCAT(Lines!AQ13,","),FIND($A$2,Lines!AQ13))-FIND($A$2,Lines!AQ13)-LEN($A$2)-1))</f>
        <v/>
      </c>
      <c r="AR13" s="30" t="str">
        <f>IF(ISERROR(FIND($A$2,Lines!AR13))=TRUE,"",MID(Lines!AR13,FIND($A$2,Lines!AR13)+LEN($A$2)+1,FIND(",",_xlfn.CONCAT(Lines!AR13,","),FIND($A$2,Lines!AR13))-FIND($A$2,Lines!AR13)-LEN($A$2)-1))</f>
        <v/>
      </c>
      <c r="AS13" s="30" t="str">
        <f>IF(ISERROR(FIND($A$2,Lines!AS13))=TRUE,"",MID(Lines!AS13,FIND($A$2,Lines!AS13)+LEN($A$2)+1,FIND(",",_xlfn.CONCAT(Lines!AS13,","),FIND($A$2,Lines!AS13))-FIND($A$2,Lines!AS13)-LEN($A$2)-1))</f>
        <v/>
      </c>
      <c r="AT13" s="30" t="str">
        <f>IF(ISERROR(FIND($A$2,Lines!AT13))=TRUE,"",MID(Lines!AT13,FIND($A$2,Lines!AT13)+LEN($A$2)+1,FIND(",",_xlfn.CONCAT(Lines!AT13,","),FIND($A$2,Lines!AT13))-FIND($A$2,Lines!AT13)-LEN($A$2)-1))</f>
        <v/>
      </c>
    </row>
    <row r="14" spans="1:46" ht="20.25" customHeight="1">
      <c r="A14" s="2" t="s">
        <v>64</v>
      </c>
      <c r="B14" s="26" t="str">
        <f>IF(ISERROR(FIND($A$2,Lines!B14))=TRUE,"",MID(Lines!B14,FIND($A$2,Lines!B14)+LEN($A$2)+1,FIND(",",_xlfn.CONCAT(Lines!B14,","),FIND($A$2,Lines!B14))-FIND($A$2,Lines!B14)-LEN($A$2)-1))</f>
        <v/>
      </c>
      <c r="C14" s="26" t="str">
        <f>IF(ISERROR(FIND($A$2,Lines!C14))=TRUE,"",MID(Lines!C14,FIND($A$2,Lines!C14)+LEN($A$2)+1,FIND(",",_xlfn.CONCAT(Lines!C14,","),FIND($A$2,Lines!C14))-FIND($A$2,Lines!C14)-LEN($A$2)-1))</f>
        <v/>
      </c>
      <c r="D14" s="26" t="str">
        <f>IF(ISERROR(FIND($A$2,Lines!D14))=TRUE,"",MID(Lines!D14,FIND($A$2,Lines!D14)+LEN($A$2)+1,FIND(",",_xlfn.CONCAT(Lines!D14,","),FIND($A$2,Lines!D14))-FIND($A$2,Lines!D14)-LEN($A$2)-1))</f>
        <v/>
      </c>
      <c r="E14" s="26" t="str">
        <f>IF(ISERROR(FIND($A$2,Lines!E14))=TRUE,"",MID(Lines!E14,FIND($A$2,Lines!E14)+LEN($A$2)+1,FIND(",",_xlfn.CONCAT(Lines!E14,","),FIND($A$2,Lines!E14))-FIND($A$2,Lines!E14)-LEN($A$2)-1))</f>
        <v/>
      </c>
      <c r="F14" s="26" t="str">
        <f>IF(ISERROR(FIND($A$2,Lines!F14))=TRUE,"",MID(Lines!F14,FIND($A$2,Lines!F14)+LEN($A$2)+1,FIND(",",_xlfn.CONCAT(Lines!F14,","),FIND($A$2,Lines!F14))-FIND($A$2,Lines!F14)-LEN($A$2)-1))</f>
        <v/>
      </c>
      <c r="G14" s="26" t="str">
        <f>IF(ISERROR(FIND($A$2,Lines!G14))=TRUE,"",MID(Lines!G14,FIND($A$2,Lines!G14)+LEN($A$2)+1,FIND(",",_xlfn.CONCAT(Lines!G14,","),FIND($A$2,Lines!G14))-FIND($A$2,Lines!G14)-LEN($A$2)-1))</f>
        <v/>
      </c>
      <c r="H14" s="26" t="str">
        <f>IF(ISERROR(FIND($A$2,Lines!H14))=TRUE,"",MID(Lines!H14,FIND($A$2,Lines!H14)+LEN($A$2)+1,FIND(",",_xlfn.CONCAT(Lines!H14,","),FIND($A$2,Lines!H14))-FIND($A$2,Lines!H14)-LEN($A$2)-1))</f>
        <v/>
      </c>
      <c r="I14" s="26" t="str">
        <f>IF(ISERROR(FIND($A$2,Lines!I14))=TRUE,"",MID(Lines!I14,FIND($A$2,Lines!I14)+LEN($A$2)+1,FIND(",",_xlfn.CONCAT(Lines!I14,","),FIND($A$2,Lines!I14))-FIND($A$2,Lines!I14)-LEN($A$2)-1))</f>
        <v/>
      </c>
      <c r="J14" s="26" t="str">
        <f>IF(ISERROR(FIND($A$2,Lines!J14))=TRUE,"",MID(Lines!J14,FIND($A$2,Lines!J14)+LEN($A$2)+1,FIND(",",_xlfn.CONCAT(Lines!J14,","),FIND($A$2,Lines!J14))-FIND($A$2,Lines!J14)-LEN($A$2)-1))</f>
        <v/>
      </c>
      <c r="K14" s="26" t="str">
        <f>IF(ISERROR(FIND($A$2,Lines!K14))=TRUE,"",MID(Lines!K14,FIND($A$2,Lines!K14)+LEN($A$2)+1,FIND(",",_xlfn.CONCAT(Lines!K14,","),FIND($A$2,Lines!K14))-FIND($A$2,Lines!K14)-LEN($A$2)-1))</f>
        <v/>
      </c>
      <c r="L14" s="63" t="str">
        <f>IF(ISERROR(FIND($A$2,Lines!L14))=TRUE,"",MID(Lines!L14,FIND($A$2,Lines!L14)+LEN($A$2)+1,FIND(",",_xlfn.CONCAT(Lines!L14,","),FIND($A$2,Lines!L14))-FIND($A$2,Lines!L14)-LEN($A$2)-1))</f>
        <v/>
      </c>
      <c r="M14" s="27" t="str">
        <f>IF(ISERROR(FIND($A$2,Lines!M14))=TRUE,"",MID(Lines!M14,FIND($A$2,Lines!M14)+LEN($A$2)+1,FIND(",",_xlfn.CONCAT(Lines!M14,","),FIND($A$2,Lines!M14))-FIND($A$2,Lines!M14)-LEN($A$2)-1))</f>
        <v/>
      </c>
      <c r="N14" s="30" t="str">
        <f>IF(ISERROR(FIND($A$2,Lines!N14))=TRUE,"",MID(Lines!N14,FIND($A$2,Lines!N14)+LEN($A$2)+1,FIND(",",_xlfn.CONCAT(Lines!N14,","),FIND($A$2,Lines!N14))-FIND($A$2,Lines!N14)-LEN($A$2)-1))</f>
        <v/>
      </c>
      <c r="O14" s="30" t="str">
        <f>IF(ISERROR(FIND($A$2,Lines!O14))=TRUE,"",MID(Lines!O14,FIND($A$2,Lines!O14)+LEN($A$2)+1,FIND(",",_xlfn.CONCAT(Lines!O14,","),FIND($A$2,Lines!O14))-FIND($A$2,Lines!O14)-LEN($A$2)-1))</f>
        <v/>
      </c>
      <c r="P14" s="30" t="str">
        <f>IF(ISERROR(FIND($A$2,Lines!P14))=TRUE,"",MID(Lines!P14,FIND($A$2,Lines!P14)+LEN($A$2)+1,FIND(",",_xlfn.CONCAT(Lines!P14,","),FIND($A$2,Lines!P14))-FIND($A$2,Lines!P14)-LEN($A$2)-1))</f>
        <v/>
      </c>
      <c r="Q14" s="30" t="str">
        <f>IF(ISERROR(FIND($A$2,Lines!Q14))=TRUE,"",MID(Lines!Q14,FIND($A$2,Lines!Q14)+LEN($A$2)+1,FIND(",",_xlfn.CONCAT(Lines!Q14,","),FIND($A$2,Lines!Q14))-FIND($A$2,Lines!Q14)-LEN($A$2)-1))</f>
        <v/>
      </c>
      <c r="R14" s="30" t="str">
        <f>IF(ISERROR(FIND($A$2,Lines!R14))=TRUE,"",MID(Lines!R14,FIND($A$2,Lines!R14)+LEN($A$2)+1,FIND(",",_xlfn.CONCAT(Lines!R14,","),FIND($A$2,Lines!R14))-FIND($A$2,Lines!R14)-LEN($A$2)-1))</f>
        <v/>
      </c>
      <c r="S14" s="30" t="str">
        <f>IF(ISERROR(FIND($A$2,Lines!S14))=TRUE,"",MID(Lines!S14,FIND($A$2,Lines!S14)+LEN($A$2)+1,FIND(",",_xlfn.CONCAT(Lines!S14,","),FIND($A$2,Lines!S14))-FIND($A$2,Lines!S14)-LEN($A$2)-1))</f>
        <v/>
      </c>
      <c r="T14" s="30" t="str">
        <f>IF(ISERROR(FIND($A$2,Lines!T14))=TRUE,"",MID(Lines!T14,FIND($A$2,Lines!T14)+LEN($A$2)+1,FIND(",",_xlfn.CONCAT(Lines!T14,","),FIND($A$2,Lines!T14))-FIND($A$2,Lines!T14)-LEN($A$2)-1))</f>
        <v/>
      </c>
      <c r="U14" s="30" t="str">
        <f>IF(ISERROR(FIND($A$2,Lines!U14))=TRUE,"",MID(Lines!U14,FIND($A$2,Lines!U14)+LEN($A$2)+1,FIND(",",_xlfn.CONCAT(Lines!U14,","),FIND($A$2,Lines!U14))-FIND($A$2,Lines!U14)-LEN($A$2)-1))</f>
        <v/>
      </c>
      <c r="V14" s="30" t="str">
        <f>IF(ISERROR(FIND($A$2,Lines!V14))=TRUE,"",MID(Lines!V14,FIND($A$2,Lines!V14)+LEN($A$2)+1,FIND(",",_xlfn.CONCAT(Lines!V14,","),FIND($A$2,Lines!V14))-FIND($A$2,Lines!V14)-LEN($A$2)-1))</f>
        <v/>
      </c>
      <c r="W14" s="36" t="str">
        <f>IF(ISERROR(FIND($A$2,Lines!W14))=TRUE,"",MID(Lines!W14,FIND($A$2,Lines!W14)+LEN($A$2)+1,FIND(",",_xlfn.CONCAT(Lines!W14,","),FIND($A$2,Lines!W14))-FIND($A$2,Lines!W14)-LEN($A$2)-1))</f>
        <v/>
      </c>
      <c r="X14" s="30" t="str">
        <f>IF(ISERROR(FIND($A$2,Lines!X14))=TRUE,"",MID(Lines!X14,FIND($A$2,Lines!X14)+LEN($A$2)+1,FIND(",",_xlfn.CONCAT(Lines!X14,","),FIND($A$2,Lines!X14))-FIND($A$2,Lines!X14)-LEN($A$2)-1))</f>
        <v/>
      </c>
      <c r="Y14" s="30" t="str">
        <f>IF(ISERROR(FIND($A$2,Lines!Y14))=TRUE,"",MID(Lines!Y14,FIND($A$2,Lines!Y14)+LEN($A$2)+1,FIND(",",_xlfn.CONCAT(Lines!Y14,","),FIND($A$2,Lines!Y14))-FIND($A$2,Lines!Y14)-LEN($A$2)-1))</f>
        <v/>
      </c>
      <c r="Z14" s="30" t="str">
        <f>IF(ISERROR(FIND($A$2,Lines!Z14))=TRUE,"",MID(Lines!Z14,FIND($A$2,Lines!Z14)+LEN($A$2)+1,FIND(",",_xlfn.CONCAT(Lines!Z14,","),FIND($A$2,Lines!Z14))-FIND($A$2,Lines!Z14)-LEN($A$2)-1))</f>
        <v/>
      </c>
      <c r="AA14" s="30" t="str">
        <f>IF(ISERROR(FIND($A$2,Lines!AA14))=TRUE,"",MID(Lines!AA14,FIND($A$2,Lines!AA14)+LEN($A$2)+1,FIND(",",_xlfn.CONCAT(Lines!AA14,","),FIND($A$2,Lines!AA14))-FIND($A$2,Lines!AA14)-LEN($A$2)-1))</f>
        <v/>
      </c>
      <c r="AB14" s="30" t="str">
        <f>IF(ISERROR(FIND($A$2,Lines!AB14))=TRUE,"",MID(Lines!AB14,FIND($A$2,Lines!AB14)+LEN($A$2)+1,FIND(",",_xlfn.CONCAT(Lines!AB14,","),FIND($A$2,Lines!AB14))-FIND($A$2,Lines!AB14)-LEN($A$2)-1))</f>
        <v/>
      </c>
      <c r="AC14" s="30" t="str">
        <f>IF(ISERROR(FIND($A$2,Lines!AC14))=TRUE,"",MID(Lines!AC14,FIND($A$2,Lines!AC14)+LEN($A$2)+1,FIND(",",_xlfn.CONCAT(Lines!AC14,","),FIND($A$2,Lines!AC14))-FIND($A$2,Lines!AC14)-LEN($A$2)-1))</f>
        <v/>
      </c>
      <c r="AD14" s="30" t="str">
        <f>IF(ISERROR(FIND($A$2,Lines!AD14))=TRUE,"",MID(Lines!AD14,FIND($A$2,Lines!AD14)+LEN($A$2)+1,FIND(",",_xlfn.CONCAT(Lines!AD14,","),FIND($A$2,Lines!AD14))-FIND($A$2,Lines!AD14)-LEN($A$2)-1))</f>
        <v/>
      </c>
      <c r="AE14" s="30" t="str">
        <f>IF(ISERROR(FIND($A$2,Lines!AE14))=TRUE,"",MID(Lines!AE14,FIND($A$2,Lines!AE14)+LEN($A$2)+1,FIND(",",_xlfn.CONCAT(Lines!AE14,","),FIND($A$2,Lines!AE14))-FIND($A$2,Lines!AE14)-LEN($A$2)-1))</f>
        <v/>
      </c>
      <c r="AF14" s="30" t="str">
        <f>IF(ISERROR(FIND($A$2,Lines!AF14))=TRUE,"",MID(Lines!AF14,FIND($A$2,Lines!AF14)+LEN($A$2)+1,FIND(",",_xlfn.CONCAT(Lines!AF14,","),FIND($A$2,Lines!AF14))-FIND($A$2,Lines!AF14)-LEN($A$2)-1))</f>
        <v/>
      </c>
      <c r="AG14" s="30" t="str">
        <f>IF(ISERROR(FIND($A$2,Lines!AG14))=TRUE,"",MID(Lines!AG14,FIND($A$2,Lines!AG14)+LEN($A$2)+1,FIND(",",_xlfn.CONCAT(Lines!AG14,","),FIND($A$2,Lines!AG14))-FIND($A$2,Lines!AG14)-LEN($A$2)-1))</f>
        <v/>
      </c>
      <c r="AH14" s="30" t="str">
        <f>IF(ISERROR(FIND($A$2,Lines!AH14))=TRUE,"",MID(Lines!AH14,FIND($A$2,Lines!AH14)+LEN($A$2)+1,FIND(",",_xlfn.CONCAT(Lines!AH14,","),FIND($A$2,Lines!AH14))-FIND($A$2,Lines!AH14)-LEN($A$2)-1))</f>
        <v/>
      </c>
      <c r="AI14" s="30" t="str">
        <f>IF(ISERROR(FIND($A$2,Lines!AI14))=TRUE,"",MID(Lines!AI14,FIND($A$2,Lines!AI14)+LEN($A$2)+1,FIND(",",_xlfn.CONCAT(Lines!AI14,","),FIND($A$2,Lines!AI14))-FIND($A$2,Lines!AI14)-LEN($A$2)-1))</f>
        <v/>
      </c>
      <c r="AJ14" s="30" t="str">
        <f>IF(ISERROR(FIND($A$2,Lines!AJ14))=TRUE,"",MID(Lines!AJ14,FIND($A$2,Lines!AJ14)+LEN($A$2)+1,FIND(",",_xlfn.CONCAT(Lines!AJ14,","),FIND($A$2,Lines!AJ14))-FIND($A$2,Lines!AJ14)-LEN($A$2)-1))</f>
        <v/>
      </c>
      <c r="AK14" s="30" t="str">
        <f>IF(ISERROR(FIND($A$2,Lines!AK14))=TRUE,"",MID(Lines!AK14,FIND($A$2,Lines!AK14)+LEN($A$2)+1,FIND(",",_xlfn.CONCAT(Lines!AK14,","),FIND($A$2,Lines!AK14))-FIND($A$2,Lines!AK14)-LEN($A$2)-1))</f>
        <v/>
      </c>
      <c r="AL14" s="30" t="str">
        <f>IF(ISERROR(FIND($A$2,Lines!AL14))=TRUE,"",MID(Lines!AL14,FIND($A$2,Lines!AL14)+LEN($A$2)+1,FIND(",",_xlfn.CONCAT(Lines!AL14,","),FIND($A$2,Lines!AL14))-FIND($A$2,Lines!AL14)-LEN($A$2)-1))</f>
        <v/>
      </c>
      <c r="AM14" s="30" t="str">
        <f>IF(ISERROR(FIND($A$2,Lines!AM14))=TRUE,"",MID(Lines!AM14,FIND($A$2,Lines!AM14)+LEN($A$2)+1,FIND(",",_xlfn.CONCAT(Lines!AM14,","),FIND($A$2,Lines!AM14))-FIND($A$2,Lines!AM14)-LEN($A$2)-1))</f>
        <v/>
      </c>
      <c r="AN14" s="30" t="str">
        <f>IF(ISERROR(FIND($A$2,Lines!AN14))=TRUE,"",MID(Lines!AN14,FIND($A$2,Lines!AN14)+LEN($A$2)+1,FIND(",",_xlfn.CONCAT(Lines!AN14,","),FIND($A$2,Lines!AN14))-FIND($A$2,Lines!AN14)-LEN($A$2)-1))</f>
        <v/>
      </c>
      <c r="AO14" s="30" t="str">
        <f>IF(ISERROR(FIND($A$2,Lines!AO14))=TRUE,"",MID(Lines!AO14,FIND($A$2,Lines!AO14)+LEN($A$2)+1,FIND(",",_xlfn.CONCAT(Lines!AO14,","),FIND($A$2,Lines!AO14))-FIND($A$2,Lines!AO14)-LEN($A$2)-1))</f>
        <v/>
      </c>
      <c r="AP14" s="30" t="str">
        <f>IF(ISERROR(FIND($A$2,Lines!AP14))=TRUE,"",MID(Lines!AP14,FIND($A$2,Lines!AP14)+LEN($A$2)+1,FIND(",",_xlfn.CONCAT(Lines!AP14,","),FIND($A$2,Lines!AP14))-FIND($A$2,Lines!AP14)-LEN($A$2)-1))</f>
        <v/>
      </c>
      <c r="AQ14" s="30" t="str">
        <f>IF(ISERROR(FIND($A$2,Lines!AQ14))=TRUE,"",MID(Lines!AQ14,FIND($A$2,Lines!AQ14)+LEN($A$2)+1,FIND(",",_xlfn.CONCAT(Lines!AQ14,","),FIND($A$2,Lines!AQ14))-FIND($A$2,Lines!AQ14)-LEN($A$2)-1))</f>
        <v/>
      </c>
      <c r="AR14" s="30" t="str">
        <f>IF(ISERROR(FIND($A$2,Lines!AR14))=TRUE,"",MID(Lines!AR14,FIND($A$2,Lines!AR14)+LEN($A$2)+1,FIND(",",_xlfn.CONCAT(Lines!AR14,","),FIND($A$2,Lines!AR14))-FIND($A$2,Lines!AR14)-LEN($A$2)-1))</f>
        <v/>
      </c>
      <c r="AS14" s="30" t="str">
        <f>IF(ISERROR(FIND($A$2,Lines!AS14))=TRUE,"",MID(Lines!AS14,FIND($A$2,Lines!AS14)+LEN($A$2)+1,FIND(",",_xlfn.CONCAT(Lines!AS14,","),FIND($A$2,Lines!AS14))-FIND($A$2,Lines!AS14)-LEN($A$2)-1))</f>
        <v/>
      </c>
      <c r="AT14" s="30" t="str">
        <f>IF(ISERROR(FIND($A$2,Lines!AT14))=TRUE,"",MID(Lines!AT14,FIND($A$2,Lines!AT14)+LEN($A$2)+1,FIND(",",_xlfn.CONCAT(Lines!AT14,","),FIND($A$2,Lines!AT14))-FIND($A$2,Lines!AT14)-LEN($A$2)-1))</f>
        <v/>
      </c>
    </row>
    <row r="15" spans="1:46" ht="20.25" customHeight="1">
      <c r="A15" s="2" t="s">
        <v>65</v>
      </c>
      <c r="B15" s="33" t="str">
        <f>IF(ISERROR(FIND($A$2,Lines!B15))=TRUE,"",MID(Lines!B15,FIND($A$2,Lines!B15)+LEN($A$2)+1,FIND(",",_xlfn.CONCAT(Lines!B15,","),FIND($A$2,Lines!B15))-FIND($A$2,Lines!B15)-LEN($A$2)-1))</f>
        <v/>
      </c>
      <c r="C15" s="33" t="str">
        <f>IF(ISERROR(FIND($A$2,Lines!C15))=TRUE,"",MID(Lines!C15,FIND($A$2,Lines!C15)+LEN($A$2)+1,FIND(",",_xlfn.CONCAT(Lines!C15,","),FIND($A$2,Lines!C15))-FIND($A$2,Lines!C15)-LEN($A$2)-1))</f>
        <v/>
      </c>
      <c r="D15" s="33" t="str">
        <f>IF(ISERROR(FIND($A$2,Lines!D15))=TRUE,"",MID(Lines!D15,FIND($A$2,Lines!D15)+LEN($A$2)+1,FIND(",",_xlfn.CONCAT(Lines!D15,","),FIND($A$2,Lines!D15))-FIND($A$2,Lines!D15)-LEN($A$2)-1))</f>
        <v/>
      </c>
      <c r="E15" s="33" t="str">
        <f>IF(ISERROR(FIND($A$2,Lines!E15))=TRUE,"",MID(Lines!E15,FIND($A$2,Lines!E15)+LEN($A$2)+1,FIND(",",_xlfn.CONCAT(Lines!E15,","),FIND($A$2,Lines!E15))-FIND($A$2,Lines!E15)-LEN($A$2)-1))</f>
        <v/>
      </c>
      <c r="F15" s="33" t="str">
        <f>IF(ISERROR(FIND($A$2,Lines!F15))=TRUE,"",MID(Lines!F15,FIND($A$2,Lines!F15)+LEN($A$2)+1,FIND(",",_xlfn.CONCAT(Lines!F15,","),FIND($A$2,Lines!F15))-FIND($A$2,Lines!F15)-LEN($A$2)-1))</f>
        <v/>
      </c>
      <c r="G15" s="33" t="str">
        <f>IF(ISERROR(FIND($A$2,Lines!G15))=TRUE,"",MID(Lines!G15,FIND($A$2,Lines!G15)+LEN($A$2)+1,FIND(",",_xlfn.CONCAT(Lines!G15,","),FIND($A$2,Lines!G15))-FIND($A$2,Lines!G15)-LEN($A$2)-1))</f>
        <v/>
      </c>
      <c r="H15" s="33" t="str">
        <f>IF(ISERROR(FIND($A$2,Lines!H15))=TRUE,"",MID(Lines!H15,FIND($A$2,Lines!H15)+LEN($A$2)+1,FIND(",",_xlfn.CONCAT(Lines!H15,","),FIND($A$2,Lines!H15))-FIND($A$2,Lines!H15)-LEN($A$2)-1))</f>
        <v/>
      </c>
      <c r="I15" s="33" t="str">
        <f>IF(ISERROR(FIND($A$2,Lines!I15))=TRUE,"",MID(Lines!I15,FIND($A$2,Lines!I15)+LEN($A$2)+1,FIND(",",_xlfn.CONCAT(Lines!I15,","),FIND($A$2,Lines!I15))-FIND($A$2,Lines!I15)-LEN($A$2)-1))</f>
        <v/>
      </c>
      <c r="J15" s="68" t="str">
        <f>IF(ISERROR(FIND($A$2,Lines!J15))=TRUE,"",MID(Lines!J15,FIND($A$2,Lines!J15)+LEN($A$2)+1,FIND(",",_xlfn.CONCAT(Lines!J15,","),FIND($A$2,Lines!J15))-FIND($A$2,Lines!J15)-LEN($A$2)-1))</f>
        <v/>
      </c>
      <c r="K15" s="33" t="str">
        <f>IF(ISERROR(FIND($A$2,Lines!K15))=TRUE,"",MID(Lines!K15,FIND($A$2,Lines!K15)+LEN($A$2)+1,FIND(",",_xlfn.CONCAT(Lines!K15,","),FIND($A$2,Lines!K15))-FIND($A$2,Lines!K15)-LEN($A$2)-1))</f>
        <v/>
      </c>
      <c r="L15" s="33" t="str">
        <f>IF(ISERROR(FIND($A$2,Lines!L15))=TRUE,"",MID(Lines!L15,FIND($A$2,Lines!L15)+LEN($A$2)+1,FIND(",",_xlfn.CONCAT(Lines!L15,","),FIND($A$2,Lines!L15))-FIND($A$2,Lines!L15)-LEN($A$2)-1))</f>
        <v/>
      </c>
      <c r="M15" s="64" t="str">
        <f>IF(ISERROR(FIND($A$2,Lines!M15))=TRUE,"",MID(Lines!M15,FIND($A$2,Lines!M15)+LEN($A$2)+1,FIND(",",_xlfn.CONCAT(Lines!M15,","),FIND($A$2,Lines!M15))-FIND($A$2,Lines!M15)-LEN($A$2)-1))</f>
        <v/>
      </c>
      <c r="N15" s="30" t="str">
        <f>IF(ISERROR(FIND($A$2,Lines!N15))=TRUE,"",MID(Lines!N15,FIND($A$2,Lines!N15)+LEN($A$2)+1,FIND(",",_xlfn.CONCAT(Lines!N15,","),FIND($A$2,Lines!N15))-FIND($A$2,Lines!N15)-LEN($A$2)-1))</f>
        <v/>
      </c>
      <c r="O15" s="30" t="str">
        <f>IF(ISERROR(FIND($A$2,Lines!O15))=TRUE,"",MID(Lines!O15,FIND($A$2,Lines!O15)+LEN($A$2)+1,FIND(",",_xlfn.CONCAT(Lines!O15,","),FIND($A$2,Lines!O15))-FIND($A$2,Lines!O15)-LEN($A$2)-1))</f>
        <v/>
      </c>
      <c r="P15" s="30" t="str">
        <f>IF(ISERROR(FIND($A$2,Lines!P15))=TRUE,"",MID(Lines!P15,FIND($A$2,Lines!P15)+LEN($A$2)+1,FIND(",",_xlfn.CONCAT(Lines!P15,","),FIND($A$2,Lines!P15))-FIND($A$2,Lines!P15)-LEN($A$2)-1))</f>
        <v/>
      </c>
      <c r="Q15" s="30" t="str">
        <f>IF(ISERROR(FIND($A$2,Lines!Q15))=TRUE,"",MID(Lines!Q15,FIND($A$2,Lines!Q15)+LEN($A$2)+1,FIND(",",_xlfn.CONCAT(Lines!Q15,","),FIND($A$2,Lines!Q15))-FIND($A$2,Lines!Q15)-LEN($A$2)-1))</f>
        <v/>
      </c>
      <c r="R15" s="30" t="str">
        <f>IF(ISERROR(FIND($A$2,Lines!R15))=TRUE,"",MID(Lines!R15,FIND($A$2,Lines!R15)+LEN($A$2)+1,FIND(",",_xlfn.CONCAT(Lines!R15,","),FIND($A$2,Lines!R15))-FIND($A$2,Lines!R15)-LEN($A$2)-1))</f>
        <v/>
      </c>
      <c r="S15" s="30" t="str">
        <f>IF(ISERROR(FIND($A$2,Lines!S15))=TRUE,"",MID(Lines!S15,FIND($A$2,Lines!S15)+LEN($A$2)+1,FIND(",",_xlfn.CONCAT(Lines!S15,","),FIND($A$2,Lines!S15))-FIND($A$2,Lines!S15)-LEN($A$2)-1))</f>
        <v/>
      </c>
      <c r="T15" s="30" t="str">
        <f>IF(ISERROR(FIND($A$2,Lines!T15))=TRUE,"",MID(Lines!T15,FIND($A$2,Lines!T15)+LEN($A$2)+1,FIND(",",_xlfn.CONCAT(Lines!T15,","),FIND($A$2,Lines!T15))-FIND($A$2,Lines!T15)-LEN($A$2)-1))</f>
        <v/>
      </c>
      <c r="U15" s="30" t="str">
        <f>IF(ISERROR(FIND($A$2,Lines!U15))=TRUE,"",MID(Lines!U15,FIND($A$2,Lines!U15)+LEN($A$2)+1,FIND(",",_xlfn.CONCAT(Lines!U15,","),FIND($A$2,Lines!U15))-FIND($A$2,Lines!U15)-LEN($A$2)-1))</f>
        <v/>
      </c>
      <c r="V15" s="30" t="str">
        <f>IF(ISERROR(FIND($A$2,Lines!V15))=TRUE,"",MID(Lines!V15,FIND($A$2,Lines!V15)+LEN($A$2)+1,FIND(",",_xlfn.CONCAT(Lines!V15,","),FIND($A$2,Lines!V15))-FIND($A$2,Lines!V15)-LEN($A$2)-1))</f>
        <v/>
      </c>
      <c r="W15" s="36" t="str">
        <f>IF(ISERROR(FIND($A$2,Lines!W15))=TRUE,"",MID(Lines!W15,FIND($A$2,Lines!W15)+LEN($A$2)+1,FIND(",",_xlfn.CONCAT(Lines!W15,","),FIND($A$2,Lines!W15))-FIND($A$2,Lines!W15)-LEN($A$2)-1))</f>
        <v/>
      </c>
      <c r="X15" s="30" t="str">
        <f>IF(ISERROR(FIND($A$2,Lines!X15))=TRUE,"",MID(Lines!X15,FIND($A$2,Lines!X15)+LEN($A$2)+1,FIND(",",_xlfn.CONCAT(Lines!X15,","),FIND($A$2,Lines!X15))-FIND($A$2,Lines!X15)-LEN($A$2)-1))</f>
        <v/>
      </c>
      <c r="Y15" s="30" t="str">
        <f>IF(ISERROR(FIND($A$2,Lines!Y15))=TRUE,"",MID(Lines!Y15,FIND($A$2,Lines!Y15)+LEN($A$2)+1,FIND(",",_xlfn.CONCAT(Lines!Y15,","),FIND($A$2,Lines!Y15))-FIND($A$2,Lines!Y15)-LEN($A$2)-1))</f>
        <v/>
      </c>
      <c r="Z15" s="30" t="str">
        <f>IF(ISERROR(FIND($A$2,Lines!Z15))=TRUE,"",MID(Lines!Z15,FIND($A$2,Lines!Z15)+LEN($A$2)+1,FIND(",",_xlfn.CONCAT(Lines!Z15,","),FIND($A$2,Lines!Z15))-FIND($A$2,Lines!Z15)-LEN($A$2)-1))</f>
        <v/>
      </c>
      <c r="AA15" s="30" t="str">
        <f>IF(ISERROR(FIND($A$2,Lines!AA15))=TRUE,"",MID(Lines!AA15,FIND($A$2,Lines!AA15)+LEN($A$2)+1,FIND(",",_xlfn.CONCAT(Lines!AA15,","),FIND($A$2,Lines!AA15))-FIND($A$2,Lines!AA15)-LEN($A$2)-1))</f>
        <v/>
      </c>
      <c r="AB15" s="30" t="str">
        <f>IF(ISERROR(FIND($A$2,Lines!AB15))=TRUE,"",MID(Lines!AB15,FIND($A$2,Lines!AB15)+LEN($A$2)+1,FIND(",",_xlfn.CONCAT(Lines!AB15,","),FIND($A$2,Lines!AB15))-FIND($A$2,Lines!AB15)-LEN($A$2)-1))</f>
        <v/>
      </c>
      <c r="AC15" s="30" t="str">
        <f>IF(ISERROR(FIND($A$2,Lines!AC15))=TRUE,"",MID(Lines!AC15,FIND($A$2,Lines!AC15)+LEN($A$2)+1,FIND(",",_xlfn.CONCAT(Lines!AC15,","),FIND($A$2,Lines!AC15))-FIND($A$2,Lines!AC15)-LEN($A$2)-1))</f>
        <v/>
      </c>
      <c r="AD15" s="30" t="str">
        <f>IF(ISERROR(FIND($A$2,Lines!AD15))=TRUE,"",MID(Lines!AD15,FIND($A$2,Lines!AD15)+LEN($A$2)+1,FIND(",",_xlfn.CONCAT(Lines!AD15,","),FIND($A$2,Lines!AD15))-FIND($A$2,Lines!AD15)-LEN($A$2)-1))</f>
        <v/>
      </c>
      <c r="AE15" s="30" t="str">
        <f>IF(ISERROR(FIND($A$2,Lines!AE15))=TRUE,"",MID(Lines!AE15,FIND($A$2,Lines!AE15)+LEN($A$2)+1,FIND(",",_xlfn.CONCAT(Lines!AE15,","),FIND($A$2,Lines!AE15))-FIND($A$2,Lines!AE15)-LEN($A$2)-1))</f>
        <v/>
      </c>
      <c r="AF15" s="30" t="str">
        <f>IF(ISERROR(FIND($A$2,Lines!AF15))=TRUE,"",MID(Lines!AF15,FIND($A$2,Lines!AF15)+LEN($A$2)+1,FIND(",",_xlfn.CONCAT(Lines!AF15,","),FIND($A$2,Lines!AF15))-FIND($A$2,Lines!AF15)-LEN($A$2)-1))</f>
        <v/>
      </c>
      <c r="AG15" s="30" t="str">
        <f>IF(ISERROR(FIND($A$2,Lines!AG15))=TRUE,"",MID(Lines!AG15,FIND($A$2,Lines!AG15)+LEN($A$2)+1,FIND(",",_xlfn.CONCAT(Lines!AG15,","),FIND($A$2,Lines!AG15))-FIND($A$2,Lines!AG15)-LEN($A$2)-1))</f>
        <v/>
      </c>
      <c r="AH15" s="30" t="str">
        <f>IF(ISERROR(FIND($A$2,Lines!AH15))=TRUE,"",MID(Lines!AH15,FIND($A$2,Lines!AH15)+LEN($A$2)+1,FIND(",",_xlfn.CONCAT(Lines!AH15,","),FIND($A$2,Lines!AH15))-FIND($A$2,Lines!AH15)-LEN($A$2)-1))</f>
        <v/>
      </c>
      <c r="AI15" s="30" t="str">
        <f>IF(ISERROR(FIND($A$2,Lines!AI15))=TRUE,"",MID(Lines!AI15,FIND($A$2,Lines!AI15)+LEN($A$2)+1,FIND(",",_xlfn.CONCAT(Lines!AI15,","),FIND($A$2,Lines!AI15))-FIND($A$2,Lines!AI15)-LEN($A$2)-1))</f>
        <v/>
      </c>
      <c r="AJ15" s="30" t="str">
        <f>IF(ISERROR(FIND($A$2,Lines!AJ15))=TRUE,"",MID(Lines!AJ15,FIND($A$2,Lines!AJ15)+LEN($A$2)+1,FIND(",",_xlfn.CONCAT(Lines!AJ15,","),FIND($A$2,Lines!AJ15))-FIND($A$2,Lines!AJ15)-LEN($A$2)-1))</f>
        <v/>
      </c>
      <c r="AK15" s="30" t="str">
        <f>IF(ISERROR(FIND($A$2,Lines!AK15))=TRUE,"",MID(Lines!AK15,FIND($A$2,Lines!AK15)+LEN($A$2)+1,FIND(",",_xlfn.CONCAT(Lines!AK15,","),FIND($A$2,Lines!AK15))-FIND($A$2,Lines!AK15)-LEN($A$2)-1))</f>
        <v/>
      </c>
      <c r="AL15" s="30" t="str">
        <f>IF(ISERROR(FIND($A$2,Lines!AL15))=TRUE,"",MID(Lines!AL15,FIND($A$2,Lines!AL15)+LEN($A$2)+1,FIND(",",_xlfn.CONCAT(Lines!AL15,","),FIND($A$2,Lines!AL15))-FIND($A$2,Lines!AL15)-LEN($A$2)-1))</f>
        <v/>
      </c>
      <c r="AM15" s="30" t="str">
        <f>IF(ISERROR(FIND($A$2,Lines!AM15))=TRUE,"",MID(Lines!AM15,FIND($A$2,Lines!AM15)+LEN($A$2)+1,FIND(",",_xlfn.CONCAT(Lines!AM15,","),FIND($A$2,Lines!AM15))-FIND($A$2,Lines!AM15)-LEN($A$2)-1))</f>
        <v/>
      </c>
      <c r="AN15" s="30" t="str">
        <f>IF(ISERROR(FIND($A$2,Lines!AN15))=TRUE,"",MID(Lines!AN15,FIND($A$2,Lines!AN15)+LEN($A$2)+1,FIND(",",_xlfn.CONCAT(Lines!AN15,","),FIND($A$2,Lines!AN15))-FIND($A$2,Lines!AN15)-LEN($A$2)-1))</f>
        <v/>
      </c>
      <c r="AO15" s="30" t="str">
        <f>IF(ISERROR(FIND($A$2,Lines!AO15))=TRUE,"",MID(Lines!AO15,FIND($A$2,Lines!AO15)+LEN($A$2)+1,FIND(",",_xlfn.CONCAT(Lines!AO15,","),FIND($A$2,Lines!AO15))-FIND($A$2,Lines!AO15)-LEN($A$2)-1))</f>
        <v/>
      </c>
      <c r="AP15" s="30" t="str">
        <f>IF(ISERROR(FIND($A$2,Lines!AP15))=TRUE,"",MID(Lines!AP15,FIND($A$2,Lines!AP15)+LEN($A$2)+1,FIND(",",_xlfn.CONCAT(Lines!AP15,","),FIND($A$2,Lines!AP15))-FIND($A$2,Lines!AP15)-LEN($A$2)-1))</f>
        <v/>
      </c>
      <c r="AQ15" s="30" t="str">
        <f>IF(ISERROR(FIND($A$2,Lines!AQ15))=TRUE,"",MID(Lines!AQ15,FIND($A$2,Lines!AQ15)+LEN($A$2)+1,FIND(",",_xlfn.CONCAT(Lines!AQ15,","),FIND($A$2,Lines!AQ15))-FIND($A$2,Lines!AQ15)-LEN($A$2)-1))</f>
        <v/>
      </c>
      <c r="AR15" s="30" t="str">
        <f>IF(ISERROR(FIND($A$2,Lines!AR15))=TRUE,"",MID(Lines!AR15,FIND($A$2,Lines!AR15)+LEN($A$2)+1,FIND(",",_xlfn.CONCAT(Lines!AR15,","),FIND($A$2,Lines!AR15))-FIND($A$2,Lines!AR15)-LEN($A$2)-1))</f>
        <v/>
      </c>
      <c r="AS15" s="30" t="str">
        <f>IF(ISERROR(FIND($A$2,Lines!AS15))=TRUE,"",MID(Lines!AS15,FIND($A$2,Lines!AS15)+LEN($A$2)+1,FIND(",",_xlfn.CONCAT(Lines!AS15,","),FIND($A$2,Lines!AS15))-FIND($A$2,Lines!AS15)-LEN($A$2)-1))</f>
        <v/>
      </c>
      <c r="AT15" s="30" t="str">
        <f>IF(ISERROR(FIND($A$2,Lines!AT15))=TRUE,"",MID(Lines!AT15,FIND($A$2,Lines!AT15)+LEN($A$2)+1,FIND(",",_xlfn.CONCAT(Lines!AT15,","),FIND($A$2,Lines!AT15))-FIND($A$2,Lines!AT15)-LEN($A$2)-1))</f>
        <v/>
      </c>
    </row>
    <row r="16" spans="1:46" ht="20.25" customHeight="1">
      <c r="A16" s="2" t="s">
        <v>12</v>
      </c>
      <c r="B16" s="30" t="str">
        <f>IF(ISERROR(FIND($A$2,Lines!B16))=TRUE,"",MID(Lines!B16,FIND($A$2,Lines!B16)+LEN($A$2)+1,FIND(",",_xlfn.CONCAT(Lines!B16,","),FIND($A$2,Lines!B16))-FIND($A$2,Lines!B16)-LEN($A$2)-1))</f>
        <v/>
      </c>
      <c r="C16" s="30" t="str">
        <f>IF(ISERROR(FIND($A$2,Lines!C16))=TRUE,"",MID(Lines!C16,FIND($A$2,Lines!C16)+LEN($A$2)+1,FIND(",",_xlfn.CONCAT(Lines!C16,","),FIND($A$2,Lines!C16))-FIND($A$2,Lines!C16)-LEN($A$2)-1))</f>
        <v/>
      </c>
      <c r="D16" s="30" t="str">
        <f>IF(ISERROR(FIND($A$2,Lines!D16))=TRUE,"",MID(Lines!D16,FIND($A$2,Lines!D16)+LEN($A$2)+1,FIND(",",_xlfn.CONCAT(Lines!D16,","),FIND($A$2,Lines!D16))-FIND($A$2,Lines!D16)-LEN($A$2)-1))</f>
        <v/>
      </c>
      <c r="E16" s="30" t="str">
        <f>IF(ISERROR(FIND($A$2,Lines!E16))=TRUE,"",MID(Lines!E16,FIND($A$2,Lines!E16)+LEN($A$2)+1,FIND(",",_xlfn.CONCAT(Lines!E16,","),FIND($A$2,Lines!E16))-FIND($A$2,Lines!E16)-LEN($A$2)-1))</f>
        <v/>
      </c>
      <c r="F16" s="30" t="str">
        <f>IF(ISERROR(FIND($A$2,Lines!F16))=TRUE,"",MID(Lines!F16,FIND($A$2,Lines!F16)+LEN($A$2)+1,FIND(",",_xlfn.CONCAT(Lines!F16,","),FIND($A$2,Lines!F16))-FIND($A$2,Lines!F16)-LEN($A$2)-1))</f>
        <v/>
      </c>
      <c r="G16" s="30" t="str">
        <f>IF(ISERROR(FIND($A$2,Lines!G16))=TRUE,"",MID(Lines!G16,FIND($A$2,Lines!G16)+LEN($A$2)+1,FIND(",",_xlfn.CONCAT(Lines!G16,","),FIND($A$2,Lines!G16))-FIND($A$2,Lines!G16)-LEN($A$2)-1))</f>
        <v/>
      </c>
      <c r="H16" s="30" t="str">
        <f>IF(ISERROR(FIND($A$2,Lines!H16))=TRUE,"",MID(Lines!H16,FIND($A$2,Lines!H16)+LEN($A$2)+1,FIND(",",_xlfn.CONCAT(Lines!H16,","),FIND($A$2,Lines!H16))-FIND($A$2,Lines!H16)-LEN($A$2)-1))</f>
        <v/>
      </c>
      <c r="I16" s="30" t="str">
        <f>IF(ISERROR(FIND($A$2,Lines!I16))=TRUE,"",MID(Lines!I16,FIND($A$2,Lines!I16)+LEN($A$2)+1,FIND(",",_xlfn.CONCAT(Lines!I16,","),FIND($A$2,Lines!I16))-FIND($A$2,Lines!I16)-LEN($A$2)-1))</f>
        <v/>
      </c>
      <c r="J16" s="30" t="str">
        <f>IF(ISERROR(FIND($A$2,Lines!J16))=TRUE,"",MID(Lines!J16,FIND($A$2,Lines!J16)+LEN($A$2)+1,FIND(",",_xlfn.CONCAT(Lines!J16,","),FIND($A$2,Lines!J16))-FIND($A$2,Lines!J16)-LEN($A$2)-1))</f>
        <v/>
      </c>
      <c r="K16" s="30" t="str">
        <f>IF(ISERROR(FIND($A$2,Lines!K16))=TRUE,"",MID(Lines!K16,FIND($A$2,Lines!K16)+LEN($A$2)+1,FIND(",",_xlfn.CONCAT(Lines!K16,","),FIND($A$2,Lines!K16))-FIND($A$2,Lines!K16)-LEN($A$2)-1))</f>
        <v/>
      </c>
      <c r="L16" s="30" t="str">
        <f>IF(ISERROR(FIND($A$2,Lines!L16))=TRUE,"",MID(Lines!L16,FIND($A$2,Lines!L16)+LEN($A$2)+1,FIND(",",_xlfn.CONCAT(Lines!L16,","),FIND($A$2,Lines!L16))-FIND($A$2,Lines!L16)-LEN($A$2)-1))</f>
        <v/>
      </c>
      <c r="M16" s="30" t="str">
        <f>IF(ISERROR(FIND($A$2,Lines!M16))=TRUE,"",MID(Lines!M16,FIND($A$2,Lines!M16)+LEN($A$2)+1,FIND(",",_xlfn.CONCAT(Lines!M16,","),FIND($A$2,Lines!M16))-FIND($A$2,Lines!M16)-LEN($A$2)-1))</f>
        <v/>
      </c>
      <c r="N16" s="65" t="str">
        <f>IF(ISERROR(FIND($A$2,Lines!N16))=TRUE,"",MID(Lines!N16,FIND($A$2,Lines!N16)+LEN($A$2)+1,FIND(",",_xlfn.CONCAT(Lines!N16,","),FIND($A$2,Lines!N16))-FIND($A$2,Lines!N16)-LEN($A$2)-1))</f>
        <v/>
      </c>
      <c r="O16" s="32" t="str">
        <f>IF(ISERROR(FIND($A$2,Lines!O16))=TRUE,"",MID(Lines!O16,FIND($A$2,Lines!O16)+LEN($A$2)+1,FIND(",",_xlfn.CONCAT(Lines!O16,","),FIND($A$2,Lines!O16))-FIND($A$2,Lines!O16)-LEN($A$2)-1))</f>
        <v>2</v>
      </c>
      <c r="P16" s="29" t="str">
        <f>IF(ISERROR(FIND($A$2,Lines!P16))=TRUE,"",MID(Lines!P16,FIND($A$2,Lines!P16)+LEN($A$2)+1,FIND(",",_xlfn.CONCAT(Lines!P16,","),FIND($A$2,Lines!P16))-FIND($A$2,Lines!P16)-LEN($A$2)-1))</f>
        <v/>
      </c>
      <c r="Q16" s="29" t="str">
        <f>IF(ISERROR(FIND($A$2,Lines!Q16))=TRUE,"",MID(Lines!Q16,FIND($A$2,Lines!Q16)+LEN($A$2)+1,FIND(",",_xlfn.CONCAT(Lines!Q16,","),FIND($A$2,Lines!Q16))-FIND($A$2,Lines!Q16)-LEN($A$2)-1))</f>
        <v/>
      </c>
      <c r="R16" s="29" t="str">
        <f>IF(ISERROR(FIND($A$2,Lines!R16))=TRUE,"",MID(Lines!R16,FIND($A$2,Lines!R16)+LEN($A$2)+1,FIND(",",_xlfn.CONCAT(Lines!R16,","),FIND($A$2,Lines!R16))-FIND($A$2,Lines!R16)-LEN($A$2)-1))</f>
        <v/>
      </c>
      <c r="S16" s="29" t="str">
        <f>IF(ISERROR(FIND($A$2,Lines!S16))=TRUE,"",MID(Lines!S16,FIND($A$2,Lines!S16)+LEN($A$2)+1,FIND(",",_xlfn.CONCAT(Lines!S16,","),FIND($A$2,Lines!S16))-FIND($A$2,Lines!S16)-LEN($A$2)-1))</f>
        <v/>
      </c>
      <c r="T16" s="29" t="str">
        <f>IF(ISERROR(FIND($A$2,Lines!T16))=TRUE,"",MID(Lines!T16,FIND($A$2,Lines!T16)+LEN($A$2)+1,FIND(",",_xlfn.CONCAT(Lines!T16,","),FIND($A$2,Lines!T16))-FIND($A$2,Lines!T16)-LEN($A$2)-1))</f>
        <v/>
      </c>
      <c r="U16" s="29" t="str">
        <f>IF(ISERROR(FIND($A$2,Lines!U16))=TRUE,"",MID(Lines!U16,FIND($A$2,Lines!U16)+LEN($A$2)+1,FIND(",",_xlfn.CONCAT(Lines!U16,","),FIND($A$2,Lines!U16))-FIND($A$2,Lines!U16)-LEN($A$2)-1))</f>
        <v/>
      </c>
      <c r="V16" s="34" t="str">
        <f>IF(ISERROR(FIND($A$2,Lines!V16))=TRUE,"",MID(Lines!V16,FIND($A$2,Lines!V16)+LEN($A$2)+1,FIND(",",_xlfn.CONCAT(Lines!V16,","),FIND($A$2,Lines!V16))-FIND($A$2,Lines!V16)-LEN($A$2)-1))</f>
        <v/>
      </c>
      <c r="W16" s="36" t="str">
        <f>IF(ISERROR(FIND($A$2,Lines!W16))=TRUE,"",MID(Lines!W16,FIND($A$2,Lines!W16)+LEN($A$2)+1,FIND(",",_xlfn.CONCAT(Lines!W16,","),FIND($A$2,Lines!W16))-FIND($A$2,Lines!W16)-LEN($A$2)-1))</f>
        <v/>
      </c>
      <c r="X16" s="30" t="str">
        <f>IF(ISERROR(FIND($A$2,Lines!X16))=TRUE,"",MID(Lines!X16,FIND($A$2,Lines!X16)+LEN($A$2)+1,FIND(",",_xlfn.CONCAT(Lines!X16,","),FIND($A$2,Lines!X16))-FIND($A$2,Lines!X16)-LEN($A$2)-1))</f>
        <v/>
      </c>
      <c r="Y16" s="30" t="str">
        <f>IF(ISERROR(FIND($A$2,Lines!Y16))=TRUE,"",MID(Lines!Y16,FIND($A$2,Lines!Y16)+LEN($A$2)+1,FIND(",",_xlfn.CONCAT(Lines!Y16,","),FIND($A$2,Lines!Y16))-FIND($A$2,Lines!Y16)-LEN($A$2)-1))</f>
        <v/>
      </c>
      <c r="Z16" s="30" t="str">
        <f>IF(ISERROR(FIND($A$2,Lines!Z16))=TRUE,"",MID(Lines!Z16,FIND($A$2,Lines!Z16)+LEN($A$2)+1,FIND(",",_xlfn.CONCAT(Lines!Z16,","),FIND($A$2,Lines!Z16))-FIND($A$2,Lines!Z16)-LEN($A$2)-1))</f>
        <v/>
      </c>
      <c r="AA16" s="30" t="str">
        <f>IF(ISERROR(FIND($A$2,Lines!AA16))=TRUE,"",MID(Lines!AA16,FIND($A$2,Lines!AA16)+LEN($A$2)+1,FIND(",",_xlfn.CONCAT(Lines!AA16,","),FIND($A$2,Lines!AA16))-FIND($A$2,Lines!AA16)-LEN($A$2)-1))</f>
        <v/>
      </c>
      <c r="AB16" s="30" t="str">
        <f>IF(ISERROR(FIND($A$2,Lines!#REF!))=TRUE,"",MID(Lines!#REF!,FIND($A$2,Lines!#REF!)+LEN($A$2)+1,FIND(",",_xlfn.CONCAT(Lines!#REF!,","),FIND($A$2,Lines!#REF!))-FIND($A$2,Lines!#REF!)-LEN($A$2)-1))</f>
        <v/>
      </c>
      <c r="AC16" s="30" t="str">
        <f>IF(ISERROR(FIND($A$2,Lines!AC16))=TRUE,"",MID(Lines!AC16,FIND($A$2,Lines!AC16)+LEN($A$2)+1,FIND(",",_xlfn.CONCAT(Lines!AC16,","),FIND($A$2,Lines!AC16))-FIND($A$2,Lines!AC16)-LEN($A$2)-1))</f>
        <v/>
      </c>
      <c r="AD16" s="30" t="str">
        <f>IF(ISERROR(FIND($A$2,Lines!AD16))=TRUE,"",MID(Lines!AD16,FIND($A$2,Lines!AD16)+LEN($A$2)+1,FIND(",",_xlfn.CONCAT(Lines!AD16,","),FIND($A$2,Lines!AD16))-FIND($A$2,Lines!AD16)-LEN($A$2)-1))</f>
        <v/>
      </c>
      <c r="AE16" s="30" t="str">
        <f>IF(ISERROR(FIND($A$2,Lines!AE16))=TRUE,"",MID(Lines!AE16,FIND($A$2,Lines!AE16)+LEN($A$2)+1,FIND(",",_xlfn.CONCAT(Lines!AE16,","),FIND($A$2,Lines!AE16))-FIND($A$2,Lines!AE16)-LEN($A$2)-1))</f>
        <v/>
      </c>
      <c r="AF16" s="30" t="str">
        <f>IF(ISERROR(FIND($A$2,Lines!AF16))=TRUE,"",MID(Lines!AF16,FIND($A$2,Lines!AF16)+LEN($A$2)+1,FIND(",",_xlfn.CONCAT(Lines!AF16,","),FIND($A$2,Lines!AF16))-FIND($A$2,Lines!AF16)-LEN($A$2)-1))</f>
        <v/>
      </c>
      <c r="AG16" s="30" t="str">
        <f>IF(ISERROR(FIND($A$2,Lines!AG16))=TRUE,"",MID(Lines!AG16,FIND($A$2,Lines!AG16)+LEN($A$2)+1,FIND(",",_xlfn.CONCAT(Lines!AG16,","),FIND($A$2,Lines!AG16))-FIND($A$2,Lines!AG16)-LEN($A$2)-1))</f>
        <v/>
      </c>
      <c r="AH16" s="30" t="str">
        <f>IF(ISERROR(FIND($A$2,Lines!AH16))=TRUE,"",MID(Lines!AH16,FIND($A$2,Lines!AH16)+LEN($A$2)+1,FIND(",",_xlfn.CONCAT(Lines!AH16,","),FIND($A$2,Lines!AH16))-FIND($A$2,Lines!AH16)-LEN($A$2)-1))</f>
        <v/>
      </c>
      <c r="AI16" s="30" t="str">
        <f>IF(ISERROR(FIND($A$2,Lines!AI16))=TRUE,"",MID(Lines!AI16,FIND($A$2,Lines!AI16)+LEN($A$2)+1,FIND(",",_xlfn.CONCAT(Lines!AI16,","),FIND($A$2,Lines!AI16))-FIND($A$2,Lines!AI16)-LEN($A$2)-1))</f>
        <v/>
      </c>
      <c r="AJ16" s="30" t="str">
        <f>IF(ISERROR(FIND($A$2,Lines!AJ16))=TRUE,"",MID(Lines!AJ16,FIND($A$2,Lines!AJ16)+LEN($A$2)+1,FIND(",",_xlfn.CONCAT(Lines!AJ16,","),FIND($A$2,Lines!AJ16))-FIND($A$2,Lines!AJ16)-LEN($A$2)-1))</f>
        <v/>
      </c>
      <c r="AK16" s="30" t="str">
        <f>IF(ISERROR(FIND($A$2,Lines!AK16))=TRUE,"",MID(Lines!AK16,FIND($A$2,Lines!AK16)+LEN($A$2)+1,FIND(",",_xlfn.CONCAT(Lines!AK16,","),FIND($A$2,Lines!AK16))-FIND($A$2,Lines!AK16)-LEN($A$2)-1))</f>
        <v/>
      </c>
      <c r="AL16" s="30" t="str">
        <f>IF(ISERROR(FIND($A$2,Lines!AL16))=TRUE,"",MID(Lines!AL16,FIND($A$2,Lines!AL16)+LEN($A$2)+1,FIND(",",_xlfn.CONCAT(Lines!AL16,","),FIND($A$2,Lines!AL16))-FIND($A$2,Lines!AL16)-LEN($A$2)-1))</f>
        <v/>
      </c>
      <c r="AM16" s="30" t="str">
        <f>IF(ISERROR(FIND($A$2,Lines!AM16))=TRUE,"",MID(Lines!AM16,FIND($A$2,Lines!AM16)+LEN($A$2)+1,FIND(",",_xlfn.CONCAT(Lines!AM16,","),FIND($A$2,Lines!AM16))-FIND($A$2,Lines!AM16)-LEN($A$2)-1))</f>
        <v/>
      </c>
      <c r="AN16" s="30" t="str">
        <f>IF(ISERROR(FIND($A$2,Lines!AN16))=TRUE,"",MID(Lines!AN16,FIND($A$2,Lines!AN16)+LEN($A$2)+1,FIND(",",_xlfn.CONCAT(Lines!AN16,","),FIND($A$2,Lines!AN16))-FIND($A$2,Lines!AN16)-LEN($A$2)-1))</f>
        <v/>
      </c>
      <c r="AO16" s="30" t="str">
        <f>IF(ISERROR(FIND($A$2,Lines!AO16))=TRUE,"",MID(Lines!AO16,FIND($A$2,Lines!AO16)+LEN($A$2)+1,FIND(",",_xlfn.CONCAT(Lines!AO16,","),FIND($A$2,Lines!AO16))-FIND($A$2,Lines!AO16)-LEN($A$2)-1))</f>
        <v/>
      </c>
      <c r="AP16" s="30" t="str">
        <f>IF(ISERROR(FIND($A$2,Lines!AP16))=TRUE,"",MID(Lines!AP16,FIND($A$2,Lines!AP16)+LEN($A$2)+1,FIND(",",_xlfn.CONCAT(Lines!AP16,","),FIND($A$2,Lines!AP16))-FIND($A$2,Lines!AP16)-LEN($A$2)-1))</f>
        <v/>
      </c>
      <c r="AQ16" s="30" t="str">
        <f>IF(ISERROR(FIND($A$2,Lines!AQ16))=TRUE,"",MID(Lines!AQ16,FIND($A$2,Lines!AQ16)+LEN($A$2)+1,FIND(",",_xlfn.CONCAT(Lines!AQ16,","),FIND($A$2,Lines!AQ16))-FIND($A$2,Lines!AQ16)-LEN($A$2)-1))</f>
        <v/>
      </c>
      <c r="AR16" s="30" t="str">
        <f>IF(ISERROR(FIND($A$2,Lines!AR16))=TRUE,"",MID(Lines!AR16,FIND($A$2,Lines!AR16)+LEN($A$2)+1,FIND(",",_xlfn.CONCAT(Lines!AR16,","),FIND($A$2,Lines!AR16))-FIND($A$2,Lines!AR16)-LEN($A$2)-1))</f>
        <v/>
      </c>
      <c r="AS16" s="30" t="str">
        <f>IF(ISERROR(FIND($A$2,Lines!AS16))=TRUE,"",MID(Lines!AS16,FIND($A$2,Lines!AS16)+LEN($A$2)+1,FIND(",",_xlfn.CONCAT(Lines!AS16,","),FIND($A$2,Lines!AS16))-FIND($A$2,Lines!AS16)-LEN($A$2)-1))</f>
        <v/>
      </c>
      <c r="AT16" s="30" t="str">
        <f>IF(ISERROR(FIND($A$2,Lines!AT16))=TRUE,"",MID(Lines!AT16,FIND($A$2,Lines!AT16)+LEN($A$2)+1,FIND(",",_xlfn.CONCAT(Lines!AT16,","),FIND($A$2,Lines!AT16))-FIND($A$2,Lines!AT16)-LEN($A$2)-1))</f>
        <v/>
      </c>
    </row>
    <row r="17" spans="1:46" ht="20.25" customHeight="1">
      <c r="A17" s="2" t="s">
        <v>13</v>
      </c>
      <c r="B17" s="30" t="str">
        <f>IF(ISERROR(FIND($A$2,Lines!B17))=TRUE,"",MID(Lines!B17,FIND($A$2,Lines!B17)+LEN($A$2)+1,FIND(",",_xlfn.CONCAT(Lines!B17,","),FIND($A$2,Lines!B17))-FIND($A$2,Lines!B17)-LEN($A$2)-1))</f>
        <v/>
      </c>
      <c r="C17" s="30" t="str">
        <f>IF(ISERROR(FIND($A$2,Lines!C17))=TRUE,"",MID(Lines!C17,FIND($A$2,Lines!C17)+LEN($A$2)+1,FIND(",",_xlfn.CONCAT(Lines!C17,","),FIND($A$2,Lines!C17))-FIND($A$2,Lines!C17)-LEN($A$2)-1))</f>
        <v/>
      </c>
      <c r="D17" s="30" t="str">
        <f>IF(ISERROR(FIND($A$2,Lines!D17))=TRUE,"",MID(Lines!D17,FIND($A$2,Lines!D17)+LEN($A$2)+1,FIND(",",_xlfn.CONCAT(Lines!D17,","),FIND($A$2,Lines!D17))-FIND($A$2,Lines!D17)-LEN($A$2)-1))</f>
        <v/>
      </c>
      <c r="E17" s="30" t="str">
        <f>IF(ISERROR(FIND($A$2,Lines!E17))=TRUE,"",MID(Lines!E17,FIND($A$2,Lines!E17)+LEN($A$2)+1,FIND(",",_xlfn.CONCAT(Lines!E17,","),FIND($A$2,Lines!E17))-FIND($A$2,Lines!E17)-LEN($A$2)-1))</f>
        <v/>
      </c>
      <c r="F17" s="30" t="str">
        <f>IF(ISERROR(FIND($A$2,Lines!F17))=TRUE,"",MID(Lines!F17,FIND($A$2,Lines!F17)+LEN($A$2)+1,FIND(",",_xlfn.CONCAT(Lines!F17,","),FIND($A$2,Lines!F17))-FIND($A$2,Lines!F17)-LEN($A$2)-1))</f>
        <v/>
      </c>
      <c r="G17" s="30" t="str">
        <f>IF(ISERROR(FIND($A$2,Lines!G17))=TRUE,"",MID(Lines!G17,FIND($A$2,Lines!G17)+LEN($A$2)+1,FIND(",",_xlfn.CONCAT(Lines!G17,","),FIND($A$2,Lines!G17))-FIND($A$2,Lines!G17)-LEN($A$2)-1))</f>
        <v/>
      </c>
      <c r="H17" s="30" t="str">
        <f>IF(ISERROR(FIND($A$2,Lines!H17))=TRUE,"",MID(Lines!H17,FIND($A$2,Lines!H17)+LEN($A$2)+1,FIND(",",_xlfn.CONCAT(Lines!H17,","),FIND($A$2,Lines!H17))-FIND($A$2,Lines!H17)-LEN($A$2)-1))</f>
        <v/>
      </c>
      <c r="I17" s="30" t="str">
        <f>IF(ISERROR(FIND($A$2,Lines!I17))=TRUE,"",MID(Lines!I17,FIND($A$2,Lines!I17)+LEN($A$2)+1,FIND(",",_xlfn.CONCAT(Lines!I17,","),FIND($A$2,Lines!I17))-FIND($A$2,Lines!I17)-LEN($A$2)-1))</f>
        <v/>
      </c>
      <c r="J17" s="30" t="str">
        <f>IF(ISERROR(FIND($A$2,Lines!J17))=TRUE,"",MID(Lines!J17,FIND($A$2,Lines!J17)+LEN($A$2)+1,FIND(",",_xlfn.CONCAT(Lines!J17,","),FIND($A$2,Lines!J17))-FIND($A$2,Lines!J17)-LEN($A$2)-1))</f>
        <v/>
      </c>
      <c r="K17" s="30" t="str">
        <f>IF(ISERROR(FIND($A$2,Lines!K17))=TRUE,"",MID(Lines!K17,FIND($A$2,Lines!K17)+LEN($A$2)+1,FIND(",",_xlfn.CONCAT(Lines!K17,","),FIND($A$2,Lines!K17))-FIND($A$2,Lines!K17)-LEN($A$2)-1))</f>
        <v/>
      </c>
      <c r="L17" s="30" t="str">
        <f>IF(ISERROR(FIND($A$2,Lines!L17))=TRUE,"",MID(Lines!L17,FIND($A$2,Lines!L17)+LEN($A$2)+1,FIND(",",_xlfn.CONCAT(Lines!L17,","),FIND($A$2,Lines!L17))-FIND($A$2,Lines!L17)-LEN($A$2)-1))</f>
        <v/>
      </c>
      <c r="M17" s="30" t="str">
        <f>IF(ISERROR(FIND($A$2,Lines!M17))=TRUE,"",MID(Lines!M17,FIND($A$2,Lines!M17)+LEN($A$2)+1,FIND(",",_xlfn.CONCAT(Lines!M17,","),FIND($A$2,Lines!M17))-FIND($A$2,Lines!M17)-LEN($A$2)-1))</f>
        <v/>
      </c>
      <c r="N17" s="32" t="str">
        <f>IF(ISERROR(FIND($A$2,Lines!N17))=TRUE,"",MID(Lines!N17,FIND($A$2,Lines!N17)+LEN($A$2)+1,FIND(",",_xlfn.CONCAT(Lines!N17,","),FIND($A$2,Lines!N17))-FIND($A$2,Lines!N17)-LEN($A$2)-1))</f>
        <v>2</v>
      </c>
      <c r="O17" s="66" t="str">
        <f>IF(ISERROR(FIND($A$2,Lines!O17))=TRUE,"",MID(Lines!O17,FIND($A$2,Lines!O17)+LEN($A$2)+1,FIND(",",_xlfn.CONCAT(Lines!O17,","),FIND($A$2,Lines!O17))-FIND($A$2,Lines!O17)-LEN($A$2)-1))</f>
        <v/>
      </c>
      <c r="P17" s="25" t="str">
        <f>IF(ISERROR(FIND($A$2,Lines!P17))=TRUE,"",MID(Lines!P17,FIND($A$2,Lines!P17)+LEN($A$2)+1,FIND(",",_xlfn.CONCAT(Lines!P17,","),FIND($A$2,Lines!P17))-FIND($A$2,Lines!P17)-LEN($A$2)-1))</f>
        <v/>
      </c>
      <c r="Q17" s="25" t="str">
        <f>IF(ISERROR(FIND($A$2,Lines!Q17))=TRUE,"",MID(Lines!Q17,FIND($A$2,Lines!Q17)+LEN($A$2)+1,FIND(",",_xlfn.CONCAT(Lines!Q17,","),FIND($A$2,Lines!Q17))-FIND($A$2,Lines!Q17)-LEN($A$2)-1))</f>
        <v/>
      </c>
      <c r="R17" s="25" t="str">
        <f>IF(ISERROR(FIND($A$2,Lines!R17))=TRUE,"",MID(Lines!R17,FIND($A$2,Lines!R17)+LEN($A$2)+1,FIND(",",_xlfn.CONCAT(Lines!R17,","),FIND($A$2,Lines!R17))-FIND($A$2,Lines!R17)-LEN($A$2)-1))</f>
        <v>7</v>
      </c>
      <c r="S17" s="25" t="str">
        <f>IF(ISERROR(FIND($A$2,Lines!S17))=TRUE,"",MID(Lines!S17,FIND($A$2,Lines!S17)+LEN($A$2)+1,FIND(",",_xlfn.CONCAT(Lines!S17,","),FIND($A$2,Lines!S17))-FIND($A$2,Lines!S17)-LEN($A$2)-1))</f>
        <v/>
      </c>
      <c r="T17" s="25" t="str">
        <f>IF(ISERROR(FIND($A$2,Lines!T17))=TRUE,"",MID(Lines!T17,FIND($A$2,Lines!T17)+LEN($A$2)+1,FIND(",",_xlfn.CONCAT(Lines!T17,","),FIND($A$2,Lines!T17))-FIND($A$2,Lines!T17)-LEN($A$2)-1))</f>
        <v/>
      </c>
      <c r="U17" s="25" t="str">
        <f>IF(ISERROR(FIND($A$2,Lines!U17))=TRUE,"",MID(Lines!U17,FIND($A$2,Lines!U17)+LEN($A$2)+1,FIND(",",_xlfn.CONCAT(Lines!U17,","),FIND($A$2,Lines!U17))-FIND($A$2,Lines!U17)-LEN($A$2)-1))</f>
        <v/>
      </c>
      <c r="V17" s="35" t="str">
        <f>IF(ISERROR(FIND($A$2,Lines!V17))=TRUE,"",MID(Lines!V17,FIND($A$2,Lines!V17)+LEN($A$2)+1,FIND(",",_xlfn.CONCAT(Lines!V17,","),FIND($A$2,Lines!V17))-FIND($A$2,Lines!V17)-LEN($A$2)-1))</f>
        <v/>
      </c>
      <c r="W17" s="36" t="str">
        <f>IF(ISERROR(FIND($A$2,Lines!W17))=TRUE,"",MID(Lines!W17,FIND($A$2,Lines!W17)+LEN($A$2)+1,FIND(",",_xlfn.CONCAT(Lines!W17,","),FIND($A$2,Lines!W17))-FIND($A$2,Lines!W17)-LEN($A$2)-1))</f>
        <v/>
      </c>
      <c r="X17" s="30" t="str">
        <f>IF(ISERROR(FIND($A$2,Lines!X17))=TRUE,"",MID(Lines!X17,FIND($A$2,Lines!X17)+LEN($A$2)+1,FIND(",",_xlfn.CONCAT(Lines!X17,","),FIND($A$2,Lines!X17))-FIND($A$2,Lines!X17)-LEN($A$2)-1))</f>
        <v/>
      </c>
      <c r="Y17" s="30" t="str">
        <f>IF(ISERROR(FIND($A$2,Lines!Y17))=TRUE,"",MID(Lines!Y17,FIND($A$2,Lines!Y17)+LEN($A$2)+1,FIND(",",_xlfn.CONCAT(Lines!Y17,","),FIND($A$2,Lines!Y17))-FIND($A$2,Lines!Y17)-LEN($A$2)-1))</f>
        <v/>
      </c>
      <c r="Z17" s="30" t="str">
        <f>IF(ISERROR(FIND($A$2,Lines!Z17))=TRUE,"",MID(Lines!Z17,FIND($A$2,Lines!Z17)+LEN($A$2)+1,FIND(",",_xlfn.CONCAT(Lines!Z17,","),FIND($A$2,Lines!Z17))-FIND($A$2,Lines!Z17)-LEN($A$2)-1))</f>
        <v/>
      </c>
      <c r="AA17" s="30" t="str">
        <f>IF(ISERROR(FIND($A$2,Lines!AB16))=TRUE,"",MID(Lines!AB16,FIND($A$2,Lines!AB16)+LEN($A$2)+1,FIND(",",_xlfn.CONCAT(Lines!AB16,","),FIND($A$2,Lines!AB16))-FIND($A$2,Lines!AB16)-LEN($A$2)-1))</f>
        <v/>
      </c>
      <c r="AB17" s="30" t="str">
        <f>IF(ISERROR(FIND($A$2,Lines!AB17))=TRUE,"",MID(Lines!AB17,FIND($A$2,Lines!AB17)+LEN($A$2)+1,FIND(",",_xlfn.CONCAT(Lines!AB17,","),FIND($A$2,Lines!AB17))-FIND($A$2,Lines!AB17)-LEN($A$2)-1))</f>
        <v>4</v>
      </c>
      <c r="AC17" s="30" t="str">
        <f>IF(ISERROR(FIND($A$2,Lines!AC17))=TRUE,"",MID(Lines!AC17,FIND($A$2,Lines!AC17)+LEN($A$2)+1,FIND(",",_xlfn.CONCAT(Lines!AC17,","),FIND($A$2,Lines!AC17))-FIND($A$2,Lines!AC17)-LEN($A$2)-1))</f>
        <v/>
      </c>
      <c r="AD17" s="30" t="str">
        <f>IF(ISERROR(FIND($A$2,Lines!AD17))=TRUE,"",MID(Lines!AD17,FIND($A$2,Lines!AD17)+LEN($A$2)+1,FIND(",",_xlfn.CONCAT(Lines!AD17,","),FIND($A$2,Lines!AD17))-FIND($A$2,Lines!AD17)-LEN($A$2)-1))</f>
        <v/>
      </c>
      <c r="AE17" s="30" t="str">
        <f>IF(ISERROR(FIND($A$2,Lines!AE17))=TRUE,"",MID(Lines!AE17,FIND($A$2,Lines!AE17)+LEN($A$2)+1,FIND(",",_xlfn.CONCAT(Lines!AE17,","),FIND($A$2,Lines!AE17))-FIND($A$2,Lines!AE17)-LEN($A$2)-1))</f>
        <v/>
      </c>
      <c r="AF17" s="30" t="str">
        <f>IF(ISERROR(FIND($A$2,Lines!AF17))=TRUE,"",MID(Lines!AF17,FIND($A$2,Lines!AF17)+LEN($A$2)+1,FIND(",",_xlfn.CONCAT(Lines!AF17,","),FIND($A$2,Lines!AF17))-FIND($A$2,Lines!AF17)-LEN($A$2)-1))</f>
        <v/>
      </c>
      <c r="AG17" s="30" t="str">
        <f>IF(ISERROR(FIND($A$2,Lines!AG17))=TRUE,"",MID(Lines!AG17,FIND($A$2,Lines!AG17)+LEN($A$2)+1,FIND(",",_xlfn.CONCAT(Lines!AG17,","),FIND($A$2,Lines!AG17))-FIND($A$2,Lines!AG17)-LEN($A$2)-1))</f>
        <v/>
      </c>
      <c r="AH17" s="30" t="str">
        <f>IF(ISERROR(FIND($A$2,Lines!AH17))=TRUE,"",MID(Lines!AH17,FIND($A$2,Lines!AH17)+LEN($A$2)+1,FIND(",",_xlfn.CONCAT(Lines!AH17,","),FIND($A$2,Lines!AH17))-FIND($A$2,Lines!AH17)-LEN($A$2)-1))</f>
        <v>2</v>
      </c>
      <c r="AI17" s="30" t="str">
        <f>IF(ISERROR(FIND($A$2,Lines!AI17))=TRUE,"",MID(Lines!AI17,FIND($A$2,Lines!AI17)+LEN($A$2)+1,FIND(",",_xlfn.CONCAT(Lines!AI17,","),FIND($A$2,Lines!AI17))-FIND($A$2,Lines!AI17)-LEN($A$2)-1))</f>
        <v/>
      </c>
      <c r="AJ17" s="45" t="str">
        <f>IF(ISERROR(FIND($A$2,Lines!AJ17))=TRUE,"",MID(Lines!AJ17,FIND($A$2,Lines!AJ17)+LEN($A$2)+1,FIND(",",_xlfn.CONCAT(Lines!AJ17,","),FIND($A$2,Lines!AJ17))-FIND($A$2,Lines!AJ17)-LEN($A$2)-1))</f>
        <v/>
      </c>
      <c r="AK17" s="30" t="str">
        <f>IF(ISERROR(FIND($A$2,Lines!AK17))=TRUE,"",MID(Lines!AK17,FIND($A$2,Lines!AK17)+LEN($A$2)+1,FIND(",",_xlfn.CONCAT(Lines!AK17,","),FIND($A$2,Lines!AK17))-FIND($A$2,Lines!AK17)-LEN($A$2)-1))</f>
        <v/>
      </c>
      <c r="AL17" s="30" t="str">
        <f>IF(ISERROR(FIND($A$2,Lines!AL17))=TRUE,"",MID(Lines!AL17,FIND($A$2,Lines!AL17)+LEN($A$2)+1,FIND(",",_xlfn.CONCAT(Lines!AL17,","),FIND($A$2,Lines!AL17))-FIND($A$2,Lines!AL17)-LEN($A$2)-1))</f>
        <v/>
      </c>
      <c r="AM17" s="30" t="str">
        <f>IF(ISERROR(FIND($A$2,Lines!AM17))=TRUE,"",MID(Lines!AM17,FIND($A$2,Lines!AM17)+LEN($A$2)+1,FIND(",",_xlfn.CONCAT(Lines!AM17,","),FIND($A$2,Lines!AM17))-FIND($A$2,Lines!AM17)-LEN($A$2)-1))</f>
        <v/>
      </c>
      <c r="AN17" s="30" t="str">
        <f>IF(ISERROR(FIND($A$2,Lines!AN17))=TRUE,"",MID(Lines!AN17,FIND($A$2,Lines!AN17)+LEN($A$2)+1,FIND(",",_xlfn.CONCAT(Lines!AN17,","),FIND($A$2,Lines!AN17))-FIND($A$2,Lines!AN17)-LEN($A$2)-1))</f>
        <v/>
      </c>
      <c r="AO17" s="30" t="str">
        <f>IF(ISERROR(FIND($A$2,Lines!AO17))=TRUE,"",MID(Lines!AO17,FIND($A$2,Lines!AO17)+LEN($A$2)+1,FIND(",",_xlfn.CONCAT(Lines!AO17,","),FIND($A$2,Lines!AO17))-FIND($A$2,Lines!AO17)-LEN($A$2)-1))</f>
        <v/>
      </c>
      <c r="AP17" s="30" t="str">
        <f>IF(ISERROR(FIND($A$2,Lines!AP17))=TRUE,"",MID(Lines!AP17,FIND($A$2,Lines!AP17)+LEN($A$2)+1,FIND(",",_xlfn.CONCAT(Lines!AP17,","),FIND($A$2,Lines!AP17))-FIND($A$2,Lines!AP17)-LEN($A$2)-1))</f>
        <v/>
      </c>
      <c r="AQ17" s="30" t="str">
        <f>IF(ISERROR(FIND($A$2,Lines!AQ17))=TRUE,"",MID(Lines!AQ17,FIND($A$2,Lines!AQ17)+LEN($A$2)+1,FIND(",",_xlfn.CONCAT(Lines!AQ17,","),FIND($A$2,Lines!AQ17))-FIND($A$2,Lines!AQ17)-LEN($A$2)-1))</f>
        <v/>
      </c>
      <c r="AR17" s="30" t="str">
        <f>IF(ISERROR(FIND($A$2,Lines!AR17))=TRUE,"",MID(Lines!AR17,FIND($A$2,Lines!AR17)+LEN($A$2)+1,FIND(",",_xlfn.CONCAT(Lines!AR17,","),FIND($A$2,Lines!AR17))-FIND($A$2,Lines!AR17)-LEN($A$2)-1))</f>
        <v/>
      </c>
      <c r="AS17" s="30" t="str">
        <f>IF(ISERROR(FIND($A$2,Lines!AS17))=TRUE,"",MID(Lines!AS17,FIND($A$2,Lines!AS17)+LEN($A$2)+1,FIND(",",_xlfn.CONCAT(Lines!AS17,","),FIND($A$2,Lines!AS17))-FIND($A$2,Lines!AS17)-LEN($A$2)-1))</f>
        <v/>
      </c>
      <c r="AT17" s="30" t="str">
        <f>IF(ISERROR(FIND($A$2,Lines!AT17))=TRUE,"",MID(Lines!AT17,FIND($A$2,Lines!AT17)+LEN($A$2)+1,FIND(",",_xlfn.CONCAT(Lines!AT17,","),FIND($A$2,Lines!AT17))-FIND($A$2,Lines!AT17)-LEN($A$2)-1))</f>
        <v/>
      </c>
    </row>
    <row r="18" spans="1:46" ht="20.25" customHeight="1">
      <c r="A18" s="2" t="s">
        <v>66</v>
      </c>
      <c r="B18" s="30" t="str">
        <f>IF(ISERROR(FIND($A$2,Lines!B18))=TRUE,"",MID(Lines!B18,FIND($A$2,Lines!B18)+LEN($A$2)+1,FIND(",",_xlfn.CONCAT(Lines!B18,","),FIND($A$2,Lines!B18))-FIND($A$2,Lines!B18)-LEN($A$2)-1))</f>
        <v/>
      </c>
      <c r="C18" s="30" t="str">
        <f>IF(ISERROR(FIND($A$2,Lines!C18))=TRUE,"",MID(Lines!C18,FIND($A$2,Lines!C18)+LEN($A$2)+1,FIND(",",_xlfn.CONCAT(Lines!C18,","),FIND($A$2,Lines!C18))-FIND($A$2,Lines!C18)-LEN($A$2)-1))</f>
        <v/>
      </c>
      <c r="D18" s="30" t="str">
        <f>IF(ISERROR(FIND($A$2,Lines!D18))=TRUE,"",MID(Lines!D18,FIND($A$2,Lines!D18)+LEN($A$2)+1,FIND(",",_xlfn.CONCAT(Lines!D18,","),FIND($A$2,Lines!D18))-FIND($A$2,Lines!D18)-LEN($A$2)-1))</f>
        <v/>
      </c>
      <c r="E18" s="30" t="str">
        <f>IF(ISERROR(FIND($A$2,Lines!E18))=TRUE,"",MID(Lines!E18,FIND($A$2,Lines!E18)+LEN($A$2)+1,FIND(",",_xlfn.CONCAT(Lines!E18,","),FIND($A$2,Lines!E18))-FIND($A$2,Lines!E18)-LEN($A$2)-1))</f>
        <v/>
      </c>
      <c r="F18" s="30" t="str">
        <f>IF(ISERROR(FIND($A$2,Lines!F18))=TRUE,"",MID(Lines!F18,FIND($A$2,Lines!F18)+LEN($A$2)+1,FIND(",",_xlfn.CONCAT(Lines!F18,","),FIND($A$2,Lines!F18))-FIND($A$2,Lines!F18)-LEN($A$2)-1))</f>
        <v/>
      </c>
      <c r="G18" s="30" t="str">
        <f>IF(ISERROR(FIND($A$2,Lines!G18))=TRUE,"",MID(Lines!G18,FIND($A$2,Lines!G18)+LEN($A$2)+1,FIND(",",_xlfn.CONCAT(Lines!G18,","),FIND($A$2,Lines!G18))-FIND($A$2,Lines!G18)-LEN($A$2)-1))</f>
        <v/>
      </c>
      <c r="H18" s="30" t="str">
        <f>IF(ISERROR(FIND($A$2,Lines!H18))=TRUE,"",MID(Lines!H18,FIND($A$2,Lines!H18)+LEN($A$2)+1,FIND(",",_xlfn.CONCAT(Lines!H18,","),FIND($A$2,Lines!H18))-FIND($A$2,Lines!H18)-LEN($A$2)-1))</f>
        <v/>
      </c>
      <c r="I18" s="30" t="str">
        <f>IF(ISERROR(FIND($A$2,Lines!I18))=TRUE,"",MID(Lines!I18,FIND($A$2,Lines!I18)+LEN($A$2)+1,FIND(",",_xlfn.CONCAT(Lines!I18,","),FIND($A$2,Lines!I18))-FIND($A$2,Lines!I18)-LEN($A$2)-1))</f>
        <v/>
      </c>
      <c r="J18" s="30" t="str">
        <f>IF(ISERROR(FIND($A$2,Lines!J18))=TRUE,"",MID(Lines!J18,FIND($A$2,Lines!J18)+LEN($A$2)+1,FIND(",",_xlfn.CONCAT(Lines!J18,","),FIND($A$2,Lines!J18))-FIND($A$2,Lines!J18)-LEN($A$2)-1))</f>
        <v/>
      </c>
      <c r="K18" s="30" t="str">
        <f>IF(ISERROR(FIND($A$2,Lines!K18))=TRUE,"",MID(Lines!K18,FIND($A$2,Lines!K18)+LEN($A$2)+1,FIND(",",_xlfn.CONCAT(Lines!K18,","),FIND($A$2,Lines!K18))-FIND($A$2,Lines!K18)-LEN($A$2)-1))</f>
        <v/>
      </c>
      <c r="L18" s="30" t="str">
        <f>IF(ISERROR(FIND($A$2,Lines!L18))=TRUE,"",MID(Lines!L18,FIND($A$2,Lines!L18)+LEN($A$2)+1,FIND(",",_xlfn.CONCAT(Lines!L18,","),FIND($A$2,Lines!L18))-FIND($A$2,Lines!L18)-LEN($A$2)-1))</f>
        <v/>
      </c>
      <c r="M18" s="30" t="str">
        <f>IF(ISERROR(FIND($A$2,Lines!M18))=TRUE,"",MID(Lines!M18,FIND($A$2,Lines!M18)+LEN($A$2)+1,FIND(",",_xlfn.CONCAT(Lines!M18,","),FIND($A$2,Lines!M18))-FIND($A$2,Lines!M18)-LEN($A$2)-1))</f>
        <v/>
      </c>
      <c r="N18" s="32" t="str">
        <f>IF(ISERROR(FIND($A$2,Lines!N18))=TRUE,"",MID(Lines!N18,FIND($A$2,Lines!N18)+LEN($A$2)+1,FIND(",",_xlfn.CONCAT(Lines!N18,","),FIND($A$2,Lines!N18))-FIND($A$2,Lines!N18)-LEN($A$2)-1))</f>
        <v/>
      </c>
      <c r="O18" s="25" t="str">
        <f>IF(ISERROR(FIND($A$2,Lines!O18))=TRUE,"",MID(Lines!O18,FIND($A$2,Lines!O18)+LEN($A$2)+1,FIND(",",_xlfn.CONCAT(Lines!O18,","),FIND($A$2,Lines!O18))-FIND($A$2,Lines!O18)-LEN($A$2)-1))</f>
        <v/>
      </c>
      <c r="P18" s="66" t="str">
        <f>IF(ISERROR(FIND($A$2,Lines!P18))=TRUE,"",MID(Lines!P18,FIND($A$2,Lines!P18)+LEN($A$2)+1,FIND(",",_xlfn.CONCAT(Lines!P18,","),FIND($A$2,Lines!P18))-FIND($A$2,Lines!P18)-LEN($A$2)-1))</f>
        <v/>
      </c>
      <c r="Q18" s="25" t="str">
        <f>IF(ISERROR(FIND($A$2,Lines!Q18))=TRUE,"",MID(Lines!Q18,FIND($A$2,Lines!Q18)+LEN($A$2)+1,FIND(",",_xlfn.CONCAT(Lines!Q18,","),FIND($A$2,Lines!Q18))-FIND($A$2,Lines!Q18)-LEN($A$2)-1))</f>
        <v>2</v>
      </c>
      <c r="R18" s="25" t="str">
        <f>IF(ISERROR(FIND($A$2,Lines!R18))=TRUE,"",MID(Lines!R18,FIND($A$2,Lines!R18)+LEN($A$2)+1,FIND(",",_xlfn.CONCAT(Lines!R18,","),FIND($A$2,Lines!R18))-FIND($A$2,Lines!R18)-LEN($A$2)-1))</f>
        <v/>
      </c>
      <c r="S18" s="25" t="str">
        <f>IF(ISERROR(FIND($A$2,Lines!S18))=TRUE,"",MID(Lines!S18,FIND($A$2,Lines!S18)+LEN($A$2)+1,FIND(",",_xlfn.CONCAT(Lines!S18,","),FIND($A$2,Lines!S18))-FIND($A$2,Lines!S18)-LEN($A$2)-1))</f>
        <v/>
      </c>
      <c r="T18" s="25" t="str">
        <f>IF(ISERROR(FIND($A$2,Lines!T18))=TRUE,"",MID(Lines!T18,FIND($A$2,Lines!T18)+LEN($A$2)+1,FIND(",",_xlfn.CONCAT(Lines!T18,","),FIND($A$2,Lines!T18))-FIND($A$2,Lines!T18)-LEN($A$2)-1))</f>
        <v/>
      </c>
      <c r="U18" s="25" t="str">
        <f>IF(ISERROR(FIND($A$2,Lines!U18))=TRUE,"",MID(Lines!U18,FIND($A$2,Lines!U18)+LEN($A$2)+1,FIND(",",_xlfn.CONCAT(Lines!U18,","),FIND($A$2,Lines!U18))-FIND($A$2,Lines!U18)-LEN($A$2)-1))</f>
        <v/>
      </c>
      <c r="V18" s="35" t="str">
        <f>IF(ISERROR(FIND($A$2,Lines!V18))=TRUE,"",MID(Lines!V18,FIND($A$2,Lines!V18)+LEN($A$2)+1,FIND(",",_xlfn.CONCAT(Lines!V18,","),FIND($A$2,Lines!V18))-FIND($A$2,Lines!V18)-LEN($A$2)-1))</f>
        <v/>
      </c>
      <c r="W18" s="36" t="str">
        <f>IF(ISERROR(FIND($A$2,Lines!W18))=TRUE,"",MID(Lines!W18,FIND($A$2,Lines!W18)+LEN($A$2)+1,FIND(",",_xlfn.CONCAT(Lines!W18,","),FIND($A$2,Lines!W18))-FIND($A$2,Lines!W18)-LEN($A$2)-1))</f>
        <v/>
      </c>
      <c r="X18" s="30" t="str">
        <f>IF(ISERROR(FIND($A$2,Lines!X18))=TRUE,"",MID(Lines!X18,FIND($A$2,Lines!X18)+LEN($A$2)+1,FIND(",",_xlfn.CONCAT(Lines!X18,","),FIND($A$2,Lines!X18))-FIND($A$2,Lines!X18)-LEN($A$2)-1))</f>
        <v/>
      </c>
      <c r="Y18" s="30" t="str">
        <f>IF(ISERROR(FIND($A$2,Lines!Y18))=TRUE,"",MID(Lines!Y18,FIND($A$2,Lines!Y18)+LEN($A$2)+1,FIND(",",_xlfn.CONCAT(Lines!Y18,","),FIND($A$2,Lines!Y18))-FIND($A$2,Lines!Y18)-LEN($A$2)-1))</f>
        <v/>
      </c>
      <c r="Z18" s="30" t="str">
        <f>IF(ISERROR(FIND($A$2,Lines!Z18))=TRUE,"",MID(Lines!Z18,FIND($A$2,Lines!Z18)+LEN($A$2)+1,FIND(",",_xlfn.CONCAT(Lines!Z18,","),FIND($A$2,Lines!Z18))-FIND($A$2,Lines!Z18)-LEN($A$2)-1))</f>
        <v/>
      </c>
      <c r="AA18" s="30" t="str">
        <f>IF(ISERROR(FIND($A$2,Lines!AA18))=TRUE,"",MID(Lines!AA18,FIND($A$2,Lines!AA18)+LEN($A$2)+1,FIND(",",_xlfn.CONCAT(Lines!AA18,","),FIND($A$2,Lines!AA18))-FIND($A$2,Lines!AA18)-LEN($A$2)-1))</f>
        <v/>
      </c>
      <c r="AB18" s="30" t="str">
        <f>IF(ISERROR(FIND($A$2,Lines!AB18))=TRUE,"",MID(Lines!AB18,FIND($A$2,Lines!AB18)+LEN($A$2)+1,FIND(",",_xlfn.CONCAT(Lines!AB18,","),FIND($A$2,Lines!AB18))-FIND($A$2,Lines!AB18)-LEN($A$2)-1))</f>
        <v/>
      </c>
      <c r="AC18" s="30" t="str">
        <f>IF(ISERROR(FIND($A$2,Lines!AC18))=TRUE,"",MID(Lines!AC18,FIND($A$2,Lines!AC18)+LEN($A$2)+1,FIND(",",_xlfn.CONCAT(Lines!AC18,","),FIND($A$2,Lines!AC18))-FIND($A$2,Lines!AC18)-LEN($A$2)-1))</f>
        <v/>
      </c>
      <c r="AD18" s="30" t="str">
        <f>IF(ISERROR(FIND($A$2,Lines!AD18))=TRUE,"",MID(Lines!AD18,FIND($A$2,Lines!AD18)+LEN($A$2)+1,FIND(",",_xlfn.CONCAT(Lines!AD18,","),FIND($A$2,Lines!AD18))-FIND($A$2,Lines!AD18)-LEN($A$2)-1))</f>
        <v/>
      </c>
      <c r="AE18" s="30" t="str">
        <f>IF(ISERROR(FIND($A$2,Lines!AE18))=TRUE,"",MID(Lines!AE18,FIND($A$2,Lines!AE18)+LEN($A$2)+1,FIND(",",_xlfn.CONCAT(Lines!AE18,","),FIND($A$2,Lines!AE18))-FIND($A$2,Lines!AE18)-LEN($A$2)-1))</f>
        <v/>
      </c>
      <c r="AF18" s="30" t="str">
        <f>IF(ISERROR(FIND($A$2,Lines!AF18))=TRUE,"",MID(Lines!AF18,FIND($A$2,Lines!AF18)+LEN($A$2)+1,FIND(",",_xlfn.CONCAT(Lines!AF18,","),FIND($A$2,Lines!AF18))-FIND($A$2,Lines!AF18)-LEN($A$2)-1))</f>
        <v/>
      </c>
      <c r="AG18" s="30" t="str">
        <f>IF(ISERROR(FIND($A$2,Lines!AG18))=TRUE,"",MID(Lines!AG18,FIND($A$2,Lines!AG18)+LEN($A$2)+1,FIND(",",_xlfn.CONCAT(Lines!AG18,","),FIND($A$2,Lines!AG18))-FIND($A$2,Lines!AG18)-LEN($A$2)-1))</f>
        <v/>
      </c>
      <c r="AH18" s="30" t="str">
        <f>IF(ISERROR(FIND($A$2,Lines!AH18))=TRUE,"",MID(Lines!AH18,FIND($A$2,Lines!AH18)+LEN($A$2)+1,FIND(",",_xlfn.CONCAT(Lines!AH18,","),FIND($A$2,Lines!AH18))-FIND($A$2,Lines!AH18)-LEN($A$2)-1))</f>
        <v/>
      </c>
      <c r="AI18" s="30" t="str">
        <f>IF(ISERROR(FIND($A$2,Lines!AI18))=TRUE,"",MID(Lines!AI18,FIND($A$2,Lines!AI18)+LEN($A$2)+1,FIND(",",_xlfn.CONCAT(Lines!AI18,","),FIND($A$2,Lines!AI18))-FIND($A$2,Lines!AI18)-LEN($A$2)-1))</f>
        <v/>
      </c>
      <c r="AJ18" s="30" t="str">
        <f>IF(ISERROR(FIND($A$2,Lines!AJ18))=TRUE,"",MID(Lines!AJ18,FIND($A$2,Lines!AJ18)+LEN($A$2)+1,FIND(",",_xlfn.CONCAT(Lines!AJ18,","),FIND($A$2,Lines!AJ18))-FIND($A$2,Lines!AJ18)-LEN($A$2)-1))</f>
        <v/>
      </c>
      <c r="AK18" s="30" t="str">
        <f>IF(ISERROR(FIND($A$2,Lines!AK18))=TRUE,"",MID(Lines!AK18,FIND($A$2,Lines!AK18)+LEN($A$2)+1,FIND(",",_xlfn.CONCAT(Lines!AK18,","),FIND($A$2,Lines!AK18))-FIND($A$2,Lines!AK18)-LEN($A$2)-1))</f>
        <v/>
      </c>
      <c r="AL18" s="30" t="str">
        <f>IF(ISERROR(FIND($A$2,Lines!AL18))=TRUE,"",MID(Lines!AL18,FIND($A$2,Lines!AL18)+LEN($A$2)+1,FIND(",",_xlfn.CONCAT(Lines!AL18,","),FIND($A$2,Lines!AL18))-FIND($A$2,Lines!AL18)-LEN($A$2)-1))</f>
        <v/>
      </c>
      <c r="AM18" s="30" t="str">
        <f>IF(ISERROR(FIND($A$2,Lines!AM18))=TRUE,"",MID(Lines!AM18,FIND($A$2,Lines!AM18)+LEN($A$2)+1,FIND(",",_xlfn.CONCAT(Lines!AM18,","),FIND($A$2,Lines!AM18))-FIND($A$2,Lines!AM18)-LEN($A$2)-1))</f>
        <v/>
      </c>
      <c r="AN18" s="30" t="str">
        <f>IF(ISERROR(FIND($A$2,Lines!AN18))=TRUE,"",MID(Lines!AN18,FIND($A$2,Lines!AN18)+LEN($A$2)+1,FIND(",",_xlfn.CONCAT(Lines!AN18,","),FIND($A$2,Lines!AN18))-FIND($A$2,Lines!AN18)-LEN($A$2)-1))</f>
        <v/>
      </c>
      <c r="AO18" s="30" t="str">
        <f>IF(ISERROR(FIND($A$2,Lines!AO18))=TRUE,"",MID(Lines!AO18,FIND($A$2,Lines!AO18)+LEN($A$2)+1,FIND(",",_xlfn.CONCAT(Lines!AO18,","),FIND($A$2,Lines!AO18))-FIND($A$2,Lines!AO18)-LEN($A$2)-1))</f>
        <v/>
      </c>
      <c r="AP18" s="30" t="str">
        <f>IF(ISERROR(FIND($A$2,Lines!AP18))=TRUE,"",MID(Lines!AP18,FIND($A$2,Lines!AP18)+LEN($A$2)+1,FIND(",",_xlfn.CONCAT(Lines!AP18,","),FIND($A$2,Lines!AP18))-FIND($A$2,Lines!AP18)-LEN($A$2)-1))</f>
        <v/>
      </c>
      <c r="AQ18" s="30" t="str">
        <f>IF(ISERROR(FIND($A$2,Lines!AQ18))=TRUE,"",MID(Lines!AQ18,FIND($A$2,Lines!AQ18)+LEN($A$2)+1,FIND(",",_xlfn.CONCAT(Lines!AQ18,","),FIND($A$2,Lines!AQ18))-FIND($A$2,Lines!AQ18)-LEN($A$2)-1))</f>
        <v/>
      </c>
      <c r="AR18" s="30" t="str">
        <f>IF(ISERROR(FIND($A$2,Lines!AR18))=TRUE,"",MID(Lines!AR18,FIND($A$2,Lines!AR18)+LEN($A$2)+1,FIND(",",_xlfn.CONCAT(Lines!AR18,","),FIND($A$2,Lines!AR18))-FIND($A$2,Lines!AR18)-LEN($A$2)-1))</f>
        <v/>
      </c>
      <c r="AS18" s="30" t="str">
        <f>IF(ISERROR(FIND($A$2,Lines!AS18))=TRUE,"",MID(Lines!AS18,FIND($A$2,Lines!AS18)+LEN($A$2)+1,FIND(",",_xlfn.CONCAT(Lines!AS18,","),FIND($A$2,Lines!AS18))-FIND($A$2,Lines!AS18)-LEN($A$2)-1))</f>
        <v/>
      </c>
      <c r="AT18" s="30" t="str">
        <f>IF(ISERROR(FIND($A$2,Lines!AT18))=TRUE,"",MID(Lines!AT18,FIND($A$2,Lines!AT18)+LEN($A$2)+1,FIND(",",_xlfn.CONCAT(Lines!AT18,","),FIND($A$2,Lines!AT18))-FIND($A$2,Lines!AT18)-LEN($A$2)-1))</f>
        <v/>
      </c>
    </row>
    <row r="19" spans="1:46" ht="20.25" customHeight="1">
      <c r="A19" s="2" t="s">
        <v>67</v>
      </c>
      <c r="B19" s="30" t="str">
        <f>IF(ISERROR(FIND($A$2,Lines!B19))=TRUE,"",MID(Lines!B19,FIND($A$2,Lines!B19)+LEN($A$2)+1,FIND(",",_xlfn.CONCAT(Lines!B19,","),FIND($A$2,Lines!B19))-FIND($A$2,Lines!B19)-LEN($A$2)-1))</f>
        <v/>
      </c>
      <c r="C19" s="30" t="str">
        <f>IF(ISERROR(FIND($A$2,Lines!C19))=TRUE,"",MID(Lines!C19,FIND($A$2,Lines!C19)+LEN($A$2)+1,FIND(",",_xlfn.CONCAT(Lines!C19,","),FIND($A$2,Lines!C19))-FIND($A$2,Lines!C19)-LEN($A$2)-1))</f>
        <v/>
      </c>
      <c r="D19" s="30" t="str">
        <f>IF(ISERROR(FIND($A$2,Lines!D19))=TRUE,"",MID(Lines!D19,FIND($A$2,Lines!D19)+LEN($A$2)+1,FIND(",",_xlfn.CONCAT(Lines!D19,","),FIND($A$2,Lines!D19))-FIND($A$2,Lines!D19)-LEN($A$2)-1))</f>
        <v/>
      </c>
      <c r="E19" s="30" t="str">
        <f>IF(ISERROR(FIND($A$2,Lines!E19))=TRUE,"",MID(Lines!E19,FIND($A$2,Lines!E19)+LEN($A$2)+1,FIND(",",_xlfn.CONCAT(Lines!E19,","),FIND($A$2,Lines!E19))-FIND($A$2,Lines!E19)-LEN($A$2)-1))</f>
        <v/>
      </c>
      <c r="F19" s="30" t="str">
        <f>IF(ISERROR(FIND($A$2,Lines!F19))=TRUE,"",MID(Lines!F19,FIND($A$2,Lines!F19)+LEN($A$2)+1,FIND(",",_xlfn.CONCAT(Lines!F19,","),FIND($A$2,Lines!F19))-FIND($A$2,Lines!F19)-LEN($A$2)-1))</f>
        <v/>
      </c>
      <c r="G19" s="30" t="str">
        <f>IF(ISERROR(FIND($A$2,Lines!G19))=TRUE,"",MID(Lines!G19,FIND($A$2,Lines!G19)+LEN($A$2)+1,FIND(",",_xlfn.CONCAT(Lines!G19,","),FIND($A$2,Lines!G19))-FIND($A$2,Lines!G19)-LEN($A$2)-1))</f>
        <v/>
      </c>
      <c r="H19" s="30" t="str">
        <f>IF(ISERROR(FIND($A$2,Lines!H19))=TRUE,"",MID(Lines!H19,FIND($A$2,Lines!H19)+LEN($A$2)+1,FIND(",",_xlfn.CONCAT(Lines!H19,","),FIND($A$2,Lines!H19))-FIND($A$2,Lines!H19)-LEN($A$2)-1))</f>
        <v/>
      </c>
      <c r="I19" s="30" t="str">
        <f>IF(ISERROR(FIND($A$2,Lines!I19))=TRUE,"",MID(Lines!I19,FIND($A$2,Lines!I19)+LEN($A$2)+1,FIND(",",_xlfn.CONCAT(Lines!I19,","),FIND($A$2,Lines!I19))-FIND($A$2,Lines!I19)-LEN($A$2)-1))</f>
        <v/>
      </c>
      <c r="J19" s="30" t="str">
        <f>IF(ISERROR(FIND($A$2,Lines!J19))=TRUE,"",MID(Lines!J19,FIND($A$2,Lines!J19)+LEN($A$2)+1,FIND(",",_xlfn.CONCAT(Lines!J19,","),FIND($A$2,Lines!J19))-FIND($A$2,Lines!J19)-LEN($A$2)-1))</f>
        <v/>
      </c>
      <c r="K19" s="30" t="str">
        <f>IF(ISERROR(FIND($A$2,Lines!K19))=TRUE,"",MID(Lines!K19,FIND($A$2,Lines!K19)+LEN($A$2)+1,FIND(",",_xlfn.CONCAT(Lines!K19,","),FIND($A$2,Lines!K19))-FIND($A$2,Lines!K19)-LEN($A$2)-1))</f>
        <v/>
      </c>
      <c r="L19" s="30" t="str">
        <f>IF(ISERROR(FIND($A$2,Lines!L19))=TRUE,"",MID(Lines!L19,FIND($A$2,Lines!L19)+LEN($A$2)+1,FIND(",",_xlfn.CONCAT(Lines!L19,","),FIND($A$2,Lines!L19))-FIND($A$2,Lines!L19)-LEN($A$2)-1))</f>
        <v/>
      </c>
      <c r="M19" s="30" t="str">
        <f>IF(ISERROR(FIND($A$2,Lines!M19))=TRUE,"",MID(Lines!M19,FIND($A$2,Lines!M19)+LEN($A$2)+1,FIND(",",_xlfn.CONCAT(Lines!M19,","),FIND($A$2,Lines!M19))-FIND($A$2,Lines!M19)-LEN($A$2)-1))</f>
        <v/>
      </c>
      <c r="N19" s="32" t="str">
        <f>IF(ISERROR(FIND($A$2,Lines!N19))=TRUE,"",MID(Lines!N19,FIND($A$2,Lines!N19)+LEN($A$2)+1,FIND(",",_xlfn.CONCAT(Lines!N19,","),FIND($A$2,Lines!N19))-FIND($A$2,Lines!N19)-LEN($A$2)-1))</f>
        <v/>
      </c>
      <c r="O19" s="25" t="str">
        <f>IF(ISERROR(FIND($A$2,Lines!O19))=TRUE,"",MID(Lines!O19,FIND($A$2,Lines!O19)+LEN($A$2)+1,FIND(",",_xlfn.CONCAT(Lines!O19,","),FIND($A$2,Lines!O19))-FIND($A$2,Lines!O19)-LEN($A$2)-1))</f>
        <v/>
      </c>
      <c r="P19" s="25" t="str">
        <f>IF(ISERROR(FIND($A$2,Lines!P19))=TRUE,"",MID(Lines!P19,FIND($A$2,Lines!P19)+LEN($A$2)+1,FIND(",",_xlfn.CONCAT(Lines!P19,","),FIND($A$2,Lines!P19))-FIND($A$2,Lines!P19)-LEN($A$2)-1))</f>
        <v>2</v>
      </c>
      <c r="Q19" s="66" t="str">
        <f>IF(ISERROR(FIND($A$2,Lines!Q19))=TRUE,"",MID(Lines!Q19,FIND($A$2,Lines!Q19)+LEN($A$2)+1,FIND(",",_xlfn.CONCAT(Lines!Q19,","),FIND($A$2,Lines!Q19))-FIND($A$2,Lines!Q19)-LEN($A$2)-1))</f>
        <v/>
      </c>
      <c r="R19" s="25" t="str">
        <f>IF(ISERROR(FIND($A$2,Lines!R19))=TRUE,"",MID(Lines!R19,FIND($A$2,Lines!R19)+LEN($A$2)+1,FIND(",",_xlfn.CONCAT(Lines!R19,","),FIND($A$2,Lines!R19))-FIND($A$2,Lines!R19)-LEN($A$2)-1))</f>
        <v>4</v>
      </c>
      <c r="S19" s="25" t="str">
        <f>IF(ISERROR(FIND($A$2,Lines!S19))=TRUE,"",MID(Lines!S19,FIND($A$2,Lines!S19)+LEN($A$2)+1,FIND(",",_xlfn.CONCAT(Lines!S19,","),FIND($A$2,Lines!S19))-FIND($A$2,Lines!S19)-LEN($A$2)-1))</f>
        <v>5</v>
      </c>
      <c r="T19" s="25" t="str">
        <f>IF(ISERROR(FIND($A$2,Lines!T19))=TRUE,"",MID(Lines!T19,FIND($A$2,Lines!T19)+LEN($A$2)+1,FIND(",",_xlfn.CONCAT(Lines!T19,","),FIND($A$2,Lines!T19))-FIND($A$2,Lines!T19)-LEN($A$2)-1))</f>
        <v>5</v>
      </c>
      <c r="U19" s="25" t="str">
        <f>IF(ISERROR(FIND($A$2,Lines!U19))=TRUE,"",MID(Lines!U19,FIND($A$2,Lines!U19)+LEN($A$2)+1,FIND(",",_xlfn.CONCAT(Lines!U19,","),FIND($A$2,Lines!U19))-FIND($A$2,Lines!U19)-LEN($A$2)-1))</f>
        <v/>
      </c>
      <c r="V19" s="35" t="str">
        <f>IF(ISERROR(FIND($A$2,Lines!V19))=TRUE,"",MID(Lines!V19,FIND($A$2,Lines!V19)+LEN($A$2)+1,FIND(",",_xlfn.CONCAT(Lines!V19,","),FIND($A$2,Lines!V19))-FIND($A$2,Lines!V19)-LEN($A$2)-1))</f>
        <v/>
      </c>
      <c r="W19" s="36" t="str">
        <f>IF(ISERROR(FIND($A$2,Lines!W19))=TRUE,"",MID(Lines!W19,FIND($A$2,Lines!W19)+LEN($A$2)+1,FIND(",",_xlfn.CONCAT(Lines!W19,","),FIND($A$2,Lines!W19))-FIND($A$2,Lines!W19)-LEN($A$2)-1))</f>
        <v/>
      </c>
      <c r="X19" s="30" t="str">
        <f>IF(ISERROR(FIND($A$2,Lines!X19))=TRUE,"",MID(Lines!X19,FIND($A$2,Lines!X19)+LEN($A$2)+1,FIND(",",_xlfn.CONCAT(Lines!X19,","),FIND($A$2,Lines!X19))-FIND($A$2,Lines!X19)-LEN($A$2)-1))</f>
        <v/>
      </c>
      <c r="Y19" s="30" t="str">
        <f>IF(ISERROR(FIND($A$2,Lines!Y19))=TRUE,"",MID(Lines!Y19,FIND($A$2,Lines!Y19)+LEN($A$2)+1,FIND(",",_xlfn.CONCAT(Lines!Y19,","),FIND($A$2,Lines!Y19))-FIND($A$2,Lines!Y19)-LEN($A$2)-1))</f>
        <v/>
      </c>
      <c r="Z19" s="30" t="str">
        <f>IF(ISERROR(FIND($A$2,Lines!Z19))=TRUE,"",MID(Lines!Z19,FIND($A$2,Lines!Z19)+LEN($A$2)+1,FIND(",",_xlfn.CONCAT(Lines!Z19,","),FIND($A$2,Lines!Z19))-FIND($A$2,Lines!Z19)-LEN($A$2)-1))</f>
        <v/>
      </c>
      <c r="AA19" s="30" t="str">
        <f>IF(ISERROR(FIND($A$2,Lines!AA19))=TRUE,"",MID(Lines!AA19,FIND($A$2,Lines!AA19)+LEN($A$2)+1,FIND(",",_xlfn.CONCAT(Lines!AA19,","),FIND($A$2,Lines!AA19))-FIND($A$2,Lines!AA19)-LEN($A$2)-1))</f>
        <v/>
      </c>
      <c r="AB19" s="30" t="str">
        <f>IF(ISERROR(FIND($A$2,Lines!AB19))=TRUE,"",MID(Lines!AB19,FIND($A$2,Lines!AB19)+LEN($A$2)+1,FIND(",",_xlfn.CONCAT(Lines!AB19,","),FIND($A$2,Lines!AB19))-FIND($A$2,Lines!AB19)-LEN($A$2)-1))</f>
        <v/>
      </c>
      <c r="AC19" s="30" t="str">
        <f>IF(ISERROR(FIND($A$2,Lines!AC19))=TRUE,"",MID(Lines!AC19,FIND($A$2,Lines!AC19)+LEN($A$2)+1,FIND(",",_xlfn.CONCAT(Lines!AC19,","),FIND($A$2,Lines!AC19))-FIND($A$2,Lines!AC19)-LEN($A$2)-1))</f>
        <v/>
      </c>
      <c r="AD19" s="30" t="str">
        <f>IF(ISERROR(FIND($A$2,Lines!AD19))=TRUE,"",MID(Lines!AD19,FIND($A$2,Lines!AD19)+LEN($A$2)+1,FIND(",",_xlfn.CONCAT(Lines!AD19,","),FIND($A$2,Lines!AD19))-FIND($A$2,Lines!AD19)-LEN($A$2)-1))</f>
        <v/>
      </c>
      <c r="AE19" s="30" t="str">
        <f>IF(ISERROR(FIND($A$2,Lines!AE19))=TRUE,"",MID(Lines!AE19,FIND($A$2,Lines!AE19)+LEN($A$2)+1,FIND(",",_xlfn.CONCAT(Lines!AE19,","),FIND($A$2,Lines!AE19))-FIND($A$2,Lines!AE19)-LEN($A$2)-1))</f>
        <v/>
      </c>
      <c r="AF19" s="30" t="str">
        <f>IF(ISERROR(FIND($A$2,Lines!AF19))=TRUE,"",MID(Lines!AF19,FIND($A$2,Lines!AF19)+LEN($A$2)+1,FIND(",",_xlfn.CONCAT(Lines!AF19,","),FIND($A$2,Lines!AF19))-FIND($A$2,Lines!AF19)-LEN($A$2)-1))</f>
        <v/>
      </c>
      <c r="AG19" s="30" t="str">
        <f>IF(ISERROR(FIND($A$2,Lines!AG19))=TRUE,"",MID(Lines!AG19,FIND($A$2,Lines!AG19)+LEN($A$2)+1,FIND(",",_xlfn.CONCAT(Lines!AG19,","),FIND($A$2,Lines!AG19))-FIND($A$2,Lines!AG19)-LEN($A$2)-1))</f>
        <v/>
      </c>
      <c r="AH19" s="30" t="str">
        <f>IF(ISERROR(FIND($A$2,Lines!AH19))=TRUE,"",MID(Lines!AH19,FIND($A$2,Lines!AH19)+LEN($A$2)+1,FIND(",",_xlfn.CONCAT(Lines!AH19,","),FIND($A$2,Lines!AH19))-FIND($A$2,Lines!AH19)-LEN($A$2)-1))</f>
        <v/>
      </c>
      <c r="AI19" s="30" t="str">
        <f>IF(ISERROR(FIND($A$2,Lines!AI19))=TRUE,"",MID(Lines!AI19,FIND($A$2,Lines!AI19)+LEN($A$2)+1,FIND(",",_xlfn.CONCAT(Lines!AI19,","),FIND($A$2,Lines!AI19))-FIND($A$2,Lines!AI19)-LEN($A$2)-1))</f>
        <v/>
      </c>
      <c r="AJ19" s="30" t="str">
        <f>IF(ISERROR(FIND($A$2,Lines!AJ19))=TRUE,"",MID(Lines!AJ19,FIND($A$2,Lines!AJ19)+LEN($A$2)+1,FIND(",",_xlfn.CONCAT(Lines!AJ19,","),FIND($A$2,Lines!AJ19))-FIND($A$2,Lines!AJ19)-LEN($A$2)-1))</f>
        <v/>
      </c>
      <c r="AK19" s="30" t="str">
        <f>IF(ISERROR(FIND($A$2,Lines!AK19))=TRUE,"",MID(Lines!AK19,FIND($A$2,Lines!AK19)+LEN($A$2)+1,FIND(",",_xlfn.CONCAT(Lines!AK19,","),FIND($A$2,Lines!AK19))-FIND($A$2,Lines!AK19)-LEN($A$2)-1))</f>
        <v/>
      </c>
      <c r="AL19" s="30" t="str">
        <f>IF(ISERROR(FIND($A$2,Lines!AL19))=TRUE,"",MID(Lines!AL19,FIND($A$2,Lines!AL19)+LEN($A$2)+1,FIND(",",_xlfn.CONCAT(Lines!AL19,","),FIND($A$2,Lines!AL19))-FIND($A$2,Lines!AL19)-LEN($A$2)-1))</f>
        <v/>
      </c>
      <c r="AM19" s="30" t="str">
        <f>IF(ISERROR(FIND($A$2,Lines!AM19))=TRUE,"",MID(Lines!AM19,FIND($A$2,Lines!AM19)+LEN($A$2)+1,FIND(",",_xlfn.CONCAT(Lines!AM19,","),FIND($A$2,Lines!AM19))-FIND($A$2,Lines!AM19)-LEN($A$2)-1))</f>
        <v/>
      </c>
      <c r="AN19" s="30" t="str">
        <f>IF(ISERROR(FIND($A$2,Lines!AN19))=TRUE,"",MID(Lines!AN19,FIND($A$2,Lines!AN19)+LEN($A$2)+1,FIND(",",_xlfn.CONCAT(Lines!AN19,","),FIND($A$2,Lines!AN19))-FIND($A$2,Lines!AN19)-LEN($A$2)-1))</f>
        <v/>
      </c>
      <c r="AO19" s="30" t="str">
        <f>IF(ISERROR(FIND($A$2,Lines!AO19))=TRUE,"",MID(Lines!AO19,FIND($A$2,Lines!AO19)+LEN($A$2)+1,FIND(",",_xlfn.CONCAT(Lines!AO19,","),FIND($A$2,Lines!AO19))-FIND($A$2,Lines!AO19)-LEN($A$2)-1))</f>
        <v/>
      </c>
      <c r="AP19" s="30" t="str">
        <f>IF(ISERROR(FIND($A$2,Lines!AP19))=TRUE,"",MID(Lines!AP19,FIND($A$2,Lines!AP19)+LEN($A$2)+1,FIND(",",_xlfn.CONCAT(Lines!AP19,","),FIND($A$2,Lines!AP19))-FIND($A$2,Lines!AP19)-LEN($A$2)-1))</f>
        <v/>
      </c>
      <c r="AQ19" s="30" t="str">
        <f>IF(ISERROR(FIND($A$2,Lines!AQ19))=TRUE,"",MID(Lines!AQ19,FIND($A$2,Lines!AQ19)+LEN($A$2)+1,FIND(",",_xlfn.CONCAT(Lines!AQ19,","),FIND($A$2,Lines!AQ19))-FIND($A$2,Lines!AQ19)-LEN($A$2)-1))</f>
        <v/>
      </c>
      <c r="AR19" s="30" t="str">
        <f>IF(ISERROR(FIND($A$2,Lines!AR19))=TRUE,"",MID(Lines!AR19,FIND($A$2,Lines!AR19)+LEN($A$2)+1,FIND(",",_xlfn.CONCAT(Lines!AR19,","),FIND($A$2,Lines!AR19))-FIND($A$2,Lines!AR19)-LEN($A$2)-1))</f>
        <v/>
      </c>
      <c r="AS19" s="30" t="str">
        <f>IF(ISERROR(FIND($A$2,Lines!AS19))=TRUE,"",MID(Lines!AS19,FIND($A$2,Lines!AS19)+LEN($A$2)+1,FIND(",",_xlfn.CONCAT(Lines!AS19,","),FIND($A$2,Lines!AS19))-FIND($A$2,Lines!AS19)-LEN($A$2)-1))</f>
        <v/>
      </c>
      <c r="AT19" s="30" t="str">
        <f>IF(ISERROR(FIND($A$2,Lines!AT19))=TRUE,"",MID(Lines!AT19,FIND($A$2,Lines!AT19)+LEN($A$2)+1,FIND(",",_xlfn.CONCAT(Lines!AT19,","),FIND($A$2,Lines!AT19))-FIND($A$2,Lines!AT19)-LEN($A$2)-1))</f>
        <v/>
      </c>
    </row>
    <row r="20" spans="1:46" ht="20.25" customHeight="1">
      <c r="A20" s="2" t="s">
        <v>68</v>
      </c>
      <c r="B20" s="30" t="str">
        <f>IF(ISERROR(FIND($A$2,Lines!B20))=TRUE,"",MID(Lines!B20,FIND($A$2,Lines!B20)+LEN($A$2)+1,FIND(",",_xlfn.CONCAT(Lines!B20,","),FIND($A$2,Lines!B20))-FIND($A$2,Lines!B20)-LEN($A$2)-1))</f>
        <v/>
      </c>
      <c r="C20" s="30" t="str">
        <f>IF(ISERROR(FIND($A$2,Lines!C20))=TRUE,"",MID(Lines!C20,FIND($A$2,Lines!C20)+LEN($A$2)+1,FIND(",",_xlfn.CONCAT(Lines!C20,","),FIND($A$2,Lines!C20))-FIND($A$2,Lines!C20)-LEN($A$2)-1))</f>
        <v/>
      </c>
      <c r="D20" s="30" t="str">
        <f>IF(ISERROR(FIND($A$2,Lines!D20))=TRUE,"",MID(Lines!D20,FIND($A$2,Lines!D20)+LEN($A$2)+1,FIND(",",_xlfn.CONCAT(Lines!D20,","),FIND($A$2,Lines!D20))-FIND($A$2,Lines!D20)-LEN($A$2)-1))</f>
        <v/>
      </c>
      <c r="E20" s="30" t="str">
        <f>IF(ISERROR(FIND($A$2,Lines!E20))=TRUE,"",MID(Lines!E20,FIND($A$2,Lines!E20)+LEN($A$2)+1,FIND(",",_xlfn.CONCAT(Lines!E20,","),FIND($A$2,Lines!E20))-FIND($A$2,Lines!E20)-LEN($A$2)-1))</f>
        <v/>
      </c>
      <c r="F20" s="30" t="str">
        <f>IF(ISERROR(FIND($A$2,Lines!F20))=TRUE,"",MID(Lines!F20,FIND($A$2,Lines!F20)+LEN($A$2)+1,FIND(",",_xlfn.CONCAT(Lines!F20,","),FIND($A$2,Lines!F20))-FIND($A$2,Lines!F20)-LEN($A$2)-1))</f>
        <v/>
      </c>
      <c r="G20" s="30" t="str">
        <f>IF(ISERROR(FIND($A$2,Lines!G20))=TRUE,"",MID(Lines!G20,FIND($A$2,Lines!G20)+LEN($A$2)+1,FIND(",",_xlfn.CONCAT(Lines!G20,","),FIND($A$2,Lines!G20))-FIND($A$2,Lines!G20)-LEN($A$2)-1))</f>
        <v/>
      </c>
      <c r="H20" s="30" t="str">
        <f>IF(ISERROR(FIND($A$2,Lines!H20))=TRUE,"",MID(Lines!H20,FIND($A$2,Lines!H20)+LEN($A$2)+1,FIND(",",_xlfn.CONCAT(Lines!H20,","),FIND($A$2,Lines!H20))-FIND($A$2,Lines!H20)-LEN($A$2)-1))</f>
        <v/>
      </c>
      <c r="I20" s="30" t="str">
        <f>IF(ISERROR(FIND($A$2,Lines!I20))=TRUE,"",MID(Lines!I20,FIND($A$2,Lines!I20)+LEN($A$2)+1,FIND(",",_xlfn.CONCAT(Lines!I20,","),FIND($A$2,Lines!I20))-FIND($A$2,Lines!I20)-LEN($A$2)-1))</f>
        <v/>
      </c>
      <c r="J20" s="30" t="str">
        <f>IF(ISERROR(FIND($A$2,Lines!J20))=TRUE,"",MID(Lines!J20,FIND($A$2,Lines!J20)+LEN($A$2)+1,FIND(",",_xlfn.CONCAT(Lines!J20,","),FIND($A$2,Lines!J20))-FIND($A$2,Lines!J20)-LEN($A$2)-1))</f>
        <v/>
      </c>
      <c r="K20" s="30" t="str">
        <f>IF(ISERROR(FIND($A$2,Lines!K20))=TRUE,"",MID(Lines!K20,FIND($A$2,Lines!K20)+LEN($A$2)+1,FIND(",",_xlfn.CONCAT(Lines!K20,","),FIND($A$2,Lines!K20))-FIND($A$2,Lines!K20)-LEN($A$2)-1))</f>
        <v/>
      </c>
      <c r="L20" s="30" t="str">
        <f>IF(ISERROR(FIND($A$2,Lines!L20))=TRUE,"",MID(Lines!L20,FIND($A$2,Lines!L20)+LEN($A$2)+1,FIND(",",_xlfn.CONCAT(Lines!L20,","),FIND($A$2,Lines!L20))-FIND($A$2,Lines!L20)-LEN($A$2)-1))</f>
        <v/>
      </c>
      <c r="M20" s="30" t="str">
        <f>IF(ISERROR(FIND($A$2,Lines!M20))=TRUE,"",MID(Lines!M20,FIND($A$2,Lines!M20)+LEN($A$2)+1,FIND(",",_xlfn.CONCAT(Lines!M20,","),FIND($A$2,Lines!M20))-FIND($A$2,Lines!M20)-LEN($A$2)-1))</f>
        <v/>
      </c>
      <c r="N20" s="32" t="str">
        <f>IF(ISERROR(FIND($A$2,Lines!N20))=TRUE,"",MID(Lines!N20,FIND($A$2,Lines!N20)+LEN($A$2)+1,FIND(",",_xlfn.CONCAT(Lines!N20,","),FIND($A$2,Lines!N20))-FIND($A$2,Lines!N20)-LEN($A$2)-1))</f>
        <v/>
      </c>
      <c r="O20" s="25" t="str">
        <f>IF(ISERROR(FIND($A$2,Lines!O20))=TRUE,"",MID(Lines!O20,FIND($A$2,Lines!O20)+LEN($A$2)+1,FIND(",",_xlfn.CONCAT(Lines!O20,","),FIND($A$2,Lines!O20))-FIND($A$2,Lines!O20)-LEN($A$2)-1))</f>
        <v>7</v>
      </c>
      <c r="P20" s="25" t="str">
        <f>IF(ISERROR(FIND($A$2,Lines!P20))=TRUE,"",MID(Lines!P20,FIND($A$2,Lines!P20)+LEN($A$2)+1,FIND(",",_xlfn.CONCAT(Lines!P20,","),FIND($A$2,Lines!P20))-FIND($A$2,Lines!P20)-LEN($A$2)-1))</f>
        <v/>
      </c>
      <c r="Q20" s="25" t="str">
        <f>IF(ISERROR(FIND($A$2,Lines!Q20))=TRUE,"",MID(Lines!Q20,FIND($A$2,Lines!Q20)+LEN($A$2)+1,FIND(",",_xlfn.CONCAT(Lines!Q20,","),FIND($A$2,Lines!Q20))-FIND($A$2,Lines!Q20)-LEN($A$2)-1))</f>
        <v>4</v>
      </c>
      <c r="R20" s="66" t="str">
        <f>IF(ISERROR(FIND($A$2,Lines!R20))=TRUE,"",MID(Lines!R20,FIND($A$2,Lines!R20)+LEN($A$2)+1,FIND(",",_xlfn.CONCAT(Lines!R20,","),FIND($A$2,Lines!R20))-FIND($A$2,Lines!R20)-LEN($A$2)-1))</f>
        <v/>
      </c>
      <c r="S20" s="25" t="str">
        <f>IF(ISERROR(FIND($A$2,Lines!S20))=TRUE,"",MID(Lines!S20,FIND($A$2,Lines!S20)+LEN($A$2)+1,FIND(",",_xlfn.CONCAT(Lines!S20,","),FIND($A$2,Lines!S20))-FIND($A$2,Lines!S20)-LEN($A$2)-1))</f>
        <v/>
      </c>
      <c r="T20" s="25" t="str">
        <f>IF(ISERROR(FIND($A$2,Lines!T20))=TRUE,"",MID(Lines!T20,FIND($A$2,Lines!T20)+LEN($A$2)+1,FIND(",",_xlfn.CONCAT(Lines!T20,","),FIND($A$2,Lines!T20))-FIND($A$2,Lines!T20)-LEN($A$2)-1))</f>
        <v>1</v>
      </c>
      <c r="U20" s="25" t="str">
        <f>IF(ISERROR(FIND($A$2,Lines!U20))=TRUE,"",MID(Lines!U20,FIND($A$2,Lines!U20)+LEN($A$2)+1,FIND(",",_xlfn.CONCAT(Lines!U20,","),FIND($A$2,Lines!U20))-FIND($A$2,Lines!U20)-LEN($A$2)-1))</f>
        <v/>
      </c>
      <c r="V20" s="35" t="str">
        <f>IF(ISERROR(FIND($A$2,Lines!V20))=TRUE,"",MID(Lines!V20,FIND($A$2,Lines!V20)+LEN($A$2)+1,FIND(",",_xlfn.CONCAT(Lines!V20,","),FIND($A$2,Lines!V20))-FIND($A$2,Lines!V20)-LEN($A$2)-1))</f>
        <v/>
      </c>
      <c r="W20" s="36" t="str">
        <f>IF(ISERROR(FIND($A$2,Lines!W20))=TRUE,"",MID(Lines!W20,FIND($A$2,Lines!W20)+LEN($A$2)+1,FIND(",",_xlfn.CONCAT(Lines!W20,","),FIND($A$2,Lines!W20))-FIND($A$2,Lines!W20)-LEN($A$2)-1))</f>
        <v/>
      </c>
      <c r="X20" s="30" t="str">
        <f>IF(ISERROR(FIND($A$2,Lines!X20))=TRUE,"",MID(Lines!X20,FIND($A$2,Lines!X20)+LEN($A$2)+1,FIND(",",_xlfn.CONCAT(Lines!X20,","),FIND($A$2,Lines!X20))-FIND($A$2,Lines!X20)-LEN($A$2)-1))</f>
        <v/>
      </c>
      <c r="Y20" s="30" t="str">
        <f>IF(ISERROR(FIND($A$2,Lines!Y20))=TRUE,"",MID(Lines!Y20,FIND($A$2,Lines!Y20)+LEN($A$2)+1,FIND(",",_xlfn.CONCAT(Lines!Y20,","),FIND($A$2,Lines!Y20))-FIND($A$2,Lines!Y20)-LEN($A$2)-1))</f>
        <v/>
      </c>
      <c r="Z20" s="30" t="str">
        <f>IF(ISERROR(FIND($A$2,Lines!Z20))=TRUE,"",MID(Lines!Z20,FIND($A$2,Lines!Z20)+LEN($A$2)+1,FIND(",",_xlfn.CONCAT(Lines!Z20,","),FIND($A$2,Lines!Z20))-FIND($A$2,Lines!Z20)-LEN($A$2)-1))</f>
        <v/>
      </c>
      <c r="AA20" s="30" t="str">
        <f>IF(ISERROR(FIND($A$2,Lines!AA20))=TRUE,"",MID(Lines!AA20,FIND($A$2,Lines!AA20)+LEN($A$2)+1,FIND(",",_xlfn.CONCAT(Lines!AA20,","),FIND($A$2,Lines!AA20))-FIND($A$2,Lines!AA20)-LEN($A$2)-1))</f>
        <v/>
      </c>
      <c r="AB20" s="30" t="str">
        <f>IF(ISERROR(FIND($A$2,Lines!AB20))=TRUE,"",MID(Lines!AB20,FIND($A$2,Lines!AB20)+LEN($A$2)+1,FIND(",",_xlfn.CONCAT(Lines!AB20,","),FIND($A$2,Lines!AB20))-FIND($A$2,Lines!AB20)-LEN($A$2)-1))</f>
        <v/>
      </c>
      <c r="AC20" s="30" t="str">
        <f>IF(ISERROR(FIND($A$2,Lines!AC20))=TRUE,"",MID(Lines!AC20,FIND($A$2,Lines!AC20)+LEN($A$2)+1,FIND(",",_xlfn.CONCAT(Lines!AC20,","),FIND($A$2,Lines!AC20))-FIND($A$2,Lines!AC20)-LEN($A$2)-1))</f>
        <v/>
      </c>
      <c r="AD20" s="30" t="str">
        <f>IF(ISERROR(FIND($A$2,Lines!AD20))=TRUE,"",MID(Lines!AD20,FIND($A$2,Lines!AD20)+LEN($A$2)+1,FIND(",",_xlfn.CONCAT(Lines!AD20,","),FIND($A$2,Lines!AD20))-FIND($A$2,Lines!AD20)-LEN($A$2)-1))</f>
        <v/>
      </c>
      <c r="AE20" s="30" t="str">
        <f>IF(ISERROR(FIND($A$2,Lines!AE20))=TRUE,"",MID(Lines!AE20,FIND($A$2,Lines!AE20)+LEN($A$2)+1,FIND(",",_xlfn.CONCAT(Lines!AE20,","),FIND($A$2,Lines!AE20))-FIND($A$2,Lines!AE20)-LEN($A$2)-1))</f>
        <v/>
      </c>
      <c r="AF20" s="30" t="str">
        <f>IF(ISERROR(FIND($A$2,Lines!AF20))=TRUE,"",MID(Lines!AF20,FIND($A$2,Lines!AF20)+LEN($A$2)+1,FIND(",",_xlfn.CONCAT(Lines!AF20,","),FIND($A$2,Lines!AF20))-FIND($A$2,Lines!AF20)-LEN($A$2)-1))</f>
        <v/>
      </c>
      <c r="AG20" s="30" t="str">
        <f>IF(ISERROR(FIND($A$2,Lines!AG20))=TRUE,"",MID(Lines!AG20,FIND($A$2,Lines!AG20)+LEN($A$2)+1,FIND(",",_xlfn.CONCAT(Lines!AG20,","),FIND($A$2,Lines!AG20))-FIND($A$2,Lines!AG20)-LEN($A$2)-1))</f>
        <v/>
      </c>
      <c r="AH20" s="30" t="str">
        <f>IF(ISERROR(FIND($A$2,Lines!AH20))=TRUE,"",MID(Lines!AH20,FIND($A$2,Lines!AH20)+LEN($A$2)+1,FIND(",",_xlfn.CONCAT(Lines!AH20,","),FIND($A$2,Lines!AH20))-FIND($A$2,Lines!AH20)-LEN($A$2)-1))</f>
        <v/>
      </c>
      <c r="AI20" s="30" t="str">
        <f>IF(ISERROR(FIND($A$2,Lines!AI20))=TRUE,"",MID(Lines!AI20,FIND($A$2,Lines!AI20)+LEN($A$2)+1,FIND(",",_xlfn.CONCAT(Lines!AI20,","),FIND($A$2,Lines!AI20))-FIND($A$2,Lines!AI20)-LEN($A$2)-1))</f>
        <v/>
      </c>
      <c r="AJ20" s="30" t="str">
        <f>IF(ISERROR(FIND($A$2,Lines!AJ20))=TRUE,"",MID(Lines!AJ20,FIND($A$2,Lines!AJ20)+LEN($A$2)+1,FIND(",",_xlfn.CONCAT(Lines!AJ20,","),FIND($A$2,Lines!AJ20))-FIND($A$2,Lines!AJ20)-LEN($A$2)-1))</f>
        <v/>
      </c>
      <c r="AK20" s="30" t="str">
        <f>IF(ISERROR(FIND($A$2,Lines!AK20))=TRUE,"",MID(Lines!AK20,FIND($A$2,Lines!AK20)+LEN($A$2)+1,FIND(",",_xlfn.CONCAT(Lines!AK20,","),FIND($A$2,Lines!AK20))-FIND($A$2,Lines!AK20)-LEN($A$2)-1))</f>
        <v/>
      </c>
      <c r="AL20" s="30" t="str">
        <f>IF(ISERROR(FIND($A$2,Lines!AL20))=TRUE,"",MID(Lines!AL20,FIND($A$2,Lines!AL20)+LEN($A$2)+1,FIND(",",_xlfn.CONCAT(Lines!AL20,","),FIND($A$2,Lines!AL20))-FIND($A$2,Lines!AL20)-LEN($A$2)-1))</f>
        <v/>
      </c>
      <c r="AM20" s="30" t="str">
        <f>IF(ISERROR(FIND($A$2,Lines!AM20))=TRUE,"",MID(Lines!AM20,FIND($A$2,Lines!AM20)+LEN($A$2)+1,FIND(",",_xlfn.CONCAT(Lines!AM20,","),FIND($A$2,Lines!AM20))-FIND($A$2,Lines!AM20)-LEN($A$2)-1))</f>
        <v/>
      </c>
      <c r="AN20" s="30" t="str">
        <f>IF(ISERROR(FIND($A$2,Lines!AN20))=TRUE,"",MID(Lines!AN20,FIND($A$2,Lines!AN20)+LEN($A$2)+1,FIND(",",_xlfn.CONCAT(Lines!AN20,","),FIND($A$2,Lines!AN20))-FIND($A$2,Lines!AN20)-LEN($A$2)-1))</f>
        <v/>
      </c>
      <c r="AO20" s="30" t="str">
        <f>IF(ISERROR(FIND($A$2,Lines!AO20))=TRUE,"",MID(Lines!AO20,FIND($A$2,Lines!AO20)+LEN($A$2)+1,FIND(",",_xlfn.CONCAT(Lines!AO20,","),FIND($A$2,Lines!AO20))-FIND($A$2,Lines!AO20)-LEN($A$2)-1))</f>
        <v/>
      </c>
      <c r="AP20" s="30" t="str">
        <f>IF(ISERROR(FIND($A$2,Lines!AP20))=TRUE,"",MID(Lines!AP20,FIND($A$2,Lines!AP20)+LEN($A$2)+1,FIND(",",_xlfn.CONCAT(Lines!AP20,","),FIND($A$2,Lines!AP20))-FIND($A$2,Lines!AP20)-LEN($A$2)-1))</f>
        <v/>
      </c>
      <c r="AQ20" s="30" t="str">
        <f>IF(ISERROR(FIND($A$2,Lines!AQ20))=TRUE,"",MID(Lines!AQ20,FIND($A$2,Lines!AQ20)+LEN($A$2)+1,FIND(",",_xlfn.CONCAT(Lines!AQ20,","),FIND($A$2,Lines!AQ20))-FIND($A$2,Lines!AQ20)-LEN($A$2)-1))</f>
        <v/>
      </c>
      <c r="AR20" s="30" t="str">
        <f>IF(ISERROR(FIND($A$2,Lines!AR20))=TRUE,"",MID(Lines!AR20,FIND($A$2,Lines!AR20)+LEN($A$2)+1,FIND(",",_xlfn.CONCAT(Lines!AR20,","),FIND($A$2,Lines!AR20))-FIND($A$2,Lines!AR20)-LEN($A$2)-1))</f>
        <v/>
      </c>
      <c r="AS20" s="30" t="str">
        <f>IF(ISERROR(FIND($A$2,Lines!AS20))=TRUE,"",MID(Lines!AS20,FIND($A$2,Lines!AS20)+LEN($A$2)+1,FIND(",",_xlfn.CONCAT(Lines!AS20,","),FIND($A$2,Lines!AS20))-FIND($A$2,Lines!AS20)-LEN($A$2)-1))</f>
        <v/>
      </c>
      <c r="AT20" s="30" t="str">
        <f>IF(ISERROR(FIND($A$2,Lines!AT20))=TRUE,"",MID(Lines!AT20,FIND($A$2,Lines!AT20)+LEN($A$2)+1,FIND(",",_xlfn.CONCAT(Lines!AT20,","),FIND($A$2,Lines!AT20))-FIND($A$2,Lines!AT20)-LEN($A$2)-1))</f>
        <v/>
      </c>
    </row>
    <row r="21" spans="1:46" ht="20.25" customHeight="1">
      <c r="A21" s="2" t="s">
        <v>69</v>
      </c>
      <c r="B21" s="30" t="str">
        <f>IF(ISERROR(FIND($A$2,Lines!B21))=TRUE,"",MID(Lines!B21,FIND($A$2,Lines!B21)+LEN($A$2)+1,FIND(",",_xlfn.CONCAT(Lines!B21,","),FIND($A$2,Lines!B21))-FIND($A$2,Lines!B21)-LEN($A$2)-1))</f>
        <v/>
      </c>
      <c r="C21" s="30" t="str">
        <f>IF(ISERROR(FIND($A$2,Lines!C21))=TRUE,"",MID(Lines!C21,FIND($A$2,Lines!C21)+LEN($A$2)+1,FIND(",",_xlfn.CONCAT(Lines!C21,","),FIND($A$2,Lines!C21))-FIND($A$2,Lines!C21)-LEN($A$2)-1))</f>
        <v/>
      </c>
      <c r="D21" s="30" t="str">
        <f>IF(ISERROR(FIND($A$2,Lines!D21))=TRUE,"",MID(Lines!D21,FIND($A$2,Lines!D21)+LEN($A$2)+1,FIND(",",_xlfn.CONCAT(Lines!D21,","),FIND($A$2,Lines!D21))-FIND($A$2,Lines!D21)-LEN($A$2)-1))</f>
        <v/>
      </c>
      <c r="E21" s="30" t="str">
        <f>IF(ISERROR(FIND($A$2,Lines!E21))=TRUE,"",MID(Lines!E21,FIND($A$2,Lines!E21)+LEN($A$2)+1,FIND(",",_xlfn.CONCAT(Lines!E21,","),FIND($A$2,Lines!E21))-FIND($A$2,Lines!E21)-LEN($A$2)-1))</f>
        <v/>
      </c>
      <c r="F21" s="30" t="str">
        <f>IF(ISERROR(FIND($A$2,Lines!F21))=TRUE,"",MID(Lines!F21,FIND($A$2,Lines!F21)+LEN($A$2)+1,FIND(",",_xlfn.CONCAT(Lines!F21,","),FIND($A$2,Lines!F21))-FIND($A$2,Lines!F21)-LEN($A$2)-1))</f>
        <v/>
      </c>
      <c r="G21" s="30" t="str">
        <f>IF(ISERROR(FIND($A$2,Lines!G21))=TRUE,"",MID(Lines!G21,FIND($A$2,Lines!G21)+LEN($A$2)+1,FIND(",",_xlfn.CONCAT(Lines!G21,","),FIND($A$2,Lines!G21))-FIND($A$2,Lines!G21)-LEN($A$2)-1))</f>
        <v/>
      </c>
      <c r="H21" s="30" t="str">
        <f>IF(ISERROR(FIND($A$2,Lines!H21))=TRUE,"",MID(Lines!H21,FIND($A$2,Lines!H21)+LEN($A$2)+1,FIND(",",_xlfn.CONCAT(Lines!H21,","),FIND($A$2,Lines!H21))-FIND($A$2,Lines!H21)-LEN($A$2)-1))</f>
        <v/>
      </c>
      <c r="I21" s="30" t="str">
        <f>IF(ISERROR(FIND($A$2,Lines!I21))=TRUE,"",MID(Lines!I21,FIND($A$2,Lines!I21)+LEN($A$2)+1,FIND(",",_xlfn.CONCAT(Lines!I21,","),FIND($A$2,Lines!I21))-FIND($A$2,Lines!I21)-LEN($A$2)-1))</f>
        <v/>
      </c>
      <c r="J21" s="30" t="str">
        <f>IF(ISERROR(FIND($A$2,Lines!J21))=TRUE,"",MID(Lines!J21,FIND($A$2,Lines!J21)+LEN($A$2)+1,FIND(",",_xlfn.CONCAT(Lines!J21,","),FIND($A$2,Lines!J21))-FIND($A$2,Lines!J21)-LEN($A$2)-1))</f>
        <v/>
      </c>
      <c r="K21" s="30" t="str">
        <f>IF(ISERROR(FIND($A$2,Lines!K21))=TRUE,"",MID(Lines!K21,FIND($A$2,Lines!K21)+LEN($A$2)+1,FIND(",",_xlfn.CONCAT(Lines!K21,","),FIND($A$2,Lines!K21))-FIND($A$2,Lines!K21)-LEN($A$2)-1))</f>
        <v/>
      </c>
      <c r="L21" s="30" t="str">
        <f>IF(ISERROR(FIND($A$2,Lines!L21))=TRUE,"",MID(Lines!L21,FIND($A$2,Lines!L21)+LEN($A$2)+1,FIND(",",_xlfn.CONCAT(Lines!L21,","),FIND($A$2,Lines!L21))-FIND($A$2,Lines!L21)-LEN($A$2)-1))</f>
        <v/>
      </c>
      <c r="M21" s="30" t="str">
        <f>IF(ISERROR(FIND($A$2,Lines!M21))=TRUE,"",MID(Lines!M21,FIND($A$2,Lines!M21)+LEN($A$2)+1,FIND(",",_xlfn.CONCAT(Lines!M21,","),FIND($A$2,Lines!M21))-FIND($A$2,Lines!M21)-LEN($A$2)-1))</f>
        <v/>
      </c>
      <c r="N21" s="32" t="str">
        <f>IF(ISERROR(FIND($A$2,Lines!N21))=TRUE,"",MID(Lines!N21,FIND($A$2,Lines!N21)+LEN($A$2)+1,FIND(",",_xlfn.CONCAT(Lines!N21,","),FIND($A$2,Lines!N21))-FIND($A$2,Lines!N21)-LEN($A$2)-1))</f>
        <v/>
      </c>
      <c r="O21" s="25" t="str">
        <f>IF(ISERROR(FIND($A$2,Lines!O21))=TRUE,"",MID(Lines!O21,FIND($A$2,Lines!O21)+LEN($A$2)+1,FIND(",",_xlfn.CONCAT(Lines!O21,","),FIND($A$2,Lines!O21))-FIND($A$2,Lines!O21)-LEN($A$2)-1))</f>
        <v/>
      </c>
      <c r="P21" s="25" t="str">
        <f>IF(ISERROR(FIND($A$2,Lines!P21))=TRUE,"",MID(Lines!P21,FIND($A$2,Lines!P21)+LEN($A$2)+1,FIND(",",_xlfn.CONCAT(Lines!P21,","),FIND($A$2,Lines!P21))-FIND($A$2,Lines!P21)-LEN($A$2)-1))</f>
        <v/>
      </c>
      <c r="Q21" s="25" t="str">
        <f>IF(ISERROR(FIND($A$2,Lines!Q21))=TRUE,"",MID(Lines!Q21,FIND($A$2,Lines!Q21)+LEN($A$2)+1,FIND(",",_xlfn.CONCAT(Lines!Q21,","),FIND($A$2,Lines!Q21))-FIND($A$2,Lines!Q21)-LEN($A$2)-1))</f>
        <v>5</v>
      </c>
      <c r="R21" s="25" t="str">
        <f>IF(ISERROR(FIND($A$2,Lines!R21))=TRUE,"",MID(Lines!R21,FIND($A$2,Lines!R21)+LEN($A$2)+1,FIND(",",_xlfn.CONCAT(Lines!R21,","),FIND($A$2,Lines!R21))-FIND($A$2,Lines!R21)-LEN($A$2)-1))</f>
        <v/>
      </c>
      <c r="S21" s="66" t="str">
        <f>IF(ISERROR(FIND($A$2,Lines!S21))=TRUE,"",MID(Lines!S21,FIND($A$2,Lines!S21)+LEN($A$2)+1,FIND(",",_xlfn.CONCAT(Lines!S21,","),FIND($A$2,Lines!S21))-FIND($A$2,Lines!S21)-LEN($A$2)-1))</f>
        <v/>
      </c>
      <c r="T21" s="25" t="str">
        <f>IF(ISERROR(FIND($A$2,Lines!T21))=TRUE,"",MID(Lines!T21,FIND($A$2,Lines!T21)+LEN($A$2)+1,FIND(",",_xlfn.CONCAT(Lines!T21,","),FIND($A$2,Lines!T21))-FIND($A$2,Lines!T21)-LEN($A$2)-1))</f>
        <v/>
      </c>
      <c r="U21" s="25" t="str">
        <f>IF(ISERROR(FIND($A$2,Lines!U21))=TRUE,"",MID(Lines!U21,FIND($A$2,Lines!U21)+LEN($A$2)+1,FIND(",",_xlfn.CONCAT(Lines!U21,","),FIND($A$2,Lines!U21))-FIND($A$2,Lines!U21)-LEN($A$2)-1))</f>
        <v/>
      </c>
      <c r="V21" s="35" t="str">
        <f>IF(ISERROR(FIND($A$2,Lines!V21))=TRUE,"",MID(Lines!V21,FIND($A$2,Lines!V21)+LEN($A$2)+1,FIND(",",_xlfn.CONCAT(Lines!V21,","),FIND($A$2,Lines!V21))-FIND($A$2,Lines!V21)-LEN($A$2)-1))</f>
        <v/>
      </c>
      <c r="W21" s="36" t="str">
        <f>IF(ISERROR(FIND($A$2,Lines!W21))=TRUE,"",MID(Lines!W21,FIND($A$2,Lines!W21)+LEN($A$2)+1,FIND(",",_xlfn.CONCAT(Lines!W21,","),FIND($A$2,Lines!W21))-FIND($A$2,Lines!W21)-LEN($A$2)-1))</f>
        <v/>
      </c>
      <c r="X21" s="30" t="str">
        <f>IF(ISERROR(FIND($A$2,Lines!X21))=TRUE,"",MID(Lines!X21,FIND($A$2,Lines!X21)+LEN($A$2)+1,FIND(",",_xlfn.CONCAT(Lines!X21,","),FIND($A$2,Lines!X21))-FIND($A$2,Lines!X21)-LEN($A$2)-1))</f>
        <v/>
      </c>
      <c r="Y21" s="30" t="str">
        <f>IF(ISERROR(FIND($A$2,Lines!Y21))=TRUE,"",MID(Lines!Y21,FIND($A$2,Lines!Y21)+LEN($A$2)+1,FIND(",",_xlfn.CONCAT(Lines!Y21,","),FIND($A$2,Lines!Y21))-FIND($A$2,Lines!Y21)-LEN($A$2)-1))</f>
        <v/>
      </c>
      <c r="Z21" s="30" t="str">
        <f>IF(ISERROR(FIND($A$2,Lines!Z21))=TRUE,"",MID(Lines!Z21,FIND($A$2,Lines!Z21)+LEN($A$2)+1,FIND(",",_xlfn.CONCAT(Lines!Z21,","),FIND($A$2,Lines!Z21))-FIND($A$2,Lines!Z21)-LEN($A$2)-1))</f>
        <v/>
      </c>
      <c r="AA21" s="30" t="str">
        <f>IF(ISERROR(FIND($A$2,Lines!AA21))=TRUE,"",MID(Lines!AA21,FIND($A$2,Lines!AA21)+LEN($A$2)+1,FIND(",",_xlfn.CONCAT(Lines!AA21,","),FIND($A$2,Lines!AA21))-FIND($A$2,Lines!AA21)-LEN($A$2)-1))</f>
        <v/>
      </c>
      <c r="AB21" s="30" t="str">
        <f>IF(ISERROR(FIND($A$2,Lines!AB21))=TRUE,"",MID(Lines!AB21,FIND($A$2,Lines!AB21)+LEN($A$2)+1,FIND(",",_xlfn.CONCAT(Lines!AB21,","),FIND($A$2,Lines!AB21))-FIND($A$2,Lines!AB21)-LEN($A$2)-1))</f>
        <v/>
      </c>
      <c r="AC21" s="30" t="str">
        <f>IF(ISERROR(FIND($A$2,Lines!AC21))=TRUE,"",MID(Lines!AC21,FIND($A$2,Lines!AC21)+LEN($A$2)+1,FIND(",",_xlfn.CONCAT(Lines!AC21,","),FIND($A$2,Lines!AC21))-FIND($A$2,Lines!AC21)-LEN($A$2)-1))</f>
        <v/>
      </c>
      <c r="AD21" s="30" t="str">
        <f>IF(ISERROR(FIND($A$2,Lines!AD21))=TRUE,"",MID(Lines!AD21,FIND($A$2,Lines!AD21)+LEN($A$2)+1,FIND(",",_xlfn.CONCAT(Lines!AD21,","),FIND($A$2,Lines!AD21))-FIND($A$2,Lines!AD21)-LEN($A$2)-1))</f>
        <v/>
      </c>
      <c r="AE21" s="30" t="str">
        <f>IF(ISERROR(FIND($A$2,Lines!AE21))=TRUE,"",MID(Lines!AE21,FIND($A$2,Lines!AE21)+LEN($A$2)+1,FIND(",",_xlfn.CONCAT(Lines!AE21,","),FIND($A$2,Lines!AE21))-FIND($A$2,Lines!AE21)-LEN($A$2)-1))</f>
        <v/>
      </c>
      <c r="AF21" s="30" t="str">
        <f>IF(ISERROR(FIND($A$2,Lines!AF21))=TRUE,"",MID(Lines!AF21,FIND($A$2,Lines!AF21)+LEN($A$2)+1,FIND(",",_xlfn.CONCAT(Lines!AF21,","),FIND($A$2,Lines!AF21))-FIND($A$2,Lines!AF21)-LEN($A$2)-1))</f>
        <v/>
      </c>
      <c r="AG21" s="30" t="str">
        <f>IF(ISERROR(FIND($A$2,Lines!AG21))=TRUE,"",MID(Lines!AG21,FIND($A$2,Lines!AG21)+LEN($A$2)+1,FIND(",",_xlfn.CONCAT(Lines!AG21,","),FIND($A$2,Lines!AG21))-FIND($A$2,Lines!AG21)-LEN($A$2)-1))</f>
        <v/>
      </c>
      <c r="AH21" s="30" t="str">
        <f>IF(ISERROR(FIND($A$2,Lines!AH21))=TRUE,"",MID(Lines!AH21,FIND($A$2,Lines!AH21)+LEN($A$2)+1,FIND(",",_xlfn.CONCAT(Lines!AH21,","),FIND($A$2,Lines!AH21))-FIND($A$2,Lines!AH21)-LEN($A$2)-1))</f>
        <v/>
      </c>
      <c r="AI21" s="30" t="str">
        <f>IF(ISERROR(FIND($A$2,Lines!AI21))=TRUE,"",MID(Lines!AI21,FIND($A$2,Lines!AI21)+LEN($A$2)+1,FIND(",",_xlfn.CONCAT(Lines!AI21,","),FIND($A$2,Lines!AI21))-FIND($A$2,Lines!AI21)-LEN($A$2)-1))</f>
        <v/>
      </c>
      <c r="AJ21" s="30" t="str">
        <f>IF(ISERROR(FIND($A$2,Lines!AJ21))=TRUE,"",MID(Lines!AJ21,FIND($A$2,Lines!AJ21)+LEN($A$2)+1,FIND(",",_xlfn.CONCAT(Lines!AJ21,","),FIND($A$2,Lines!AJ21))-FIND($A$2,Lines!AJ21)-LEN($A$2)-1))</f>
        <v/>
      </c>
      <c r="AK21" s="30" t="str">
        <f>IF(ISERROR(FIND($A$2,Lines!AK21))=TRUE,"",MID(Lines!AK21,FIND($A$2,Lines!AK21)+LEN($A$2)+1,FIND(",",_xlfn.CONCAT(Lines!AK21,","),FIND($A$2,Lines!AK21))-FIND($A$2,Lines!AK21)-LEN($A$2)-1))</f>
        <v/>
      </c>
      <c r="AL21" s="30" t="str">
        <f>IF(ISERROR(FIND($A$2,Lines!AL21))=TRUE,"",MID(Lines!AL21,FIND($A$2,Lines!AL21)+LEN($A$2)+1,FIND(",",_xlfn.CONCAT(Lines!AL21,","),FIND($A$2,Lines!AL21))-FIND($A$2,Lines!AL21)-LEN($A$2)-1))</f>
        <v/>
      </c>
      <c r="AM21" s="30" t="str">
        <f>IF(ISERROR(FIND($A$2,Lines!AM21))=TRUE,"",MID(Lines!AM21,FIND($A$2,Lines!AM21)+LEN($A$2)+1,FIND(",",_xlfn.CONCAT(Lines!AM21,","),FIND($A$2,Lines!AM21))-FIND($A$2,Lines!AM21)-LEN($A$2)-1))</f>
        <v/>
      </c>
      <c r="AN21" s="30" t="str">
        <f>IF(ISERROR(FIND($A$2,Lines!AN21))=TRUE,"",MID(Lines!AN21,FIND($A$2,Lines!AN21)+LEN($A$2)+1,FIND(",",_xlfn.CONCAT(Lines!AN21,","),FIND($A$2,Lines!AN21))-FIND($A$2,Lines!AN21)-LEN($A$2)-1))</f>
        <v/>
      </c>
      <c r="AO21" s="30" t="str">
        <f>IF(ISERROR(FIND($A$2,Lines!AO21))=TRUE,"",MID(Lines!AO21,FIND($A$2,Lines!AO21)+LEN($A$2)+1,FIND(",",_xlfn.CONCAT(Lines!AO21,","),FIND($A$2,Lines!AO21))-FIND($A$2,Lines!AO21)-LEN($A$2)-1))</f>
        <v/>
      </c>
      <c r="AP21" s="30" t="str">
        <f>IF(ISERROR(FIND($A$2,Lines!AP21))=TRUE,"",MID(Lines!AP21,FIND($A$2,Lines!AP21)+LEN($A$2)+1,FIND(",",_xlfn.CONCAT(Lines!AP21,","),FIND($A$2,Lines!AP21))-FIND($A$2,Lines!AP21)-LEN($A$2)-1))</f>
        <v/>
      </c>
      <c r="AQ21" s="30" t="str">
        <f>IF(ISERROR(FIND($A$2,Lines!AQ21))=TRUE,"",MID(Lines!AQ21,FIND($A$2,Lines!AQ21)+LEN($A$2)+1,FIND(",",_xlfn.CONCAT(Lines!AQ21,","),FIND($A$2,Lines!AQ21))-FIND($A$2,Lines!AQ21)-LEN($A$2)-1))</f>
        <v/>
      </c>
      <c r="AR21" s="30" t="str">
        <f>IF(ISERROR(FIND($A$2,Lines!AR21))=TRUE,"",MID(Lines!AR21,FIND($A$2,Lines!AR21)+LEN($A$2)+1,FIND(",",_xlfn.CONCAT(Lines!AR21,","),FIND($A$2,Lines!AR21))-FIND($A$2,Lines!AR21)-LEN($A$2)-1))</f>
        <v/>
      </c>
      <c r="AS21" s="30" t="str">
        <f>IF(ISERROR(FIND($A$2,Lines!AS21))=TRUE,"",MID(Lines!AS21,FIND($A$2,Lines!AS21)+LEN($A$2)+1,FIND(",",_xlfn.CONCAT(Lines!AS21,","),FIND($A$2,Lines!AS21))-FIND($A$2,Lines!AS21)-LEN($A$2)-1))</f>
        <v/>
      </c>
      <c r="AT21" s="30" t="str">
        <f>IF(ISERROR(FIND($A$2,Lines!AT21))=TRUE,"",MID(Lines!AT21,FIND($A$2,Lines!AT21)+LEN($A$2)+1,FIND(",",_xlfn.CONCAT(Lines!AT21,","),FIND($A$2,Lines!AT21))-FIND($A$2,Lines!AT21)-LEN($A$2)-1))</f>
        <v/>
      </c>
    </row>
    <row r="22" spans="1:46" ht="20.25" customHeight="1">
      <c r="A22" s="2" t="s">
        <v>70</v>
      </c>
      <c r="B22" s="30" t="str">
        <f>IF(ISERROR(FIND($A$2,Lines!B22))=TRUE,"",MID(Lines!B22,FIND($A$2,Lines!B22)+LEN($A$2)+1,FIND(",",_xlfn.CONCAT(Lines!B22,","),FIND($A$2,Lines!B22))-FIND($A$2,Lines!B22)-LEN($A$2)-1))</f>
        <v/>
      </c>
      <c r="C22" s="30" t="str">
        <f>IF(ISERROR(FIND($A$2,Lines!C22))=TRUE,"",MID(Lines!C22,FIND($A$2,Lines!C22)+LEN($A$2)+1,FIND(",",_xlfn.CONCAT(Lines!C22,","),FIND($A$2,Lines!C22))-FIND($A$2,Lines!C22)-LEN($A$2)-1))</f>
        <v/>
      </c>
      <c r="D22" s="30" t="str">
        <f>IF(ISERROR(FIND($A$2,Lines!D22))=TRUE,"",MID(Lines!D22,FIND($A$2,Lines!D22)+LEN($A$2)+1,FIND(",",_xlfn.CONCAT(Lines!D22,","),FIND($A$2,Lines!D22))-FIND($A$2,Lines!D22)-LEN($A$2)-1))</f>
        <v/>
      </c>
      <c r="E22" s="30" t="str">
        <f>IF(ISERROR(FIND($A$2,Lines!E22))=TRUE,"",MID(Lines!E22,FIND($A$2,Lines!E22)+LEN($A$2)+1,FIND(",",_xlfn.CONCAT(Lines!E22,","),FIND($A$2,Lines!E22))-FIND($A$2,Lines!E22)-LEN($A$2)-1))</f>
        <v/>
      </c>
      <c r="F22" s="30" t="str">
        <f>IF(ISERROR(FIND($A$2,Lines!F22))=TRUE,"",MID(Lines!F22,FIND($A$2,Lines!F22)+LEN($A$2)+1,FIND(",",_xlfn.CONCAT(Lines!F22,","),FIND($A$2,Lines!F22))-FIND($A$2,Lines!F22)-LEN($A$2)-1))</f>
        <v/>
      </c>
      <c r="G22" s="30" t="str">
        <f>IF(ISERROR(FIND($A$2,Lines!G22))=TRUE,"",MID(Lines!G22,FIND($A$2,Lines!G22)+LEN($A$2)+1,FIND(",",_xlfn.CONCAT(Lines!G22,","),FIND($A$2,Lines!G22))-FIND($A$2,Lines!G22)-LEN($A$2)-1))</f>
        <v/>
      </c>
      <c r="H22" s="30" t="str">
        <f>IF(ISERROR(FIND($A$2,Lines!H22))=TRUE,"",MID(Lines!H22,FIND($A$2,Lines!H22)+LEN($A$2)+1,FIND(",",_xlfn.CONCAT(Lines!H22,","),FIND($A$2,Lines!H22))-FIND($A$2,Lines!H22)-LEN($A$2)-1))</f>
        <v/>
      </c>
      <c r="I22" s="30" t="str">
        <f>IF(ISERROR(FIND($A$2,Lines!I22))=TRUE,"",MID(Lines!I22,FIND($A$2,Lines!I22)+LEN($A$2)+1,FIND(",",_xlfn.CONCAT(Lines!I22,","),FIND($A$2,Lines!I22))-FIND($A$2,Lines!I22)-LEN($A$2)-1))</f>
        <v/>
      </c>
      <c r="J22" s="30" t="str">
        <f>IF(ISERROR(FIND($A$2,Lines!J22))=TRUE,"",MID(Lines!J22,FIND($A$2,Lines!J22)+LEN($A$2)+1,FIND(",",_xlfn.CONCAT(Lines!J22,","),FIND($A$2,Lines!J22))-FIND($A$2,Lines!J22)-LEN($A$2)-1))</f>
        <v/>
      </c>
      <c r="K22" s="30" t="str">
        <f>IF(ISERROR(FIND($A$2,Lines!K22))=TRUE,"",MID(Lines!K22,FIND($A$2,Lines!K22)+LEN($A$2)+1,FIND(",",_xlfn.CONCAT(Lines!K22,","),FIND($A$2,Lines!K22))-FIND($A$2,Lines!K22)-LEN($A$2)-1))</f>
        <v/>
      </c>
      <c r="L22" s="30" t="str">
        <f>IF(ISERROR(FIND($A$2,Lines!L22))=TRUE,"",MID(Lines!L22,FIND($A$2,Lines!L22)+LEN($A$2)+1,FIND(",",_xlfn.CONCAT(Lines!L22,","),FIND($A$2,Lines!L22))-FIND($A$2,Lines!L22)-LEN($A$2)-1))</f>
        <v/>
      </c>
      <c r="M22" s="30" t="str">
        <f>IF(ISERROR(FIND($A$2,Lines!M22))=TRUE,"",MID(Lines!M22,FIND($A$2,Lines!M22)+LEN($A$2)+1,FIND(",",_xlfn.CONCAT(Lines!M22,","),FIND($A$2,Lines!M22))-FIND($A$2,Lines!M22)-LEN($A$2)-1))</f>
        <v/>
      </c>
      <c r="N22" s="32" t="str">
        <f>IF(ISERROR(FIND($A$2,Lines!N22))=TRUE,"",MID(Lines!N22,FIND($A$2,Lines!N22)+LEN($A$2)+1,FIND(",",_xlfn.CONCAT(Lines!N22,","),FIND($A$2,Lines!N22))-FIND($A$2,Lines!N22)-LEN($A$2)-1))</f>
        <v/>
      </c>
      <c r="O22" s="25" t="str">
        <f>IF(ISERROR(FIND($A$2,Lines!O22))=TRUE,"",MID(Lines!O22,FIND($A$2,Lines!O22)+LEN($A$2)+1,FIND(",",_xlfn.CONCAT(Lines!O22,","),FIND($A$2,Lines!O22))-FIND($A$2,Lines!O22)-LEN($A$2)-1))</f>
        <v/>
      </c>
      <c r="P22" s="25" t="str">
        <f>IF(ISERROR(FIND($A$2,Lines!P22))=TRUE,"",MID(Lines!P22,FIND($A$2,Lines!P22)+LEN($A$2)+1,FIND(",",_xlfn.CONCAT(Lines!P22,","),FIND($A$2,Lines!P22))-FIND($A$2,Lines!P22)-LEN($A$2)-1))</f>
        <v/>
      </c>
      <c r="Q22" s="25" t="str">
        <f>IF(ISERROR(FIND($A$2,Lines!Q22))=TRUE,"",MID(Lines!Q22,FIND($A$2,Lines!Q22)+LEN($A$2)+1,FIND(",",_xlfn.CONCAT(Lines!Q22,","),FIND($A$2,Lines!Q22))-FIND($A$2,Lines!Q22)-LEN($A$2)-1))</f>
        <v>5</v>
      </c>
      <c r="R22" s="25" t="str">
        <f>IF(ISERROR(FIND($A$2,Lines!R22))=TRUE,"",MID(Lines!R22,FIND($A$2,Lines!R22)+LEN($A$2)+1,FIND(",",_xlfn.CONCAT(Lines!R22,","),FIND($A$2,Lines!R22))-FIND($A$2,Lines!R22)-LEN($A$2)-1))</f>
        <v>1</v>
      </c>
      <c r="S22" s="25" t="str">
        <f>IF(ISERROR(FIND($A$2,Lines!S22))=TRUE,"",MID(Lines!S22,FIND($A$2,Lines!S22)+LEN($A$2)+1,FIND(",",_xlfn.CONCAT(Lines!S22,","),FIND($A$2,Lines!S22))-FIND($A$2,Lines!S22)-LEN($A$2)-1))</f>
        <v/>
      </c>
      <c r="T22" s="66" t="str">
        <f>IF(ISERROR(FIND($A$2,Lines!T22))=TRUE,"",MID(Lines!T22,FIND($A$2,Lines!T22)+LEN($A$2)+1,FIND(",",_xlfn.CONCAT(Lines!T22,","),FIND($A$2,Lines!T22))-FIND($A$2,Lines!T22)-LEN($A$2)-1))</f>
        <v/>
      </c>
      <c r="U22" s="25" t="str">
        <f>IF(ISERROR(FIND($A$2,Lines!U22))=TRUE,"",MID(Lines!U22,FIND($A$2,Lines!U22)+LEN($A$2)+1,FIND(",",_xlfn.CONCAT(Lines!U22,","),FIND($A$2,Lines!U22))-FIND($A$2,Lines!U22)-LEN($A$2)-1))</f>
        <v/>
      </c>
      <c r="V22" s="35" t="str">
        <f>IF(ISERROR(FIND($A$2,Lines!V22))=TRUE,"",MID(Lines!V22,FIND($A$2,Lines!V22)+LEN($A$2)+1,FIND(",",_xlfn.CONCAT(Lines!V22,","),FIND($A$2,Lines!V22))-FIND($A$2,Lines!V22)-LEN($A$2)-1))</f>
        <v/>
      </c>
      <c r="W22" s="36" t="str">
        <f>IF(ISERROR(FIND($A$2,Lines!W22))=TRUE,"",MID(Lines!W22,FIND($A$2,Lines!W22)+LEN($A$2)+1,FIND(",",_xlfn.CONCAT(Lines!W22,","),FIND($A$2,Lines!W22))-FIND($A$2,Lines!W22)-LEN($A$2)-1))</f>
        <v/>
      </c>
      <c r="X22" s="30" t="str">
        <f>IF(ISERROR(FIND($A$2,Lines!X22))=TRUE,"",MID(Lines!X22,FIND($A$2,Lines!X22)+LEN($A$2)+1,FIND(",",_xlfn.CONCAT(Lines!X22,","),FIND($A$2,Lines!X22))-FIND($A$2,Lines!X22)-LEN($A$2)-1))</f>
        <v/>
      </c>
      <c r="Y22" s="30" t="str">
        <f>IF(ISERROR(FIND($A$2,Lines!Y22))=TRUE,"",MID(Lines!Y22,FIND($A$2,Lines!Y22)+LEN($A$2)+1,FIND(",",_xlfn.CONCAT(Lines!Y22,","),FIND($A$2,Lines!Y22))-FIND($A$2,Lines!Y22)-LEN($A$2)-1))</f>
        <v/>
      </c>
      <c r="Z22" s="30" t="str">
        <f>IF(ISERROR(FIND($A$2,Lines!Z22))=TRUE,"",MID(Lines!Z22,FIND($A$2,Lines!Z22)+LEN($A$2)+1,FIND(",",_xlfn.CONCAT(Lines!Z22,","),FIND($A$2,Lines!Z22))-FIND($A$2,Lines!Z22)-LEN($A$2)-1))</f>
        <v/>
      </c>
      <c r="AA22" s="30" t="str">
        <f>IF(ISERROR(FIND($A$2,Lines!AA22))=TRUE,"",MID(Lines!AA22,FIND($A$2,Lines!AA22)+LEN($A$2)+1,FIND(",",_xlfn.CONCAT(Lines!AA22,","),FIND($A$2,Lines!AA22))-FIND($A$2,Lines!AA22)-LEN($A$2)-1))</f>
        <v/>
      </c>
      <c r="AB22" s="30" t="str">
        <f>IF(ISERROR(FIND($A$2,Lines!AB22))=TRUE,"",MID(Lines!AB22,FIND($A$2,Lines!AB22)+LEN($A$2)+1,FIND(",",_xlfn.CONCAT(Lines!AB22,","),FIND($A$2,Lines!AB22))-FIND($A$2,Lines!AB22)-LEN($A$2)-1))</f>
        <v/>
      </c>
      <c r="AC22" s="30" t="str">
        <f>IF(ISERROR(FIND($A$2,Lines!AC22))=TRUE,"",MID(Lines!AC22,FIND($A$2,Lines!AC22)+LEN($A$2)+1,FIND(",",_xlfn.CONCAT(Lines!AC22,","),FIND($A$2,Lines!AC22))-FIND($A$2,Lines!AC22)-LEN($A$2)-1))</f>
        <v/>
      </c>
      <c r="AD22" s="30" t="str">
        <f>IF(ISERROR(FIND($A$2,Lines!AD22))=TRUE,"",MID(Lines!AD22,FIND($A$2,Lines!AD22)+LEN($A$2)+1,FIND(",",_xlfn.CONCAT(Lines!AD22,","),FIND($A$2,Lines!AD22))-FIND($A$2,Lines!AD22)-LEN($A$2)-1))</f>
        <v/>
      </c>
      <c r="AE22" s="30" t="str">
        <f>IF(ISERROR(FIND($A$2,Lines!AE22))=TRUE,"",MID(Lines!AE22,FIND($A$2,Lines!AE22)+LEN($A$2)+1,FIND(",",_xlfn.CONCAT(Lines!AE22,","),FIND($A$2,Lines!AE22))-FIND($A$2,Lines!AE22)-LEN($A$2)-1))</f>
        <v/>
      </c>
      <c r="AF22" s="30" t="str">
        <f>IF(ISERROR(FIND($A$2,Lines!AF22))=TRUE,"",MID(Lines!AF22,FIND($A$2,Lines!AF22)+LEN($A$2)+1,FIND(",",_xlfn.CONCAT(Lines!AF22,","),FIND($A$2,Lines!AF22))-FIND($A$2,Lines!AF22)-LEN($A$2)-1))</f>
        <v/>
      </c>
      <c r="AG22" s="30" t="str">
        <f>IF(ISERROR(FIND($A$2,Lines!AG22))=TRUE,"",MID(Lines!AG22,FIND($A$2,Lines!AG22)+LEN($A$2)+1,FIND(",",_xlfn.CONCAT(Lines!AG22,","),FIND($A$2,Lines!AG22))-FIND($A$2,Lines!AG22)-LEN($A$2)-1))</f>
        <v/>
      </c>
      <c r="AH22" s="30" t="str">
        <f>IF(ISERROR(FIND($A$2,Lines!AH22))=TRUE,"",MID(Lines!AH22,FIND($A$2,Lines!AH22)+LEN($A$2)+1,FIND(",",_xlfn.CONCAT(Lines!AH22,","),FIND($A$2,Lines!AH22))-FIND($A$2,Lines!AH22)-LEN($A$2)-1))</f>
        <v/>
      </c>
      <c r="AI22" s="30" t="str">
        <f>IF(ISERROR(FIND($A$2,Lines!AI22))=TRUE,"",MID(Lines!AI22,FIND($A$2,Lines!AI22)+LEN($A$2)+1,FIND(",",_xlfn.CONCAT(Lines!AI22,","),FIND($A$2,Lines!AI22))-FIND($A$2,Lines!AI22)-LEN($A$2)-1))</f>
        <v/>
      </c>
      <c r="AJ22" s="30" t="str">
        <f>IF(ISERROR(FIND($A$2,Lines!AJ22))=TRUE,"",MID(Lines!AJ22,FIND($A$2,Lines!AJ22)+LEN($A$2)+1,FIND(",",_xlfn.CONCAT(Lines!AJ22,","),FIND($A$2,Lines!AJ22))-FIND($A$2,Lines!AJ22)-LEN($A$2)-1))</f>
        <v/>
      </c>
      <c r="AK22" s="30" t="str">
        <f>IF(ISERROR(FIND($A$2,Lines!AK22))=TRUE,"",MID(Lines!AK22,FIND($A$2,Lines!AK22)+LEN($A$2)+1,FIND(",",_xlfn.CONCAT(Lines!AK22,","),FIND($A$2,Lines!AK22))-FIND($A$2,Lines!AK22)-LEN($A$2)-1))</f>
        <v/>
      </c>
      <c r="AL22" s="30" t="str">
        <f>IF(ISERROR(FIND($A$2,Lines!AL22))=TRUE,"",MID(Lines!AL22,FIND($A$2,Lines!AL22)+LEN($A$2)+1,FIND(",",_xlfn.CONCAT(Lines!AL22,","),FIND($A$2,Lines!AL22))-FIND($A$2,Lines!AL22)-LEN($A$2)-1))</f>
        <v/>
      </c>
      <c r="AM22" s="30" t="str">
        <f>IF(ISERROR(FIND($A$2,Lines!AM22))=TRUE,"",MID(Lines!AM22,FIND($A$2,Lines!AM22)+LEN($A$2)+1,FIND(",",_xlfn.CONCAT(Lines!AM22,","),FIND($A$2,Lines!AM22))-FIND($A$2,Lines!AM22)-LEN($A$2)-1))</f>
        <v/>
      </c>
      <c r="AN22" s="30" t="str">
        <f>IF(ISERROR(FIND($A$2,Lines!AN22))=TRUE,"",MID(Lines!AN22,FIND($A$2,Lines!AN22)+LEN($A$2)+1,FIND(",",_xlfn.CONCAT(Lines!AN22,","),FIND($A$2,Lines!AN22))-FIND($A$2,Lines!AN22)-LEN($A$2)-1))</f>
        <v/>
      </c>
      <c r="AO22" s="30" t="str">
        <f>IF(ISERROR(FIND($A$2,Lines!AO22))=TRUE,"",MID(Lines!AO22,FIND($A$2,Lines!AO22)+LEN($A$2)+1,FIND(",",_xlfn.CONCAT(Lines!AO22,","),FIND($A$2,Lines!AO22))-FIND($A$2,Lines!AO22)-LEN($A$2)-1))</f>
        <v/>
      </c>
      <c r="AP22" s="30" t="str">
        <f>IF(ISERROR(FIND($A$2,Lines!AP22))=TRUE,"",MID(Lines!AP22,FIND($A$2,Lines!AP22)+LEN($A$2)+1,FIND(",",_xlfn.CONCAT(Lines!AP22,","),FIND($A$2,Lines!AP22))-FIND($A$2,Lines!AP22)-LEN($A$2)-1))</f>
        <v/>
      </c>
      <c r="AQ22" s="30" t="str">
        <f>IF(ISERROR(FIND($A$2,Lines!AQ22))=TRUE,"",MID(Lines!AQ22,FIND($A$2,Lines!AQ22)+LEN($A$2)+1,FIND(",",_xlfn.CONCAT(Lines!AQ22,","),FIND($A$2,Lines!AQ22))-FIND($A$2,Lines!AQ22)-LEN($A$2)-1))</f>
        <v/>
      </c>
      <c r="AR22" s="30" t="str">
        <f>IF(ISERROR(FIND($A$2,Lines!AR22))=TRUE,"",MID(Lines!AR22,FIND($A$2,Lines!AR22)+LEN($A$2)+1,FIND(",",_xlfn.CONCAT(Lines!AR22,","),FIND($A$2,Lines!AR22))-FIND($A$2,Lines!AR22)-LEN($A$2)-1))</f>
        <v/>
      </c>
      <c r="AS22" s="30" t="str">
        <f>IF(ISERROR(FIND($A$2,Lines!AS22))=TRUE,"",MID(Lines!AS22,FIND($A$2,Lines!AS22)+LEN($A$2)+1,FIND(",",_xlfn.CONCAT(Lines!AS22,","),FIND($A$2,Lines!AS22))-FIND($A$2,Lines!AS22)-LEN($A$2)-1))</f>
        <v/>
      </c>
      <c r="AT22" s="30" t="str">
        <f>IF(ISERROR(FIND($A$2,Lines!AT22))=TRUE,"",MID(Lines!AT22,FIND($A$2,Lines!AT22)+LEN($A$2)+1,FIND(",",_xlfn.CONCAT(Lines!AT22,","),FIND($A$2,Lines!AT22))-FIND($A$2,Lines!AT22)-LEN($A$2)-1))</f>
        <v/>
      </c>
    </row>
    <row r="23" spans="1:46" ht="20.25" customHeight="1">
      <c r="A23" s="2" t="s">
        <v>71</v>
      </c>
      <c r="B23" s="30" t="str">
        <f>IF(ISERROR(FIND($A$2,Lines!B23))=TRUE,"",MID(Lines!B23,FIND($A$2,Lines!B23)+LEN($A$2)+1,FIND(",",_xlfn.CONCAT(Lines!B23,","),FIND($A$2,Lines!B23))-FIND($A$2,Lines!B23)-LEN($A$2)-1))</f>
        <v/>
      </c>
      <c r="C23" s="30" t="str">
        <f>IF(ISERROR(FIND($A$2,Lines!C23))=TRUE,"",MID(Lines!C23,FIND($A$2,Lines!C23)+LEN($A$2)+1,FIND(",",_xlfn.CONCAT(Lines!C23,","),FIND($A$2,Lines!C23))-FIND($A$2,Lines!C23)-LEN($A$2)-1))</f>
        <v/>
      </c>
      <c r="D23" s="30" t="str">
        <f>IF(ISERROR(FIND($A$2,Lines!D23))=TRUE,"",MID(Lines!D23,FIND($A$2,Lines!D23)+LEN($A$2)+1,FIND(",",_xlfn.CONCAT(Lines!D23,","),FIND($A$2,Lines!D23))-FIND($A$2,Lines!D23)-LEN($A$2)-1))</f>
        <v/>
      </c>
      <c r="E23" s="30" t="str">
        <f>IF(ISERROR(FIND($A$2,Lines!E23))=TRUE,"",MID(Lines!E23,FIND($A$2,Lines!E23)+LEN($A$2)+1,FIND(",",_xlfn.CONCAT(Lines!E23,","),FIND($A$2,Lines!E23))-FIND($A$2,Lines!E23)-LEN($A$2)-1))</f>
        <v/>
      </c>
      <c r="F23" s="30" t="str">
        <f>IF(ISERROR(FIND($A$2,Lines!F23))=TRUE,"",MID(Lines!F23,FIND($A$2,Lines!F23)+LEN($A$2)+1,FIND(",",_xlfn.CONCAT(Lines!F23,","),FIND($A$2,Lines!F23))-FIND($A$2,Lines!F23)-LEN($A$2)-1))</f>
        <v/>
      </c>
      <c r="G23" s="30" t="str">
        <f>IF(ISERROR(FIND($A$2,Lines!G23))=TRUE,"",MID(Lines!G23,FIND($A$2,Lines!G23)+LEN($A$2)+1,FIND(",",_xlfn.CONCAT(Lines!G23,","),FIND($A$2,Lines!G23))-FIND($A$2,Lines!G23)-LEN($A$2)-1))</f>
        <v/>
      </c>
      <c r="H23" s="30" t="str">
        <f>IF(ISERROR(FIND($A$2,Lines!H23))=TRUE,"",MID(Lines!H23,FIND($A$2,Lines!H23)+LEN($A$2)+1,FIND(",",_xlfn.CONCAT(Lines!H23,","),FIND($A$2,Lines!H23))-FIND($A$2,Lines!H23)-LEN($A$2)-1))</f>
        <v/>
      </c>
      <c r="I23" s="30" t="str">
        <f>IF(ISERROR(FIND($A$2,Lines!I23))=TRUE,"",MID(Lines!I23,FIND($A$2,Lines!I23)+LEN($A$2)+1,FIND(",",_xlfn.CONCAT(Lines!I23,","),FIND($A$2,Lines!I23))-FIND($A$2,Lines!I23)-LEN($A$2)-1))</f>
        <v/>
      </c>
      <c r="J23" s="30" t="str">
        <f>IF(ISERROR(FIND($A$2,Lines!J23))=TRUE,"",MID(Lines!J23,FIND($A$2,Lines!J23)+LEN($A$2)+1,FIND(",",_xlfn.CONCAT(Lines!J23,","),FIND($A$2,Lines!J23))-FIND($A$2,Lines!J23)-LEN($A$2)-1))</f>
        <v/>
      </c>
      <c r="K23" s="30" t="str">
        <f>IF(ISERROR(FIND($A$2,Lines!K23))=TRUE,"",MID(Lines!K23,FIND($A$2,Lines!K23)+LEN($A$2)+1,FIND(",",_xlfn.CONCAT(Lines!K23,","),FIND($A$2,Lines!K23))-FIND($A$2,Lines!K23)-LEN($A$2)-1))</f>
        <v/>
      </c>
      <c r="L23" s="30" t="str">
        <f>IF(ISERROR(FIND($A$2,Lines!L23))=TRUE,"",MID(Lines!L23,FIND($A$2,Lines!L23)+LEN($A$2)+1,FIND(",",_xlfn.CONCAT(Lines!L23,","),FIND($A$2,Lines!L23))-FIND($A$2,Lines!L23)-LEN($A$2)-1))</f>
        <v/>
      </c>
      <c r="M23" s="30" t="str">
        <f>IF(ISERROR(FIND($A$2,Lines!M23))=TRUE,"",MID(Lines!M23,FIND($A$2,Lines!M23)+LEN($A$2)+1,FIND(",",_xlfn.CONCAT(Lines!M23,","),FIND($A$2,Lines!M23))-FIND($A$2,Lines!M23)-LEN($A$2)-1))</f>
        <v/>
      </c>
      <c r="N23" s="32" t="str">
        <f>IF(ISERROR(FIND($A$2,Lines!N23))=TRUE,"",MID(Lines!N23,FIND($A$2,Lines!N23)+LEN($A$2)+1,FIND(",",_xlfn.CONCAT(Lines!N23,","),FIND($A$2,Lines!N23))-FIND($A$2,Lines!N23)-LEN($A$2)-1))</f>
        <v/>
      </c>
      <c r="O23" s="25" t="str">
        <f>IF(ISERROR(FIND($A$2,Lines!O23))=TRUE,"",MID(Lines!O23,FIND($A$2,Lines!O23)+LEN($A$2)+1,FIND(",",_xlfn.CONCAT(Lines!O23,","),FIND($A$2,Lines!O23))-FIND($A$2,Lines!O23)-LEN($A$2)-1))</f>
        <v/>
      </c>
      <c r="P23" s="25" t="str">
        <f>IF(ISERROR(FIND($A$2,Lines!P23))=TRUE,"",MID(Lines!P23,FIND($A$2,Lines!P23)+LEN($A$2)+1,FIND(",",_xlfn.CONCAT(Lines!P23,","),FIND($A$2,Lines!P23))-FIND($A$2,Lines!P23)-LEN($A$2)-1))</f>
        <v/>
      </c>
      <c r="Q23" s="25" t="str">
        <f>IF(ISERROR(FIND($A$2,Lines!Q23))=TRUE,"",MID(Lines!Q23,FIND($A$2,Lines!Q23)+LEN($A$2)+1,FIND(",",_xlfn.CONCAT(Lines!Q23,","),FIND($A$2,Lines!Q23))-FIND($A$2,Lines!Q23)-LEN($A$2)-1))</f>
        <v/>
      </c>
      <c r="R23" s="25" t="str">
        <f>IF(ISERROR(FIND($A$2,Lines!R23))=TRUE,"",MID(Lines!R23,FIND($A$2,Lines!R23)+LEN($A$2)+1,FIND(",",_xlfn.CONCAT(Lines!R23,","),FIND($A$2,Lines!R23))-FIND($A$2,Lines!R23)-LEN($A$2)-1))</f>
        <v/>
      </c>
      <c r="S23" s="25" t="str">
        <f>IF(ISERROR(FIND($A$2,Lines!S23))=TRUE,"",MID(Lines!S23,FIND($A$2,Lines!S23)+LEN($A$2)+1,FIND(",",_xlfn.CONCAT(Lines!S23,","),FIND($A$2,Lines!S23))-FIND($A$2,Lines!S23)-LEN($A$2)-1))</f>
        <v/>
      </c>
      <c r="T23" s="25" t="str">
        <f>IF(ISERROR(FIND($A$2,Lines!T23))=TRUE,"",MID(Lines!T23,FIND($A$2,Lines!T23)+LEN($A$2)+1,FIND(",",_xlfn.CONCAT(Lines!T23,","),FIND($A$2,Lines!T23))-FIND($A$2,Lines!T23)-LEN($A$2)-1))</f>
        <v/>
      </c>
      <c r="U23" s="66" t="str">
        <f>IF(ISERROR(FIND($A$2,Lines!U23))=TRUE,"",MID(Lines!U23,FIND($A$2,Lines!U23)+LEN($A$2)+1,FIND(",",_xlfn.CONCAT(Lines!U23,","),FIND($A$2,Lines!U23))-FIND($A$2,Lines!U23)-LEN($A$2)-1))</f>
        <v/>
      </c>
      <c r="V23" s="35" t="str">
        <f>IF(ISERROR(FIND($A$2,Lines!V23))=TRUE,"",MID(Lines!V23,FIND($A$2,Lines!V23)+LEN($A$2)+1,FIND(",",_xlfn.CONCAT(Lines!V23,","),FIND($A$2,Lines!V23))-FIND($A$2,Lines!V23)-LEN($A$2)-1))</f>
        <v/>
      </c>
      <c r="W23" s="36" t="str">
        <f>IF(ISERROR(FIND($A$2,Lines!W23))=TRUE,"",MID(Lines!W23,FIND($A$2,Lines!W23)+LEN($A$2)+1,FIND(",",_xlfn.CONCAT(Lines!W23,","),FIND($A$2,Lines!W23))-FIND($A$2,Lines!W23)-LEN($A$2)-1))</f>
        <v/>
      </c>
      <c r="X23" s="30" t="str">
        <f>IF(ISERROR(FIND($A$2,Lines!X23))=TRUE,"",MID(Lines!X23,FIND($A$2,Lines!X23)+LEN($A$2)+1,FIND(",",_xlfn.CONCAT(Lines!X23,","),FIND($A$2,Lines!X23))-FIND($A$2,Lines!X23)-LEN($A$2)-1))</f>
        <v/>
      </c>
      <c r="Y23" s="30" t="str">
        <f>IF(ISERROR(FIND($A$2,Lines!Y23))=TRUE,"",MID(Lines!Y23,FIND($A$2,Lines!Y23)+LEN($A$2)+1,FIND(",",_xlfn.CONCAT(Lines!Y23,","),FIND($A$2,Lines!Y23))-FIND($A$2,Lines!Y23)-LEN($A$2)-1))</f>
        <v/>
      </c>
      <c r="Z23" s="30" t="str">
        <f>IF(ISERROR(FIND($A$2,Lines!Z23))=TRUE,"",MID(Lines!Z23,FIND($A$2,Lines!Z23)+LEN($A$2)+1,FIND(",",_xlfn.CONCAT(Lines!Z23,","),FIND($A$2,Lines!Z23))-FIND($A$2,Lines!Z23)-LEN($A$2)-1))</f>
        <v/>
      </c>
      <c r="AA23" s="30" t="str">
        <f>IF(ISERROR(FIND($A$2,Lines!AA23))=TRUE,"",MID(Lines!AA23,FIND($A$2,Lines!AA23)+LEN($A$2)+1,FIND(",",_xlfn.CONCAT(Lines!AA23,","),FIND($A$2,Lines!AA23))-FIND($A$2,Lines!AA23)-LEN($A$2)-1))</f>
        <v/>
      </c>
      <c r="AB23" s="30" t="str">
        <f>IF(ISERROR(FIND($A$2,Lines!AB23))=TRUE,"",MID(Lines!AB23,FIND($A$2,Lines!AB23)+LEN($A$2)+1,FIND(",",_xlfn.CONCAT(Lines!AB23,","),FIND($A$2,Lines!AB23))-FIND($A$2,Lines!AB23)-LEN($A$2)-1))</f>
        <v/>
      </c>
      <c r="AC23" s="30" t="str">
        <f>IF(ISERROR(FIND($A$2,Lines!AC23))=TRUE,"",MID(Lines!AC23,FIND($A$2,Lines!AC23)+LEN($A$2)+1,FIND(",",_xlfn.CONCAT(Lines!AC23,","),FIND($A$2,Lines!AC23))-FIND($A$2,Lines!AC23)-LEN($A$2)-1))</f>
        <v/>
      </c>
      <c r="AD23" s="30" t="str">
        <f>IF(ISERROR(FIND($A$2,Lines!AD23))=TRUE,"",MID(Lines!AD23,FIND($A$2,Lines!AD23)+LEN($A$2)+1,FIND(",",_xlfn.CONCAT(Lines!AD23,","),FIND($A$2,Lines!AD23))-FIND($A$2,Lines!AD23)-LEN($A$2)-1))</f>
        <v/>
      </c>
      <c r="AE23" s="30" t="str">
        <f>IF(ISERROR(FIND($A$2,Lines!AE23))=TRUE,"",MID(Lines!AE23,FIND($A$2,Lines!AE23)+LEN($A$2)+1,FIND(",",_xlfn.CONCAT(Lines!AE23,","),FIND($A$2,Lines!AE23))-FIND($A$2,Lines!AE23)-LEN($A$2)-1))</f>
        <v/>
      </c>
      <c r="AF23" s="30" t="str">
        <f>IF(ISERROR(FIND($A$2,Lines!AF23))=TRUE,"",MID(Lines!AF23,FIND($A$2,Lines!AF23)+LEN($A$2)+1,FIND(",",_xlfn.CONCAT(Lines!AF23,","),FIND($A$2,Lines!AF23))-FIND($A$2,Lines!AF23)-LEN($A$2)-1))</f>
        <v/>
      </c>
      <c r="AG23" s="30" t="str">
        <f>IF(ISERROR(FIND($A$2,Lines!AG23))=TRUE,"",MID(Lines!AG23,FIND($A$2,Lines!AG23)+LEN($A$2)+1,FIND(",",_xlfn.CONCAT(Lines!AG23,","),FIND($A$2,Lines!AG23))-FIND($A$2,Lines!AG23)-LEN($A$2)-1))</f>
        <v/>
      </c>
      <c r="AH23" s="30" t="str">
        <f>IF(ISERROR(FIND($A$2,Lines!AH23))=TRUE,"",MID(Lines!AH23,FIND($A$2,Lines!AH23)+LEN($A$2)+1,FIND(",",_xlfn.CONCAT(Lines!AH23,","),FIND($A$2,Lines!AH23))-FIND($A$2,Lines!AH23)-LEN($A$2)-1))</f>
        <v/>
      </c>
      <c r="AI23" s="30" t="str">
        <f>IF(ISERROR(FIND($A$2,Lines!AI23))=TRUE,"",MID(Lines!AI23,FIND($A$2,Lines!AI23)+LEN($A$2)+1,FIND(",",_xlfn.CONCAT(Lines!AI23,","),FIND($A$2,Lines!AI23))-FIND($A$2,Lines!AI23)-LEN($A$2)-1))</f>
        <v/>
      </c>
      <c r="AJ23" s="30" t="str">
        <f>IF(ISERROR(FIND($A$2,Lines!AJ23))=TRUE,"",MID(Lines!AJ23,FIND($A$2,Lines!AJ23)+LEN($A$2)+1,FIND(",",_xlfn.CONCAT(Lines!AJ23,","),FIND($A$2,Lines!AJ23))-FIND($A$2,Lines!AJ23)-LEN($A$2)-1))</f>
        <v/>
      </c>
      <c r="AK23" s="30" t="str">
        <f>IF(ISERROR(FIND($A$2,Lines!AK23))=TRUE,"",MID(Lines!AK23,FIND($A$2,Lines!AK23)+LEN($A$2)+1,FIND(",",_xlfn.CONCAT(Lines!AK23,","),FIND($A$2,Lines!AK23))-FIND($A$2,Lines!AK23)-LEN($A$2)-1))</f>
        <v/>
      </c>
      <c r="AL23" s="30" t="str">
        <f>IF(ISERROR(FIND($A$2,Lines!AL23))=TRUE,"",MID(Lines!AL23,FIND($A$2,Lines!AL23)+LEN($A$2)+1,FIND(",",_xlfn.CONCAT(Lines!AL23,","),FIND($A$2,Lines!AL23))-FIND($A$2,Lines!AL23)-LEN($A$2)-1))</f>
        <v/>
      </c>
      <c r="AM23" s="30" t="str">
        <f>IF(ISERROR(FIND($A$2,Lines!AM23))=TRUE,"",MID(Lines!AM23,FIND($A$2,Lines!AM23)+LEN($A$2)+1,FIND(",",_xlfn.CONCAT(Lines!AM23,","),FIND($A$2,Lines!AM23))-FIND($A$2,Lines!AM23)-LEN($A$2)-1))</f>
        <v/>
      </c>
      <c r="AN23" s="30" t="str">
        <f>IF(ISERROR(FIND($A$2,Lines!AN23))=TRUE,"",MID(Lines!AN23,FIND($A$2,Lines!AN23)+LEN($A$2)+1,FIND(",",_xlfn.CONCAT(Lines!AN23,","),FIND($A$2,Lines!AN23))-FIND($A$2,Lines!AN23)-LEN($A$2)-1))</f>
        <v/>
      </c>
      <c r="AO23" s="30" t="str">
        <f>IF(ISERROR(FIND($A$2,Lines!AO23))=TRUE,"",MID(Lines!AO23,FIND($A$2,Lines!AO23)+LEN($A$2)+1,FIND(",",_xlfn.CONCAT(Lines!AO23,","),FIND($A$2,Lines!AO23))-FIND($A$2,Lines!AO23)-LEN($A$2)-1))</f>
        <v/>
      </c>
      <c r="AP23" s="30" t="str">
        <f>IF(ISERROR(FIND($A$2,Lines!AP23))=TRUE,"",MID(Lines!AP23,FIND($A$2,Lines!AP23)+LEN($A$2)+1,FIND(",",_xlfn.CONCAT(Lines!AP23,","),FIND($A$2,Lines!AP23))-FIND($A$2,Lines!AP23)-LEN($A$2)-1))</f>
        <v/>
      </c>
      <c r="AQ23" s="30" t="str">
        <f>IF(ISERROR(FIND($A$2,Lines!AQ23))=TRUE,"",MID(Lines!AQ23,FIND($A$2,Lines!AQ23)+LEN($A$2)+1,FIND(",",_xlfn.CONCAT(Lines!AQ23,","),FIND($A$2,Lines!AQ23))-FIND($A$2,Lines!AQ23)-LEN($A$2)-1))</f>
        <v/>
      </c>
      <c r="AR23" s="30" t="str">
        <f>IF(ISERROR(FIND($A$2,Lines!AR23))=TRUE,"",MID(Lines!AR23,FIND($A$2,Lines!AR23)+LEN($A$2)+1,FIND(",",_xlfn.CONCAT(Lines!AR23,","),FIND($A$2,Lines!AR23))-FIND($A$2,Lines!AR23)-LEN($A$2)-1))</f>
        <v/>
      </c>
      <c r="AS23" s="30" t="str">
        <f>IF(ISERROR(FIND($A$2,Lines!AS23))=TRUE,"",MID(Lines!AS23,FIND($A$2,Lines!AS23)+LEN($A$2)+1,FIND(",",_xlfn.CONCAT(Lines!AS23,","),FIND($A$2,Lines!AS23))-FIND($A$2,Lines!AS23)-LEN($A$2)-1))</f>
        <v/>
      </c>
      <c r="AT23" s="30" t="str">
        <f>IF(ISERROR(FIND($A$2,Lines!AT23))=TRUE,"",MID(Lines!AT23,FIND($A$2,Lines!AT23)+LEN($A$2)+1,FIND(",",_xlfn.CONCAT(Lines!AT23,","),FIND($A$2,Lines!AT23))-FIND($A$2,Lines!AT23)-LEN($A$2)-1))</f>
        <v/>
      </c>
    </row>
    <row r="24" spans="1:46" ht="20.25" customHeight="1">
      <c r="A24" s="2" t="s">
        <v>72</v>
      </c>
      <c r="B24" s="30" t="str">
        <f>IF(ISERROR(FIND($A$2,Lines!B24))=TRUE,"",MID(Lines!B24,FIND($A$2,Lines!B24)+LEN($A$2)+1,FIND(",",_xlfn.CONCAT(Lines!B24,","),FIND($A$2,Lines!B24))-FIND($A$2,Lines!B24)-LEN($A$2)-1))</f>
        <v/>
      </c>
      <c r="C24" s="30" t="str">
        <f>IF(ISERROR(FIND($A$2,Lines!C24))=TRUE,"",MID(Lines!C24,FIND($A$2,Lines!C24)+LEN($A$2)+1,FIND(",",_xlfn.CONCAT(Lines!C24,","),FIND($A$2,Lines!C24))-FIND($A$2,Lines!C24)-LEN($A$2)-1))</f>
        <v/>
      </c>
      <c r="D24" s="30" t="str">
        <f>IF(ISERROR(FIND($A$2,Lines!D24))=TRUE,"",MID(Lines!D24,FIND($A$2,Lines!D24)+LEN($A$2)+1,FIND(",",_xlfn.CONCAT(Lines!D24,","),FIND($A$2,Lines!D24))-FIND($A$2,Lines!D24)-LEN($A$2)-1))</f>
        <v/>
      </c>
      <c r="E24" s="30" t="str">
        <f>IF(ISERROR(FIND($A$2,Lines!E24))=TRUE,"",MID(Lines!E24,FIND($A$2,Lines!E24)+LEN($A$2)+1,FIND(",",_xlfn.CONCAT(Lines!E24,","),FIND($A$2,Lines!E24))-FIND($A$2,Lines!E24)-LEN($A$2)-1))</f>
        <v/>
      </c>
      <c r="F24" s="30" t="str">
        <f>IF(ISERROR(FIND($A$2,Lines!F24))=TRUE,"",MID(Lines!F24,FIND($A$2,Lines!F24)+LEN($A$2)+1,FIND(",",_xlfn.CONCAT(Lines!F24,","),FIND($A$2,Lines!F24))-FIND($A$2,Lines!F24)-LEN($A$2)-1))</f>
        <v/>
      </c>
      <c r="G24" s="30" t="str">
        <f>IF(ISERROR(FIND($A$2,Lines!G24))=TRUE,"",MID(Lines!G24,FIND($A$2,Lines!G24)+LEN($A$2)+1,FIND(",",_xlfn.CONCAT(Lines!G24,","),FIND($A$2,Lines!G24))-FIND($A$2,Lines!G24)-LEN($A$2)-1))</f>
        <v/>
      </c>
      <c r="H24" s="30" t="str">
        <f>IF(ISERROR(FIND($A$2,Lines!H24))=TRUE,"",MID(Lines!H24,FIND($A$2,Lines!H24)+LEN($A$2)+1,FIND(",",_xlfn.CONCAT(Lines!H24,","),FIND($A$2,Lines!H24))-FIND($A$2,Lines!H24)-LEN($A$2)-1))</f>
        <v/>
      </c>
      <c r="I24" s="30" t="str">
        <f>IF(ISERROR(FIND($A$2,Lines!I24))=TRUE,"",MID(Lines!I24,FIND($A$2,Lines!I24)+LEN($A$2)+1,FIND(",",_xlfn.CONCAT(Lines!I24,","),FIND($A$2,Lines!I24))-FIND($A$2,Lines!I24)-LEN($A$2)-1))</f>
        <v/>
      </c>
      <c r="J24" s="30" t="str">
        <f>IF(ISERROR(FIND($A$2,Lines!J24))=TRUE,"",MID(Lines!J24,FIND($A$2,Lines!J24)+LEN($A$2)+1,FIND(",",_xlfn.CONCAT(Lines!J24,","),FIND($A$2,Lines!J24))-FIND($A$2,Lines!J24)-LEN($A$2)-1))</f>
        <v/>
      </c>
      <c r="K24" s="30" t="str">
        <f>IF(ISERROR(FIND($A$2,Lines!K24))=TRUE,"",MID(Lines!K24,FIND($A$2,Lines!K24)+LEN($A$2)+1,FIND(",",_xlfn.CONCAT(Lines!K24,","),FIND($A$2,Lines!K24))-FIND($A$2,Lines!K24)-LEN($A$2)-1))</f>
        <v/>
      </c>
      <c r="L24" s="30" t="str">
        <f>IF(ISERROR(FIND($A$2,Lines!L24))=TRUE,"",MID(Lines!L24,FIND($A$2,Lines!L24)+LEN($A$2)+1,FIND(",",_xlfn.CONCAT(Lines!L24,","),FIND($A$2,Lines!L24))-FIND($A$2,Lines!L24)-LEN($A$2)-1))</f>
        <v/>
      </c>
      <c r="M24" s="30" t="str">
        <f>IF(ISERROR(FIND($A$2,Lines!M24))=TRUE,"",MID(Lines!M24,FIND($A$2,Lines!M24)+LEN($A$2)+1,FIND(",",_xlfn.CONCAT(Lines!M24,","),FIND($A$2,Lines!M24))-FIND($A$2,Lines!M24)-LEN($A$2)-1))</f>
        <v/>
      </c>
      <c r="N24" s="37" t="str">
        <f>IF(ISERROR(FIND($A$2,Lines!N24))=TRUE,"",MID(Lines!N24,FIND($A$2,Lines!N24)+LEN($A$2)+1,FIND(",",_xlfn.CONCAT(Lines!N24,","),FIND($A$2,Lines!N24))-FIND($A$2,Lines!N24)-LEN($A$2)-1))</f>
        <v/>
      </c>
      <c r="O24" s="38" t="str">
        <f>IF(ISERROR(FIND($A$2,Lines!O24))=TRUE,"",MID(Lines!O24,FIND($A$2,Lines!O24)+LEN($A$2)+1,FIND(",",_xlfn.CONCAT(Lines!O24,","),FIND($A$2,Lines!O24))-FIND($A$2,Lines!O24)-LEN($A$2)-1))</f>
        <v/>
      </c>
      <c r="P24" s="38" t="str">
        <f>IF(ISERROR(FIND($A$2,Lines!P24))=TRUE,"",MID(Lines!P24,FIND($A$2,Lines!P24)+LEN($A$2)+1,FIND(",",_xlfn.CONCAT(Lines!P24,","),FIND($A$2,Lines!P24))-FIND($A$2,Lines!P24)-LEN($A$2)-1))</f>
        <v/>
      </c>
      <c r="Q24" s="38" t="str">
        <f>IF(ISERROR(FIND($A$2,Lines!Q24))=TRUE,"",MID(Lines!Q24,FIND($A$2,Lines!Q24)+LEN($A$2)+1,FIND(",",_xlfn.CONCAT(Lines!Q24,","),FIND($A$2,Lines!Q24))-FIND($A$2,Lines!Q24)-LEN($A$2)-1))</f>
        <v/>
      </c>
      <c r="R24" s="38" t="str">
        <f>IF(ISERROR(FIND($A$2,Lines!R24))=TRUE,"",MID(Lines!R24,FIND($A$2,Lines!R24)+LEN($A$2)+1,FIND(",",_xlfn.CONCAT(Lines!R24,","),FIND($A$2,Lines!R24))-FIND($A$2,Lines!R24)-LEN($A$2)-1))</f>
        <v/>
      </c>
      <c r="S24" s="38" t="str">
        <f>IF(ISERROR(FIND($A$2,Lines!S24))=TRUE,"",MID(Lines!S24,FIND($A$2,Lines!S24)+LEN($A$2)+1,FIND(",",_xlfn.CONCAT(Lines!S24,","),FIND($A$2,Lines!S24))-FIND($A$2,Lines!S24)-LEN($A$2)-1))</f>
        <v/>
      </c>
      <c r="T24" s="38" t="str">
        <f>IF(ISERROR(FIND($A$2,Lines!T24))=TRUE,"",MID(Lines!T24,FIND($A$2,Lines!T24)+LEN($A$2)+1,FIND(",",_xlfn.CONCAT(Lines!T24,","),FIND($A$2,Lines!T24))-FIND($A$2,Lines!T24)-LEN($A$2)-1))</f>
        <v/>
      </c>
      <c r="U24" s="38" t="str">
        <f>IF(ISERROR(FIND($A$2,Lines!U24))=TRUE,"",MID(Lines!U24,FIND($A$2,Lines!U24)+LEN($A$2)+1,FIND(",",_xlfn.CONCAT(Lines!U24,","),FIND($A$2,Lines!U24))-FIND($A$2,Lines!U24)-LEN($A$2)-1))</f>
        <v/>
      </c>
      <c r="V24" s="67" t="str">
        <f>IF(ISERROR(FIND($A$2,Lines!V24))=TRUE,"",MID(Lines!V24,FIND($A$2,Lines!V24)+LEN($A$2)+1,FIND(",",_xlfn.CONCAT(Lines!V24,","),FIND($A$2,Lines!V24))-FIND($A$2,Lines!V24)-LEN($A$2)-1))</f>
        <v/>
      </c>
      <c r="W24" s="36" t="str">
        <f>IF(ISERROR(FIND($A$2,Lines!W24))=TRUE,"",MID(Lines!W24,FIND($A$2,Lines!W24)+LEN($A$2)+1,FIND(",",_xlfn.CONCAT(Lines!W24,","),FIND($A$2,Lines!W24))-FIND($A$2,Lines!W24)-LEN($A$2)-1))</f>
        <v/>
      </c>
      <c r="X24" s="30" t="str">
        <f>IF(ISERROR(FIND($A$2,Lines!X24))=TRUE,"",MID(Lines!X24,FIND($A$2,Lines!X24)+LEN($A$2)+1,FIND(",",_xlfn.CONCAT(Lines!X24,","),FIND($A$2,Lines!X24))-FIND($A$2,Lines!X24)-LEN($A$2)-1))</f>
        <v/>
      </c>
      <c r="Y24" s="30" t="str">
        <f>IF(ISERROR(FIND($A$2,Lines!Y24))=TRUE,"",MID(Lines!Y24,FIND($A$2,Lines!Y24)+LEN($A$2)+1,FIND(",",_xlfn.CONCAT(Lines!Y24,","),FIND($A$2,Lines!Y24))-FIND($A$2,Lines!Y24)-LEN($A$2)-1))</f>
        <v/>
      </c>
      <c r="Z24" s="30" t="str">
        <f>IF(ISERROR(FIND($A$2,Lines!Z24))=TRUE,"",MID(Lines!Z24,FIND($A$2,Lines!Z24)+LEN($A$2)+1,FIND(",",_xlfn.CONCAT(Lines!Z24,","),FIND($A$2,Lines!Z24))-FIND($A$2,Lines!Z24)-LEN($A$2)-1))</f>
        <v/>
      </c>
      <c r="AA24" s="30" t="str">
        <f>IF(ISERROR(FIND($A$2,Lines!AA24))=TRUE,"",MID(Lines!AA24,FIND($A$2,Lines!AA24)+LEN($A$2)+1,FIND(",",_xlfn.CONCAT(Lines!AA24,","),FIND($A$2,Lines!AA24))-FIND($A$2,Lines!AA24)-LEN($A$2)-1))</f>
        <v/>
      </c>
      <c r="AB24" s="30" t="str">
        <f>IF(ISERROR(FIND($A$2,Lines!AB24))=TRUE,"",MID(Lines!AB24,FIND($A$2,Lines!AB24)+LEN($A$2)+1,FIND(",",_xlfn.CONCAT(Lines!AB24,","),FIND($A$2,Lines!AB24))-FIND($A$2,Lines!AB24)-LEN($A$2)-1))</f>
        <v/>
      </c>
      <c r="AC24" s="30" t="str">
        <f>IF(ISERROR(FIND($A$2,Lines!AC24))=TRUE,"",MID(Lines!AC24,FIND($A$2,Lines!AC24)+LEN($A$2)+1,FIND(",",_xlfn.CONCAT(Lines!AC24,","),FIND($A$2,Lines!AC24))-FIND($A$2,Lines!AC24)-LEN($A$2)-1))</f>
        <v/>
      </c>
      <c r="AD24" s="30" t="str">
        <f>IF(ISERROR(FIND($A$2,Lines!AD24))=TRUE,"",MID(Lines!AD24,FIND($A$2,Lines!AD24)+LEN($A$2)+1,FIND(",",_xlfn.CONCAT(Lines!AD24,","),FIND($A$2,Lines!AD24))-FIND($A$2,Lines!AD24)-LEN($A$2)-1))</f>
        <v/>
      </c>
      <c r="AE24" s="30" t="str">
        <f>IF(ISERROR(FIND($A$2,Lines!AE24))=TRUE,"",MID(Lines!AE24,FIND($A$2,Lines!AE24)+LEN($A$2)+1,FIND(",",_xlfn.CONCAT(Lines!AE24,","),FIND($A$2,Lines!AE24))-FIND($A$2,Lines!AE24)-LEN($A$2)-1))</f>
        <v/>
      </c>
      <c r="AF24" s="30" t="str">
        <f>IF(ISERROR(FIND($A$2,Lines!AF24))=TRUE,"",MID(Lines!AF24,FIND($A$2,Lines!AF24)+LEN($A$2)+1,FIND(",",_xlfn.CONCAT(Lines!AF24,","),FIND($A$2,Lines!AF24))-FIND($A$2,Lines!AF24)-LEN($A$2)-1))</f>
        <v/>
      </c>
      <c r="AG24" s="30" t="str">
        <f>IF(ISERROR(FIND($A$2,Lines!AG24))=TRUE,"",MID(Lines!AG24,FIND($A$2,Lines!AG24)+LEN($A$2)+1,FIND(",",_xlfn.CONCAT(Lines!AG24,","),FIND($A$2,Lines!AG24))-FIND($A$2,Lines!AG24)-LEN($A$2)-1))</f>
        <v/>
      </c>
      <c r="AH24" s="30" t="str">
        <f>IF(ISERROR(FIND($A$2,Lines!AH24))=TRUE,"",MID(Lines!AH24,FIND($A$2,Lines!AH24)+LEN($A$2)+1,FIND(",",_xlfn.CONCAT(Lines!AH24,","),FIND($A$2,Lines!AH24))-FIND($A$2,Lines!AH24)-LEN($A$2)-1))</f>
        <v/>
      </c>
      <c r="AI24" s="30" t="str">
        <f>IF(ISERROR(FIND($A$2,Lines!AI24))=TRUE,"",MID(Lines!AI24,FIND($A$2,Lines!AI24)+LEN($A$2)+1,FIND(",",_xlfn.CONCAT(Lines!AI24,","),FIND($A$2,Lines!AI24))-FIND($A$2,Lines!AI24)-LEN($A$2)-1))</f>
        <v/>
      </c>
      <c r="AJ24" s="30" t="str">
        <f>IF(ISERROR(FIND($A$2,Lines!AJ24))=TRUE,"",MID(Lines!AJ24,FIND($A$2,Lines!AJ24)+LEN($A$2)+1,FIND(",",_xlfn.CONCAT(Lines!AJ24,","),FIND($A$2,Lines!AJ24))-FIND($A$2,Lines!AJ24)-LEN($A$2)-1))</f>
        <v/>
      </c>
      <c r="AK24" s="30" t="str">
        <f>IF(ISERROR(FIND($A$2,Lines!AK24))=TRUE,"",MID(Lines!AK24,FIND($A$2,Lines!AK24)+LEN($A$2)+1,FIND(",",_xlfn.CONCAT(Lines!AK24,","),FIND($A$2,Lines!AK24))-FIND($A$2,Lines!AK24)-LEN($A$2)-1))</f>
        <v/>
      </c>
      <c r="AL24" s="30" t="str">
        <f>IF(ISERROR(FIND($A$2,Lines!AL24))=TRUE,"",MID(Lines!AL24,FIND($A$2,Lines!AL24)+LEN($A$2)+1,FIND(",",_xlfn.CONCAT(Lines!AL24,","),FIND($A$2,Lines!AL24))-FIND($A$2,Lines!AL24)-LEN($A$2)-1))</f>
        <v/>
      </c>
      <c r="AM24" s="30" t="str">
        <f>IF(ISERROR(FIND($A$2,Lines!AM24))=TRUE,"",MID(Lines!AM24,FIND($A$2,Lines!AM24)+LEN($A$2)+1,FIND(",",_xlfn.CONCAT(Lines!AM24,","),FIND($A$2,Lines!AM24))-FIND($A$2,Lines!AM24)-LEN($A$2)-1))</f>
        <v/>
      </c>
      <c r="AN24" s="30" t="str">
        <f>IF(ISERROR(FIND($A$2,Lines!AN24))=TRUE,"",MID(Lines!AN24,FIND($A$2,Lines!AN24)+LEN($A$2)+1,FIND(",",_xlfn.CONCAT(Lines!AN24,","),FIND($A$2,Lines!AN24))-FIND($A$2,Lines!AN24)-LEN($A$2)-1))</f>
        <v/>
      </c>
      <c r="AO24" s="30" t="str">
        <f>IF(ISERROR(FIND($A$2,Lines!AO24))=TRUE,"",MID(Lines!AO24,FIND($A$2,Lines!AO24)+LEN($A$2)+1,FIND(",",_xlfn.CONCAT(Lines!AO24,","),FIND($A$2,Lines!AO24))-FIND($A$2,Lines!AO24)-LEN($A$2)-1))</f>
        <v/>
      </c>
      <c r="AP24" s="30" t="str">
        <f>IF(ISERROR(FIND($A$2,Lines!AP24))=TRUE,"",MID(Lines!AP24,FIND($A$2,Lines!AP24)+LEN($A$2)+1,FIND(",",_xlfn.CONCAT(Lines!AP24,","),FIND($A$2,Lines!AP24))-FIND($A$2,Lines!AP24)-LEN($A$2)-1))</f>
        <v/>
      </c>
      <c r="AQ24" s="30" t="str">
        <f>IF(ISERROR(FIND($A$2,Lines!AQ24))=TRUE,"",MID(Lines!AQ24,FIND($A$2,Lines!AQ24)+LEN($A$2)+1,FIND(",",_xlfn.CONCAT(Lines!AQ24,","),FIND($A$2,Lines!AQ24))-FIND($A$2,Lines!AQ24)-LEN($A$2)-1))</f>
        <v/>
      </c>
      <c r="AR24" s="30" t="str">
        <f>IF(ISERROR(FIND($A$2,Lines!AR24))=TRUE,"",MID(Lines!AR24,FIND($A$2,Lines!AR24)+LEN($A$2)+1,FIND(",",_xlfn.CONCAT(Lines!AR24,","),FIND($A$2,Lines!AR24))-FIND($A$2,Lines!AR24)-LEN($A$2)-1))</f>
        <v/>
      </c>
      <c r="AS24" s="30" t="str">
        <f>IF(ISERROR(FIND($A$2,Lines!AS24))=TRUE,"",MID(Lines!AS24,FIND($A$2,Lines!AS24)+LEN($A$2)+1,FIND(",",_xlfn.CONCAT(Lines!AS24,","),FIND($A$2,Lines!AS24))-FIND($A$2,Lines!AS24)-LEN($A$2)-1))</f>
        <v/>
      </c>
      <c r="AT24" s="30" t="str">
        <f>IF(ISERROR(FIND($A$2,Lines!AT24))=TRUE,"",MID(Lines!AT24,FIND($A$2,Lines!AT24)+LEN($A$2)+1,FIND(",",_xlfn.CONCAT(Lines!AT24,","),FIND($A$2,Lines!AT24))-FIND($A$2,Lines!AT24)-LEN($A$2)-1))</f>
        <v/>
      </c>
    </row>
    <row r="25" spans="1:46" ht="20.25" customHeight="1">
      <c r="A25" s="2" t="s">
        <v>73</v>
      </c>
      <c r="B25" s="36" t="str">
        <f>IF(ISERROR(FIND($A$2,Lines!B25))=TRUE,"",MID(Lines!B25,FIND($A$2,Lines!B25)+LEN($A$2)+1,FIND(",",_xlfn.CONCAT(Lines!B25,","),FIND($A$2,Lines!B25))-FIND($A$2,Lines!B25)-LEN($A$2)-1))</f>
        <v/>
      </c>
      <c r="C25" s="36" t="str">
        <f>IF(ISERROR(FIND($A$2,Lines!C25))=TRUE,"",MID(Lines!C25,FIND($A$2,Lines!C25)+LEN($A$2)+1,FIND(",",_xlfn.CONCAT(Lines!C25,","),FIND($A$2,Lines!C25))-FIND($A$2,Lines!C25)-LEN($A$2)-1))</f>
        <v/>
      </c>
      <c r="D25" s="36" t="str">
        <f>IF(ISERROR(FIND($A$2,Lines!D25))=TRUE,"",MID(Lines!D25,FIND($A$2,Lines!D25)+LEN($A$2)+1,FIND(",",_xlfn.CONCAT(Lines!D25,","),FIND($A$2,Lines!D25))-FIND($A$2,Lines!D25)-LEN($A$2)-1))</f>
        <v/>
      </c>
      <c r="E25" s="36" t="str">
        <f>IF(ISERROR(FIND($A$2,Lines!E25))=TRUE,"",MID(Lines!E25,FIND($A$2,Lines!E25)+LEN($A$2)+1,FIND(",",_xlfn.CONCAT(Lines!E25,","),FIND($A$2,Lines!E25))-FIND($A$2,Lines!E25)-LEN($A$2)-1))</f>
        <v/>
      </c>
      <c r="F25" s="36" t="str">
        <f>IF(ISERROR(FIND($A$2,Lines!F25))=TRUE,"",MID(Lines!F25,FIND($A$2,Lines!F25)+LEN($A$2)+1,FIND(",",_xlfn.CONCAT(Lines!F25,","),FIND($A$2,Lines!F25))-FIND($A$2,Lines!F25)-LEN($A$2)-1))</f>
        <v/>
      </c>
      <c r="G25" s="36" t="str">
        <f>IF(ISERROR(FIND($A$2,Lines!G25))=TRUE,"",MID(Lines!G25,FIND($A$2,Lines!G25)+LEN($A$2)+1,FIND(",",_xlfn.CONCAT(Lines!G25,","),FIND($A$2,Lines!G25))-FIND($A$2,Lines!G25)-LEN($A$2)-1))</f>
        <v/>
      </c>
      <c r="H25" s="36" t="str">
        <f>IF(ISERROR(FIND($A$2,Lines!H25))=TRUE,"",MID(Lines!H25,FIND($A$2,Lines!H25)+LEN($A$2)+1,FIND(",",_xlfn.CONCAT(Lines!H25,","),FIND($A$2,Lines!H25))-FIND($A$2,Lines!H25)-LEN($A$2)-1))</f>
        <v/>
      </c>
      <c r="I25" s="36" t="str">
        <f>IF(ISERROR(FIND($A$2,Lines!I25))=TRUE,"",MID(Lines!I25,FIND($A$2,Lines!I25)+LEN($A$2)+1,FIND(",",_xlfn.CONCAT(Lines!I25,","),FIND($A$2,Lines!I25))-FIND($A$2,Lines!I25)-LEN($A$2)-1))</f>
        <v/>
      </c>
      <c r="J25" s="36" t="str">
        <f>IF(ISERROR(FIND($A$2,Lines!J25))=TRUE,"",MID(Lines!J25,FIND($A$2,Lines!J25)+LEN($A$2)+1,FIND(",",_xlfn.CONCAT(Lines!J25,","),FIND($A$2,Lines!J25))-FIND($A$2,Lines!J25)-LEN($A$2)-1))</f>
        <v/>
      </c>
      <c r="K25" s="36" t="str">
        <f>IF(ISERROR(FIND($A$2,Lines!K25))=TRUE,"",MID(Lines!K25,FIND($A$2,Lines!K25)+LEN($A$2)+1,FIND(",",_xlfn.CONCAT(Lines!K25,","),FIND($A$2,Lines!K25))-FIND($A$2,Lines!K25)-LEN($A$2)-1))</f>
        <v/>
      </c>
      <c r="L25" s="36" t="str">
        <f>IF(ISERROR(FIND($A$2,Lines!L25))=TRUE,"",MID(Lines!L25,FIND($A$2,Lines!L25)+LEN($A$2)+1,FIND(",",_xlfn.CONCAT(Lines!L25,","),FIND($A$2,Lines!L25))-FIND($A$2,Lines!L25)-LEN($A$2)-1))</f>
        <v/>
      </c>
      <c r="M25" s="36" t="str">
        <f>IF(ISERROR(FIND($A$2,Lines!M25))=TRUE,"",MID(Lines!M25,FIND($A$2,Lines!M25)+LEN($A$2)+1,FIND(",",_xlfn.CONCAT(Lines!M25,","),FIND($A$2,Lines!M25))-FIND($A$2,Lines!M25)-LEN($A$2)-1))</f>
        <v/>
      </c>
      <c r="N25" s="36" t="str">
        <f>IF(ISERROR(FIND($A$2,Lines!N25))=TRUE,"",MID(Lines!N25,FIND($A$2,Lines!N25)+LEN($A$2)+1,FIND(",",_xlfn.CONCAT(Lines!N25,","),FIND($A$2,Lines!N25))-FIND($A$2,Lines!N25)-LEN($A$2)-1))</f>
        <v/>
      </c>
      <c r="O25" s="36" t="str">
        <f>IF(ISERROR(FIND($A$2,Lines!O25))=TRUE,"",MID(Lines!O25,FIND($A$2,Lines!O25)+LEN($A$2)+1,FIND(",",_xlfn.CONCAT(Lines!O25,","),FIND($A$2,Lines!O25))-FIND($A$2,Lines!O25)-LEN($A$2)-1))</f>
        <v/>
      </c>
      <c r="P25" s="36" t="str">
        <f>IF(ISERROR(FIND($A$2,Lines!P25))=TRUE,"",MID(Lines!P25,FIND($A$2,Lines!P25)+LEN($A$2)+1,FIND(",",_xlfn.CONCAT(Lines!P25,","),FIND($A$2,Lines!P25))-FIND($A$2,Lines!P25)-LEN($A$2)-1))</f>
        <v/>
      </c>
      <c r="Q25" s="36" t="str">
        <f>IF(ISERROR(FIND($A$2,Lines!Q25))=TRUE,"",MID(Lines!Q25,FIND($A$2,Lines!Q25)+LEN($A$2)+1,FIND(",",_xlfn.CONCAT(Lines!Q25,","),FIND($A$2,Lines!Q25))-FIND($A$2,Lines!Q25)-LEN($A$2)-1))</f>
        <v/>
      </c>
      <c r="R25" s="36" t="str">
        <f>IF(ISERROR(FIND($A$2,Lines!R25))=TRUE,"",MID(Lines!R25,FIND($A$2,Lines!R25)+LEN($A$2)+1,FIND(",",_xlfn.CONCAT(Lines!R25,","),FIND($A$2,Lines!R25))-FIND($A$2,Lines!R25)-LEN($A$2)-1))</f>
        <v/>
      </c>
      <c r="S25" s="36" t="str">
        <f>IF(ISERROR(FIND($A$2,Lines!S25))=TRUE,"",MID(Lines!S25,FIND($A$2,Lines!S25)+LEN($A$2)+1,FIND(",",_xlfn.CONCAT(Lines!S25,","),FIND($A$2,Lines!S25))-FIND($A$2,Lines!S25)-LEN($A$2)-1))</f>
        <v/>
      </c>
      <c r="T25" s="36" t="str">
        <f>IF(ISERROR(FIND($A$2,Lines!T25))=TRUE,"",MID(Lines!T25,FIND($A$2,Lines!T25)+LEN($A$2)+1,FIND(",",_xlfn.CONCAT(Lines!T25,","),FIND($A$2,Lines!T25))-FIND($A$2,Lines!T25)-LEN($A$2)-1))</f>
        <v/>
      </c>
      <c r="U25" s="36" t="str">
        <f>IF(ISERROR(FIND($A$2,Lines!U25))=TRUE,"",MID(Lines!U25,FIND($A$2,Lines!U25)+LEN($A$2)+1,FIND(",",_xlfn.CONCAT(Lines!U25,","),FIND($A$2,Lines!U25))-FIND($A$2,Lines!U25)-LEN($A$2)-1))</f>
        <v/>
      </c>
      <c r="V25" s="36" t="str">
        <f>IF(ISERROR(FIND($A$2,Lines!V25))=TRUE,"",MID(Lines!V25,FIND($A$2,Lines!V25)+LEN($A$2)+1,FIND(",",_xlfn.CONCAT(Lines!V25,","),FIND($A$2,Lines!V25))-FIND($A$2,Lines!V25)-LEN($A$2)-1))</f>
        <v/>
      </c>
      <c r="W25" s="36" t="str">
        <f>IF(ISERROR(FIND($A$2,Lines!W25))=TRUE,"",MID(Lines!W25,FIND($A$2,Lines!W25)+LEN($A$2)+1,FIND(",",_xlfn.CONCAT(Lines!W25,","),FIND($A$2,Lines!W25))-FIND($A$2,Lines!W25)-LEN($A$2)-1))</f>
        <v/>
      </c>
      <c r="X25" s="36" t="str">
        <f>IF(ISERROR(FIND($A$2,Lines!X25))=TRUE,"",MID(Lines!X25,FIND($A$2,Lines!X25)+LEN($A$2)+1,FIND(",",_xlfn.CONCAT(Lines!X25,","),FIND($A$2,Lines!X25))-FIND($A$2,Lines!X25)-LEN($A$2)-1))</f>
        <v/>
      </c>
      <c r="Y25" s="36" t="str">
        <f>IF(ISERROR(FIND($A$2,Lines!Y25))=TRUE,"",MID(Lines!Y25,FIND($A$2,Lines!Y25)+LEN($A$2)+1,FIND(",",_xlfn.CONCAT(Lines!Y25,","),FIND($A$2,Lines!Y25))-FIND($A$2,Lines!Y25)-LEN($A$2)-1))</f>
        <v/>
      </c>
      <c r="Z25" s="36" t="str">
        <f>IF(ISERROR(FIND($A$2,Lines!Z25))=TRUE,"",MID(Lines!Z25,FIND($A$2,Lines!Z25)+LEN($A$2)+1,FIND(",",_xlfn.CONCAT(Lines!Z25,","),FIND($A$2,Lines!Z25))-FIND($A$2,Lines!Z25)-LEN($A$2)-1))</f>
        <v/>
      </c>
      <c r="AA25" s="36" t="str">
        <f>IF(ISERROR(FIND($A$2,Lines!AA25))=TRUE,"",MID(Lines!AA25,FIND($A$2,Lines!AA25)+LEN($A$2)+1,FIND(",",_xlfn.CONCAT(Lines!AA25,","),FIND($A$2,Lines!AA25))-FIND($A$2,Lines!AA25)-LEN($A$2)-1))</f>
        <v/>
      </c>
      <c r="AB25" s="36" t="str">
        <f>IF(ISERROR(FIND($A$2,Lines!AB25))=TRUE,"",MID(Lines!AB25,FIND($A$2,Lines!AB25)+LEN($A$2)+1,FIND(",",_xlfn.CONCAT(Lines!AB25,","),FIND($A$2,Lines!AB25))-FIND($A$2,Lines!AB25)-LEN($A$2)-1))</f>
        <v/>
      </c>
      <c r="AC25" s="36" t="str">
        <f>IF(ISERROR(FIND($A$2,Lines!AC25))=TRUE,"",MID(Lines!AC25,FIND($A$2,Lines!AC25)+LEN($A$2)+1,FIND(",",_xlfn.CONCAT(Lines!AC25,","),FIND($A$2,Lines!AC25))-FIND($A$2,Lines!AC25)-LEN($A$2)-1))</f>
        <v/>
      </c>
      <c r="AD25" s="36" t="str">
        <f>IF(ISERROR(FIND($A$2,Lines!AD25))=TRUE,"",MID(Lines!AD25,FIND($A$2,Lines!AD25)+LEN($A$2)+1,FIND(",",_xlfn.CONCAT(Lines!AD25,","),FIND($A$2,Lines!AD25))-FIND($A$2,Lines!AD25)-LEN($A$2)-1))</f>
        <v/>
      </c>
      <c r="AE25" s="36" t="str">
        <f>IF(ISERROR(FIND($A$2,Lines!AE25))=TRUE,"",MID(Lines!AE25,FIND($A$2,Lines!AE25)+LEN($A$2)+1,FIND(",",_xlfn.CONCAT(Lines!AE25,","),FIND($A$2,Lines!AE25))-FIND($A$2,Lines!AE25)-LEN($A$2)-1))</f>
        <v/>
      </c>
      <c r="AF25" s="36" t="str">
        <f>IF(ISERROR(FIND($A$2,Lines!AF25))=TRUE,"",MID(Lines!AF25,FIND($A$2,Lines!AF25)+LEN($A$2)+1,FIND(",",_xlfn.CONCAT(Lines!AF25,","),FIND($A$2,Lines!AF25))-FIND($A$2,Lines!AF25)-LEN($A$2)-1))</f>
        <v/>
      </c>
      <c r="AG25" s="36" t="str">
        <f>IF(ISERROR(FIND($A$2,Lines!AG25))=TRUE,"",MID(Lines!AG25,FIND($A$2,Lines!AG25)+LEN($A$2)+1,FIND(",",_xlfn.CONCAT(Lines!AG25,","),FIND($A$2,Lines!AG25))-FIND($A$2,Lines!AG25)-LEN($A$2)-1))</f>
        <v/>
      </c>
      <c r="AH25" s="36" t="str">
        <f>IF(ISERROR(FIND($A$2,Lines!AH25))=TRUE,"",MID(Lines!AH25,FIND($A$2,Lines!AH25)+LEN($A$2)+1,FIND(",",_xlfn.CONCAT(Lines!AH25,","),FIND($A$2,Lines!AH25))-FIND($A$2,Lines!AH25)-LEN($A$2)-1))</f>
        <v/>
      </c>
      <c r="AI25" s="36" t="str">
        <f>IF(ISERROR(FIND($A$2,Lines!AI25))=TRUE,"",MID(Lines!AI25,FIND($A$2,Lines!AI25)+LEN($A$2)+1,FIND(",",_xlfn.CONCAT(Lines!AI25,","),FIND($A$2,Lines!AI25))-FIND($A$2,Lines!AI25)-LEN($A$2)-1))</f>
        <v/>
      </c>
      <c r="AJ25" s="36" t="str">
        <f>IF(ISERROR(FIND($A$2,Lines!AJ25))=TRUE,"",MID(Lines!AJ25,FIND($A$2,Lines!AJ25)+LEN($A$2)+1,FIND(",",_xlfn.CONCAT(Lines!AJ25,","),FIND($A$2,Lines!AJ25))-FIND($A$2,Lines!AJ25)-LEN($A$2)-1))</f>
        <v/>
      </c>
      <c r="AK25" s="36" t="str">
        <f>IF(ISERROR(FIND($A$2,Lines!AK25))=TRUE,"",MID(Lines!AK25,FIND($A$2,Lines!AK25)+LEN($A$2)+1,FIND(",",_xlfn.CONCAT(Lines!AK25,","),FIND($A$2,Lines!AK25))-FIND($A$2,Lines!AK25)-LEN($A$2)-1))</f>
        <v/>
      </c>
      <c r="AL25" s="36" t="str">
        <f>IF(ISERROR(FIND($A$2,Lines!AL25))=TRUE,"",MID(Lines!AL25,FIND($A$2,Lines!AL25)+LEN($A$2)+1,FIND(",",_xlfn.CONCAT(Lines!AL25,","),FIND($A$2,Lines!AL25))-FIND($A$2,Lines!AL25)-LEN($A$2)-1))</f>
        <v/>
      </c>
      <c r="AM25" s="36" t="str">
        <f>IF(ISERROR(FIND($A$2,Lines!AM25))=TRUE,"",MID(Lines!AM25,FIND($A$2,Lines!AM25)+LEN($A$2)+1,FIND(",",_xlfn.CONCAT(Lines!AM25,","),FIND($A$2,Lines!AM25))-FIND($A$2,Lines!AM25)-LEN($A$2)-1))</f>
        <v/>
      </c>
      <c r="AN25" s="36" t="str">
        <f>IF(ISERROR(FIND($A$2,Lines!AN25))=TRUE,"",MID(Lines!AN25,FIND($A$2,Lines!AN25)+LEN($A$2)+1,FIND(",",_xlfn.CONCAT(Lines!AN25,","),FIND($A$2,Lines!AN25))-FIND($A$2,Lines!AN25)-LEN($A$2)-1))</f>
        <v/>
      </c>
      <c r="AO25" s="36" t="str">
        <f>IF(ISERROR(FIND($A$2,Lines!AO25))=TRUE,"",MID(Lines!AO25,FIND($A$2,Lines!AO25)+LEN($A$2)+1,FIND(",",_xlfn.CONCAT(Lines!AO25,","),FIND($A$2,Lines!AO25))-FIND($A$2,Lines!AO25)-LEN($A$2)-1))</f>
        <v/>
      </c>
      <c r="AP25" s="36" t="str">
        <f>IF(ISERROR(FIND($A$2,Lines!AP25))=TRUE,"",MID(Lines!AP25,FIND($A$2,Lines!AP25)+LEN($A$2)+1,FIND(",",_xlfn.CONCAT(Lines!AP25,","),FIND($A$2,Lines!AP25))-FIND($A$2,Lines!AP25)-LEN($A$2)-1))</f>
        <v/>
      </c>
      <c r="AQ25" s="36" t="str">
        <f>IF(ISERROR(FIND($A$2,Lines!AQ25))=TRUE,"",MID(Lines!AQ25,FIND($A$2,Lines!AQ25)+LEN($A$2)+1,FIND(",",_xlfn.CONCAT(Lines!AQ25,","),FIND($A$2,Lines!AQ25))-FIND($A$2,Lines!AQ25)-LEN($A$2)-1))</f>
        <v/>
      </c>
      <c r="AR25" s="36" t="str">
        <f>IF(ISERROR(FIND($A$2,Lines!AR25))=TRUE,"",MID(Lines!AR25,FIND($A$2,Lines!AR25)+LEN($A$2)+1,FIND(",",_xlfn.CONCAT(Lines!AR25,","),FIND($A$2,Lines!AR25))-FIND($A$2,Lines!AR25)-LEN($A$2)-1))</f>
        <v/>
      </c>
      <c r="AS25" s="36" t="str">
        <f>IF(ISERROR(FIND($A$2,Lines!AS25))=TRUE,"",MID(Lines!AS25,FIND($A$2,Lines!AS25)+LEN($A$2)+1,FIND(",",_xlfn.CONCAT(Lines!AS25,","),FIND($A$2,Lines!AS25))-FIND($A$2,Lines!AS25)-LEN($A$2)-1))</f>
        <v/>
      </c>
      <c r="AT25" s="36" t="str">
        <f>IF(ISERROR(FIND($A$2,Lines!AT25))=TRUE,"",MID(Lines!AT25,FIND($A$2,Lines!AT25)+LEN($A$2)+1,FIND(",",_xlfn.CONCAT(Lines!AT25,","),FIND($A$2,Lines!AT25))-FIND($A$2,Lines!AT25)-LEN($A$2)-1))</f>
        <v/>
      </c>
    </row>
    <row r="26" spans="1:46" ht="20.25" customHeight="1">
      <c r="A26" s="2" t="s">
        <v>74</v>
      </c>
      <c r="B26" s="30" t="str">
        <f>IF(ISERROR(FIND($A$2,Lines!B26))=TRUE,"",MID(Lines!B26,FIND($A$2,Lines!B26)+LEN($A$2)+1,FIND(",",_xlfn.CONCAT(Lines!B26,","),FIND($A$2,Lines!B26))-FIND($A$2,Lines!B26)-LEN($A$2)-1))</f>
        <v/>
      </c>
      <c r="C26" s="30" t="str">
        <f>IF(ISERROR(FIND($A$2,Lines!C26))=TRUE,"",MID(Lines!C26,FIND($A$2,Lines!C26)+LEN($A$2)+1,FIND(",",_xlfn.CONCAT(Lines!C26,","),FIND($A$2,Lines!C26))-FIND($A$2,Lines!C26)-LEN($A$2)-1))</f>
        <v/>
      </c>
      <c r="D26" s="30" t="str">
        <f>IF(ISERROR(FIND($A$2,Lines!D26))=TRUE,"",MID(Lines!D26,FIND($A$2,Lines!D26)+LEN($A$2)+1,FIND(",",_xlfn.CONCAT(Lines!D26,","),FIND($A$2,Lines!D26))-FIND($A$2,Lines!D26)-LEN($A$2)-1))</f>
        <v/>
      </c>
      <c r="E26" s="30" t="str">
        <f>IF(ISERROR(FIND($A$2,Lines!E26))=TRUE,"",MID(Lines!E26,FIND($A$2,Lines!E26)+LEN($A$2)+1,FIND(",",_xlfn.CONCAT(Lines!E26,","),FIND($A$2,Lines!E26))-FIND($A$2,Lines!E26)-LEN($A$2)-1))</f>
        <v/>
      </c>
      <c r="F26" s="30" t="str">
        <f>IF(ISERROR(FIND($A$2,Lines!F26))=TRUE,"",MID(Lines!F26,FIND($A$2,Lines!F26)+LEN($A$2)+1,FIND(",",_xlfn.CONCAT(Lines!F26,","),FIND($A$2,Lines!F26))-FIND($A$2,Lines!F26)-LEN($A$2)-1))</f>
        <v/>
      </c>
      <c r="G26" s="30" t="str">
        <f>IF(ISERROR(FIND($A$2,Lines!G26))=TRUE,"",MID(Lines!G26,FIND($A$2,Lines!G26)+LEN($A$2)+1,FIND(",",_xlfn.CONCAT(Lines!G26,","),FIND($A$2,Lines!G26))-FIND($A$2,Lines!G26)-LEN($A$2)-1))</f>
        <v/>
      </c>
      <c r="H26" s="30" t="str">
        <f>IF(ISERROR(FIND($A$2,Lines!H26))=TRUE,"",MID(Lines!H26,FIND($A$2,Lines!H26)+LEN($A$2)+1,FIND(",",_xlfn.CONCAT(Lines!H26,","),FIND($A$2,Lines!H26))-FIND($A$2,Lines!H26)-LEN($A$2)-1))</f>
        <v/>
      </c>
      <c r="I26" s="30" t="str">
        <f>IF(ISERROR(FIND($A$2,Lines!I26))=TRUE,"",MID(Lines!I26,FIND($A$2,Lines!I26)+LEN($A$2)+1,FIND(",",_xlfn.CONCAT(Lines!I26,","),FIND($A$2,Lines!I26))-FIND($A$2,Lines!I26)-LEN($A$2)-1))</f>
        <v/>
      </c>
      <c r="J26" s="74" t="str">
        <f>IF(ISERROR(FIND($A$2,Lines!J26))=TRUE,"",MID(Lines!J26,FIND($A$2,Lines!J26)+LEN($A$2)+1,FIND(",",_xlfn.CONCAT(Lines!J26,","),FIND($A$2,Lines!J26))-FIND($A$2,Lines!J26)-LEN($A$2)-1))</f>
        <v/>
      </c>
      <c r="K26" s="30" t="str">
        <f>IF(ISERROR(FIND($A$2,Lines!K26))=TRUE,"",MID(Lines!K26,FIND($A$2,Lines!K26)+LEN($A$2)+1,FIND(",",_xlfn.CONCAT(Lines!K26,","),FIND($A$2,Lines!K26))-FIND($A$2,Lines!K26)-LEN($A$2)-1))</f>
        <v/>
      </c>
      <c r="L26" s="30" t="str">
        <f>IF(ISERROR(FIND($A$2,Lines!L26))=TRUE,"",MID(Lines!L26,FIND($A$2,Lines!L26)+LEN($A$2)+1,FIND(",",_xlfn.CONCAT(Lines!L26,","),FIND($A$2,Lines!L26))-FIND($A$2,Lines!L26)-LEN($A$2)-1))</f>
        <v/>
      </c>
      <c r="M26" s="30" t="str">
        <f>IF(ISERROR(FIND($A$2,Lines!M26))=TRUE,"",MID(Lines!M26,FIND($A$2,Lines!M26)+LEN($A$2)+1,FIND(",",_xlfn.CONCAT(Lines!M26,","),FIND($A$2,Lines!M26))-FIND($A$2,Lines!M26)-LEN($A$2)-1))</f>
        <v/>
      </c>
      <c r="N26" s="30" t="str">
        <f>IF(ISERROR(FIND($A$2,Lines!N26))=TRUE,"",MID(Lines!N26,FIND($A$2,Lines!N26)+LEN($A$2)+1,FIND(",",_xlfn.CONCAT(Lines!N26,","),FIND($A$2,Lines!N26))-FIND($A$2,Lines!N26)-LEN($A$2)-1))</f>
        <v/>
      </c>
      <c r="O26" s="30" t="str">
        <f>IF(ISERROR(FIND($A$2,Lines!O26))=TRUE,"",MID(Lines!O26,FIND($A$2,Lines!O26)+LEN($A$2)+1,FIND(",",_xlfn.CONCAT(Lines!O26,","),FIND($A$2,Lines!O26))-FIND($A$2,Lines!O26)-LEN($A$2)-1))</f>
        <v/>
      </c>
      <c r="P26" s="30" t="str">
        <f>IF(ISERROR(FIND($A$2,Lines!P26))=TRUE,"",MID(Lines!P26,FIND($A$2,Lines!P26)+LEN($A$2)+1,FIND(",",_xlfn.CONCAT(Lines!P26,","),FIND($A$2,Lines!P26))-FIND($A$2,Lines!P26)-LEN($A$2)-1))</f>
        <v/>
      </c>
      <c r="Q26" s="30" t="str">
        <f>IF(ISERROR(FIND($A$2,Lines!Q26))=TRUE,"",MID(Lines!Q26,FIND($A$2,Lines!Q26)+LEN($A$2)+1,FIND(",",_xlfn.CONCAT(Lines!Q26,","),FIND($A$2,Lines!Q26))-FIND($A$2,Lines!Q26)-LEN($A$2)-1))</f>
        <v/>
      </c>
      <c r="R26" s="30" t="str">
        <f>IF(ISERROR(FIND($A$2,Lines!R26))=TRUE,"",MID(Lines!R26,FIND($A$2,Lines!R26)+LEN($A$2)+1,FIND(",",_xlfn.CONCAT(Lines!R26,","),FIND($A$2,Lines!R26))-FIND($A$2,Lines!R26)-LEN($A$2)-1))</f>
        <v/>
      </c>
      <c r="S26" s="30" t="str">
        <f>IF(ISERROR(FIND($A$2,Lines!S26))=TRUE,"",MID(Lines!S26,FIND($A$2,Lines!S26)+LEN($A$2)+1,FIND(",",_xlfn.CONCAT(Lines!S26,","),FIND($A$2,Lines!S26))-FIND($A$2,Lines!S26)-LEN($A$2)-1))</f>
        <v/>
      </c>
      <c r="T26" s="30" t="str">
        <f>IF(ISERROR(FIND($A$2,Lines!T26))=TRUE,"",MID(Lines!T26,FIND($A$2,Lines!T26)+LEN($A$2)+1,FIND(",",_xlfn.CONCAT(Lines!T26,","),FIND($A$2,Lines!T26))-FIND($A$2,Lines!T26)-LEN($A$2)-1))</f>
        <v/>
      </c>
      <c r="U26" s="30" t="str">
        <f>IF(ISERROR(FIND($A$2,Lines!U26))=TRUE,"",MID(Lines!U26,FIND($A$2,Lines!U26)+LEN($A$2)+1,FIND(",",_xlfn.CONCAT(Lines!U26,","),FIND($A$2,Lines!U26))-FIND($A$2,Lines!U26)-LEN($A$2)-1))</f>
        <v/>
      </c>
      <c r="V26" s="30" t="str">
        <f>IF(ISERROR(FIND($A$2,Lines!V26))=TRUE,"",MID(Lines!V26,FIND($A$2,Lines!V26)+LEN($A$2)+1,FIND(",",_xlfn.CONCAT(Lines!V26,","),FIND($A$2,Lines!V26))-FIND($A$2,Lines!V26)-LEN($A$2)-1))</f>
        <v/>
      </c>
      <c r="W26" s="36" t="str">
        <f>IF(ISERROR(FIND($A$2,Lines!W26))=TRUE,"",MID(Lines!W26,FIND($A$2,Lines!W26)+LEN($A$2)+1,FIND(",",_xlfn.CONCAT(Lines!W26,","),FIND($A$2,Lines!W26))-FIND($A$2,Lines!W26)-LEN($A$2)-1))</f>
        <v/>
      </c>
      <c r="X26" s="65" t="str">
        <f>IF(ISERROR(FIND($A$2,Lines!X26))=TRUE,"",MID(Lines!X26,FIND($A$2,Lines!X26)+LEN($A$2)+1,FIND(",",_xlfn.CONCAT(Lines!X26,","),FIND($A$2,Lines!X26))-FIND($A$2,Lines!X26)-LEN($A$2)-1))</f>
        <v/>
      </c>
      <c r="Y26" s="39" t="str">
        <f>IF(ISERROR(FIND($A$2,Lines!Y26))=TRUE,"",MID(Lines!Y26,FIND($A$2,Lines!Y26)+LEN($A$2)+1,FIND(",",_xlfn.CONCAT(Lines!Y26,","),FIND($A$2,Lines!Y26))-FIND($A$2,Lines!Y26)-LEN($A$2)-1))</f>
        <v/>
      </c>
      <c r="Z26" s="39" t="str">
        <f>IF(ISERROR(FIND($A$2,Lines!Z26))=TRUE,"",MID(Lines!Z26,FIND($A$2,Lines!Z26)+LEN($A$2)+1,FIND(",",_xlfn.CONCAT(Lines!Z26,","),FIND($A$2,Lines!Z26))-FIND($A$2,Lines!Z26)-LEN($A$2)-1))</f>
        <v/>
      </c>
      <c r="AA26" s="39" t="str">
        <f>IF(ISERROR(FIND($A$2,Lines!AA26))=TRUE,"",MID(Lines!AA26,FIND($A$2,Lines!AA26)+LEN($A$2)+1,FIND(",",_xlfn.CONCAT(Lines!AA26,","),FIND($A$2,Lines!AA26))-FIND($A$2,Lines!AA26)-LEN($A$2)-1))</f>
        <v/>
      </c>
      <c r="AB26" s="39" t="str">
        <f>IF(ISERROR(FIND($A$2,Lines!AB26))=TRUE,"",MID(Lines!AB26,FIND($A$2,Lines!AB26)+LEN($A$2)+1,FIND(",",_xlfn.CONCAT(Lines!AB26,","),FIND($A$2,Lines!AB26))-FIND($A$2,Lines!AB26)-LEN($A$2)-1))</f>
        <v/>
      </c>
      <c r="AC26" s="39" t="str">
        <f>IF(ISERROR(FIND($A$2,Lines!AC26))=TRUE,"",MID(Lines!AC26,FIND($A$2,Lines!AC26)+LEN($A$2)+1,FIND(",",_xlfn.CONCAT(Lines!AC26,","),FIND($A$2,Lines!AC26))-FIND($A$2,Lines!AC26)-LEN($A$2)-1))</f>
        <v/>
      </c>
      <c r="AD26" s="52" t="str">
        <f>IF(ISERROR(FIND($A$2,Lines!AD26))=TRUE,"",MID(Lines!AD26,FIND($A$2,Lines!AD26)+LEN($A$2)+1,FIND(",",_xlfn.CONCAT(Lines!AD26,","),FIND($A$2,Lines!AD26))-FIND($A$2,Lines!AD26)-LEN($A$2)-1))</f>
        <v/>
      </c>
      <c r="AE26" s="30" t="str">
        <f>IF(ISERROR(FIND($A$2,Lines!AE26))=TRUE,"",MID(Lines!AE26,FIND($A$2,Lines!AE26)+LEN($A$2)+1,FIND(",",_xlfn.CONCAT(Lines!AE26,","),FIND($A$2,Lines!AE26))-FIND($A$2,Lines!AE26)-LEN($A$2)-1))</f>
        <v/>
      </c>
      <c r="AF26" s="30" t="str">
        <f>IF(ISERROR(FIND($A$2,Lines!AF26))=TRUE,"",MID(Lines!AF26,FIND($A$2,Lines!AF26)+LEN($A$2)+1,FIND(",",_xlfn.CONCAT(Lines!AF26,","),FIND($A$2,Lines!AF26))-FIND($A$2,Lines!AF26)-LEN($A$2)-1))</f>
        <v/>
      </c>
      <c r="AG26" s="30" t="str">
        <f>IF(ISERROR(FIND($A$2,Lines!AG26))=TRUE,"",MID(Lines!AG26,FIND($A$2,Lines!AG26)+LEN($A$2)+1,FIND(",",_xlfn.CONCAT(Lines!AG26,","),FIND($A$2,Lines!AG26))-FIND($A$2,Lines!AG26)-LEN($A$2)-1))</f>
        <v/>
      </c>
      <c r="AH26" s="30" t="str">
        <f>IF(ISERROR(FIND($A$2,Lines!AH26))=TRUE,"",MID(Lines!AH26,FIND($A$2,Lines!AH26)+LEN($A$2)+1,FIND(",",_xlfn.CONCAT(Lines!AH26,","),FIND($A$2,Lines!AH26))-FIND($A$2,Lines!AH26)-LEN($A$2)-1))</f>
        <v/>
      </c>
      <c r="AI26" s="30" t="str">
        <f>IF(ISERROR(FIND($A$2,Lines!AI26))=TRUE,"",MID(Lines!AI26,FIND($A$2,Lines!AI26)+LEN($A$2)+1,FIND(",",_xlfn.CONCAT(Lines!AI26,","),FIND($A$2,Lines!AI26))-FIND($A$2,Lines!AI26)-LEN($A$2)-1))</f>
        <v/>
      </c>
      <c r="AJ26" s="30" t="str">
        <f>IF(ISERROR(FIND($A$2,Lines!AJ26))=TRUE,"",MID(Lines!AJ26,FIND($A$2,Lines!AJ26)+LEN($A$2)+1,FIND(",",_xlfn.CONCAT(Lines!AJ26,","),FIND($A$2,Lines!AJ26))-FIND($A$2,Lines!AJ26)-LEN($A$2)-1))</f>
        <v/>
      </c>
      <c r="AK26" s="30" t="str">
        <f>IF(ISERROR(FIND($A$2,Lines!AK26))=TRUE,"",MID(Lines!AK26,FIND($A$2,Lines!AK26)+LEN($A$2)+1,FIND(",",_xlfn.CONCAT(Lines!AK26,","),FIND($A$2,Lines!AK26))-FIND($A$2,Lines!AK26)-LEN($A$2)-1))</f>
        <v/>
      </c>
      <c r="AL26" s="30" t="str">
        <f>IF(ISERROR(FIND($A$2,Lines!AL26))=TRUE,"",MID(Lines!AL26,FIND($A$2,Lines!AL26)+LEN($A$2)+1,FIND(",",_xlfn.CONCAT(Lines!AL26,","),FIND($A$2,Lines!AL26))-FIND($A$2,Lines!AL26)-LEN($A$2)-1))</f>
        <v/>
      </c>
      <c r="AM26" s="30" t="str">
        <f>IF(ISERROR(FIND($A$2,Lines!AM26))=TRUE,"",MID(Lines!AM26,FIND($A$2,Lines!AM26)+LEN($A$2)+1,FIND(",",_xlfn.CONCAT(Lines!AM26,","),FIND($A$2,Lines!AM26))-FIND($A$2,Lines!AM26)-LEN($A$2)-1))</f>
        <v/>
      </c>
      <c r="AN26" s="30" t="str">
        <f>IF(ISERROR(FIND($A$2,Lines!AN26))=TRUE,"",MID(Lines!AN26,FIND($A$2,Lines!AN26)+LEN($A$2)+1,FIND(",",_xlfn.CONCAT(Lines!AN26,","),FIND($A$2,Lines!AN26))-FIND($A$2,Lines!AN26)-LEN($A$2)-1))</f>
        <v/>
      </c>
      <c r="AO26" s="30" t="str">
        <f>IF(ISERROR(FIND($A$2,Lines!AO26))=TRUE,"",MID(Lines!AO26,FIND($A$2,Lines!AO26)+LEN($A$2)+1,FIND(",",_xlfn.CONCAT(Lines!AO26,","),FIND($A$2,Lines!AO26))-FIND($A$2,Lines!AO26)-LEN($A$2)-1))</f>
        <v/>
      </c>
      <c r="AP26" s="30" t="str">
        <f>IF(ISERROR(FIND($A$2,Lines!AP26))=TRUE,"",MID(Lines!AP26,FIND($A$2,Lines!AP26)+LEN($A$2)+1,FIND(",",_xlfn.CONCAT(Lines!AP26,","),FIND($A$2,Lines!AP26))-FIND($A$2,Lines!AP26)-LEN($A$2)-1))</f>
        <v/>
      </c>
      <c r="AQ26" s="30" t="str">
        <f>IF(ISERROR(FIND($A$2,Lines!AQ26))=TRUE,"",MID(Lines!AQ26,FIND($A$2,Lines!AQ26)+LEN($A$2)+1,FIND(",",_xlfn.CONCAT(Lines!AQ26,","),FIND($A$2,Lines!AQ26))-FIND($A$2,Lines!AQ26)-LEN($A$2)-1))</f>
        <v/>
      </c>
      <c r="AR26" s="30" t="str">
        <f>IF(ISERROR(FIND($A$2,Lines!AR26))=TRUE,"",MID(Lines!AR26,FIND($A$2,Lines!AR26)+LEN($A$2)+1,FIND(",",_xlfn.CONCAT(Lines!AR26,","),FIND($A$2,Lines!AR26))-FIND($A$2,Lines!AR26)-LEN($A$2)-1))</f>
        <v/>
      </c>
      <c r="AS26" s="30" t="str">
        <f>IF(ISERROR(FIND($A$2,Lines!AS26))=TRUE,"",MID(Lines!AS26,FIND($A$2,Lines!AS26)+LEN($A$2)+1,FIND(",",_xlfn.CONCAT(Lines!AS26,","),FIND($A$2,Lines!AS26))-FIND($A$2,Lines!AS26)-LEN($A$2)-1))</f>
        <v/>
      </c>
      <c r="AT26" s="30" t="str">
        <f>IF(ISERROR(FIND($A$2,Lines!AT26))=TRUE,"",MID(Lines!AT26,FIND($A$2,Lines!AT26)+LEN($A$2)+1,FIND(",",_xlfn.CONCAT(Lines!AT26,","),FIND($A$2,Lines!AT26))-FIND($A$2,Lines!AT26)-LEN($A$2)-1))</f>
        <v/>
      </c>
    </row>
    <row r="27" spans="1:46" ht="20.25" customHeight="1">
      <c r="A27" s="2" t="s">
        <v>75</v>
      </c>
      <c r="B27" s="30" t="str">
        <f>IF(ISERROR(FIND($A$2,Lines!B27))=TRUE,"",MID(Lines!B27,FIND($A$2,Lines!B27)+LEN($A$2)+1,FIND(",",_xlfn.CONCAT(Lines!B27,","),FIND($A$2,Lines!B27))-FIND($A$2,Lines!B27)-LEN($A$2)-1))</f>
        <v/>
      </c>
      <c r="C27" s="30" t="str">
        <f>IF(ISERROR(FIND($A$2,Lines!C27))=TRUE,"",MID(Lines!C27,FIND($A$2,Lines!C27)+LEN($A$2)+1,FIND(",",_xlfn.CONCAT(Lines!C27,","),FIND($A$2,Lines!C27))-FIND($A$2,Lines!C27)-LEN($A$2)-1))</f>
        <v/>
      </c>
      <c r="D27" s="30" t="str">
        <f>IF(ISERROR(FIND($A$2,Lines!D27))=TRUE,"",MID(Lines!D27,FIND($A$2,Lines!D27)+LEN($A$2)+1,FIND(",",_xlfn.CONCAT(Lines!D27,","),FIND($A$2,Lines!D27))-FIND($A$2,Lines!D27)-LEN($A$2)-1))</f>
        <v/>
      </c>
      <c r="E27" s="30" t="str">
        <f>IF(ISERROR(FIND($A$2,Lines!E27))=TRUE,"",MID(Lines!E27,FIND($A$2,Lines!E27)+LEN($A$2)+1,FIND(",",_xlfn.CONCAT(Lines!E27,","),FIND($A$2,Lines!E27))-FIND($A$2,Lines!E27)-LEN($A$2)-1))</f>
        <v/>
      </c>
      <c r="F27" s="30" t="str">
        <f>IF(ISERROR(FIND($A$2,Lines!F27))=TRUE,"",MID(Lines!F27,FIND($A$2,Lines!F27)+LEN($A$2)+1,FIND(",",_xlfn.CONCAT(Lines!F27,","),FIND($A$2,Lines!F27))-FIND($A$2,Lines!F27)-LEN($A$2)-1))</f>
        <v/>
      </c>
      <c r="G27" s="30" t="str">
        <f>IF(ISERROR(FIND($A$2,Lines!G27))=TRUE,"",MID(Lines!G27,FIND($A$2,Lines!G27)+LEN($A$2)+1,FIND(",",_xlfn.CONCAT(Lines!G27,","),FIND($A$2,Lines!G27))-FIND($A$2,Lines!G27)-LEN($A$2)-1))</f>
        <v/>
      </c>
      <c r="H27" s="30" t="str">
        <f>IF(ISERROR(FIND($A$2,Lines!H27))=TRUE,"",MID(Lines!H27,FIND($A$2,Lines!H27)+LEN($A$2)+1,FIND(",",_xlfn.CONCAT(Lines!H27,","),FIND($A$2,Lines!H27))-FIND($A$2,Lines!H27)-LEN($A$2)-1))</f>
        <v/>
      </c>
      <c r="I27" s="30" t="str">
        <f>IF(ISERROR(FIND($A$2,Lines!I27))=TRUE,"",MID(Lines!I27,FIND($A$2,Lines!I27)+LEN($A$2)+1,FIND(",",_xlfn.CONCAT(Lines!I27,","),FIND($A$2,Lines!I27))-FIND($A$2,Lines!I27)-LEN($A$2)-1))</f>
        <v/>
      </c>
      <c r="J27" s="30" t="str">
        <f>IF(ISERROR(FIND($A$2,Lines!J27))=TRUE,"",MID(Lines!J27,FIND($A$2,Lines!J27)+LEN($A$2)+1,FIND(",",_xlfn.CONCAT(Lines!J27,","),FIND($A$2,Lines!J27))-FIND($A$2,Lines!J27)-LEN($A$2)-1))</f>
        <v/>
      </c>
      <c r="K27" s="30" t="str">
        <f>IF(ISERROR(FIND($A$2,Lines!K27))=TRUE,"",MID(Lines!K27,FIND($A$2,Lines!K27)+LEN($A$2)+1,FIND(",",_xlfn.CONCAT(Lines!K27,","),FIND($A$2,Lines!K27))-FIND($A$2,Lines!K27)-LEN($A$2)-1))</f>
        <v/>
      </c>
      <c r="L27" s="30" t="str">
        <f>IF(ISERROR(FIND($A$2,Lines!L27))=TRUE,"",MID(Lines!L27,FIND($A$2,Lines!L27)+LEN($A$2)+1,FIND(",",_xlfn.CONCAT(Lines!L27,","),FIND($A$2,Lines!L27))-FIND($A$2,Lines!L27)-LEN($A$2)-1))</f>
        <v/>
      </c>
      <c r="M27" s="30" t="str">
        <f>IF(ISERROR(FIND($A$2,Lines!M27))=TRUE,"",MID(Lines!M27,FIND($A$2,Lines!M27)+LEN($A$2)+1,FIND(",",_xlfn.CONCAT(Lines!M27,","),FIND($A$2,Lines!M27))-FIND($A$2,Lines!M27)-LEN($A$2)-1))</f>
        <v/>
      </c>
      <c r="N27" s="30" t="str">
        <f>IF(ISERROR(FIND($A$2,Lines!N27))=TRUE,"",MID(Lines!N27,FIND($A$2,Lines!N27)+LEN($A$2)+1,FIND(",",_xlfn.CONCAT(Lines!N27,","),FIND($A$2,Lines!N27))-FIND($A$2,Lines!N27)-LEN($A$2)-1))</f>
        <v/>
      </c>
      <c r="O27" s="30" t="str">
        <f>IF(ISERROR(FIND($A$2,Lines!O27))=TRUE,"",MID(Lines!O27,FIND($A$2,Lines!O27)+LEN($A$2)+1,FIND(",",_xlfn.CONCAT(Lines!O27,","),FIND($A$2,Lines!O27))-FIND($A$2,Lines!O27)-LEN($A$2)-1))</f>
        <v/>
      </c>
      <c r="P27" s="30" t="str">
        <f>IF(ISERROR(FIND($A$2,Lines!P27))=TRUE,"",MID(Lines!P27,FIND($A$2,Lines!P27)+LEN($A$2)+1,FIND(",",_xlfn.CONCAT(Lines!P27,","),FIND($A$2,Lines!P27))-FIND($A$2,Lines!P27)-LEN($A$2)-1))</f>
        <v/>
      </c>
      <c r="Q27" s="30" t="str">
        <f>IF(ISERROR(FIND($A$2,Lines!Q27))=TRUE,"",MID(Lines!Q27,FIND($A$2,Lines!Q27)+LEN($A$2)+1,FIND(",",_xlfn.CONCAT(Lines!Q27,","),FIND($A$2,Lines!Q27))-FIND($A$2,Lines!Q27)-LEN($A$2)-1))</f>
        <v/>
      </c>
      <c r="R27" s="30" t="str">
        <f>IF(ISERROR(FIND($A$2,Lines!R27))=TRUE,"",MID(Lines!R27,FIND($A$2,Lines!R27)+LEN($A$2)+1,FIND(",",_xlfn.CONCAT(Lines!R27,","),FIND($A$2,Lines!R27))-FIND($A$2,Lines!R27)-LEN($A$2)-1))</f>
        <v/>
      </c>
      <c r="S27" s="30" t="str">
        <f>IF(ISERROR(FIND($A$2,Lines!S27))=TRUE,"",MID(Lines!S27,FIND($A$2,Lines!S27)+LEN($A$2)+1,FIND(",",_xlfn.CONCAT(Lines!S27,","),FIND($A$2,Lines!S27))-FIND($A$2,Lines!S27)-LEN($A$2)-1))</f>
        <v/>
      </c>
      <c r="T27" s="30" t="str">
        <f>IF(ISERROR(FIND($A$2,Lines!T27))=TRUE,"",MID(Lines!T27,FIND($A$2,Lines!T27)+LEN($A$2)+1,FIND(",",_xlfn.CONCAT(Lines!T27,","),FIND($A$2,Lines!T27))-FIND($A$2,Lines!T27)-LEN($A$2)-1))</f>
        <v/>
      </c>
      <c r="U27" s="30" t="str">
        <f>IF(ISERROR(FIND($A$2,Lines!U27))=TRUE,"",MID(Lines!U27,FIND($A$2,Lines!U27)+LEN($A$2)+1,FIND(",",_xlfn.CONCAT(Lines!U27,","),FIND($A$2,Lines!U27))-FIND($A$2,Lines!U27)-LEN($A$2)-1))</f>
        <v/>
      </c>
      <c r="V27" s="30" t="str">
        <f>IF(ISERROR(FIND($A$2,Lines!V27))=TRUE,"",MID(Lines!V27,FIND($A$2,Lines!V27)+LEN($A$2)+1,FIND(",",_xlfn.CONCAT(Lines!V27,","),FIND($A$2,Lines!V27))-FIND($A$2,Lines!V27)-LEN($A$2)-1))</f>
        <v/>
      </c>
      <c r="W27" s="36" t="str">
        <f>IF(ISERROR(FIND($A$2,Lines!W27))=TRUE,"",MID(Lines!W27,FIND($A$2,Lines!W27)+LEN($A$2)+1,FIND(",",_xlfn.CONCAT(Lines!W27,","),FIND($A$2,Lines!W27))-FIND($A$2,Lines!W27)-LEN($A$2)-1))</f>
        <v/>
      </c>
      <c r="X27" s="40" t="str">
        <f>IF(ISERROR(FIND($A$2,Lines!X27))=TRUE,"",MID(Lines!X27,FIND($A$2,Lines!X27)+LEN($A$2)+1,FIND(",",_xlfn.CONCAT(Lines!X27,","),FIND($A$2,Lines!X27))-FIND($A$2,Lines!X27)-LEN($A$2)-1))</f>
        <v/>
      </c>
      <c r="Y27" s="66" t="str">
        <f>IF(ISERROR(FIND($A$2,Lines!Y27))=TRUE,"",MID(Lines!Y27,FIND($A$2,Lines!Y27)+LEN($A$2)+1,FIND(",",_xlfn.CONCAT(Lines!Y27,","),FIND($A$2,Lines!Y27))-FIND($A$2,Lines!Y27)-LEN($A$2)-1))</f>
        <v/>
      </c>
      <c r="Z27" s="41" t="str">
        <f>IF(ISERROR(FIND($A$2,Lines!Z27))=TRUE,"",MID(Lines!Z27,FIND($A$2,Lines!Z27)+LEN($A$2)+1,FIND(",",_xlfn.CONCAT(Lines!Z27,","),FIND($A$2,Lines!Z27))-FIND($A$2,Lines!Z27)-LEN($A$2)-1))</f>
        <v/>
      </c>
      <c r="AA27" s="41" t="str">
        <f>IF(ISERROR(FIND($A$2,Lines!AA27))=TRUE,"",MID(Lines!AA27,FIND($A$2,Lines!AA27)+LEN($A$2)+1,FIND(",",_xlfn.CONCAT(Lines!AA27,","),FIND($A$2,Lines!AA27))-FIND($A$2,Lines!AA27)-LEN($A$2)-1))</f>
        <v/>
      </c>
      <c r="AB27" s="41" t="str">
        <f>IF(ISERROR(FIND($A$2,Lines!AB27))=TRUE,"",MID(Lines!AB27,FIND($A$2,Lines!AB27)+LEN($A$2)+1,FIND(",",_xlfn.CONCAT(Lines!AB27,","),FIND($A$2,Lines!AB27))-FIND($A$2,Lines!AB27)-LEN($A$2)-1))</f>
        <v/>
      </c>
      <c r="AC27" s="41" t="str">
        <f>IF(ISERROR(FIND($A$2,Lines!AC27))=TRUE,"",MID(Lines!AC27,FIND($A$2,Lines!AC27)+LEN($A$2)+1,FIND(",",_xlfn.CONCAT(Lines!AC27,","),FIND($A$2,Lines!AC27))-FIND($A$2,Lines!AC27)-LEN($A$2)-1))</f>
        <v/>
      </c>
      <c r="AD27" s="46" t="str">
        <f>IF(ISERROR(FIND($A$2,Lines!AD27))=TRUE,"",MID(Lines!AD27,FIND($A$2,Lines!AD27)+LEN($A$2)+1,FIND(",",_xlfn.CONCAT(Lines!AD27,","),FIND($A$2,Lines!AD27))-FIND($A$2,Lines!AD27)-LEN($A$2)-1))</f>
        <v/>
      </c>
      <c r="AE27" s="30" t="str">
        <f>IF(ISERROR(FIND($A$2,Lines!AE27))=TRUE,"",MID(Lines!AE27,FIND($A$2,Lines!AE27)+LEN($A$2)+1,FIND(",",_xlfn.CONCAT(Lines!AE27,","),FIND($A$2,Lines!AE27))-FIND($A$2,Lines!AE27)-LEN($A$2)-1))</f>
        <v/>
      </c>
      <c r="AF27" s="30" t="str">
        <f>IF(ISERROR(FIND($A$2,Lines!AF27))=TRUE,"",MID(Lines!AF27,FIND($A$2,Lines!AF27)+LEN($A$2)+1,FIND(",",_xlfn.CONCAT(Lines!AF27,","),FIND($A$2,Lines!AF27))-FIND($A$2,Lines!AF27)-LEN($A$2)-1))</f>
        <v/>
      </c>
      <c r="AG27" s="30" t="str">
        <f>IF(ISERROR(FIND($A$2,Lines!AG27))=TRUE,"",MID(Lines!AG27,FIND($A$2,Lines!AG27)+LEN($A$2)+1,FIND(",",_xlfn.CONCAT(Lines!AG27,","),FIND($A$2,Lines!AG27))-FIND($A$2,Lines!AG27)-LEN($A$2)-1))</f>
        <v/>
      </c>
      <c r="AH27" s="30" t="str">
        <f>IF(ISERROR(FIND($A$2,Lines!AH27))=TRUE,"",MID(Lines!AH27,FIND($A$2,Lines!AH27)+LEN($A$2)+1,FIND(",",_xlfn.CONCAT(Lines!AH27,","),FIND($A$2,Lines!AH27))-FIND($A$2,Lines!AH27)-LEN($A$2)-1))</f>
        <v/>
      </c>
      <c r="AI27" s="30" t="str">
        <f>IF(ISERROR(FIND($A$2,Lines!AI27))=TRUE,"",MID(Lines!AI27,FIND($A$2,Lines!AI27)+LEN($A$2)+1,FIND(",",_xlfn.CONCAT(Lines!AI27,","),FIND($A$2,Lines!AI27))-FIND($A$2,Lines!AI27)-LEN($A$2)-1))</f>
        <v/>
      </c>
      <c r="AJ27" s="30" t="str">
        <f>IF(ISERROR(FIND($A$2,Lines!AJ27))=TRUE,"",MID(Lines!AJ27,FIND($A$2,Lines!AJ27)+LEN($A$2)+1,FIND(",",_xlfn.CONCAT(Lines!AJ27,","),FIND($A$2,Lines!AJ27))-FIND($A$2,Lines!AJ27)-LEN($A$2)-1))</f>
        <v/>
      </c>
      <c r="AK27" s="30" t="str">
        <f>IF(ISERROR(FIND($A$2,Lines!AK27))=TRUE,"",MID(Lines!AK27,FIND($A$2,Lines!AK27)+LEN($A$2)+1,FIND(",",_xlfn.CONCAT(Lines!AK27,","),FIND($A$2,Lines!AK27))-FIND($A$2,Lines!AK27)-LEN($A$2)-1))</f>
        <v/>
      </c>
      <c r="AL27" s="30" t="str">
        <f>IF(ISERROR(FIND($A$2,Lines!AL27))=TRUE,"",MID(Lines!AL27,FIND($A$2,Lines!AL27)+LEN($A$2)+1,FIND(",",_xlfn.CONCAT(Lines!AL27,","),FIND($A$2,Lines!AL27))-FIND($A$2,Lines!AL27)-LEN($A$2)-1))</f>
        <v/>
      </c>
      <c r="AM27" s="30" t="str">
        <f>IF(ISERROR(FIND($A$2,Lines!AM27))=TRUE,"",MID(Lines!AM27,FIND($A$2,Lines!AM27)+LEN($A$2)+1,FIND(",",_xlfn.CONCAT(Lines!AM27,","),FIND($A$2,Lines!AM27))-FIND($A$2,Lines!AM27)-LEN($A$2)-1))</f>
        <v/>
      </c>
      <c r="AN27" s="30" t="str">
        <f>IF(ISERROR(FIND($A$2,Lines!AN27))=TRUE,"",MID(Lines!AN27,FIND($A$2,Lines!AN27)+LEN($A$2)+1,FIND(",",_xlfn.CONCAT(Lines!AN27,","),FIND($A$2,Lines!AN27))-FIND($A$2,Lines!AN27)-LEN($A$2)-1))</f>
        <v/>
      </c>
      <c r="AO27" s="30" t="str">
        <f>IF(ISERROR(FIND($A$2,Lines!AO27))=TRUE,"",MID(Lines!AO27,FIND($A$2,Lines!AO27)+LEN($A$2)+1,FIND(",",_xlfn.CONCAT(Lines!AO27,","),FIND($A$2,Lines!AO27))-FIND($A$2,Lines!AO27)-LEN($A$2)-1))</f>
        <v/>
      </c>
      <c r="AP27" s="30" t="str">
        <f>IF(ISERROR(FIND($A$2,Lines!AP27))=TRUE,"",MID(Lines!AP27,FIND($A$2,Lines!AP27)+LEN($A$2)+1,FIND(",",_xlfn.CONCAT(Lines!AP27,","),FIND($A$2,Lines!AP27))-FIND($A$2,Lines!AP27)-LEN($A$2)-1))</f>
        <v/>
      </c>
      <c r="AQ27" s="30" t="str">
        <f>IF(ISERROR(FIND($A$2,Lines!AQ27))=TRUE,"",MID(Lines!AQ27,FIND($A$2,Lines!AQ27)+LEN($A$2)+1,FIND(",",_xlfn.CONCAT(Lines!AQ27,","),FIND($A$2,Lines!AQ27))-FIND($A$2,Lines!AQ27)-LEN($A$2)-1))</f>
        <v/>
      </c>
      <c r="AR27" s="30" t="str">
        <f>IF(ISERROR(FIND($A$2,Lines!AR27))=TRUE,"",MID(Lines!AR27,FIND($A$2,Lines!AR27)+LEN($A$2)+1,FIND(",",_xlfn.CONCAT(Lines!AR27,","),FIND($A$2,Lines!AR27))-FIND($A$2,Lines!AR27)-LEN($A$2)-1))</f>
        <v/>
      </c>
      <c r="AS27" s="30" t="str">
        <f>IF(ISERROR(FIND($A$2,Lines!AS27))=TRUE,"",MID(Lines!AS27,FIND($A$2,Lines!AS27)+LEN($A$2)+1,FIND(",",_xlfn.CONCAT(Lines!AS27,","),FIND($A$2,Lines!AS27))-FIND($A$2,Lines!AS27)-LEN($A$2)-1))</f>
        <v/>
      </c>
      <c r="AT27" s="30" t="str">
        <f>IF(ISERROR(FIND($A$2,Lines!AT27))=TRUE,"",MID(Lines!AT27,FIND($A$2,Lines!AT27)+LEN($A$2)+1,FIND(",",_xlfn.CONCAT(Lines!AT27,","),FIND($A$2,Lines!AT27))-FIND($A$2,Lines!AT27)-LEN($A$2)-1))</f>
        <v/>
      </c>
    </row>
    <row r="28" spans="1:46" ht="20.25" customHeight="1">
      <c r="A28" s="2" t="s">
        <v>76</v>
      </c>
      <c r="B28" s="30" t="str">
        <f>IF(ISERROR(FIND($A$2,Lines!B28))=TRUE,"",MID(Lines!B28,FIND($A$2,Lines!B28)+LEN($A$2)+1,FIND(",",_xlfn.CONCAT(Lines!B28,","),FIND($A$2,Lines!B28))-FIND($A$2,Lines!B28)-LEN($A$2)-1))</f>
        <v/>
      </c>
      <c r="C28" s="30" t="str">
        <f>IF(ISERROR(FIND($A$2,Lines!C28))=TRUE,"",MID(Lines!C28,FIND($A$2,Lines!C28)+LEN($A$2)+1,FIND(",",_xlfn.CONCAT(Lines!C28,","),FIND($A$2,Lines!C28))-FIND($A$2,Lines!C28)-LEN($A$2)-1))</f>
        <v/>
      </c>
      <c r="D28" s="30" t="str">
        <f>IF(ISERROR(FIND($A$2,Lines!D28))=TRUE,"",MID(Lines!D28,FIND($A$2,Lines!D28)+LEN($A$2)+1,FIND(",",_xlfn.CONCAT(Lines!D28,","),FIND($A$2,Lines!D28))-FIND($A$2,Lines!D28)-LEN($A$2)-1))</f>
        <v/>
      </c>
      <c r="E28" s="30" t="str">
        <f>IF(ISERROR(FIND($A$2,Lines!E28))=TRUE,"",MID(Lines!E28,FIND($A$2,Lines!E28)+LEN($A$2)+1,FIND(",",_xlfn.CONCAT(Lines!E28,","),FIND($A$2,Lines!E28))-FIND($A$2,Lines!E28)-LEN($A$2)-1))</f>
        <v/>
      </c>
      <c r="F28" s="30" t="str">
        <f>IF(ISERROR(FIND($A$2,Lines!F28))=TRUE,"",MID(Lines!F28,FIND($A$2,Lines!F28)+LEN($A$2)+1,FIND(",",_xlfn.CONCAT(Lines!F28,","),FIND($A$2,Lines!F28))-FIND($A$2,Lines!F28)-LEN($A$2)-1))</f>
        <v/>
      </c>
      <c r="G28" s="30" t="str">
        <f>IF(ISERROR(FIND($A$2,Lines!G28))=TRUE,"",MID(Lines!G28,FIND($A$2,Lines!G28)+LEN($A$2)+1,FIND(",",_xlfn.CONCAT(Lines!G28,","),FIND($A$2,Lines!G28))-FIND($A$2,Lines!G28)-LEN($A$2)-1))</f>
        <v/>
      </c>
      <c r="H28" s="30" t="str">
        <f>IF(ISERROR(FIND($A$2,Lines!H28))=TRUE,"",MID(Lines!H28,FIND($A$2,Lines!H28)+LEN($A$2)+1,FIND(",",_xlfn.CONCAT(Lines!H28,","),FIND($A$2,Lines!H28))-FIND($A$2,Lines!H28)-LEN($A$2)-1))</f>
        <v/>
      </c>
      <c r="I28" s="30" t="str">
        <f>IF(ISERROR(FIND($A$2,Lines!I28))=TRUE,"",MID(Lines!I28,FIND($A$2,Lines!I28)+LEN($A$2)+1,FIND(",",_xlfn.CONCAT(Lines!I28,","),FIND($A$2,Lines!I28))-FIND($A$2,Lines!I28)-LEN($A$2)-1))</f>
        <v/>
      </c>
      <c r="J28" s="30" t="str">
        <f>IF(ISERROR(FIND($A$2,Lines!J28))=TRUE,"",MID(Lines!J28,FIND($A$2,Lines!J28)+LEN($A$2)+1,FIND(",",_xlfn.CONCAT(Lines!J28,","),FIND($A$2,Lines!J28))-FIND($A$2,Lines!J28)-LEN($A$2)-1))</f>
        <v/>
      </c>
      <c r="K28" s="30" t="str">
        <f>IF(ISERROR(FIND($A$2,Lines!K28))=TRUE,"",MID(Lines!K28,FIND($A$2,Lines!K28)+LEN($A$2)+1,FIND(",",_xlfn.CONCAT(Lines!K28,","),FIND($A$2,Lines!K28))-FIND($A$2,Lines!K28)-LEN($A$2)-1))</f>
        <v/>
      </c>
      <c r="L28" s="30" t="str">
        <f>IF(ISERROR(FIND($A$2,Lines!L28))=TRUE,"",MID(Lines!L28,FIND($A$2,Lines!L28)+LEN($A$2)+1,FIND(",",_xlfn.CONCAT(Lines!L28,","),FIND($A$2,Lines!L28))-FIND($A$2,Lines!L28)-LEN($A$2)-1))</f>
        <v/>
      </c>
      <c r="M28" s="30" t="str">
        <f>IF(ISERROR(FIND($A$2,Lines!M28))=TRUE,"",MID(Lines!M28,FIND($A$2,Lines!M28)+LEN($A$2)+1,FIND(",",_xlfn.CONCAT(Lines!M28,","),FIND($A$2,Lines!M28))-FIND($A$2,Lines!M28)-LEN($A$2)-1))</f>
        <v/>
      </c>
      <c r="N28" s="30" t="str">
        <f>IF(ISERROR(FIND($A$2,Lines!N28))=TRUE,"",MID(Lines!N28,FIND($A$2,Lines!N28)+LEN($A$2)+1,FIND(",",_xlfn.CONCAT(Lines!N28,","),FIND($A$2,Lines!N28))-FIND($A$2,Lines!N28)-LEN($A$2)-1))</f>
        <v/>
      </c>
      <c r="O28" s="30" t="str">
        <f>IF(ISERROR(FIND($A$2,Lines!O28))=TRUE,"",MID(Lines!O28,FIND($A$2,Lines!O28)+LEN($A$2)+1,FIND(",",_xlfn.CONCAT(Lines!O28,","),FIND($A$2,Lines!O28))-FIND($A$2,Lines!O28)-LEN($A$2)-1))</f>
        <v/>
      </c>
      <c r="P28" s="30" t="str">
        <f>IF(ISERROR(FIND($A$2,Lines!P28))=TRUE,"",MID(Lines!P28,FIND($A$2,Lines!P28)+LEN($A$2)+1,FIND(",",_xlfn.CONCAT(Lines!P28,","),FIND($A$2,Lines!P28))-FIND($A$2,Lines!P28)-LEN($A$2)-1))</f>
        <v/>
      </c>
      <c r="Q28" s="30" t="str">
        <f>IF(ISERROR(FIND($A$2,Lines!Q28))=TRUE,"",MID(Lines!Q28,FIND($A$2,Lines!Q28)+LEN($A$2)+1,FIND(",",_xlfn.CONCAT(Lines!Q28,","),FIND($A$2,Lines!Q28))-FIND($A$2,Lines!Q28)-LEN($A$2)-1))</f>
        <v/>
      </c>
      <c r="R28" s="30" t="str">
        <f>IF(ISERROR(FIND($A$2,Lines!R28))=TRUE,"",MID(Lines!R28,FIND($A$2,Lines!R28)+LEN($A$2)+1,FIND(",",_xlfn.CONCAT(Lines!R28,","),FIND($A$2,Lines!R28))-FIND($A$2,Lines!R28)-LEN($A$2)-1))</f>
        <v/>
      </c>
      <c r="S28" s="30" t="str">
        <f>IF(ISERROR(FIND($A$2,Lines!S28))=TRUE,"",MID(Lines!S28,FIND($A$2,Lines!S28)+LEN($A$2)+1,FIND(",",_xlfn.CONCAT(Lines!S28,","),FIND($A$2,Lines!S28))-FIND($A$2,Lines!S28)-LEN($A$2)-1))</f>
        <v/>
      </c>
      <c r="T28" s="30" t="str">
        <f>IF(ISERROR(FIND($A$2,Lines!T28))=TRUE,"",MID(Lines!T28,FIND($A$2,Lines!T28)+LEN($A$2)+1,FIND(",",_xlfn.CONCAT(Lines!T28,","),FIND($A$2,Lines!T28))-FIND($A$2,Lines!T28)-LEN($A$2)-1))</f>
        <v/>
      </c>
      <c r="U28" s="30" t="str">
        <f>IF(ISERROR(FIND($A$2,Lines!U28))=TRUE,"",MID(Lines!U28,FIND($A$2,Lines!U28)+LEN($A$2)+1,FIND(",",_xlfn.CONCAT(Lines!U28,","),FIND($A$2,Lines!U28))-FIND($A$2,Lines!U28)-LEN($A$2)-1))</f>
        <v/>
      </c>
      <c r="V28" s="30" t="str">
        <f>IF(ISERROR(FIND($A$2,Lines!V28))=TRUE,"",MID(Lines!V28,FIND($A$2,Lines!V28)+LEN($A$2)+1,FIND(",",_xlfn.CONCAT(Lines!V28,","),FIND($A$2,Lines!V28))-FIND($A$2,Lines!V28)-LEN($A$2)-1))</f>
        <v/>
      </c>
      <c r="W28" s="36" t="str">
        <f>IF(ISERROR(FIND($A$2,Lines!W28))=TRUE,"",MID(Lines!W28,FIND($A$2,Lines!W28)+LEN($A$2)+1,FIND(",",_xlfn.CONCAT(Lines!W28,","),FIND($A$2,Lines!W28))-FIND($A$2,Lines!W28)-LEN($A$2)-1))</f>
        <v/>
      </c>
      <c r="X28" s="40" t="str">
        <f>IF(ISERROR(FIND($A$2,Lines!X28))=TRUE,"",MID(Lines!X28,FIND($A$2,Lines!X28)+LEN($A$2)+1,FIND(",",_xlfn.CONCAT(Lines!X28,","),FIND($A$2,Lines!X28))-FIND($A$2,Lines!X28)-LEN($A$2)-1))</f>
        <v/>
      </c>
      <c r="Y28" s="41" t="str">
        <f>IF(ISERROR(FIND($A$2,Lines!Y28))=TRUE,"",MID(Lines!Y28,FIND($A$2,Lines!Y28)+LEN($A$2)+1,FIND(",",_xlfn.CONCAT(Lines!Y28,","),FIND($A$2,Lines!Y28))-FIND($A$2,Lines!Y28)-LEN($A$2)-1))</f>
        <v/>
      </c>
      <c r="Z28" s="66" t="str">
        <f>IF(ISERROR(FIND($A$2,Lines!Z28))=TRUE,"",MID(Lines!Z28,FIND($A$2,Lines!Z28)+LEN($A$2)+1,FIND(",",_xlfn.CONCAT(Lines!Z28,","),FIND($A$2,Lines!Z28))-FIND($A$2,Lines!Z28)-LEN($A$2)-1))</f>
        <v/>
      </c>
      <c r="AA28" s="41" t="str">
        <f>IF(ISERROR(FIND($A$2,Lines!AA28))=TRUE,"",MID(Lines!AA28,FIND($A$2,Lines!AA28)+LEN($A$2)+1,FIND(",",_xlfn.CONCAT(Lines!AA28,","),FIND($A$2,Lines!AA28))-FIND($A$2,Lines!AA28)-LEN($A$2)-1))</f>
        <v/>
      </c>
      <c r="AB28" s="41" t="str">
        <f>IF(ISERROR(FIND($A$2,Lines!AB28))=TRUE,"",MID(Lines!AB28,FIND($A$2,Lines!AB28)+LEN($A$2)+1,FIND(",",_xlfn.CONCAT(Lines!AB28,","),FIND($A$2,Lines!AB28))-FIND($A$2,Lines!AB28)-LEN($A$2)-1))</f>
        <v/>
      </c>
      <c r="AC28" s="41" t="str">
        <f>IF(ISERROR(FIND($A$2,Lines!AC28))=TRUE,"",MID(Lines!AC28,FIND($A$2,Lines!AC28)+LEN($A$2)+1,FIND(",",_xlfn.CONCAT(Lines!AC28,","),FIND($A$2,Lines!AC28))-FIND($A$2,Lines!AC28)-LEN($A$2)-1))</f>
        <v/>
      </c>
      <c r="AD28" s="46" t="str">
        <f>IF(ISERROR(FIND($A$2,Lines!AD28))=TRUE,"",MID(Lines!AD28,FIND($A$2,Lines!AD28)+LEN($A$2)+1,FIND(",",_xlfn.CONCAT(Lines!AD28,","),FIND($A$2,Lines!AD28))-FIND($A$2,Lines!AD28)-LEN($A$2)-1))</f>
        <v/>
      </c>
      <c r="AE28" s="30" t="str">
        <f>IF(ISERROR(FIND($A$2,Lines!AE28))=TRUE,"",MID(Lines!AE28,FIND($A$2,Lines!AE28)+LEN($A$2)+1,FIND(",",_xlfn.CONCAT(Lines!AE28,","),FIND($A$2,Lines!AE28))-FIND($A$2,Lines!AE28)-LEN($A$2)-1))</f>
        <v/>
      </c>
      <c r="AF28" s="30" t="str">
        <f>IF(ISERROR(FIND($A$2,Lines!AF28))=TRUE,"",MID(Lines!AF28,FIND($A$2,Lines!AF28)+LEN($A$2)+1,FIND(",",_xlfn.CONCAT(Lines!AF28,","),FIND($A$2,Lines!AF28))-FIND($A$2,Lines!AF28)-LEN($A$2)-1))</f>
        <v/>
      </c>
      <c r="AG28" s="30" t="str">
        <f>IF(ISERROR(FIND($A$2,Lines!AG28))=TRUE,"",MID(Lines!AG28,FIND($A$2,Lines!AG28)+LEN($A$2)+1,FIND(",",_xlfn.CONCAT(Lines!AG28,","),FIND($A$2,Lines!AG28))-FIND($A$2,Lines!AG28)-LEN($A$2)-1))</f>
        <v/>
      </c>
      <c r="AH28" s="30" t="str">
        <f>IF(ISERROR(FIND($A$2,Lines!AH28))=TRUE,"",MID(Lines!AH28,FIND($A$2,Lines!AH28)+LEN($A$2)+1,FIND(",",_xlfn.CONCAT(Lines!AH28,","),FIND($A$2,Lines!AH28))-FIND($A$2,Lines!AH28)-LEN($A$2)-1))</f>
        <v/>
      </c>
      <c r="AI28" s="30" t="str">
        <f>IF(ISERROR(FIND($A$2,Lines!AI28))=TRUE,"",MID(Lines!AI28,FIND($A$2,Lines!AI28)+LEN($A$2)+1,FIND(",",_xlfn.CONCAT(Lines!AI28,","),FIND($A$2,Lines!AI28))-FIND($A$2,Lines!AI28)-LEN($A$2)-1))</f>
        <v/>
      </c>
      <c r="AJ28" s="30" t="str">
        <f>IF(ISERROR(FIND($A$2,Lines!AJ28))=TRUE,"",MID(Lines!AJ28,FIND($A$2,Lines!AJ28)+LEN($A$2)+1,FIND(",",_xlfn.CONCAT(Lines!AJ28,","),FIND($A$2,Lines!AJ28))-FIND($A$2,Lines!AJ28)-LEN($A$2)-1))</f>
        <v/>
      </c>
      <c r="AK28" s="30" t="str">
        <f>IF(ISERROR(FIND($A$2,Lines!AK28))=TRUE,"",MID(Lines!AK28,FIND($A$2,Lines!AK28)+LEN($A$2)+1,FIND(",",_xlfn.CONCAT(Lines!AK28,","),FIND($A$2,Lines!AK28))-FIND($A$2,Lines!AK28)-LEN($A$2)-1))</f>
        <v/>
      </c>
      <c r="AL28" s="30" t="str">
        <f>IF(ISERROR(FIND($A$2,Lines!AL28))=TRUE,"",MID(Lines!AL28,FIND($A$2,Lines!AL28)+LEN($A$2)+1,FIND(",",_xlfn.CONCAT(Lines!AL28,","),FIND($A$2,Lines!AL28))-FIND($A$2,Lines!AL28)-LEN($A$2)-1))</f>
        <v/>
      </c>
      <c r="AM28" s="30" t="str">
        <f>IF(ISERROR(FIND($A$2,Lines!AM28))=TRUE,"",MID(Lines!AM28,FIND($A$2,Lines!AM28)+LEN($A$2)+1,FIND(",",_xlfn.CONCAT(Lines!AM28,","),FIND($A$2,Lines!AM28))-FIND($A$2,Lines!AM28)-LEN($A$2)-1))</f>
        <v/>
      </c>
      <c r="AN28" s="30" t="str">
        <f>IF(ISERROR(FIND($A$2,Lines!AN28))=TRUE,"",MID(Lines!AN28,FIND($A$2,Lines!AN28)+LEN($A$2)+1,FIND(",",_xlfn.CONCAT(Lines!AN28,","),FIND($A$2,Lines!AN28))-FIND($A$2,Lines!AN28)-LEN($A$2)-1))</f>
        <v/>
      </c>
      <c r="AO28" s="30" t="str">
        <f>IF(ISERROR(FIND($A$2,Lines!AO28))=TRUE,"",MID(Lines!AO28,FIND($A$2,Lines!AO28)+LEN($A$2)+1,FIND(",",_xlfn.CONCAT(Lines!AO28,","),FIND($A$2,Lines!AO28))-FIND($A$2,Lines!AO28)-LEN($A$2)-1))</f>
        <v/>
      </c>
      <c r="AP28" s="30" t="str">
        <f>IF(ISERROR(FIND($A$2,Lines!AP28))=TRUE,"",MID(Lines!AP28,FIND($A$2,Lines!AP28)+LEN($A$2)+1,FIND(",",_xlfn.CONCAT(Lines!AP28,","),FIND($A$2,Lines!AP28))-FIND($A$2,Lines!AP28)-LEN($A$2)-1))</f>
        <v/>
      </c>
      <c r="AQ28" s="30" t="str">
        <f>IF(ISERROR(FIND($A$2,Lines!AQ28))=TRUE,"",MID(Lines!AQ28,FIND($A$2,Lines!AQ28)+LEN($A$2)+1,FIND(",",_xlfn.CONCAT(Lines!AQ28,","),FIND($A$2,Lines!AQ28))-FIND($A$2,Lines!AQ28)-LEN($A$2)-1))</f>
        <v/>
      </c>
      <c r="AR28" s="30" t="str">
        <f>IF(ISERROR(FIND($A$2,Lines!AR28))=TRUE,"",MID(Lines!AR28,FIND($A$2,Lines!AR28)+LEN($A$2)+1,FIND(",",_xlfn.CONCAT(Lines!AR28,","),FIND($A$2,Lines!AR28))-FIND($A$2,Lines!AR28)-LEN($A$2)-1))</f>
        <v/>
      </c>
      <c r="AS28" s="30" t="str">
        <f>IF(ISERROR(FIND($A$2,Lines!AS28))=TRUE,"",MID(Lines!AS28,FIND($A$2,Lines!AS28)+LEN($A$2)+1,FIND(",",_xlfn.CONCAT(Lines!AS28,","),FIND($A$2,Lines!AS28))-FIND($A$2,Lines!AS28)-LEN($A$2)-1))</f>
        <v/>
      </c>
      <c r="AT28" s="30" t="str">
        <f>IF(ISERROR(FIND($A$2,Lines!AT28))=TRUE,"",MID(Lines!AT28,FIND($A$2,Lines!AT28)+LEN($A$2)+1,FIND(",",_xlfn.CONCAT(Lines!AT28,","),FIND($A$2,Lines!AT28))-FIND($A$2,Lines!AT28)-LEN($A$2)-1))</f>
        <v/>
      </c>
    </row>
    <row r="29" spans="1:46" ht="20.25" customHeight="1">
      <c r="A29" s="2" t="s">
        <v>77</v>
      </c>
      <c r="B29" s="30" t="str">
        <f>IF(ISERROR(FIND($A$2,Lines!B29))=TRUE,"",MID(Lines!B29,FIND($A$2,Lines!B29)+LEN($A$2)+1,FIND(",",_xlfn.CONCAT(Lines!B29,","),FIND($A$2,Lines!B29))-FIND($A$2,Lines!B29)-LEN($A$2)-1))</f>
        <v/>
      </c>
      <c r="C29" s="30" t="str">
        <f>IF(ISERROR(FIND($A$2,Lines!C29))=TRUE,"",MID(Lines!C29,FIND($A$2,Lines!C29)+LEN($A$2)+1,FIND(",",_xlfn.CONCAT(Lines!C29,","),FIND($A$2,Lines!C29))-FIND($A$2,Lines!C29)-LEN($A$2)-1))</f>
        <v/>
      </c>
      <c r="D29" s="30" t="str">
        <f>IF(ISERROR(FIND($A$2,Lines!D29))=TRUE,"",MID(Lines!D29,FIND($A$2,Lines!D29)+LEN($A$2)+1,FIND(",",_xlfn.CONCAT(Lines!D29,","),FIND($A$2,Lines!D29))-FIND($A$2,Lines!D29)-LEN($A$2)-1))</f>
        <v/>
      </c>
      <c r="E29" s="30" t="str">
        <f>IF(ISERROR(FIND($A$2,Lines!E29))=TRUE,"",MID(Lines!E29,FIND($A$2,Lines!E29)+LEN($A$2)+1,FIND(",",_xlfn.CONCAT(Lines!E29,","),FIND($A$2,Lines!E29))-FIND($A$2,Lines!E29)-LEN($A$2)-1))</f>
        <v/>
      </c>
      <c r="F29" s="30" t="str">
        <f>IF(ISERROR(FIND($A$2,Lines!F29))=TRUE,"",MID(Lines!F29,FIND($A$2,Lines!F29)+LEN($A$2)+1,FIND(",",_xlfn.CONCAT(Lines!F29,","),FIND($A$2,Lines!F29))-FIND($A$2,Lines!F29)-LEN($A$2)-1))</f>
        <v/>
      </c>
      <c r="G29" s="30" t="str">
        <f>IF(ISERROR(FIND($A$2,Lines!G29))=TRUE,"",MID(Lines!G29,FIND($A$2,Lines!G29)+LEN($A$2)+1,FIND(",",_xlfn.CONCAT(Lines!G29,","),FIND($A$2,Lines!G29))-FIND($A$2,Lines!G29)-LEN($A$2)-1))</f>
        <v/>
      </c>
      <c r="H29" s="30" t="str">
        <f>IF(ISERROR(FIND($A$2,Lines!H29))=TRUE,"",MID(Lines!H29,FIND($A$2,Lines!H29)+LEN($A$2)+1,FIND(",",_xlfn.CONCAT(Lines!H29,","),FIND($A$2,Lines!H29))-FIND($A$2,Lines!H29)-LEN($A$2)-1))</f>
        <v/>
      </c>
      <c r="I29" s="30" t="str">
        <f>IF(ISERROR(FIND($A$2,Lines!I29))=TRUE,"",MID(Lines!I29,FIND($A$2,Lines!I29)+LEN($A$2)+1,FIND(",",_xlfn.CONCAT(Lines!I29,","),FIND($A$2,Lines!I29))-FIND($A$2,Lines!I29)-LEN($A$2)-1))</f>
        <v/>
      </c>
      <c r="J29" s="30" t="str">
        <f>IF(ISERROR(FIND($A$2,Lines!J29))=TRUE,"",MID(Lines!J29,FIND($A$2,Lines!J29)+LEN($A$2)+1,FIND(",",_xlfn.CONCAT(Lines!J29,","),FIND($A$2,Lines!J29))-FIND($A$2,Lines!J29)-LEN($A$2)-1))</f>
        <v/>
      </c>
      <c r="K29" s="30" t="str">
        <f>IF(ISERROR(FIND($A$2,Lines!K29))=TRUE,"",MID(Lines!K29,FIND($A$2,Lines!K29)+LEN($A$2)+1,FIND(",",_xlfn.CONCAT(Lines!K29,","),FIND($A$2,Lines!K29))-FIND($A$2,Lines!K29)-LEN($A$2)-1))</f>
        <v/>
      </c>
      <c r="L29" s="30" t="str">
        <f>IF(ISERROR(FIND($A$2,Lines!L29))=TRUE,"",MID(Lines!L29,FIND($A$2,Lines!L29)+LEN($A$2)+1,FIND(",",_xlfn.CONCAT(Lines!L29,","),FIND($A$2,Lines!L29))-FIND($A$2,Lines!L29)-LEN($A$2)-1))</f>
        <v/>
      </c>
      <c r="M29" s="30" t="str">
        <f>IF(ISERROR(FIND($A$2,Lines!M29))=TRUE,"",MID(Lines!M29,FIND($A$2,Lines!M29)+LEN($A$2)+1,FIND(",",_xlfn.CONCAT(Lines!M29,","),FIND($A$2,Lines!M29))-FIND($A$2,Lines!M29)-LEN($A$2)-1))</f>
        <v/>
      </c>
      <c r="N29" s="30" t="str">
        <f>IF(ISERROR(FIND($A$2,Lines!N29))=TRUE,"",MID(Lines!N29,FIND($A$2,Lines!N29)+LEN($A$2)+1,FIND(",",_xlfn.CONCAT(Lines!N29,","),FIND($A$2,Lines!N29))-FIND($A$2,Lines!N29)-LEN($A$2)-1))</f>
        <v/>
      </c>
      <c r="O29" s="30" t="str">
        <f>IF(ISERROR(FIND($A$2,Lines!O29))=TRUE,"",MID(Lines!O29,FIND($A$2,Lines!O29)+LEN($A$2)+1,FIND(",",_xlfn.CONCAT(Lines!O29,","),FIND($A$2,Lines!O29))-FIND($A$2,Lines!O29)-LEN($A$2)-1))</f>
        <v/>
      </c>
      <c r="P29" s="30" t="str">
        <f>IF(ISERROR(FIND($A$2,Lines!P29))=TRUE,"",MID(Lines!P29,FIND($A$2,Lines!P29)+LEN($A$2)+1,FIND(",",_xlfn.CONCAT(Lines!P29,","),FIND($A$2,Lines!P29))-FIND($A$2,Lines!P29)-LEN($A$2)-1))</f>
        <v/>
      </c>
      <c r="Q29" s="30" t="str">
        <f>IF(ISERROR(FIND($A$2,Lines!Q29))=TRUE,"",MID(Lines!Q29,FIND($A$2,Lines!Q29)+LEN($A$2)+1,FIND(",",_xlfn.CONCAT(Lines!Q29,","),FIND($A$2,Lines!Q29))-FIND($A$2,Lines!Q29)-LEN($A$2)-1))</f>
        <v/>
      </c>
      <c r="R29" s="30" t="str">
        <f>IF(ISERROR(FIND($A$2,Lines!R29))=TRUE,"",MID(Lines!R29,FIND($A$2,Lines!R29)+LEN($A$2)+1,FIND(",",_xlfn.CONCAT(Lines!R29,","),FIND($A$2,Lines!R29))-FIND($A$2,Lines!R29)-LEN($A$2)-1))</f>
        <v/>
      </c>
      <c r="S29" s="30" t="str">
        <f>IF(ISERROR(FIND($A$2,Lines!S29))=TRUE,"",MID(Lines!S29,FIND($A$2,Lines!S29)+LEN($A$2)+1,FIND(",",_xlfn.CONCAT(Lines!S29,","),FIND($A$2,Lines!S29))-FIND($A$2,Lines!S29)-LEN($A$2)-1))</f>
        <v/>
      </c>
      <c r="T29" s="30" t="str">
        <f>IF(ISERROR(FIND($A$2,Lines!T29))=TRUE,"",MID(Lines!T29,FIND($A$2,Lines!T29)+LEN($A$2)+1,FIND(",",_xlfn.CONCAT(Lines!T29,","),FIND($A$2,Lines!T29))-FIND($A$2,Lines!T29)-LEN($A$2)-1))</f>
        <v/>
      </c>
      <c r="U29" s="30" t="str">
        <f>IF(ISERROR(FIND($A$2,Lines!U29))=TRUE,"",MID(Lines!U29,FIND($A$2,Lines!U29)+LEN($A$2)+1,FIND(",",_xlfn.CONCAT(Lines!U29,","),FIND($A$2,Lines!U29))-FIND($A$2,Lines!U29)-LEN($A$2)-1))</f>
        <v/>
      </c>
      <c r="V29" s="30" t="str">
        <f>IF(ISERROR(FIND($A$2,Lines!V29))=TRUE,"",MID(Lines!V29,FIND($A$2,Lines!V29)+LEN($A$2)+1,FIND(",",_xlfn.CONCAT(Lines!V29,","),FIND($A$2,Lines!V29))-FIND($A$2,Lines!V29)-LEN($A$2)-1))</f>
        <v/>
      </c>
      <c r="W29" s="36" t="str">
        <f>IF(ISERROR(FIND($A$2,Lines!W29))=TRUE,"",MID(Lines!W29,FIND($A$2,Lines!W29)+LEN($A$2)+1,FIND(",",_xlfn.CONCAT(Lines!W29,","),FIND($A$2,Lines!W29))-FIND($A$2,Lines!W29)-LEN($A$2)-1))</f>
        <v/>
      </c>
      <c r="X29" s="39" t="str">
        <f>IF(ISERROR(FIND($A$2,Lines!X29))=TRUE,"",MID(Lines!X29,FIND($A$2,Lines!X29)+LEN($A$2)+1,FIND(",",_xlfn.CONCAT(Lines!X29,","),FIND($A$2,Lines!X29))-FIND($A$2,Lines!X29)-LEN($A$2)-1))</f>
        <v/>
      </c>
      <c r="Y29" s="41" t="str">
        <f>IF(ISERROR(FIND($A$2,Lines!Y29))=TRUE,"",MID(Lines!Y29,FIND($A$2,Lines!Y29)+LEN($A$2)+1,FIND(",",_xlfn.CONCAT(Lines!Y29,","),FIND($A$2,Lines!Y29))-FIND($A$2,Lines!Y29)-LEN($A$2)-1))</f>
        <v/>
      </c>
      <c r="Z29" s="41" t="str">
        <f>IF(ISERROR(FIND($A$2,Lines!Z29))=TRUE,"",MID(Lines!Z29,FIND($A$2,Lines!Z29)+LEN($A$2)+1,FIND(",",_xlfn.CONCAT(Lines!Z29,","),FIND($A$2,Lines!Z29))-FIND($A$2,Lines!Z29)-LEN($A$2)-1))</f>
        <v/>
      </c>
      <c r="AA29" s="66" t="str">
        <f>IF(ISERROR(FIND($A$2,Lines!AA29))=TRUE,"",MID(Lines!AA29,FIND($A$2,Lines!AA29)+LEN($A$2)+1,FIND(",",_xlfn.CONCAT(Lines!AA29,","),FIND($A$2,Lines!AA29))-FIND($A$2,Lines!AA29)-LEN($A$2)-1))</f>
        <v/>
      </c>
      <c r="AB29" s="41" t="str">
        <f>IF(ISERROR(FIND($A$2,Lines!AB29))=TRUE,"",MID(Lines!AB29,FIND($A$2,Lines!AB29)+LEN($A$2)+1,FIND(",",_xlfn.CONCAT(Lines!AB29,","),FIND($A$2,Lines!AB29))-FIND($A$2,Lines!AB29)-LEN($A$2)-1))</f>
        <v/>
      </c>
      <c r="AC29" s="41" t="str">
        <f>IF(ISERROR(FIND($A$2,Lines!AC29))=TRUE,"",MID(Lines!AC29,FIND($A$2,Lines!AC29)+LEN($A$2)+1,FIND(",",_xlfn.CONCAT(Lines!AC29,","),FIND($A$2,Lines!AC29))-FIND($A$2,Lines!AC29)-LEN($A$2)-1))</f>
        <v/>
      </c>
      <c r="AD29" s="46" t="str">
        <f>IF(ISERROR(FIND($A$2,Lines!AD29))=TRUE,"",MID(Lines!AD29,FIND($A$2,Lines!AD29)+LEN($A$2)+1,FIND(",",_xlfn.CONCAT(Lines!AD29,","),FIND($A$2,Lines!AD29))-FIND($A$2,Lines!AD29)-LEN($A$2)-1))</f>
        <v/>
      </c>
      <c r="AE29" s="30" t="str">
        <f>IF(ISERROR(FIND($A$2,Lines!AE29))=TRUE,"",MID(Lines!AE29,FIND($A$2,Lines!AE29)+LEN($A$2)+1,FIND(",",_xlfn.CONCAT(Lines!AE29,","),FIND($A$2,Lines!AE29))-FIND($A$2,Lines!AE29)-LEN($A$2)-1))</f>
        <v/>
      </c>
      <c r="AF29" s="30" t="str">
        <f>IF(ISERROR(FIND($A$2,Lines!AF29))=TRUE,"",MID(Lines!AF29,FIND($A$2,Lines!AF29)+LEN($A$2)+1,FIND(",",_xlfn.CONCAT(Lines!AF29,","),FIND($A$2,Lines!AF29))-FIND($A$2,Lines!AF29)-LEN($A$2)-1))</f>
        <v/>
      </c>
      <c r="AG29" s="30" t="str">
        <f>IF(ISERROR(FIND($A$2,Lines!AG29))=TRUE,"",MID(Lines!AG29,FIND($A$2,Lines!AG29)+LEN($A$2)+1,FIND(",",_xlfn.CONCAT(Lines!AG29,","),FIND($A$2,Lines!AG29))-FIND($A$2,Lines!AG29)-LEN($A$2)-1))</f>
        <v/>
      </c>
      <c r="AH29" s="30" t="str">
        <f>IF(ISERROR(FIND($A$2,Lines!AH29))=TRUE,"",MID(Lines!AH29,FIND($A$2,Lines!AH29)+LEN($A$2)+1,FIND(",",_xlfn.CONCAT(Lines!AH29,","),FIND($A$2,Lines!AH29))-FIND($A$2,Lines!AH29)-LEN($A$2)-1))</f>
        <v/>
      </c>
      <c r="AI29" s="30" t="str">
        <f>IF(ISERROR(FIND($A$2,Lines!AI29))=TRUE,"",MID(Lines!AI29,FIND($A$2,Lines!AI29)+LEN($A$2)+1,FIND(",",_xlfn.CONCAT(Lines!AI29,","),FIND($A$2,Lines!AI29))-FIND($A$2,Lines!AI29)-LEN($A$2)-1))</f>
        <v/>
      </c>
      <c r="AJ29" s="30" t="str">
        <f>IF(ISERROR(FIND($A$2,Lines!AJ29))=TRUE,"",MID(Lines!AJ29,FIND($A$2,Lines!AJ29)+LEN($A$2)+1,FIND(",",_xlfn.CONCAT(Lines!AJ29,","),FIND($A$2,Lines!AJ29))-FIND($A$2,Lines!AJ29)-LEN($A$2)-1))</f>
        <v/>
      </c>
      <c r="AK29" s="30" t="str">
        <f>IF(ISERROR(FIND($A$2,Lines!AK29))=TRUE,"",MID(Lines!AK29,FIND($A$2,Lines!AK29)+LEN($A$2)+1,FIND(",",_xlfn.CONCAT(Lines!AK29,","),FIND($A$2,Lines!AK29))-FIND($A$2,Lines!AK29)-LEN($A$2)-1))</f>
        <v/>
      </c>
      <c r="AL29" s="30" t="str">
        <f>IF(ISERROR(FIND($A$2,Lines!AL29))=TRUE,"",MID(Lines!AL29,FIND($A$2,Lines!AL29)+LEN($A$2)+1,FIND(",",_xlfn.CONCAT(Lines!AL29,","),FIND($A$2,Lines!AL29))-FIND($A$2,Lines!AL29)-LEN($A$2)-1))</f>
        <v/>
      </c>
      <c r="AM29" s="30" t="str">
        <f>IF(ISERROR(FIND($A$2,Lines!AM29))=TRUE,"",MID(Lines!AM29,FIND($A$2,Lines!AM29)+LEN($A$2)+1,FIND(",",_xlfn.CONCAT(Lines!AM29,","),FIND($A$2,Lines!AM29))-FIND($A$2,Lines!AM29)-LEN($A$2)-1))</f>
        <v/>
      </c>
      <c r="AN29" s="30" t="str">
        <f>IF(ISERROR(FIND($A$2,Lines!AN29))=TRUE,"",MID(Lines!AN29,FIND($A$2,Lines!AN29)+LEN($A$2)+1,FIND(",",_xlfn.CONCAT(Lines!AN29,","),FIND($A$2,Lines!AN29))-FIND($A$2,Lines!AN29)-LEN($A$2)-1))</f>
        <v/>
      </c>
      <c r="AO29" s="30" t="str">
        <f>IF(ISERROR(FIND($A$2,Lines!AO29))=TRUE,"",MID(Lines!AO29,FIND($A$2,Lines!AO29)+LEN($A$2)+1,FIND(",",_xlfn.CONCAT(Lines!AO29,","),FIND($A$2,Lines!AO29))-FIND($A$2,Lines!AO29)-LEN($A$2)-1))</f>
        <v/>
      </c>
      <c r="AP29" s="30" t="str">
        <f>IF(ISERROR(FIND($A$2,Lines!AP29))=TRUE,"",MID(Lines!AP29,FIND($A$2,Lines!AP29)+LEN($A$2)+1,FIND(",",_xlfn.CONCAT(Lines!AP29,","),FIND($A$2,Lines!AP29))-FIND($A$2,Lines!AP29)-LEN($A$2)-1))</f>
        <v/>
      </c>
      <c r="AQ29" s="30" t="str">
        <f>IF(ISERROR(FIND($A$2,Lines!AQ29))=TRUE,"",MID(Lines!AQ29,FIND($A$2,Lines!AQ29)+LEN($A$2)+1,FIND(",",_xlfn.CONCAT(Lines!AQ29,","),FIND($A$2,Lines!AQ29))-FIND($A$2,Lines!AQ29)-LEN($A$2)-1))</f>
        <v/>
      </c>
      <c r="AR29" s="30" t="str">
        <f>IF(ISERROR(FIND($A$2,Lines!AR29))=TRUE,"",MID(Lines!AR29,FIND($A$2,Lines!AR29)+LEN($A$2)+1,FIND(",",_xlfn.CONCAT(Lines!AR29,","),FIND($A$2,Lines!AR29))-FIND($A$2,Lines!AR29)-LEN($A$2)-1))</f>
        <v/>
      </c>
      <c r="AS29" s="30" t="str">
        <f>IF(ISERROR(FIND($A$2,Lines!AS29))=TRUE,"",MID(Lines!AS29,FIND($A$2,Lines!AS29)+LEN($A$2)+1,FIND(",",_xlfn.CONCAT(Lines!AS29,","),FIND($A$2,Lines!AS29))-FIND($A$2,Lines!AS29)-LEN($A$2)-1))</f>
        <v/>
      </c>
      <c r="AT29" s="30" t="str">
        <f>IF(ISERROR(FIND($A$2,Lines!AT29))=TRUE,"",MID(Lines!AT29,FIND($A$2,Lines!AT29)+LEN($A$2)+1,FIND(",",_xlfn.CONCAT(Lines!AT29,","),FIND($A$2,Lines!AT29))-FIND($A$2,Lines!AT29)-LEN($A$2)-1))</f>
        <v/>
      </c>
    </row>
    <row r="30" spans="1:46" ht="20.25" customHeight="1">
      <c r="A30" s="2" t="s">
        <v>78</v>
      </c>
      <c r="B30" s="30" t="str">
        <f>IF(ISERROR(FIND($A$2,Lines!B30))=TRUE,"",MID(Lines!B30,FIND($A$2,Lines!B30)+LEN($A$2)+1,FIND(",",_xlfn.CONCAT(Lines!B30,","),FIND($A$2,Lines!B30))-FIND($A$2,Lines!B30)-LEN($A$2)-1))</f>
        <v/>
      </c>
      <c r="C30" s="30" t="str">
        <f>IF(ISERROR(FIND($A$2,Lines!C30))=TRUE,"",MID(Lines!C30,FIND($A$2,Lines!C30)+LEN($A$2)+1,FIND(",",_xlfn.CONCAT(Lines!C30,","),FIND($A$2,Lines!C30))-FIND($A$2,Lines!C30)-LEN($A$2)-1))</f>
        <v/>
      </c>
      <c r="D30" s="30" t="str">
        <f>IF(ISERROR(FIND($A$2,Lines!D30))=TRUE,"",MID(Lines!D30,FIND($A$2,Lines!D30)+LEN($A$2)+1,FIND(",",_xlfn.CONCAT(Lines!D30,","),FIND($A$2,Lines!D30))-FIND($A$2,Lines!D30)-LEN($A$2)-1))</f>
        <v/>
      </c>
      <c r="E30" s="30" t="str">
        <f>IF(ISERROR(FIND($A$2,Lines!E30))=TRUE,"",MID(Lines!E30,FIND($A$2,Lines!E30)+LEN($A$2)+1,FIND(",",_xlfn.CONCAT(Lines!E30,","),FIND($A$2,Lines!E30))-FIND($A$2,Lines!E30)-LEN($A$2)-1))</f>
        <v/>
      </c>
      <c r="F30" s="30" t="str">
        <f>IF(ISERROR(FIND($A$2,Lines!F30))=TRUE,"",MID(Lines!F30,FIND($A$2,Lines!F30)+LEN($A$2)+1,FIND(",",_xlfn.CONCAT(Lines!F30,","),FIND($A$2,Lines!F30))-FIND($A$2,Lines!F30)-LEN($A$2)-1))</f>
        <v/>
      </c>
      <c r="G30" s="30" t="str">
        <f>IF(ISERROR(FIND($A$2,Lines!G30))=TRUE,"",MID(Lines!G30,FIND($A$2,Lines!G30)+LEN($A$2)+1,FIND(",",_xlfn.CONCAT(Lines!G30,","),FIND($A$2,Lines!G30))-FIND($A$2,Lines!G30)-LEN($A$2)-1))</f>
        <v/>
      </c>
      <c r="H30" s="30" t="str">
        <f>IF(ISERROR(FIND($A$2,Lines!H30))=TRUE,"",MID(Lines!H30,FIND($A$2,Lines!H30)+LEN($A$2)+1,FIND(",",_xlfn.CONCAT(Lines!H30,","),FIND($A$2,Lines!H30))-FIND($A$2,Lines!H30)-LEN($A$2)-1))</f>
        <v/>
      </c>
      <c r="I30" s="30" t="str">
        <f>IF(ISERROR(FIND($A$2,Lines!I30))=TRUE,"",MID(Lines!I30,FIND($A$2,Lines!I30)+LEN($A$2)+1,FIND(",",_xlfn.CONCAT(Lines!I30,","),FIND($A$2,Lines!I30))-FIND($A$2,Lines!I30)-LEN($A$2)-1))</f>
        <v/>
      </c>
      <c r="J30" s="30" t="str">
        <f>IF(ISERROR(FIND($A$2,Lines!J30))=TRUE,"",MID(Lines!J30,FIND($A$2,Lines!J30)+LEN($A$2)+1,FIND(",",_xlfn.CONCAT(Lines!J30,","),FIND($A$2,Lines!J30))-FIND($A$2,Lines!J30)-LEN($A$2)-1))</f>
        <v/>
      </c>
      <c r="K30" s="30" t="str">
        <f>IF(ISERROR(FIND($A$2,Lines!K30))=TRUE,"",MID(Lines!K30,FIND($A$2,Lines!K30)+LEN($A$2)+1,FIND(",",_xlfn.CONCAT(Lines!K30,","),FIND($A$2,Lines!K30))-FIND($A$2,Lines!K30)-LEN($A$2)-1))</f>
        <v/>
      </c>
      <c r="L30" s="30" t="str">
        <f>IF(ISERROR(FIND($A$2,Lines!L30))=TRUE,"",MID(Lines!L30,FIND($A$2,Lines!L30)+LEN($A$2)+1,FIND(",",_xlfn.CONCAT(Lines!L30,","),FIND($A$2,Lines!L30))-FIND($A$2,Lines!L30)-LEN($A$2)-1))</f>
        <v/>
      </c>
      <c r="M30" s="30" t="str">
        <f>IF(ISERROR(FIND($A$2,Lines!M30))=TRUE,"",MID(Lines!M30,FIND($A$2,Lines!M30)+LEN($A$2)+1,FIND(",",_xlfn.CONCAT(Lines!M30,","),FIND($A$2,Lines!M30))-FIND($A$2,Lines!M30)-LEN($A$2)-1))</f>
        <v/>
      </c>
      <c r="N30" s="30" t="str">
        <f>IF(ISERROR(FIND($A$2,Lines!N30))=TRUE,"",MID(Lines!N30,FIND($A$2,Lines!N30)+LEN($A$2)+1,FIND(",",_xlfn.CONCAT(Lines!N30,","),FIND($A$2,Lines!N30))-FIND($A$2,Lines!N30)-LEN($A$2)-1))</f>
        <v/>
      </c>
      <c r="O30" s="30" t="str">
        <f>IF(ISERROR(FIND($A$2,Lines!O30))=TRUE,"",MID(Lines!O30,FIND($A$2,Lines!O30)+LEN($A$2)+1,FIND(",",_xlfn.CONCAT(Lines!O30,","),FIND($A$2,Lines!O30))-FIND($A$2,Lines!O30)-LEN($A$2)-1))</f>
        <v>4</v>
      </c>
      <c r="P30" s="30" t="str">
        <f>IF(ISERROR(FIND($A$2,Lines!P30))=TRUE,"",MID(Lines!P30,FIND($A$2,Lines!P30)+LEN($A$2)+1,FIND(",",_xlfn.CONCAT(Lines!P30,","),FIND($A$2,Lines!P30))-FIND($A$2,Lines!P30)-LEN($A$2)-1))</f>
        <v/>
      </c>
      <c r="Q30" s="30" t="str">
        <f>IF(ISERROR(FIND($A$2,Lines!Q30))=TRUE,"",MID(Lines!Q30,FIND($A$2,Lines!Q30)+LEN($A$2)+1,FIND(",",_xlfn.CONCAT(Lines!Q30,","),FIND($A$2,Lines!Q30))-FIND($A$2,Lines!Q30)-LEN($A$2)-1))</f>
        <v/>
      </c>
      <c r="R30" s="30" t="str">
        <f>IF(ISERROR(FIND($A$2,Lines!R30))=TRUE,"",MID(Lines!R30,FIND($A$2,Lines!R30)+LEN($A$2)+1,FIND(",",_xlfn.CONCAT(Lines!R30,","),FIND($A$2,Lines!R30))-FIND($A$2,Lines!R30)-LEN($A$2)-1))</f>
        <v/>
      </c>
      <c r="S30" s="30" t="str">
        <f>IF(ISERROR(FIND($A$2,Lines!S30))=TRUE,"",MID(Lines!S30,FIND($A$2,Lines!S30)+LEN($A$2)+1,FIND(",",_xlfn.CONCAT(Lines!S30,","),FIND($A$2,Lines!S30))-FIND($A$2,Lines!S30)-LEN($A$2)-1))</f>
        <v/>
      </c>
      <c r="T30" s="30" t="str">
        <f>IF(ISERROR(FIND($A$2,Lines!T30))=TRUE,"",MID(Lines!T30,FIND($A$2,Lines!T30)+LEN($A$2)+1,FIND(",",_xlfn.CONCAT(Lines!T30,","),FIND($A$2,Lines!T30))-FIND($A$2,Lines!T30)-LEN($A$2)-1))</f>
        <v/>
      </c>
      <c r="U30" s="30" t="str">
        <f>IF(ISERROR(FIND($A$2,Lines!U30))=TRUE,"",MID(Lines!U30,FIND($A$2,Lines!U30)+LEN($A$2)+1,FIND(",",_xlfn.CONCAT(Lines!U30,","),FIND($A$2,Lines!U30))-FIND($A$2,Lines!U30)-LEN($A$2)-1))</f>
        <v/>
      </c>
      <c r="V30" s="30" t="str">
        <f>IF(ISERROR(FIND($A$2,Lines!V30))=TRUE,"",MID(Lines!V30,FIND($A$2,Lines!V30)+LEN($A$2)+1,FIND(",",_xlfn.CONCAT(Lines!V30,","),FIND($A$2,Lines!V30))-FIND($A$2,Lines!V30)-LEN($A$2)-1))</f>
        <v/>
      </c>
      <c r="W30" s="36" t="str">
        <f>IF(ISERROR(FIND($A$2,Lines!W30))=TRUE,"",MID(Lines!W30,FIND($A$2,Lines!W30)+LEN($A$2)+1,FIND(",",_xlfn.CONCAT(Lines!W30,","),FIND($A$2,Lines!W30))-FIND($A$2,Lines!W30)-LEN($A$2)-1))</f>
        <v/>
      </c>
      <c r="X30" s="40" t="str">
        <f>IF(ISERROR(FIND($A$2,Lines!X30))=TRUE,"",MID(Lines!X30,FIND($A$2,Lines!X30)+LEN($A$2)+1,FIND(",",_xlfn.CONCAT(Lines!X30,","),FIND($A$2,Lines!X30))-FIND($A$2,Lines!X30)-LEN($A$2)-1))</f>
        <v/>
      </c>
      <c r="Y30" s="41" t="str">
        <f>IF(ISERROR(FIND($A$2,Lines!Y30))=TRUE,"",MID(Lines!Y30,FIND($A$2,Lines!Y30)+LEN($A$2)+1,FIND(",",_xlfn.CONCAT(Lines!Y30,","),FIND($A$2,Lines!Y30))-FIND($A$2,Lines!Y30)-LEN($A$2)-1))</f>
        <v/>
      </c>
      <c r="Z30" s="41" t="str">
        <f>IF(ISERROR(FIND($A$2,Lines!Z30))=TRUE,"",MID(Lines!Z30,FIND($A$2,Lines!Z30)+LEN($A$2)+1,FIND(",",_xlfn.CONCAT(Lines!Z30,","),FIND($A$2,Lines!Z30))-FIND($A$2,Lines!Z30)-LEN($A$2)-1))</f>
        <v/>
      </c>
      <c r="AA30" s="41" t="str">
        <f>IF(ISERROR(FIND($A$2,Lines!AA30))=TRUE,"",MID(Lines!AA30,FIND($A$2,Lines!AA30)+LEN($A$2)+1,FIND(",",_xlfn.CONCAT(Lines!AA30,","),FIND($A$2,Lines!AA30))-FIND($A$2,Lines!AA30)-LEN($A$2)-1))</f>
        <v/>
      </c>
      <c r="AB30" s="66" t="str">
        <f>IF(ISERROR(FIND($A$2,Lines!AB30))=TRUE,"",MID(Lines!AB30,FIND($A$2,Lines!AB30)+LEN($A$2)+1,FIND(",",_xlfn.CONCAT(Lines!AB30,","),FIND($A$2,Lines!AB30))-FIND($A$2,Lines!AB30)-LEN($A$2)-1))</f>
        <v/>
      </c>
      <c r="AC30" s="41" t="str">
        <f>IF(ISERROR(FIND($A$2,Lines!AC30))=TRUE,"",MID(Lines!AC30,FIND($A$2,Lines!AC30)+LEN($A$2)+1,FIND(",",_xlfn.CONCAT(Lines!AC30,","),FIND($A$2,Lines!AC30))-FIND($A$2,Lines!AC30)-LEN($A$2)-1))</f>
        <v/>
      </c>
      <c r="AD30" s="53" t="str">
        <f>IF(ISERROR(FIND($A$2,Lines!AD30))=TRUE,"",MID(Lines!AD30,FIND($A$2,Lines!AD30)+LEN($A$2)+1,FIND(",",_xlfn.CONCAT(Lines!AD30,","),FIND($A$2,Lines!AD30))-FIND($A$2,Lines!AD30)-LEN($A$2)-1))</f>
        <v/>
      </c>
      <c r="AE30" s="30" t="str">
        <f>IF(ISERROR(FIND($A$2,Lines!AE30))=TRUE,"",MID(Lines!AE30,FIND($A$2,Lines!AE30)+LEN($A$2)+1,FIND(",",_xlfn.CONCAT(Lines!AE30,","),FIND($A$2,Lines!AE30))-FIND($A$2,Lines!AE30)-LEN($A$2)-1))</f>
        <v/>
      </c>
      <c r="AF30" s="30" t="str">
        <f>IF(ISERROR(FIND($A$2,Lines!AF30))=TRUE,"",MID(Lines!AF30,FIND($A$2,Lines!AF30)+LEN($A$2)+1,FIND(",",_xlfn.CONCAT(Lines!AF30,","),FIND($A$2,Lines!AF30))-FIND($A$2,Lines!AF30)-LEN($A$2)-1))</f>
        <v/>
      </c>
      <c r="AG30" s="30" t="str">
        <f>IF(ISERROR(FIND($A$2,Lines!AG30))=TRUE,"",MID(Lines!AG30,FIND($A$2,Lines!AG30)+LEN($A$2)+1,FIND(",",_xlfn.CONCAT(Lines!AG30,","),FIND($A$2,Lines!AG30))-FIND($A$2,Lines!AG30)-LEN($A$2)-1))</f>
        <v/>
      </c>
      <c r="AH30" s="30" t="str">
        <f>IF(ISERROR(FIND($A$2,Lines!AH30))=TRUE,"",MID(Lines!AH30,FIND($A$2,Lines!AH30)+LEN($A$2)+1,FIND(",",_xlfn.CONCAT(Lines!AH30,","),FIND($A$2,Lines!AH30))-FIND($A$2,Lines!AH30)-LEN($A$2)-1))</f>
        <v/>
      </c>
      <c r="AI30" s="30" t="str">
        <f>IF(ISERROR(FIND($A$2,Lines!AI30))=TRUE,"",MID(Lines!AI30,FIND($A$2,Lines!AI30)+LEN($A$2)+1,FIND(",",_xlfn.CONCAT(Lines!AI30,","),FIND($A$2,Lines!AI30))-FIND($A$2,Lines!AI30)-LEN($A$2)-1))</f>
        <v/>
      </c>
      <c r="AJ30" s="30" t="str">
        <f>IF(ISERROR(FIND($A$2,Lines!AJ30))=TRUE,"",MID(Lines!AJ30,FIND($A$2,Lines!AJ30)+LEN($A$2)+1,FIND(",",_xlfn.CONCAT(Lines!AJ30,","),FIND($A$2,Lines!AJ30))-FIND($A$2,Lines!AJ30)-LEN($A$2)-1))</f>
        <v/>
      </c>
      <c r="AK30" s="30" t="str">
        <f>IF(ISERROR(FIND($A$2,Lines!AK30))=TRUE,"",MID(Lines!AK30,FIND($A$2,Lines!AK30)+LEN($A$2)+1,FIND(",",_xlfn.CONCAT(Lines!AK30,","),FIND($A$2,Lines!AK30))-FIND($A$2,Lines!AK30)-LEN($A$2)-1))</f>
        <v/>
      </c>
      <c r="AL30" s="30" t="str">
        <f>IF(ISERROR(FIND($A$2,Lines!AL30))=TRUE,"",MID(Lines!AL30,FIND($A$2,Lines!AL30)+LEN($A$2)+1,FIND(",",_xlfn.CONCAT(Lines!AL30,","),FIND($A$2,Lines!AL30))-FIND($A$2,Lines!AL30)-LEN($A$2)-1))</f>
        <v/>
      </c>
      <c r="AM30" s="30" t="str">
        <f>IF(ISERROR(FIND($A$2,Lines!AM30))=TRUE,"",MID(Lines!AM30,FIND($A$2,Lines!AM30)+LEN($A$2)+1,FIND(",",_xlfn.CONCAT(Lines!AM30,","),FIND($A$2,Lines!AM30))-FIND($A$2,Lines!AM30)-LEN($A$2)-1))</f>
        <v/>
      </c>
      <c r="AN30" s="30" t="str">
        <f>IF(ISERROR(FIND($A$2,Lines!AN30))=TRUE,"",MID(Lines!AN30,FIND($A$2,Lines!AN30)+LEN($A$2)+1,FIND(",",_xlfn.CONCAT(Lines!AN30,","),FIND($A$2,Lines!AN30))-FIND($A$2,Lines!AN30)-LEN($A$2)-1))</f>
        <v/>
      </c>
      <c r="AO30" s="30" t="str">
        <f>IF(ISERROR(FIND($A$2,Lines!AO30))=TRUE,"",MID(Lines!AO30,FIND($A$2,Lines!AO30)+LEN($A$2)+1,FIND(",",_xlfn.CONCAT(Lines!AO30,","),FIND($A$2,Lines!AO30))-FIND($A$2,Lines!AO30)-LEN($A$2)-1))</f>
        <v/>
      </c>
      <c r="AP30" s="30" t="str">
        <f>IF(ISERROR(FIND($A$2,Lines!AP30))=TRUE,"",MID(Lines!AP30,FIND($A$2,Lines!AP30)+LEN($A$2)+1,FIND(",",_xlfn.CONCAT(Lines!AP30,","),FIND($A$2,Lines!AP30))-FIND($A$2,Lines!AP30)-LEN($A$2)-1))</f>
        <v/>
      </c>
      <c r="AQ30" s="30" t="str">
        <f>IF(ISERROR(FIND($A$2,Lines!AQ30))=TRUE,"",MID(Lines!AQ30,FIND($A$2,Lines!AQ30)+LEN($A$2)+1,FIND(",",_xlfn.CONCAT(Lines!AQ30,","),FIND($A$2,Lines!AQ30))-FIND($A$2,Lines!AQ30)-LEN($A$2)-1))</f>
        <v/>
      </c>
      <c r="AR30" s="30" t="str">
        <f>IF(ISERROR(FIND($A$2,Lines!AR30))=TRUE,"",MID(Lines!AR30,FIND($A$2,Lines!AR30)+LEN($A$2)+1,FIND(",",_xlfn.CONCAT(Lines!AR30,","),FIND($A$2,Lines!AR30))-FIND($A$2,Lines!AR30)-LEN($A$2)-1))</f>
        <v/>
      </c>
      <c r="AS30" s="30" t="str">
        <f>IF(ISERROR(FIND($A$2,Lines!AS30))=TRUE,"",MID(Lines!AS30,FIND($A$2,Lines!AS30)+LEN($A$2)+1,FIND(",",_xlfn.CONCAT(Lines!AS30,","),FIND($A$2,Lines!AS30))-FIND($A$2,Lines!AS30)-LEN($A$2)-1))</f>
        <v/>
      </c>
      <c r="AT30" s="30" t="str">
        <f>IF(ISERROR(FIND($A$2,Lines!AT30))=TRUE,"",MID(Lines!AT30,FIND($A$2,Lines!AT30)+LEN($A$2)+1,FIND(",",_xlfn.CONCAT(Lines!AT30,","),FIND($A$2,Lines!AT30))-FIND($A$2,Lines!AT30)-LEN($A$2)-1))</f>
        <v/>
      </c>
    </row>
    <row r="31" spans="1:46" ht="20.25" customHeight="1">
      <c r="A31" s="2" t="s">
        <v>79</v>
      </c>
      <c r="B31" s="30" t="str">
        <f>IF(ISERROR(FIND($A$2,Lines!B31))=TRUE,"",MID(Lines!B31,FIND($A$2,Lines!B31)+LEN($A$2)+1,FIND(",",_xlfn.CONCAT(Lines!B31,","),FIND($A$2,Lines!B31))-FIND($A$2,Lines!B31)-LEN($A$2)-1))</f>
        <v/>
      </c>
      <c r="C31" s="30" t="str">
        <f>IF(ISERROR(FIND($A$2,Lines!C31))=TRUE,"",MID(Lines!C31,FIND($A$2,Lines!C31)+LEN($A$2)+1,FIND(",",_xlfn.CONCAT(Lines!C31,","),FIND($A$2,Lines!C31))-FIND($A$2,Lines!C31)-LEN($A$2)-1))</f>
        <v/>
      </c>
      <c r="D31" s="30" t="str">
        <f>IF(ISERROR(FIND($A$2,Lines!D31))=TRUE,"",MID(Lines!D31,FIND($A$2,Lines!D31)+LEN($A$2)+1,FIND(",",_xlfn.CONCAT(Lines!D31,","),FIND($A$2,Lines!D31))-FIND($A$2,Lines!D31)-LEN($A$2)-1))</f>
        <v/>
      </c>
      <c r="E31" s="30" t="str">
        <f>IF(ISERROR(FIND($A$2,Lines!E31))=TRUE,"",MID(Lines!E31,FIND($A$2,Lines!E31)+LEN($A$2)+1,FIND(",",_xlfn.CONCAT(Lines!E31,","),FIND($A$2,Lines!E31))-FIND($A$2,Lines!E31)-LEN($A$2)-1))</f>
        <v/>
      </c>
      <c r="F31" s="30" t="str">
        <f>IF(ISERROR(FIND($A$2,Lines!F31))=TRUE,"",MID(Lines!F31,FIND($A$2,Lines!F31)+LEN($A$2)+1,FIND(",",_xlfn.CONCAT(Lines!F31,","),FIND($A$2,Lines!F31))-FIND($A$2,Lines!F31)-LEN($A$2)-1))</f>
        <v/>
      </c>
      <c r="G31" s="30" t="str">
        <f>IF(ISERROR(FIND($A$2,Lines!G31))=TRUE,"",MID(Lines!G31,FIND($A$2,Lines!G31)+LEN($A$2)+1,FIND(",",_xlfn.CONCAT(Lines!G31,","),FIND($A$2,Lines!G31))-FIND($A$2,Lines!G31)-LEN($A$2)-1))</f>
        <v/>
      </c>
      <c r="H31" s="30" t="str">
        <f>IF(ISERROR(FIND($A$2,Lines!H31))=TRUE,"",MID(Lines!H31,FIND($A$2,Lines!H31)+LEN($A$2)+1,FIND(",",_xlfn.CONCAT(Lines!H31,","),FIND($A$2,Lines!H31))-FIND($A$2,Lines!H31)-LEN($A$2)-1))</f>
        <v/>
      </c>
      <c r="I31" s="30" t="str">
        <f>IF(ISERROR(FIND($A$2,Lines!I31))=TRUE,"",MID(Lines!I31,FIND($A$2,Lines!I31)+LEN($A$2)+1,FIND(",",_xlfn.CONCAT(Lines!I31,","),FIND($A$2,Lines!I31))-FIND($A$2,Lines!I31)-LEN($A$2)-1))</f>
        <v/>
      </c>
      <c r="J31" s="30" t="str">
        <f>IF(ISERROR(FIND($A$2,Lines!J31))=TRUE,"",MID(Lines!J31,FIND($A$2,Lines!J31)+LEN($A$2)+1,FIND(",",_xlfn.CONCAT(Lines!J31,","),FIND($A$2,Lines!J31))-FIND($A$2,Lines!J31)-LEN($A$2)-1))</f>
        <v/>
      </c>
      <c r="K31" s="30" t="str">
        <f>IF(ISERROR(FIND($A$2,Lines!K31))=TRUE,"",MID(Lines!K31,FIND($A$2,Lines!K31)+LEN($A$2)+1,FIND(",",_xlfn.CONCAT(Lines!K31,","),FIND($A$2,Lines!K31))-FIND($A$2,Lines!K31)-LEN($A$2)-1))</f>
        <v/>
      </c>
      <c r="L31" s="30" t="str">
        <f>IF(ISERROR(FIND($A$2,Lines!L31))=TRUE,"",MID(Lines!L31,FIND($A$2,Lines!L31)+LEN($A$2)+1,FIND(",",_xlfn.CONCAT(Lines!L31,","),FIND($A$2,Lines!L31))-FIND($A$2,Lines!L31)-LEN($A$2)-1))</f>
        <v/>
      </c>
      <c r="M31" s="30" t="str">
        <f>IF(ISERROR(FIND($A$2,Lines!M31))=TRUE,"",MID(Lines!M31,FIND($A$2,Lines!M31)+LEN($A$2)+1,FIND(",",_xlfn.CONCAT(Lines!M31,","),FIND($A$2,Lines!M31))-FIND($A$2,Lines!M31)-LEN($A$2)-1))</f>
        <v/>
      </c>
      <c r="N31" s="30" t="str">
        <f>IF(ISERROR(FIND($A$2,Lines!N31))=TRUE,"",MID(Lines!N31,FIND($A$2,Lines!N31)+LEN($A$2)+1,FIND(",",_xlfn.CONCAT(Lines!N31,","),FIND($A$2,Lines!N31))-FIND($A$2,Lines!N31)-LEN($A$2)-1))</f>
        <v/>
      </c>
      <c r="O31" s="30" t="str">
        <f>IF(ISERROR(FIND($A$2,Lines!O31))=TRUE,"",MID(Lines!O31,FIND($A$2,Lines!O31)+LEN($A$2)+1,FIND(",",_xlfn.CONCAT(Lines!O31,","),FIND($A$2,Lines!O31))-FIND($A$2,Lines!O31)-LEN($A$2)-1))</f>
        <v/>
      </c>
      <c r="P31" s="30" t="str">
        <f>IF(ISERROR(FIND($A$2,Lines!P31))=TRUE,"",MID(Lines!P31,FIND($A$2,Lines!P31)+LEN($A$2)+1,FIND(",",_xlfn.CONCAT(Lines!P31,","),FIND($A$2,Lines!P31))-FIND($A$2,Lines!P31)-LEN($A$2)-1))</f>
        <v/>
      </c>
      <c r="Q31" s="30" t="str">
        <f>IF(ISERROR(FIND($A$2,Lines!Q31))=TRUE,"",MID(Lines!Q31,FIND($A$2,Lines!Q31)+LEN($A$2)+1,FIND(",",_xlfn.CONCAT(Lines!Q31,","),FIND($A$2,Lines!Q31))-FIND($A$2,Lines!Q31)-LEN($A$2)-1))</f>
        <v/>
      </c>
      <c r="R31" s="30" t="str">
        <f>IF(ISERROR(FIND($A$2,Lines!R31))=TRUE,"",MID(Lines!R31,FIND($A$2,Lines!R31)+LEN($A$2)+1,FIND(",",_xlfn.CONCAT(Lines!R31,","),FIND($A$2,Lines!R31))-FIND($A$2,Lines!R31)-LEN($A$2)-1))</f>
        <v/>
      </c>
      <c r="S31" s="30" t="str">
        <f>IF(ISERROR(FIND($A$2,Lines!S31))=TRUE,"",MID(Lines!S31,FIND($A$2,Lines!S31)+LEN($A$2)+1,FIND(",",_xlfn.CONCAT(Lines!S31,","),FIND($A$2,Lines!S31))-FIND($A$2,Lines!S31)-LEN($A$2)-1))</f>
        <v/>
      </c>
      <c r="T31" s="30" t="str">
        <f>IF(ISERROR(FIND($A$2,Lines!T31))=TRUE,"",MID(Lines!T31,FIND($A$2,Lines!T31)+LEN($A$2)+1,FIND(",",_xlfn.CONCAT(Lines!T31,","),FIND($A$2,Lines!T31))-FIND($A$2,Lines!T31)-LEN($A$2)-1))</f>
        <v/>
      </c>
      <c r="U31" s="30" t="str">
        <f>IF(ISERROR(FIND($A$2,Lines!U31))=TRUE,"",MID(Lines!U31,FIND($A$2,Lines!U31)+LEN($A$2)+1,FIND(",",_xlfn.CONCAT(Lines!U31,","),FIND($A$2,Lines!U31))-FIND($A$2,Lines!U31)-LEN($A$2)-1))</f>
        <v/>
      </c>
      <c r="V31" s="30" t="str">
        <f>IF(ISERROR(FIND($A$2,Lines!V31))=TRUE,"",MID(Lines!V31,FIND($A$2,Lines!V31)+LEN($A$2)+1,FIND(",",_xlfn.CONCAT(Lines!V31,","),FIND($A$2,Lines!V31))-FIND($A$2,Lines!V31)-LEN($A$2)-1))</f>
        <v/>
      </c>
      <c r="W31" s="36" t="str">
        <f>IF(ISERROR(FIND($A$2,Lines!W31))=TRUE,"",MID(Lines!W31,FIND($A$2,Lines!W31)+LEN($A$2)+1,FIND(",",_xlfn.CONCAT(Lines!W31,","),FIND($A$2,Lines!W31))-FIND($A$2,Lines!W31)-LEN($A$2)-1))</f>
        <v/>
      </c>
      <c r="X31" s="39" t="str">
        <f>IF(ISERROR(FIND($A$2,Lines!X31))=TRUE,"",MID(Lines!X31,FIND($A$2,Lines!X31)+LEN($A$2)+1,FIND(",",_xlfn.CONCAT(Lines!X31,","),FIND($A$2,Lines!X31))-FIND($A$2,Lines!X31)-LEN($A$2)-1))</f>
        <v/>
      </c>
      <c r="Y31" s="41" t="str">
        <f>IF(ISERROR(FIND($A$2,Lines!Y31))=TRUE,"",MID(Lines!Y31,FIND($A$2,Lines!Y31)+LEN($A$2)+1,FIND(",",_xlfn.CONCAT(Lines!Y31,","),FIND($A$2,Lines!Y31))-FIND($A$2,Lines!Y31)-LEN($A$2)-1))</f>
        <v/>
      </c>
      <c r="Z31" s="41" t="str">
        <f>IF(ISERROR(FIND($A$2,Lines!Z31))=TRUE,"",MID(Lines!Z31,FIND($A$2,Lines!Z31)+LEN($A$2)+1,FIND(",",_xlfn.CONCAT(Lines!Z31,","),FIND($A$2,Lines!Z31))-FIND($A$2,Lines!Z31)-LEN($A$2)-1))</f>
        <v/>
      </c>
      <c r="AA31" s="41" t="str">
        <f>IF(ISERROR(FIND($A$2,Lines!AA31))=TRUE,"",MID(Lines!AA31,FIND($A$2,Lines!AA31)+LEN($A$2)+1,FIND(",",_xlfn.CONCAT(Lines!AA31,","),FIND($A$2,Lines!AA31))-FIND($A$2,Lines!AA31)-LEN($A$2)-1))</f>
        <v/>
      </c>
      <c r="AB31" s="41" t="str">
        <f>IF(ISERROR(FIND($A$2,Lines!AB31))=TRUE,"",MID(Lines!AB31,FIND($A$2,Lines!AB31)+LEN($A$2)+1,FIND(",",_xlfn.CONCAT(Lines!AB31,","),FIND($A$2,Lines!AB31))-FIND($A$2,Lines!AB31)-LEN($A$2)-1))</f>
        <v/>
      </c>
      <c r="AC31" s="66" t="str">
        <f>IF(ISERROR(FIND($A$2,Lines!AC31))=TRUE,"",MID(Lines!AC31,FIND($A$2,Lines!AC31)+LEN($A$2)+1,FIND(",",_xlfn.CONCAT(Lines!AC31,","),FIND($A$2,Lines!AC31))-FIND($A$2,Lines!AC31)-LEN($A$2)-1))</f>
        <v/>
      </c>
      <c r="AD31" s="46" t="str">
        <f>IF(ISERROR(FIND($A$2,Lines!AD31))=TRUE,"",MID(Lines!AD31,FIND($A$2,Lines!AD31)+LEN($A$2)+1,FIND(",",_xlfn.CONCAT(Lines!AD31,","),FIND($A$2,Lines!AD31))-FIND($A$2,Lines!AD31)-LEN($A$2)-1))</f>
        <v/>
      </c>
      <c r="AE31" s="30" t="str">
        <f>IF(ISERROR(FIND($A$2,Lines!AE31))=TRUE,"",MID(Lines!AE31,FIND($A$2,Lines!AE31)+LEN($A$2)+1,FIND(",",_xlfn.CONCAT(Lines!AE31,","),FIND($A$2,Lines!AE31))-FIND($A$2,Lines!AE31)-LEN($A$2)-1))</f>
        <v/>
      </c>
      <c r="AF31" s="30" t="str">
        <f>IF(ISERROR(FIND($A$2,Lines!AF31))=TRUE,"",MID(Lines!AF31,FIND($A$2,Lines!AF31)+LEN($A$2)+1,FIND(",",_xlfn.CONCAT(Lines!AF31,","),FIND($A$2,Lines!AF31))-FIND($A$2,Lines!AF31)-LEN($A$2)-1))</f>
        <v/>
      </c>
      <c r="AG31" s="30" t="str">
        <f>IF(ISERROR(FIND($A$2,Lines!AG31))=TRUE,"",MID(Lines!AG31,FIND($A$2,Lines!AG31)+LEN($A$2)+1,FIND(",",_xlfn.CONCAT(Lines!AG31,","),FIND($A$2,Lines!AG31))-FIND($A$2,Lines!AG31)-LEN($A$2)-1))</f>
        <v/>
      </c>
      <c r="AH31" s="30" t="str">
        <f>IF(ISERROR(FIND($A$2,Lines!AH31))=TRUE,"",MID(Lines!AH31,FIND($A$2,Lines!AH31)+LEN($A$2)+1,FIND(",",_xlfn.CONCAT(Lines!AH31,","),FIND($A$2,Lines!AH31))-FIND($A$2,Lines!AH31)-LEN($A$2)-1))</f>
        <v/>
      </c>
      <c r="AI31" s="30" t="str">
        <f>IF(ISERROR(FIND($A$2,Lines!AI31))=TRUE,"",MID(Lines!AI31,FIND($A$2,Lines!AI31)+LEN($A$2)+1,FIND(",",_xlfn.CONCAT(Lines!AI31,","),FIND($A$2,Lines!AI31))-FIND($A$2,Lines!AI31)-LEN($A$2)-1))</f>
        <v/>
      </c>
      <c r="AJ31" s="30" t="str">
        <f>IF(ISERROR(FIND($A$2,Lines!AJ31))=TRUE,"",MID(Lines!AJ31,FIND($A$2,Lines!AJ31)+LEN($A$2)+1,FIND(",",_xlfn.CONCAT(Lines!AJ31,","),FIND($A$2,Lines!AJ31))-FIND($A$2,Lines!AJ31)-LEN($A$2)-1))</f>
        <v/>
      </c>
      <c r="AK31" s="30" t="str">
        <f>IF(ISERROR(FIND($A$2,Lines!AK31))=TRUE,"",MID(Lines!AK31,FIND($A$2,Lines!AK31)+LEN($A$2)+1,FIND(",",_xlfn.CONCAT(Lines!AK31,","),FIND($A$2,Lines!AK31))-FIND($A$2,Lines!AK31)-LEN($A$2)-1))</f>
        <v/>
      </c>
      <c r="AL31" s="30" t="str">
        <f>IF(ISERROR(FIND($A$2,Lines!AL31))=TRUE,"",MID(Lines!AL31,FIND($A$2,Lines!AL31)+LEN($A$2)+1,FIND(",",_xlfn.CONCAT(Lines!AL31,","),FIND($A$2,Lines!AL31))-FIND($A$2,Lines!AL31)-LEN($A$2)-1))</f>
        <v/>
      </c>
      <c r="AM31" s="30" t="str">
        <f>IF(ISERROR(FIND($A$2,Lines!AM31))=TRUE,"",MID(Lines!AM31,FIND($A$2,Lines!AM31)+LEN($A$2)+1,FIND(",",_xlfn.CONCAT(Lines!AM31,","),FIND($A$2,Lines!AM31))-FIND($A$2,Lines!AM31)-LEN($A$2)-1))</f>
        <v/>
      </c>
      <c r="AN31" s="30" t="str">
        <f>IF(ISERROR(FIND($A$2,Lines!AN31))=TRUE,"",MID(Lines!AN31,FIND($A$2,Lines!AN31)+LEN($A$2)+1,FIND(",",_xlfn.CONCAT(Lines!AN31,","),FIND($A$2,Lines!AN31))-FIND($A$2,Lines!AN31)-LEN($A$2)-1))</f>
        <v/>
      </c>
      <c r="AO31" s="30" t="str">
        <f>IF(ISERROR(FIND($A$2,Lines!AO31))=TRUE,"",MID(Lines!AO31,FIND($A$2,Lines!AO31)+LEN($A$2)+1,FIND(",",_xlfn.CONCAT(Lines!AO31,","),FIND($A$2,Lines!AO31))-FIND($A$2,Lines!AO31)-LEN($A$2)-1))</f>
        <v/>
      </c>
      <c r="AP31" s="30" t="str">
        <f>IF(ISERROR(FIND($A$2,Lines!AP31))=TRUE,"",MID(Lines!AP31,FIND($A$2,Lines!AP31)+LEN($A$2)+1,FIND(",",_xlfn.CONCAT(Lines!AP31,","),FIND($A$2,Lines!AP31))-FIND($A$2,Lines!AP31)-LEN($A$2)-1))</f>
        <v/>
      </c>
      <c r="AQ31" s="30" t="str">
        <f>IF(ISERROR(FIND($A$2,Lines!AQ31))=TRUE,"",MID(Lines!AQ31,FIND($A$2,Lines!AQ31)+LEN($A$2)+1,FIND(",",_xlfn.CONCAT(Lines!AQ31,","),FIND($A$2,Lines!AQ31))-FIND($A$2,Lines!AQ31)-LEN($A$2)-1))</f>
        <v/>
      </c>
      <c r="AR31" s="30" t="str">
        <f>IF(ISERROR(FIND($A$2,Lines!AR31))=TRUE,"",MID(Lines!AR31,FIND($A$2,Lines!AR31)+LEN($A$2)+1,FIND(",",_xlfn.CONCAT(Lines!AR31,","),FIND($A$2,Lines!AR31))-FIND($A$2,Lines!AR31)-LEN($A$2)-1))</f>
        <v/>
      </c>
      <c r="AS31" s="30" t="str">
        <f>IF(ISERROR(FIND($A$2,Lines!AS31))=TRUE,"",MID(Lines!AS31,FIND($A$2,Lines!AS31)+LEN($A$2)+1,FIND(",",_xlfn.CONCAT(Lines!AS31,","),FIND($A$2,Lines!AS31))-FIND($A$2,Lines!AS31)-LEN($A$2)-1))</f>
        <v/>
      </c>
      <c r="AT31" s="30" t="str">
        <f>IF(ISERROR(FIND($A$2,Lines!AT31))=TRUE,"",MID(Lines!AT31,FIND($A$2,Lines!AT31)+LEN($A$2)+1,FIND(",",_xlfn.CONCAT(Lines!AT31,","),FIND($A$2,Lines!AT31))-FIND($A$2,Lines!AT31)-LEN($A$2)-1))</f>
        <v/>
      </c>
    </row>
    <row r="32" spans="1:46" ht="20.25" customHeight="1">
      <c r="A32" s="2" t="s">
        <v>80</v>
      </c>
      <c r="B32" s="30" t="str">
        <f>IF(ISERROR(FIND($A$2,Lines!B32))=TRUE,"",MID(Lines!B32,FIND($A$2,Lines!B32)+LEN($A$2)+1,FIND(",",_xlfn.CONCAT(Lines!B32,","),FIND($A$2,Lines!B32))-FIND($A$2,Lines!B32)-LEN($A$2)-1))</f>
        <v/>
      </c>
      <c r="C32" s="30" t="str">
        <f>IF(ISERROR(FIND($A$2,Lines!C32))=TRUE,"",MID(Lines!C32,FIND($A$2,Lines!C32)+LEN($A$2)+1,FIND(",",_xlfn.CONCAT(Lines!C32,","),FIND($A$2,Lines!C32))-FIND($A$2,Lines!C32)-LEN($A$2)-1))</f>
        <v/>
      </c>
      <c r="D32" s="30" t="str">
        <f>IF(ISERROR(FIND($A$2,Lines!D32))=TRUE,"",MID(Lines!D32,FIND($A$2,Lines!D32)+LEN($A$2)+1,FIND(",",_xlfn.CONCAT(Lines!D32,","),FIND($A$2,Lines!D32))-FIND($A$2,Lines!D32)-LEN($A$2)-1))</f>
        <v/>
      </c>
      <c r="E32" s="30" t="str">
        <f>IF(ISERROR(FIND($A$2,Lines!E32))=TRUE,"",MID(Lines!E32,FIND($A$2,Lines!E32)+LEN($A$2)+1,FIND(",",_xlfn.CONCAT(Lines!E32,","),FIND($A$2,Lines!E32))-FIND($A$2,Lines!E32)-LEN($A$2)-1))</f>
        <v/>
      </c>
      <c r="F32" s="30" t="str">
        <f>IF(ISERROR(FIND($A$2,Lines!F32))=TRUE,"",MID(Lines!F32,FIND($A$2,Lines!F32)+LEN($A$2)+1,FIND(",",_xlfn.CONCAT(Lines!F32,","),FIND($A$2,Lines!F32))-FIND($A$2,Lines!F32)-LEN($A$2)-1))</f>
        <v/>
      </c>
      <c r="G32" s="30" t="str">
        <f>IF(ISERROR(FIND($A$2,Lines!G32))=TRUE,"",MID(Lines!G32,FIND($A$2,Lines!G32)+LEN($A$2)+1,FIND(",",_xlfn.CONCAT(Lines!G32,","),FIND($A$2,Lines!G32))-FIND($A$2,Lines!G32)-LEN($A$2)-1))</f>
        <v/>
      </c>
      <c r="H32" s="30" t="str">
        <f>IF(ISERROR(FIND($A$2,Lines!H32))=TRUE,"",MID(Lines!H32,FIND($A$2,Lines!H32)+LEN($A$2)+1,FIND(",",_xlfn.CONCAT(Lines!H32,","),FIND($A$2,Lines!H32))-FIND($A$2,Lines!H32)-LEN($A$2)-1))</f>
        <v/>
      </c>
      <c r="I32" s="30" t="str">
        <f>IF(ISERROR(FIND($A$2,Lines!I32))=TRUE,"",MID(Lines!I32,FIND($A$2,Lines!I32)+LEN($A$2)+1,FIND(",",_xlfn.CONCAT(Lines!I32,","),FIND($A$2,Lines!I32))-FIND($A$2,Lines!I32)-LEN($A$2)-1))</f>
        <v/>
      </c>
      <c r="J32" s="30" t="str">
        <f>IF(ISERROR(FIND($A$2,Lines!J32))=TRUE,"",MID(Lines!J32,FIND($A$2,Lines!J32)+LEN($A$2)+1,FIND(",",_xlfn.CONCAT(Lines!J32,","),FIND($A$2,Lines!J32))-FIND($A$2,Lines!J32)-LEN($A$2)-1))</f>
        <v/>
      </c>
      <c r="K32" s="30" t="str">
        <f>IF(ISERROR(FIND($A$2,Lines!K32))=TRUE,"",MID(Lines!K32,FIND($A$2,Lines!K32)+LEN($A$2)+1,FIND(",",_xlfn.CONCAT(Lines!K32,","),FIND($A$2,Lines!K32))-FIND($A$2,Lines!K32)-LEN($A$2)-1))</f>
        <v/>
      </c>
      <c r="L32" s="30" t="str">
        <f>IF(ISERROR(FIND($A$2,Lines!L32))=TRUE,"",MID(Lines!L32,FIND($A$2,Lines!L32)+LEN($A$2)+1,FIND(",",_xlfn.CONCAT(Lines!L32,","),FIND($A$2,Lines!L32))-FIND($A$2,Lines!L32)-LEN($A$2)-1))</f>
        <v/>
      </c>
      <c r="M32" s="30" t="str">
        <f>IF(ISERROR(FIND($A$2,Lines!M32))=TRUE,"",MID(Lines!M32,FIND($A$2,Lines!M32)+LEN($A$2)+1,FIND(",",_xlfn.CONCAT(Lines!M32,","),FIND($A$2,Lines!M32))-FIND($A$2,Lines!M32)-LEN($A$2)-1))</f>
        <v/>
      </c>
      <c r="N32" s="30" t="str">
        <f>IF(ISERROR(FIND($A$2,Lines!N32))=TRUE,"",MID(Lines!N32,FIND($A$2,Lines!N32)+LEN($A$2)+1,FIND(",",_xlfn.CONCAT(Lines!N32,","),FIND($A$2,Lines!N32))-FIND($A$2,Lines!N32)-LEN($A$2)-1))</f>
        <v/>
      </c>
      <c r="O32" s="30" t="str">
        <f>IF(ISERROR(FIND($A$2,Lines!O32))=TRUE,"",MID(Lines!O32,FIND($A$2,Lines!O32)+LEN($A$2)+1,FIND(",",_xlfn.CONCAT(Lines!O32,","),FIND($A$2,Lines!O32))-FIND($A$2,Lines!O32)-LEN($A$2)-1))</f>
        <v/>
      </c>
      <c r="P32" s="30" t="str">
        <f>IF(ISERROR(FIND($A$2,Lines!P32))=TRUE,"",MID(Lines!P32,FIND($A$2,Lines!P32)+LEN($A$2)+1,FIND(",",_xlfn.CONCAT(Lines!P32,","),FIND($A$2,Lines!P32))-FIND($A$2,Lines!P32)-LEN($A$2)-1))</f>
        <v/>
      </c>
      <c r="Q32" s="30" t="str">
        <f>IF(ISERROR(FIND($A$2,Lines!Q32))=TRUE,"",MID(Lines!Q32,FIND($A$2,Lines!Q32)+LEN($A$2)+1,FIND(",",_xlfn.CONCAT(Lines!Q32,","),FIND($A$2,Lines!Q32))-FIND($A$2,Lines!Q32)-LEN($A$2)-1))</f>
        <v/>
      </c>
      <c r="R32" s="30" t="str">
        <f>IF(ISERROR(FIND($A$2,Lines!R32))=TRUE,"",MID(Lines!R32,FIND($A$2,Lines!R32)+LEN($A$2)+1,FIND(",",_xlfn.CONCAT(Lines!R32,","),FIND($A$2,Lines!R32))-FIND($A$2,Lines!R32)-LEN($A$2)-1))</f>
        <v/>
      </c>
      <c r="S32" s="30" t="str">
        <f>IF(ISERROR(FIND($A$2,Lines!S32))=TRUE,"",MID(Lines!S32,FIND($A$2,Lines!S32)+LEN($A$2)+1,FIND(",",_xlfn.CONCAT(Lines!S32,","),FIND($A$2,Lines!S32))-FIND($A$2,Lines!S32)-LEN($A$2)-1))</f>
        <v/>
      </c>
      <c r="T32" s="30" t="str">
        <f>IF(ISERROR(FIND($A$2,Lines!T32))=TRUE,"",MID(Lines!T32,FIND($A$2,Lines!T32)+LEN($A$2)+1,FIND(",",_xlfn.CONCAT(Lines!T32,","),FIND($A$2,Lines!T32))-FIND($A$2,Lines!T32)-LEN($A$2)-1))</f>
        <v/>
      </c>
      <c r="U32" s="30" t="str">
        <f>IF(ISERROR(FIND($A$2,Lines!U32))=TRUE,"",MID(Lines!U32,FIND($A$2,Lines!U32)+LEN($A$2)+1,FIND(",",_xlfn.CONCAT(Lines!U32,","),FIND($A$2,Lines!U32))-FIND($A$2,Lines!U32)-LEN($A$2)-1))</f>
        <v/>
      </c>
      <c r="V32" s="30" t="str">
        <f>IF(ISERROR(FIND($A$2,Lines!V32))=TRUE,"",MID(Lines!V32,FIND($A$2,Lines!V32)+LEN($A$2)+1,FIND(",",_xlfn.CONCAT(Lines!V32,","),FIND($A$2,Lines!V32))-FIND($A$2,Lines!V32)-LEN($A$2)-1))</f>
        <v/>
      </c>
      <c r="W32" s="36" t="str">
        <f>IF(ISERROR(FIND($A$2,Lines!W32))=TRUE,"",MID(Lines!W32,FIND($A$2,Lines!W32)+LEN($A$2)+1,FIND(",",_xlfn.CONCAT(Lines!W32,","),FIND($A$2,Lines!W32))-FIND($A$2,Lines!W32)-LEN($A$2)-1))</f>
        <v/>
      </c>
      <c r="X32" s="52" t="str">
        <f>IF(ISERROR(FIND($A$2,Lines!X32))=TRUE,"",MID(Lines!X32,FIND($A$2,Lines!X32)+LEN($A$2)+1,FIND(",",_xlfn.CONCAT(Lines!X32,","),FIND($A$2,Lines!X32))-FIND($A$2,Lines!X32)-LEN($A$2)-1))</f>
        <v/>
      </c>
      <c r="Y32" s="53" t="str">
        <f>IF(ISERROR(FIND($A$2,Lines!Y32))=TRUE,"",MID(Lines!Y32,FIND($A$2,Lines!Y32)+LEN($A$2)+1,FIND(",",_xlfn.CONCAT(Lines!Y32,","),FIND($A$2,Lines!Y32))-FIND($A$2,Lines!Y32)-LEN($A$2)-1))</f>
        <v/>
      </c>
      <c r="Z32" s="53" t="str">
        <f>IF(ISERROR(FIND($A$2,Lines!Z32))=TRUE,"",MID(Lines!Z32,FIND($A$2,Lines!Z32)+LEN($A$2)+1,FIND(",",_xlfn.CONCAT(Lines!Z32,","),FIND($A$2,Lines!Z32))-FIND($A$2,Lines!Z32)-LEN($A$2)-1))</f>
        <v/>
      </c>
      <c r="AA32" s="53" t="str">
        <f>IF(ISERROR(FIND($A$2,Lines!AA32))=TRUE,"",MID(Lines!AA32,FIND($A$2,Lines!AA32)+LEN($A$2)+1,FIND(",",_xlfn.CONCAT(Lines!AA32,","),FIND($A$2,Lines!AA32))-FIND($A$2,Lines!AA32)-LEN($A$2)-1))</f>
        <v/>
      </c>
      <c r="AB32" s="53" t="str">
        <f>IF(ISERROR(FIND($A$2,Lines!AB32))=TRUE,"",MID(Lines!AB32,FIND($A$2,Lines!AB32)+LEN($A$2)+1,FIND(",",_xlfn.CONCAT(Lines!AB32,","),FIND($A$2,Lines!AB32))-FIND($A$2,Lines!AB32)-LEN($A$2)-1))</f>
        <v/>
      </c>
      <c r="AC32" s="53" t="str">
        <f>IF(ISERROR(FIND($A$2,Lines!AC32))=TRUE,"",MID(Lines!AC32,FIND($A$2,Lines!AC32)+LEN($A$2)+1,FIND(",",_xlfn.CONCAT(Lines!AC32,","),FIND($A$2,Lines!AC32))-FIND($A$2,Lines!AC32)-LEN($A$2)-1))</f>
        <v/>
      </c>
      <c r="AD32" s="67" t="str">
        <f>IF(ISERROR(FIND($A$2,Lines!AD32))=TRUE,"",MID(Lines!AD32,FIND($A$2,Lines!AD32)+LEN($A$2)+1,FIND(",",_xlfn.CONCAT(Lines!AD32,","),FIND($A$2,Lines!AD32))-FIND($A$2,Lines!AD32)-LEN($A$2)-1))</f>
        <v/>
      </c>
      <c r="AE32" s="30" t="str">
        <f>IF(ISERROR(FIND($A$2,Lines!AE32))=TRUE,"",MID(Lines!AE32,FIND($A$2,Lines!AE32)+LEN($A$2)+1,FIND(",",_xlfn.CONCAT(Lines!AE32,","),FIND($A$2,Lines!AE32))-FIND($A$2,Lines!AE32)-LEN($A$2)-1))</f>
        <v/>
      </c>
      <c r="AF32" s="30" t="str">
        <f>IF(ISERROR(FIND($A$2,Lines!AF32))=TRUE,"",MID(Lines!AF32,FIND($A$2,Lines!AF32)+LEN($A$2)+1,FIND(",",_xlfn.CONCAT(Lines!AF32,","),FIND($A$2,Lines!AF32))-FIND($A$2,Lines!AF32)-LEN($A$2)-1))</f>
        <v/>
      </c>
      <c r="AG32" s="30" t="str">
        <f>IF(ISERROR(FIND($A$2,Lines!AG32))=TRUE,"",MID(Lines!AG32,FIND($A$2,Lines!AG32)+LEN($A$2)+1,FIND(",",_xlfn.CONCAT(Lines!AG32,","),FIND($A$2,Lines!AG32))-FIND($A$2,Lines!AG32)-LEN($A$2)-1))</f>
        <v/>
      </c>
      <c r="AH32" s="30" t="str">
        <f>IF(ISERROR(FIND($A$2,Lines!AH32))=TRUE,"",MID(Lines!AH32,FIND($A$2,Lines!AH32)+LEN($A$2)+1,FIND(",",_xlfn.CONCAT(Lines!AH32,","),FIND($A$2,Lines!AH32))-FIND($A$2,Lines!AH32)-LEN($A$2)-1))</f>
        <v/>
      </c>
      <c r="AI32" s="30" t="str">
        <f>IF(ISERROR(FIND($A$2,Lines!AI32))=TRUE,"",MID(Lines!AI32,FIND($A$2,Lines!AI32)+LEN($A$2)+1,FIND(",",_xlfn.CONCAT(Lines!AI32,","),FIND($A$2,Lines!AI32))-FIND($A$2,Lines!AI32)-LEN($A$2)-1))</f>
        <v/>
      </c>
      <c r="AJ32" s="30" t="str">
        <f>IF(ISERROR(FIND($A$2,Lines!AJ32))=TRUE,"",MID(Lines!AJ32,FIND($A$2,Lines!AJ32)+LEN($A$2)+1,FIND(",",_xlfn.CONCAT(Lines!AJ32,","),FIND($A$2,Lines!AJ32))-FIND($A$2,Lines!AJ32)-LEN($A$2)-1))</f>
        <v/>
      </c>
      <c r="AK32" s="30" t="str">
        <f>IF(ISERROR(FIND($A$2,Lines!AK32))=TRUE,"",MID(Lines!AK32,FIND($A$2,Lines!AK32)+LEN($A$2)+1,FIND(",",_xlfn.CONCAT(Lines!AK32,","),FIND($A$2,Lines!AK32))-FIND($A$2,Lines!AK32)-LEN($A$2)-1))</f>
        <v/>
      </c>
      <c r="AL32" s="30" t="str">
        <f>IF(ISERROR(FIND($A$2,Lines!AL32))=TRUE,"",MID(Lines!AL32,FIND($A$2,Lines!AL32)+LEN($A$2)+1,FIND(",",_xlfn.CONCAT(Lines!AL32,","),FIND($A$2,Lines!AL32))-FIND($A$2,Lines!AL32)-LEN($A$2)-1))</f>
        <v/>
      </c>
      <c r="AM32" s="30" t="str">
        <f>IF(ISERROR(FIND($A$2,Lines!AM32))=TRUE,"",MID(Lines!AM32,FIND($A$2,Lines!AM32)+LEN($A$2)+1,FIND(",",_xlfn.CONCAT(Lines!AM32,","),FIND($A$2,Lines!AM32))-FIND($A$2,Lines!AM32)-LEN($A$2)-1))</f>
        <v/>
      </c>
      <c r="AN32" s="30" t="str">
        <f>IF(ISERROR(FIND($A$2,Lines!AN32))=TRUE,"",MID(Lines!AN32,FIND($A$2,Lines!AN32)+LEN($A$2)+1,FIND(",",_xlfn.CONCAT(Lines!AN32,","),FIND($A$2,Lines!AN32))-FIND($A$2,Lines!AN32)-LEN($A$2)-1))</f>
        <v/>
      </c>
      <c r="AO32" s="30" t="str">
        <f>IF(ISERROR(FIND($A$2,Lines!AO32))=TRUE,"",MID(Lines!AO32,FIND($A$2,Lines!AO32)+LEN($A$2)+1,FIND(",",_xlfn.CONCAT(Lines!AO32,","),FIND($A$2,Lines!AO32))-FIND($A$2,Lines!AO32)-LEN($A$2)-1))</f>
        <v/>
      </c>
      <c r="AP32" s="30" t="str">
        <f>IF(ISERROR(FIND($A$2,Lines!AP32))=TRUE,"",MID(Lines!AP32,FIND($A$2,Lines!AP32)+LEN($A$2)+1,FIND(",",_xlfn.CONCAT(Lines!AP32,","),FIND($A$2,Lines!AP32))-FIND($A$2,Lines!AP32)-LEN($A$2)-1))</f>
        <v/>
      </c>
      <c r="AQ32" s="30" t="str">
        <f>IF(ISERROR(FIND($A$2,Lines!AQ32))=TRUE,"",MID(Lines!AQ32,FIND($A$2,Lines!AQ32)+LEN($A$2)+1,FIND(",",_xlfn.CONCAT(Lines!AQ32,","),FIND($A$2,Lines!AQ32))-FIND($A$2,Lines!AQ32)-LEN($A$2)-1))</f>
        <v/>
      </c>
      <c r="AR32" s="30" t="str">
        <f>IF(ISERROR(FIND($A$2,Lines!AR32))=TRUE,"",MID(Lines!AR32,FIND($A$2,Lines!AR32)+LEN($A$2)+1,FIND(",",_xlfn.CONCAT(Lines!AR32,","),FIND($A$2,Lines!AR32))-FIND($A$2,Lines!AR32)-LEN($A$2)-1))</f>
        <v/>
      </c>
      <c r="AS32" s="30" t="str">
        <f>IF(ISERROR(FIND($A$2,Lines!AS32))=TRUE,"",MID(Lines!AS32,FIND($A$2,Lines!AS32)+LEN($A$2)+1,FIND(",",_xlfn.CONCAT(Lines!AS32,","),FIND($A$2,Lines!AS32))-FIND($A$2,Lines!AS32)-LEN($A$2)-1))</f>
        <v/>
      </c>
      <c r="AT32" s="30" t="str">
        <f>IF(ISERROR(FIND($A$2,Lines!AT32))=TRUE,"",MID(Lines!AT32,FIND($A$2,Lines!AT32)+LEN($A$2)+1,FIND(",",_xlfn.CONCAT(Lines!AT32,","),FIND($A$2,Lines!AT32))-FIND($A$2,Lines!AT32)-LEN($A$2)-1))</f>
        <v/>
      </c>
    </row>
    <row r="33" spans="1:46" ht="20.25" customHeight="1">
      <c r="A33" s="2" t="s">
        <v>81</v>
      </c>
      <c r="B33" s="30" t="str">
        <f>IF(ISERROR(FIND($A$2,Lines!B33))=TRUE,"",MID(Lines!B33,FIND($A$2,Lines!B33)+LEN($A$2)+1,FIND(",",_xlfn.CONCAT(Lines!B33,","),FIND($A$2,Lines!B33))-FIND($A$2,Lines!B33)-LEN($A$2)-1))</f>
        <v/>
      </c>
      <c r="C33" s="30" t="str">
        <f>IF(ISERROR(FIND($A$2,Lines!C33))=TRUE,"",MID(Lines!C33,FIND($A$2,Lines!C33)+LEN($A$2)+1,FIND(",",_xlfn.CONCAT(Lines!C33,","),FIND($A$2,Lines!C33))-FIND($A$2,Lines!C33)-LEN($A$2)-1))</f>
        <v/>
      </c>
      <c r="D33" s="30" t="str">
        <f>IF(ISERROR(FIND($A$2,Lines!D33))=TRUE,"",MID(Lines!D33,FIND($A$2,Lines!D33)+LEN($A$2)+1,FIND(",",_xlfn.CONCAT(Lines!D33,","),FIND($A$2,Lines!D33))-FIND($A$2,Lines!D33)-LEN($A$2)-1))</f>
        <v/>
      </c>
      <c r="E33" s="30" t="str">
        <f>IF(ISERROR(FIND($A$2,Lines!E33))=TRUE,"",MID(Lines!E33,FIND($A$2,Lines!E33)+LEN($A$2)+1,FIND(",",_xlfn.CONCAT(Lines!E33,","),FIND($A$2,Lines!E33))-FIND($A$2,Lines!E33)-LEN($A$2)-1))</f>
        <v/>
      </c>
      <c r="F33" s="30" t="str">
        <f>IF(ISERROR(FIND($A$2,Lines!F33))=TRUE,"",MID(Lines!F33,FIND($A$2,Lines!F33)+LEN($A$2)+1,FIND(",",_xlfn.CONCAT(Lines!F33,","),FIND($A$2,Lines!F33))-FIND($A$2,Lines!F33)-LEN($A$2)-1))</f>
        <v/>
      </c>
      <c r="G33" s="30" t="str">
        <f>IF(ISERROR(FIND($A$2,Lines!G33))=TRUE,"",MID(Lines!G33,FIND($A$2,Lines!G33)+LEN($A$2)+1,FIND(",",_xlfn.CONCAT(Lines!G33,","),FIND($A$2,Lines!G33))-FIND($A$2,Lines!G33)-LEN($A$2)-1))</f>
        <v/>
      </c>
      <c r="H33" s="30" t="str">
        <f>IF(ISERROR(FIND($A$2,Lines!H33))=TRUE,"",MID(Lines!H33,FIND($A$2,Lines!H33)+LEN($A$2)+1,FIND(",",_xlfn.CONCAT(Lines!H33,","),FIND($A$2,Lines!H33))-FIND($A$2,Lines!H33)-LEN($A$2)-1))</f>
        <v/>
      </c>
      <c r="I33" s="30" t="str">
        <f>IF(ISERROR(FIND($A$2,Lines!I33))=TRUE,"",MID(Lines!I33,FIND($A$2,Lines!I33)+LEN($A$2)+1,FIND(",",_xlfn.CONCAT(Lines!I33,","),FIND($A$2,Lines!I33))-FIND($A$2,Lines!I33)-LEN($A$2)-1))</f>
        <v/>
      </c>
      <c r="J33" s="30" t="str">
        <f>IF(ISERROR(FIND($A$2,Lines!J33))=TRUE,"",MID(Lines!J33,FIND($A$2,Lines!J33)+LEN($A$2)+1,FIND(",",_xlfn.CONCAT(Lines!J33,","),FIND($A$2,Lines!J33))-FIND($A$2,Lines!J33)-LEN($A$2)-1))</f>
        <v/>
      </c>
      <c r="K33" s="30" t="str">
        <f>IF(ISERROR(FIND($A$2,Lines!K33))=TRUE,"",MID(Lines!K33,FIND($A$2,Lines!K33)+LEN($A$2)+1,FIND(",",_xlfn.CONCAT(Lines!K33,","),FIND($A$2,Lines!K33))-FIND($A$2,Lines!K33)-LEN($A$2)-1))</f>
        <v/>
      </c>
      <c r="L33" s="30" t="str">
        <f>IF(ISERROR(FIND($A$2,Lines!L33))=TRUE,"",MID(Lines!L33,FIND($A$2,Lines!L33)+LEN($A$2)+1,FIND(",",_xlfn.CONCAT(Lines!L33,","),FIND($A$2,Lines!L33))-FIND($A$2,Lines!L33)-LEN($A$2)-1))</f>
        <v/>
      </c>
      <c r="M33" s="30" t="str">
        <f>IF(ISERROR(FIND($A$2,Lines!M33))=TRUE,"",MID(Lines!M33,FIND($A$2,Lines!M33)+LEN($A$2)+1,FIND(",",_xlfn.CONCAT(Lines!M33,","),FIND($A$2,Lines!M33))-FIND($A$2,Lines!M33)-LEN($A$2)-1))</f>
        <v/>
      </c>
      <c r="N33" s="30" t="str">
        <f>IF(ISERROR(FIND($A$2,Lines!N33))=TRUE,"",MID(Lines!N33,FIND($A$2,Lines!N33)+LEN($A$2)+1,FIND(",",_xlfn.CONCAT(Lines!N33,","),FIND($A$2,Lines!N33))-FIND($A$2,Lines!N33)-LEN($A$2)-1))</f>
        <v/>
      </c>
      <c r="O33" s="30" t="str">
        <f>IF(ISERROR(FIND($A$2,Lines!O33))=TRUE,"",MID(Lines!O33,FIND($A$2,Lines!O33)+LEN($A$2)+1,FIND(",",_xlfn.CONCAT(Lines!O33,","),FIND($A$2,Lines!O33))-FIND($A$2,Lines!O33)-LEN($A$2)-1))</f>
        <v/>
      </c>
      <c r="P33" s="30" t="str">
        <f>IF(ISERROR(FIND($A$2,Lines!P33))=TRUE,"",MID(Lines!P33,FIND($A$2,Lines!P33)+LEN($A$2)+1,FIND(",",_xlfn.CONCAT(Lines!P33,","),FIND($A$2,Lines!P33))-FIND($A$2,Lines!P33)-LEN($A$2)-1))</f>
        <v/>
      </c>
      <c r="Q33" s="30" t="str">
        <f>IF(ISERROR(FIND($A$2,Lines!Q33))=TRUE,"",MID(Lines!Q33,FIND($A$2,Lines!Q33)+LEN($A$2)+1,FIND(",",_xlfn.CONCAT(Lines!Q33,","),FIND($A$2,Lines!Q33))-FIND($A$2,Lines!Q33)-LEN($A$2)-1))</f>
        <v/>
      </c>
      <c r="R33" s="30" t="str">
        <f>IF(ISERROR(FIND($A$2,Lines!R33))=TRUE,"",MID(Lines!R33,FIND($A$2,Lines!R33)+LEN($A$2)+1,FIND(",",_xlfn.CONCAT(Lines!R33,","),FIND($A$2,Lines!R33))-FIND($A$2,Lines!R33)-LEN($A$2)-1))</f>
        <v/>
      </c>
      <c r="S33" s="30" t="str">
        <f>IF(ISERROR(FIND($A$2,Lines!S33))=TRUE,"",MID(Lines!S33,FIND($A$2,Lines!S33)+LEN($A$2)+1,FIND(",",_xlfn.CONCAT(Lines!S33,","),FIND($A$2,Lines!S33))-FIND($A$2,Lines!S33)-LEN($A$2)-1))</f>
        <v/>
      </c>
      <c r="T33" s="30" t="str">
        <f>IF(ISERROR(FIND($A$2,Lines!T33))=TRUE,"",MID(Lines!T33,FIND($A$2,Lines!T33)+LEN($A$2)+1,FIND(",",_xlfn.CONCAT(Lines!T33,","),FIND($A$2,Lines!T33))-FIND($A$2,Lines!T33)-LEN($A$2)-1))</f>
        <v/>
      </c>
      <c r="U33" s="30" t="str">
        <f>IF(ISERROR(FIND($A$2,Lines!U33))=TRUE,"",MID(Lines!U33,FIND($A$2,Lines!U33)+LEN($A$2)+1,FIND(",",_xlfn.CONCAT(Lines!U33,","),FIND($A$2,Lines!U33))-FIND($A$2,Lines!U33)-LEN($A$2)-1))</f>
        <v/>
      </c>
      <c r="V33" s="30" t="str">
        <f>IF(ISERROR(FIND($A$2,Lines!V33))=TRUE,"",MID(Lines!V33,FIND($A$2,Lines!V33)+LEN($A$2)+1,FIND(",",_xlfn.CONCAT(Lines!V33,","),FIND($A$2,Lines!V33))-FIND($A$2,Lines!V33)-LEN($A$2)-1))</f>
        <v/>
      </c>
      <c r="W33" s="36" t="str">
        <f>IF(ISERROR(FIND($A$2,Lines!W33))=TRUE,"",MID(Lines!W33,FIND($A$2,Lines!W33)+LEN($A$2)+1,FIND(",",_xlfn.CONCAT(Lines!W33,","),FIND($A$2,Lines!W33))-FIND($A$2,Lines!W33)-LEN($A$2)-1))</f>
        <v/>
      </c>
      <c r="X33" s="30" t="str">
        <f>IF(ISERROR(FIND($A$2,Lines!X33))=TRUE,"",MID(Lines!X33,FIND($A$2,Lines!X33)+LEN($A$2)+1,FIND(",",_xlfn.CONCAT(Lines!X33,","),FIND($A$2,Lines!X33))-FIND($A$2,Lines!X33)-LEN($A$2)-1))</f>
        <v/>
      </c>
      <c r="Y33" s="30" t="str">
        <f>IF(ISERROR(FIND($A$2,Lines!Y33))=TRUE,"",MID(Lines!Y33,FIND($A$2,Lines!Y33)+LEN($A$2)+1,FIND(",",_xlfn.CONCAT(Lines!Y33,","),FIND($A$2,Lines!Y33))-FIND($A$2,Lines!Y33)-LEN($A$2)-1))</f>
        <v/>
      </c>
      <c r="Z33" s="30" t="str">
        <f>IF(ISERROR(FIND($A$2,Lines!Z33))=TRUE,"",MID(Lines!Z33,FIND($A$2,Lines!Z33)+LEN($A$2)+1,FIND(",",_xlfn.CONCAT(Lines!Z33,","),FIND($A$2,Lines!Z33))-FIND($A$2,Lines!Z33)-LEN($A$2)-1))</f>
        <v/>
      </c>
      <c r="AA33" s="30" t="str">
        <f>IF(ISERROR(FIND($A$2,Lines!AA33))=TRUE,"",MID(Lines!AA33,FIND($A$2,Lines!AA33)+LEN($A$2)+1,FIND(",",_xlfn.CONCAT(Lines!AA33,","),FIND($A$2,Lines!AA33))-FIND($A$2,Lines!AA33)-LEN($A$2)-1))</f>
        <v/>
      </c>
      <c r="AB33" s="30" t="str">
        <f>IF(ISERROR(FIND($A$2,Lines!AB33))=TRUE,"",MID(Lines!AB33,FIND($A$2,Lines!AB33)+LEN($A$2)+1,FIND(",",_xlfn.CONCAT(Lines!AB33,","),FIND($A$2,Lines!AB33))-FIND($A$2,Lines!AB33)-LEN($A$2)-1))</f>
        <v/>
      </c>
      <c r="AC33" s="30" t="str">
        <f>IF(ISERROR(FIND($A$2,Lines!AC33))=TRUE,"",MID(Lines!AC33,FIND($A$2,Lines!AC33)+LEN($A$2)+1,FIND(",",_xlfn.CONCAT(Lines!AC33,","),FIND($A$2,Lines!AC33))-FIND($A$2,Lines!AC33)-LEN($A$2)-1))</f>
        <v/>
      </c>
      <c r="AD33" s="30" t="str">
        <f>IF(ISERROR(FIND($A$2,Lines!AD33))=TRUE,"",MID(Lines!AD33,FIND($A$2,Lines!AD33)+LEN($A$2)+1,FIND(",",_xlfn.CONCAT(Lines!AD33,","),FIND($A$2,Lines!AD33))-FIND($A$2,Lines!AD33)-LEN($A$2)-1))</f>
        <v/>
      </c>
      <c r="AE33" s="65" t="str">
        <f>IF(ISERROR(FIND($A$2,Lines!AE33))=TRUE,"",MID(Lines!AE33,FIND($A$2,Lines!AE33)+LEN($A$2)+1,FIND(",",_xlfn.CONCAT(Lines!AE33,","),FIND($A$2,Lines!AE33))-FIND($A$2,Lines!AE33)-LEN($A$2)-1))</f>
        <v/>
      </c>
      <c r="AF33" s="47" t="str">
        <f>IF(ISERROR(FIND($A$2,Lines!AF33))=TRUE,"",MID(Lines!AF33,FIND($A$2,Lines!AF33)+LEN($A$2)+1,FIND(",",_xlfn.CONCAT(Lines!AF33,","),FIND($A$2,Lines!AF33))-FIND($A$2,Lines!AF33)-LEN($A$2)-1))</f>
        <v/>
      </c>
      <c r="AG33" s="47" t="str">
        <f>IF(ISERROR(FIND($A$2,Lines!AG33))=TRUE,"",MID(Lines!AG33,FIND($A$2,Lines!AG33)+LEN($A$2)+1,FIND(",",_xlfn.CONCAT(Lines!AG33,","),FIND($A$2,Lines!AG33))-FIND($A$2,Lines!AG33)-LEN($A$2)-1))</f>
        <v/>
      </c>
      <c r="AH33" s="47" t="str">
        <f>IF(ISERROR(FIND($A$2,Lines!AH33))=TRUE,"",MID(Lines!AH33,FIND($A$2,Lines!AH33)+LEN($A$2)+1,FIND(",",_xlfn.CONCAT(Lines!AH33,","),FIND($A$2,Lines!AH33))-FIND($A$2,Lines!AH33)-LEN($A$2)-1))</f>
        <v/>
      </c>
      <c r="AI33" s="47" t="str">
        <f>IF(ISERROR(FIND($A$2,Lines!AI33))=TRUE,"",MID(Lines!AI33,FIND($A$2,Lines!AI33)+LEN($A$2)+1,FIND(",",_xlfn.CONCAT(Lines!AI33,","),FIND($A$2,Lines!AI33))-FIND($A$2,Lines!AI33)-LEN($A$2)-1))</f>
        <v/>
      </c>
      <c r="AJ33" s="48" t="str">
        <f>IF(ISERROR(FIND($A$2,Lines!AJ33))=TRUE,"",MID(Lines!AJ33,FIND($A$2,Lines!AJ33)+LEN($A$2)+1,FIND(",",_xlfn.CONCAT(Lines!AJ33,","),FIND($A$2,Lines!AJ33))-FIND($A$2,Lines!AJ33)-LEN($A$2)-1))</f>
        <v/>
      </c>
      <c r="AK33" s="30" t="str">
        <f>IF(ISERROR(FIND($A$2,Lines!AK33))=TRUE,"",MID(Lines!AK33,FIND($A$2,Lines!AK33)+LEN($A$2)+1,FIND(",",_xlfn.CONCAT(Lines!AK33,","),FIND($A$2,Lines!AK33))-FIND($A$2,Lines!AK33)-LEN($A$2)-1))</f>
        <v/>
      </c>
      <c r="AL33" s="30" t="str">
        <f>IF(ISERROR(FIND($A$2,Lines!AL33))=TRUE,"",MID(Lines!AL33,FIND($A$2,Lines!AL33)+LEN($A$2)+1,FIND(",",_xlfn.CONCAT(Lines!AL33,","),FIND($A$2,Lines!AL33))-FIND($A$2,Lines!AL33)-LEN($A$2)-1))</f>
        <v/>
      </c>
      <c r="AM33" s="30" t="str">
        <f>IF(ISERROR(FIND($A$2,Lines!AM33))=TRUE,"",MID(Lines!AM33,FIND($A$2,Lines!AM33)+LEN($A$2)+1,FIND(",",_xlfn.CONCAT(Lines!AM33,","),FIND($A$2,Lines!AM33))-FIND($A$2,Lines!AM33)-LEN($A$2)-1))</f>
        <v/>
      </c>
      <c r="AN33" s="30" t="str">
        <f>IF(ISERROR(FIND($A$2,Lines!AN33))=TRUE,"",MID(Lines!AN33,FIND($A$2,Lines!AN33)+LEN($A$2)+1,FIND(",",_xlfn.CONCAT(Lines!AN33,","),FIND($A$2,Lines!AN33))-FIND($A$2,Lines!AN33)-LEN($A$2)-1))</f>
        <v/>
      </c>
      <c r="AO33" s="30" t="str">
        <f>IF(ISERROR(FIND($A$2,Lines!AO33))=TRUE,"",MID(Lines!AO33,FIND($A$2,Lines!AO33)+LEN($A$2)+1,FIND(",",_xlfn.CONCAT(Lines!AO33,","),FIND($A$2,Lines!AO33))-FIND($A$2,Lines!AO33)-LEN($A$2)-1))</f>
        <v/>
      </c>
      <c r="AP33" s="30" t="str">
        <f>IF(ISERROR(FIND($A$2,Lines!AP33))=TRUE,"",MID(Lines!AP33,FIND($A$2,Lines!AP33)+LEN($A$2)+1,FIND(",",_xlfn.CONCAT(Lines!AP33,","),FIND($A$2,Lines!AP33))-FIND($A$2,Lines!AP33)-LEN($A$2)-1))</f>
        <v/>
      </c>
      <c r="AQ33" s="30" t="str">
        <f>IF(ISERROR(FIND($A$2,Lines!AQ33))=TRUE,"",MID(Lines!AQ33,FIND($A$2,Lines!AQ33)+LEN($A$2)+1,FIND(",",_xlfn.CONCAT(Lines!AQ33,","),FIND($A$2,Lines!AQ33))-FIND($A$2,Lines!AQ33)-LEN($A$2)-1))</f>
        <v/>
      </c>
      <c r="AR33" s="30" t="str">
        <f>IF(ISERROR(FIND($A$2,Lines!AR33))=TRUE,"",MID(Lines!AR33,FIND($A$2,Lines!AR33)+LEN($A$2)+1,FIND(",",_xlfn.CONCAT(Lines!AR33,","),FIND($A$2,Lines!AR33))-FIND($A$2,Lines!AR33)-LEN($A$2)-1))</f>
        <v/>
      </c>
      <c r="AS33" s="30" t="str">
        <f>IF(ISERROR(FIND($A$2,Lines!AS33))=TRUE,"",MID(Lines!AS33,FIND($A$2,Lines!AS33)+LEN($A$2)+1,FIND(",",_xlfn.CONCAT(Lines!AS33,","),FIND($A$2,Lines!AS33))-FIND($A$2,Lines!AS33)-LEN($A$2)-1))</f>
        <v/>
      </c>
      <c r="AT33" s="30" t="str">
        <f>IF(ISERROR(FIND($A$2,Lines!AT33))=TRUE,"",MID(Lines!AT33,FIND($A$2,Lines!AT33)+LEN($A$2)+1,FIND(",",_xlfn.CONCAT(Lines!AT33,","),FIND($A$2,Lines!AT33))-FIND($A$2,Lines!AT33)-LEN($A$2)-1))</f>
        <v/>
      </c>
    </row>
    <row r="34" spans="1:46" ht="20.25" customHeight="1">
      <c r="A34" s="2" t="s">
        <v>82</v>
      </c>
      <c r="B34" s="30" t="str">
        <f>IF(ISERROR(FIND($A$2,Lines!B34))=TRUE,"",MID(Lines!B34,FIND($A$2,Lines!B34)+LEN($A$2)+1,FIND(",",_xlfn.CONCAT(Lines!B34,","),FIND($A$2,Lines!B34))-FIND($A$2,Lines!B34)-LEN($A$2)-1))</f>
        <v/>
      </c>
      <c r="C34" s="30" t="str">
        <f>IF(ISERROR(FIND($A$2,Lines!C34))=TRUE,"",MID(Lines!C34,FIND($A$2,Lines!C34)+LEN($A$2)+1,FIND(",",_xlfn.CONCAT(Lines!C34,","),FIND($A$2,Lines!C34))-FIND($A$2,Lines!C34)-LEN($A$2)-1))</f>
        <v/>
      </c>
      <c r="D34" s="30" t="str">
        <f>IF(ISERROR(FIND($A$2,Lines!D34))=TRUE,"",MID(Lines!D34,FIND($A$2,Lines!D34)+LEN($A$2)+1,FIND(",",_xlfn.CONCAT(Lines!D34,","),FIND($A$2,Lines!D34))-FIND($A$2,Lines!D34)-LEN($A$2)-1))</f>
        <v/>
      </c>
      <c r="E34" s="30" t="str">
        <f>IF(ISERROR(FIND($A$2,Lines!E34))=TRUE,"",MID(Lines!E34,FIND($A$2,Lines!E34)+LEN($A$2)+1,FIND(",",_xlfn.CONCAT(Lines!E34,","),FIND($A$2,Lines!E34))-FIND($A$2,Lines!E34)-LEN($A$2)-1))</f>
        <v/>
      </c>
      <c r="F34" s="30" t="str">
        <f>IF(ISERROR(FIND($A$2,Lines!F34))=TRUE,"",MID(Lines!F34,FIND($A$2,Lines!F34)+LEN($A$2)+1,FIND(",",_xlfn.CONCAT(Lines!F34,","),FIND($A$2,Lines!F34))-FIND($A$2,Lines!F34)-LEN($A$2)-1))</f>
        <v/>
      </c>
      <c r="G34" s="30" t="str">
        <f>IF(ISERROR(FIND($A$2,Lines!G34))=TRUE,"",MID(Lines!G34,FIND($A$2,Lines!G34)+LEN($A$2)+1,FIND(",",_xlfn.CONCAT(Lines!G34,","),FIND($A$2,Lines!G34))-FIND($A$2,Lines!G34)-LEN($A$2)-1))</f>
        <v/>
      </c>
      <c r="H34" s="30" t="str">
        <f>IF(ISERROR(FIND($A$2,Lines!H34))=TRUE,"",MID(Lines!H34,FIND($A$2,Lines!H34)+LEN($A$2)+1,FIND(",",_xlfn.CONCAT(Lines!H34,","),FIND($A$2,Lines!H34))-FIND($A$2,Lines!H34)-LEN($A$2)-1))</f>
        <v/>
      </c>
      <c r="I34" s="30" t="str">
        <f>IF(ISERROR(FIND($A$2,Lines!I34))=TRUE,"",MID(Lines!I34,FIND($A$2,Lines!I34)+LEN($A$2)+1,FIND(",",_xlfn.CONCAT(Lines!I34,","),FIND($A$2,Lines!I34))-FIND($A$2,Lines!I34)-LEN($A$2)-1))</f>
        <v/>
      </c>
      <c r="J34" s="30" t="str">
        <f>IF(ISERROR(FIND($A$2,Lines!J34))=TRUE,"",MID(Lines!J34,FIND($A$2,Lines!J34)+LEN($A$2)+1,FIND(",",_xlfn.CONCAT(Lines!J34,","),FIND($A$2,Lines!J34))-FIND($A$2,Lines!J34)-LEN($A$2)-1))</f>
        <v/>
      </c>
      <c r="K34" s="30" t="str">
        <f>IF(ISERROR(FIND($A$2,Lines!K34))=TRUE,"",MID(Lines!K34,FIND($A$2,Lines!K34)+LEN($A$2)+1,FIND(",",_xlfn.CONCAT(Lines!K34,","),FIND($A$2,Lines!K34))-FIND($A$2,Lines!K34)-LEN($A$2)-1))</f>
        <v/>
      </c>
      <c r="L34" s="30" t="str">
        <f>IF(ISERROR(FIND($A$2,Lines!L34))=TRUE,"",MID(Lines!L34,FIND($A$2,Lines!L34)+LEN($A$2)+1,FIND(",",_xlfn.CONCAT(Lines!L34,","),FIND($A$2,Lines!L34))-FIND($A$2,Lines!L34)-LEN($A$2)-1))</f>
        <v/>
      </c>
      <c r="M34" s="30" t="str">
        <f>IF(ISERROR(FIND($A$2,Lines!M34))=TRUE,"",MID(Lines!M34,FIND($A$2,Lines!M34)+LEN($A$2)+1,FIND(",",_xlfn.CONCAT(Lines!M34,","),FIND($A$2,Lines!M34))-FIND($A$2,Lines!M34)-LEN($A$2)-1))</f>
        <v/>
      </c>
      <c r="N34" s="30" t="str">
        <f>IF(ISERROR(FIND($A$2,Lines!N34))=TRUE,"",MID(Lines!N34,FIND($A$2,Lines!N34)+LEN($A$2)+1,FIND(",",_xlfn.CONCAT(Lines!N34,","),FIND($A$2,Lines!N34))-FIND($A$2,Lines!N34)-LEN($A$2)-1))</f>
        <v/>
      </c>
      <c r="O34" s="30" t="str">
        <f>IF(ISERROR(FIND($A$2,Lines!O34))=TRUE,"",MID(Lines!O34,FIND($A$2,Lines!O34)+LEN($A$2)+1,FIND(",",_xlfn.CONCAT(Lines!O34,","),FIND($A$2,Lines!O34))-FIND($A$2,Lines!O34)-LEN($A$2)-1))</f>
        <v/>
      </c>
      <c r="P34" s="30" t="str">
        <f>IF(ISERROR(FIND($A$2,Lines!P34))=TRUE,"",MID(Lines!P34,FIND($A$2,Lines!P34)+LEN($A$2)+1,FIND(",",_xlfn.CONCAT(Lines!P34,","),FIND($A$2,Lines!P34))-FIND($A$2,Lines!P34)-LEN($A$2)-1))</f>
        <v/>
      </c>
      <c r="Q34" s="30" t="str">
        <f>IF(ISERROR(FIND($A$2,Lines!Q34))=TRUE,"",MID(Lines!Q34,FIND($A$2,Lines!Q34)+LEN($A$2)+1,FIND(",",_xlfn.CONCAT(Lines!Q34,","),FIND($A$2,Lines!Q34))-FIND($A$2,Lines!Q34)-LEN($A$2)-1))</f>
        <v/>
      </c>
      <c r="R34" s="30" t="str">
        <f>IF(ISERROR(FIND($A$2,Lines!R34))=TRUE,"",MID(Lines!R34,FIND($A$2,Lines!R34)+LEN($A$2)+1,FIND(",",_xlfn.CONCAT(Lines!R34,","),FIND($A$2,Lines!R34))-FIND($A$2,Lines!R34)-LEN($A$2)-1))</f>
        <v/>
      </c>
      <c r="S34" s="30" t="str">
        <f>IF(ISERROR(FIND($A$2,Lines!S34))=TRUE,"",MID(Lines!S34,FIND($A$2,Lines!S34)+LEN($A$2)+1,FIND(",",_xlfn.CONCAT(Lines!S34,","),FIND($A$2,Lines!S34))-FIND($A$2,Lines!S34)-LEN($A$2)-1))</f>
        <v/>
      </c>
      <c r="T34" s="30" t="str">
        <f>IF(ISERROR(FIND($A$2,Lines!T34))=TRUE,"",MID(Lines!T34,FIND($A$2,Lines!T34)+LEN($A$2)+1,FIND(",",_xlfn.CONCAT(Lines!T34,","),FIND($A$2,Lines!T34))-FIND($A$2,Lines!T34)-LEN($A$2)-1))</f>
        <v/>
      </c>
      <c r="U34" s="30" t="str">
        <f>IF(ISERROR(FIND($A$2,Lines!U34))=TRUE,"",MID(Lines!U34,FIND($A$2,Lines!U34)+LEN($A$2)+1,FIND(",",_xlfn.CONCAT(Lines!U34,","),FIND($A$2,Lines!U34))-FIND($A$2,Lines!U34)-LEN($A$2)-1))</f>
        <v/>
      </c>
      <c r="V34" s="30" t="str">
        <f>IF(ISERROR(FIND($A$2,Lines!V34))=TRUE,"",MID(Lines!V34,FIND($A$2,Lines!V34)+LEN($A$2)+1,FIND(",",_xlfn.CONCAT(Lines!V34,","),FIND($A$2,Lines!V34))-FIND($A$2,Lines!V34)-LEN($A$2)-1))</f>
        <v/>
      </c>
      <c r="W34" s="36" t="str">
        <f>IF(ISERROR(FIND($A$2,Lines!W34))=TRUE,"",MID(Lines!W34,FIND($A$2,Lines!W34)+LEN($A$2)+1,FIND(",",_xlfn.CONCAT(Lines!W34,","),FIND($A$2,Lines!W34))-FIND($A$2,Lines!W34)-LEN($A$2)-1))</f>
        <v/>
      </c>
      <c r="X34" s="30" t="str">
        <f>IF(ISERROR(FIND($A$2,Lines!X34))=TRUE,"",MID(Lines!X34,FIND($A$2,Lines!X34)+LEN($A$2)+1,FIND(",",_xlfn.CONCAT(Lines!X34,","),FIND($A$2,Lines!X34))-FIND($A$2,Lines!X34)-LEN($A$2)-1))</f>
        <v/>
      </c>
      <c r="Y34" s="30" t="str">
        <f>IF(ISERROR(FIND($A$2,Lines!Y34))=TRUE,"",MID(Lines!Y34,FIND($A$2,Lines!Y34)+LEN($A$2)+1,FIND(",",_xlfn.CONCAT(Lines!Y34,","),FIND($A$2,Lines!Y34))-FIND($A$2,Lines!Y34)-LEN($A$2)-1))</f>
        <v/>
      </c>
      <c r="Z34" s="30" t="str">
        <f>IF(ISERROR(FIND($A$2,Lines!Z34))=TRUE,"",MID(Lines!Z34,FIND($A$2,Lines!Z34)+LEN($A$2)+1,FIND(",",_xlfn.CONCAT(Lines!Z34,","),FIND($A$2,Lines!Z34))-FIND($A$2,Lines!Z34)-LEN($A$2)-1))</f>
        <v/>
      </c>
      <c r="AA34" s="30" t="str">
        <f>IF(ISERROR(FIND($A$2,Lines!AA34))=TRUE,"",MID(Lines!AA34,FIND($A$2,Lines!AA34)+LEN($A$2)+1,FIND(",",_xlfn.CONCAT(Lines!AA34,","),FIND($A$2,Lines!AA34))-FIND($A$2,Lines!AA34)-LEN($A$2)-1))</f>
        <v/>
      </c>
      <c r="AB34" s="30" t="str">
        <f>IF(ISERROR(FIND($A$2,Lines!AB34))=TRUE,"",MID(Lines!AB34,FIND($A$2,Lines!AB34)+LEN($A$2)+1,FIND(",",_xlfn.CONCAT(Lines!AB34,","),FIND($A$2,Lines!AB34))-FIND($A$2,Lines!AB34)-LEN($A$2)-1))</f>
        <v/>
      </c>
      <c r="AC34" s="30" t="str">
        <f>IF(ISERROR(FIND($A$2,Lines!AC34))=TRUE,"",MID(Lines!AC34,FIND($A$2,Lines!AC34)+LEN($A$2)+1,FIND(",",_xlfn.CONCAT(Lines!AC34,","),FIND($A$2,Lines!AC34))-FIND($A$2,Lines!AC34)-LEN($A$2)-1))</f>
        <v/>
      </c>
      <c r="AD34" s="30" t="str">
        <f>IF(ISERROR(FIND($A$2,Lines!AD34))=TRUE,"",MID(Lines!AD34,FIND($A$2,Lines!AD34)+LEN($A$2)+1,FIND(",",_xlfn.CONCAT(Lines!AD34,","),FIND($A$2,Lines!AD34))-FIND($A$2,Lines!AD34)-LEN($A$2)-1))</f>
        <v/>
      </c>
      <c r="AE34" s="51" t="str">
        <f>IF(ISERROR(FIND($A$2,Lines!AE34))=TRUE,"",MID(Lines!AE34,FIND($A$2,Lines!AE34)+LEN($A$2)+1,FIND(",",_xlfn.CONCAT(Lines!AE34,","),FIND($A$2,Lines!AE34))-FIND($A$2,Lines!AE34)-LEN($A$2)-1))</f>
        <v/>
      </c>
      <c r="AF34" s="66" t="str">
        <f>IF(ISERROR(FIND($A$2,Lines!AF34))=TRUE,"",MID(Lines!AF34,FIND($A$2,Lines!AF34)+LEN($A$2)+1,FIND(",",_xlfn.CONCAT(Lines!AF34,","),FIND($A$2,Lines!AF34))-FIND($A$2,Lines!AF34)-LEN($A$2)-1))</f>
        <v/>
      </c>
      <c r="AG34" s="42" t="str">
        <f>IF(ISERROR(FIND($A$2,Lines!AG34))=TRUE,"",MID(Lines!AG34,FIND($A$2,Lines!AG34)+LEN($A$2)+1,FIND(",",_xlfn.CONCAT(Lines!AG34,","),FIND($A$2,Lines!AG34))-FIND($A$2,Lines!AG34)-LEN($A$2)-1))</f>
        <v/>
      </c>
      <c r="AH34" s="42" t="str">
        <f>IF(ISERROR(FIND($A$2,Lines!AH34))=TRUE,"",MID(Lines!AH34,FIND($A$2,Lines!AH34)+LEN($A$2)+1,FIND(",",_xlfn.CONCAT(Lines!AH34,","),FIND($A$2,Lines!AH34))-FIND($A$2,Lines!AH34)-LEN($A$2)-1))</f>
        <v/>
      </c>
      <c r="AI34" s="42" t="str">
        <f>IF(ISERROR(FIND($A$2,Lines!AI34))=TRUE,"",MID(Lines!AI34,FIND($A$2,Lines!AI34)+LEN($A$2)+1,FIND(",",_xlfn.CONCAT(Lines!AI34,","),FIND($A$2,Lines!AI34))-FIND($A$2,Lines!AI34)-LEN($A$2)-1))</f>
        <v/>
      </c>
      <c r="AJ34" s="49" t="str">
        <f>IF(ISERROR(FIND($A$2,Lines!AJ34))=TRUE,"",MID(Lines!AJ34,FIND($A$2,Lines!AJ34)+LEN($A$2)+1,FIND(",",_xlfn.CONCAT(Lines!AJ34,","),FIND($A$2,Lines!AJ34))-FIND($A$2,Lines!AJ34)-LEN($A$2)-1))</f>
        <v/>
      </c>
      <c r="AK34" s="30" t="str">
        <f>IF(ISERROR(FIND($A$2,Lines!AK34))=TRUE,"",MID(Lines!AK34,FIND($A$2,Lines!AK34)+LEN($A$2)+1,FIND(",",_xlfn.CONCAT(Lines!AK34,","),FIND($A$2,Lines!AK34))-FIND($A$2,Lines!AK34)-LEN($A$2)-1))</f>
        <v/>
      </c>
      <c r="AL34" s="30" t="str">
        <f>IF(ISERROR(FIND($A$2,Lines!AL34))=TRUE,"",MID(Lines!AL34,FIND($A$2,Lines!AL34)+LEN($A$2)+1,FIND(",",_xlfn.CONCAT(Lines!AL34,","),FIND($A$2,Lines!AL34))-FIND($A$2,Lines!AL34)-LEN($A$2)-1))</f>
        <v/>
      </c>
      <c r="AM34" s="30" t="str">
        <f>IF(ISERROR(FIND($A$2,Lines!AM34))=TRUE,"",MID(Lines!AM34,FIND($A$2,Lines!AM34)+LEN($A$2)+1,FIND(",",_xlfn.CONCAT(Lines!AM34,","),FIND($A$2,Lines!AM34))-FIND($A$2,Lines!AM34)-LEN($A$2)-1))</f>
        <v/>
      </c>
      <c r="AN34" s="30" t="str">
        <f>IF(ISERROR(FIND($A$2,Lines!AN34))=TRUE,"",MID(Lines!AN34,FIND($A$2,Lines!AN34)+LEN($A$2)+1,FIND(",",_xlfn.CONCAT(Lines!AN34,","),FIND($A$2,Lines!AN34))-FIND($A$2,Lines!AN34)-LEN($A$2)-1))</f>
        <v/>
      </c>
      <c r="AO34" s="30" t="str">
        <f>IF(ISERROR(FIND($A$2,Lines!AO34))=TRUE,"",MID(Lines!AO34,FIND($A$2,Lines!AO34)+LEN($A$2)+1,FIND(",",_xlfn.CONCAT(Lines!AO34,","),FIND($A$2,Lines!AO34))-FIND($A$2,Lines!AO34)-LEN($A$2)-1))</f>
        <v/>
      </c>
      <c r="AP34" s="30" t="str">
        <f>IF(ISERROR(FIND($A$2,Lines!AP34))=TRUE,"",MID(Lines!AP34,FIND($A$2,Lines!AP34)+LEN($A$2)+1,FIND(",",_xlfn.CONCAT(Lines!AP34,","),FIND($A$2,Lines!AP34))-FIND($A$2,Lines!AP34)-LEN($A$2)-1))</f>
        <v/>
      </c>
      <c r="AQ34" s="30" t="str">
        <f>IF(ISERROR(FIND($A$2,Lines!AQ34))=TRUE,"",MID(Lines!AQ34,FIND($A$2,Lines!AQ34)+LEN($A$2)+1,FIND(",",_xlfn.CONCAT(Lines!AQ34,","),FIND($A$2,Lines!AQ34))-FIND($A$2,Lines!AQ34)-LEN($A$2)-1))</f>
        <v/>
      </c>
      <c r="AR34" s="30" t="str">
        <f>IF(ISERROR(FIND($A$2,Lines!AR34))=TRUE,"",MID(Lines!AR34,FIND($A$2,Lines!AR34)+LEN($A$2)+1,FIND(",",_xlfn.CONCAT(Lines!AR34,","),FIND($A$2,Lines!AR34))-FIND($A$2,Lines!AR34)-LEN($A$2)-1))</f>
        <v/>
      </c>
      <c r="AS34" s="30" t="str">
        <f>IF(ISERROR(FIND($A$2,Lines!AS34))=TRUE,"",MID(Lines!AS34,FIND($A$2,Lines!AS34)+LEN($A$2)+1,FIND(",",_xlfn.CONCAT(Lines!AS34,","),FIND($A$2,Lines!AS34))-FIND($A$2,Lines!AS34)-LEN($A$2)-1))</f>
        <v/>
      </c>
      <c r="AT34" s="30" t="str">
        <f>IF(ISERROR(FIND($A$2,Lines!AT34))=TRUE,"",MID(Lines!AT34,FIND($A$2,Lines!AT34)+LEN($A$2)+1,FIND(",",_xlfn.CONCAT(Lines!AT34,","),FIND($A$2,Lines!AT34))-FIND($A$2,Lines!AT34)-LEN($A$2)-1))</f>
        <v/>
      </c>
    </row>
    <row r="35" spans="1:46" ht="20.25" customHeight="1">
      <c r="A35" s="2" t="s">
        <v>83</v>
      </c>
      <c r="B35" s="30" t="str">
        <f>IF(ISERROR(FIND($A$2,Lines!B35))=TRUE,"",MID(Lines!B35,FIND($A$2,Lines!B35)+LEN($A$2)+1,FIND(",",_xlfn.CONCAT(Lines!B35,","),FIND($A$2,Lines!B35))-FIND($A$2,Lines!B35)-LEN($A$2)-1))</f>
        <v/>
      </c>
      <c r="C35" s="30" t="str">
        <f>IF(ISERROR(FIND($A$2,Lines!C35))=TRUE,"",MID(Lines!C35,FIND($A$2,Lines!C35)+LEN($A$2)+1,FIND(",",_xlfn.CONCAT(Lines!C35,","),FIND($A$2,Lines!C35))-FIND($A$2,Lines!C35)-LEN($A$2)-1))</f>
        <v/>
      </c>
      <c r="D35" s="30" t="str">
        <f>IF(ISERROR(FIND($A$2,Lines!D35))=TRUE,"",MID(Lines!D35,FIND($A$2,Lines!D35)+LEN($A$2)+1,FIND(",",_xlfn.CONCAT(Lines!D35,","),FIND($A$2,Lines!D35))-FIND($A$2,Lines!D35)-LEN($A$2)-1))</f>
        <v/>
      </c>
      <c r="E35" s="30" t="str">
        <f>IF(ISERROR(FIND($A$2,Lines!E35))=TRUE,"",MID(Lines!E35,FIND($A$2,Lines!E35)+LEN($A$2)+1,FIND(",",_xlfn.CONCAT(Lines!E35,","),FIND($A$2,Lines!E35))-FIND($A$2,Lines!E35)-LEN($A$2)-1))</f>
        <v/>
      </c>
      <c r="F35" s="30" t="str">
        <f>IF(ISERROR(FIND($A$2,Lines!F35))=TRUE,"",MID(Lines!F35,FIND($A$2,Lines!F35)+LEN($A$2)+1,FIND(",",_xlfn.CONCAT(Lines!F35,","),FIND($A$2,Lines!F35))-FIND($A$2,Lines!F35)-LEN($A$2)-1))</f>
        <v/>
      </c>
      <c r="G35" s="30" t="str">
        <f>IF(ISERROR(FIND($A$2,Lines!G35))=TRUE,"",MID(Lines!G35,FIND($A$2,Lines!G35)+LEN($A$2)+1,FIND(",",_xlfn.CONCAT(Lines!G35,","),FIND($A$2,Lines!G35))-FIND($A$2,Lines!G35)-LEN($A$2)-1))</f>
        <v/>
      </c>
      <c r="H35" s="30" t="str">
        <f>IF(ISERROR(FIND($A$2,Lines!H35))=TRUE,"",MID(Lines!H35,FIND($A$2,Lines!H35)+LEN($A$2)+1,FIND(",",_xlfn.CONCAT(Lines!H35,","),FIND($A$2,Lines!H35))-FIND($A$2,Lines!H35)-LEN($A$2)-1))</f>
        <v/>
      </c>
      <c r="I35" s="30" t="str">
        <f>IF(ISERROR(FIND($A$2,Lines!I35))=TRUE,"",MID(Lines!I35,FIND($A$2,Lines!I35)+LEN($A$2)+1,FIND(",",_xlfn.CONCAT(Lines!I35,","),FIND($A$2,Lines!I35))-FIND($A$2,Lines!I35)-LEN($A$2)-1))</f>
        <v/>
      </c>
      <c r="J35" s="30" t="str">
        <f>IF(ISERROR(FIND($A$2,Lines!J35))=TRUE,"",MID(Lines!J35,FIND($A$2,Lines!J35)+LEN($A$2)+1,FIND(",",_xlfn.CONCAT(Lines!J35,","),FIND($A$2,Lines!J35))-FIND($A$2,Lines!J35)-LEN($A$2)-1))</f>
        <v/>
      </c>
      <c r="K35" s="30" t="str">
        <f>IF(ISERROR(FIND($A$2,Lines!K35))=TRUE,"",MID(Lines!K35,FIND($A$2,Lines!K35)+LEN($A$2)+1,FIND(",",_xlfn.CONCAT(Lines!K35,","),FIND($A$2,Lines!K35))-FIND($A$2,Lines!K35)-LEN($A$2)-1))</f>
        <v/>
      </c>
      <c r="L35" s="30" t="str">
        <f>IF(ISERROR(FIND($A$2,Lines!L35))=TRUE,"",MID(Lines!L35,FIND($A$2,Lines!L35)+LEN($A$2)+1,FIND(",",_xlfn.CONCAT(Lines!L35,","),FIND($A$2,Lines!L35))-FIND($A$2,Lines!L35)-LEN($A$2)-1))</f>
        <v/>
      </c>
      <c r="M35" s="30" t="str">
        <f>IF(ISERROR(FIND($A$2,Lines!M35))=TRUE,"",MID(Lines!M35,FIND($A$2,Lines!M35)+LEN($A$2)+1,FIND(",",_xlfn.CONCAT(Lines!M35,","),FIND($A$2,Lines!M35))-FIND($A$2,Lines!M35)-LEN($A$2)-1))</f>
        <v/>
      </c>
      <c r="N35" s="30" t="str">
        <f>IF(ISERROR(FIND($A$2,Lines!N35))=TRUE,"",MID(Lines!N35,FIND($A$2,Lines!N35)+LEN($A$2)+1,FIND(",",_xlfn.CONCAT(Lines!N35,","),FIND($A$2,Lines!N35))-FIND($A$2,Lines!N35)-LEN($A$2)-1))</f>
        <v/>
      </c>
      <c r="O35" s="30" t="str">
        <f>IF(ISERROR(FIND($A$2,Lines!O35))=TRUE,"",MID(Lines!O35,FIND($A$2,Lines!O35)+LEN($A$2)+1,FIND(",",_xlfn.CONCAT(Lines!O35,","),FIND($A$2,Lines!O35))-FIND($A$2,Lines!O35)-LEN($A$2)-1))</f>
        <v/>
      </c>
      <c r="P35" s="30" t="str">
        <f>IF(ISERROR(FIND($A$2,Lines!P35))=TRUE,"",MID(Lines!P35,FIND($A$2,Lines!P35)+LEN($A$2)+1,FIND(",",_xlfn.CONCAT(Lines!P35,","),FIND($A$2,Lines!P35))-FIND($A$2,Lines!P35)-LEN($A$2)-1))</f>
        <v/>
      </c>
      <c r="Q35" s="30" t="str">
        <f>IF(ISERROR(FIND($A$2,Lines!Q35))=TRUE,"",MID(Lines!Q35,FIND($A$2,Lines!Q35)+LEN($A$2)+1,FIND(",",_xlfn.CONCAT(Lines!Q35,","),FIND($A$2,Lines!Q35))-FIND($A$2,Lines!Q35)-LEN($A$2)-1))</f>
        <v/>
      </c>
      <c r="R35" s="30" t="str">
        <f>IF(ISERROR(FIND($A$2,Lines!R35))=TRUE,"",MID(Lines!R35,FIND($A$2,Lines!R35)+LEN($A$2)+1,FIND(",",_xlfn.CONCAT(Lines!R35,","),FIND($A$2,Lines!R35))-FIND($A$2,Lines!R35)-LEN($A$2)-1))</f>
        <v/>
      </c>
      <c r="S35" s="30" t="str">
        <f>IF(ISERROR(FIND($A$2,Lines!S35))=TRUE,"",MID(Lines!S35,FIND($A$2,Lines!S35)+LEN($A$2)+1,FIND(",",_xlfn.CONCAT(Lines!S35,","),FIND($A$2,Lines!S35))-FIND($A$2,Lines!S35)-LEN($A$2)-1))</f>
        <v/>
      </c>
      <c r="T35" s="30" t="str">
        <f>IF(ISERROR(FIND($A$2,Lines!T35))=TRUE,"",MID(Lines!T35,FIND($A$2,Lines!T35)+LEN($A$2)+1,FIND(",",_xlfn.CONCAT(Lines!T35,","),FIND($A$2,Lines!T35))-FIND($A$2,Lines!T35)-LEN($A$2)-1))</f>
        <v/>
      </c>
      <c r="U35" s="30" t="str">
        <f>IF(ISERROR(FIND($A$2,Lines!U35))=TRUE,"",MID(Lines!U35,FIND($A$2,Lines!U35)+LEN($A$2)+1,FIND(",",_xlfn.CONCAT(Lines!U35,","),FIND($A$2,Lines!U35))-FIND($A$2,Lines!U35)-LEN($A$2)-1))</f>
        <v/>
      </c>
      <c r="V35" s="30" t="str">
        <f>IF(ISERROR(FIND($A$2,Lines!V35))=TRUE,"",MID(Lines!V35,FIND($A$2,Lines!V35)+LEN($A$2)+1,FIND(",",_xlfn.CONCAT(Lines!V35,","),FIND($A$2,Lines!V35))-FIND($A$2,Lines!V35)-LEN($A$2)-1))</f>
        <v/>
      </c>
      <c r="W35" s="36" t="str">
        <f>IF(ISERROR(FIND($A$2,Lines!W35))=TRUE,"",MID(Lines!W35,FIND($A$2,Lines!W35)+LEN($A$2)+1,FIND(",",_xlfn.CONCAT(Lines!W35,","),FIND($A$2,Lines!W35))-FIND($A$2,Lines!W35)-LEN($A$2)-1))</f>
        <v/>
      </c>
      <c r="X35" s="30" t="str">
        <f>IF(ISERROR(FIND($A$2,Lines!X35))=TRUE,"",MID(Lines!X35,FIND($A$2,Lines!X35)+LEN($A$2)+1,FIND(",",_xlfn.CONCAT(Lines!X35,","),FIND($A$2,Lines!X35))-FIND($A$2,Lines!X35)-LEN($A$2)-1))</f>
        <v/>
      </c>
      <c r="Y35" s="30" t="str">
        <f>IF(ISERROR(FIND($A$2,Lines!Y35))=TRUE,"",MID(Lines!Y35,FIND($A$2,Lines!Y35)+LEN($A$2)+1,FIND(",",_xlfn.CONCAT(Lines!Y35,","),FIND($A$2,Lines!Y35))-FIND($A$2,Lines!Y35)-LEN($A$2)-1))</f>
        <v/>
      </c>
      <c r="Z35" s="30" t="str">
        <f>IF(ISERROR(FIND($A$2,Lines!Z35))=TRUE,"",MID(Lines!Z35,FIND($A$2,Lines!Z35)+LEN($A$2)+1,FIND(",",_xlfn.CONCAT(Lines!Z35,","),FIND($A$2,Lines!Z35))-FIND($A$2,Lines!Z35)-LEN($A$2)-1))</f>
        <v/>
      </c>
      <c r="AA35" s="30" t="str">
        <f>IF(ISERROR(FIND($A$2,Lines!AA35))=TRUE,"",MID(Lines!AA35,FIND($A$2,Lines!AA35)+LEN($A$2)+1,FIND(",",_xlfn.CONCAT(Lines!AA35,","),FIND($A$2,Lines!AA35))-FIND($A$2,Lines!AA35)-LEN($A$2)-1))</f>
        <v/>
      </c>
      <c r="AB35" s="30" t="str">
        <f>IF(ISERROR(FIND($A$2,Lines!AB35))=TRUE,"",MID(Lines!AB35,FIND($A$2,Lines!AB35)+LEN($A$2)+1,FIND(",",_xlfn.CONCAT(Lines!AB35,","),FIND($A$2,Lines!AB35))-FIND($A$2,Lines!AB35)-LEN($A$2)-1))</f>
        <v/>
      </c>
      <c r="AC35" s="30" t="str">
        <f>IF(ISERROR(FIND($A$2,Lines!AC35))=TRUE,"",MID(Lines!AC35,FIND($A$2,Lines!AC35)+LEN($A$2)+1,FIND(",",_xlfn.CONCAT(Lines!AC35,","),FIND($A$2,Lines!AC35))-FIND($A$2,Lines!AC35)-LEN($A$2)-1))</f>
        <v/>
      </c>
      <c r="AD35" s="30" t="str">
        <f>IF(ISERROR(FIND($A$2,Lines!AD35))=TRUE,"",MID(Lines!AD35,FIND($A$2,Lines!AD35)+LEN($A$2)+1,FIND(",",_xlfn.CONCAT(Lines!AD35,","),FIND($A$2,Lines!AD35))-FIND($A$2,Lines!AD35)-LEN($A$2)-1))</f>
        <v/>
      </c>
      <c r="AE35" s="51" t="str">
        <f>IF(ISERROR(FIND($A$2,Lines!AE35))=TRUE,"",MID(Lines!AE35,FIND($A$2,Lines!AE35)+LEN($A$2)+1,FIND(",",_xlfn.CONCAT(Lines!AE35,","),FIND($A$2,Lines!AE35))-FIND($A$2,Lines!AE35)-LEN($A$2)-1))</f>
        <v/>
      </c>
      <c r="AF35" s="42" t="str">
        <f>IF(ISERROR(FIND($A$2,Lines!AF35))=TRUE,"",MID(Lines!AF35,FIND($A$2,Lines!AF35)+LEN($A$2)+1,FIND(",",_xlfn.CONCAT(Lines!AF35,","),FIND($A$2,Lines!AF35))-FIND($A$2,Lines!AF35)-LEN($A$2)-1))</f>
        <v/>
      </c>
      <c r="AG35" s="66" t="str">
        <f>IF(ISERROR(FIND($A$2,Lines!AG35))=TRUE,"",MID(Lines!AG35,FIND($A$2,Lines!AG35)+LEN($A$2)+1,FIND(",",_xlfn.CONCAT(Lines!AG35,","),FIND($A$2,Lines!AG35))-FIND($A$2,Lines!AG35)-LEN($A$2)-1))</f>
        <v/>
      </c>
      <c r="AH35" s="42" t="str">
        <f>IF(ISERROR(FIND($A$2,Lines!AH35))=TRUE,"",MID(Lines!AH35,FIND($A$2,Lines!AH35)+LEN($A$2)+1,FIND(",",_xlfn.CONCAT(Lines!AH35,","),FIND($A$2,Lines!AH35))-FIND($A$2,Lines!AH35)-LEN($A$2)-1))</f>
        <v/>
      </c>
      <c r="AI35" s="42" t="str">
        <f>IF(ISERROR(FIND($A$2,Lines!AI35))=TRUE,"",MID(Lines!AI35,FIND($A$2,Lines!AI35)+LEN($A$2)+1,FIND(",",_xlfn.CONCAT(Lines!AI35,","),FIND($A$2,Lines!AI35))-FIND($A$2,Lines!AI35)-LEN($A$2)-1))</f>
        <v/>
      </c>
      <c r="AJ35" s="49" t="str">
        <f>IF(ISERROR(FIND($A$2,Lines!AJ35))=TRUE,"",MID(Lines!AJ35,FIND($A$2,Lines!AJ35)+LEN($A$2)+1,FIND(",",_xlfn.CONCAT(Lines!AJ35,","),FIND($A$2,Lines!AJ35))-FIND($A$2,Lines!AJ35)-LEN($A$2)-1))</f>
        <v/>
      </c>
      <c r="AK35" s="30" t="str">
        <f>IF(ISERROR(FIND($A$2,Lines!AK35))=TRUE,"",MID(Lines!AK35,FIND($A$2,Lines!AK35)+LEN($A$2)+1,FIND(",",_xlfn.CONCAT(Lines!AK35,","),FIND($A$2,Lines!AK35))-FIND($A$2,Lines!AK35)-LEN($A$2)-1))</f>
        <v/>
      </c>
      <c r="AL35" s="30" t="str">
        <f>IF(ISERROR(FIND($A$2,Lines!AL35))=TRUE,"",MID(Lines!AL35,FIND($A$2,Lines!AL35)+LEN($A$2)+1,FIND(",",_xlfn.CONCAT(Lines!AL35,","),FIND($A$2,Lines!AL35))-FIND($A$2,Lines!AL35)-LEN($A$2)-1))</f>
        <v/>
      </c>
      <c r="AM35" s="30" t="str">
        <f>IF(ISERROR(FIND($A$2,Lines!AM35))=TRUE,"",MID(Lines!AM35,FIND($A$2,Lines!AM35)+LEN($A$2)+1,FIND(",",_xlfn.CONCAT(Lines!AM35,","),FIND($A$2,Lines!AM35))-FIND($A$2,Lines!AM35)-LEN($A$2)-1))</f>
        <v/>
      </c>
      <c r="AN35" s="30" t="str">
        <f>IF(ISERROR(FIND($A$2,Lines!AN35))=TRUE,"",MID(Lines!AN35,FIND($A$2,Lines!AN35)+LEN($A$2)+1,FIND(",",_xlfn.CONCAT(Lines!AN35,","),FIND($A$2,Lines!AN35))-FIND($A$2,Lines!AN35)-LEN($A$2)-1))</f>
        <v/>
      </c>
      <c r="AO35" s="30" t="str">
        <f>IF(ISERROR(FIND($A$2,Lines!AO35))=TRUE,"",MID(Lines!AO35,FIND($A$2,Lines!AO35)+LEN($A$2)+1,FIND(",",_xlfn.CONCAT(Lines!AO35,","),FIND($A$2,Lines!AO35))-FIND($A$2,Lines!AO35)-LEN($A$2)-1))</f>
        <v/>
      </c>
      <c r="AP35" s="30" t="str">
        <f>IF(ISERROR(FIND($A$2,Lines!AP35))=TRUE,"",MID(Lines!AP35,FIND($A$2,Lines!AP35)+LEN($A$2)+1,FIND(",",_xlfn.CONCAT(Lines!AP35,","),FIND($A$2,Lines!AP35))-FIND($A$2,Lines!AP35)-LEN($A$2)-1))</f>
        <v/>
      </c>
      <c r="AQ35" s="30" t="str">
        <f>IF(ISERROR(FIND($A$2,Lines!AQ35))=TRUE,"",MID(Lines!AQ35,FIND($A$2,Lines!AQ35)+LEN($A$2)+1,FIND(",",_xlfn.CONCAT(Lines!AQ35,","),FIND($A$2,Lines!AQ35))-FIND($A$2,Lines!AQ35)-LEN($A$2)-1))</f>
        <v/>
      </c>
      <c r="AR35" s="30" t="str">
        <f>IF(ISERROR(FIND($A$2,Lines!AR35))=TRUE,"",MID(Lines!AR35,FIND($A$2,Lines!AR35)+LEN($A$2)+1,FIND(",",_xlfn.CONCAT(Lines!AR35,","),FIND($A$2,Lines!AR35))-FIND($A$2,Lines!AR35)-LEN($A$2)-1))</f>
        <v/>
      </c>
      <c r="AS35" s="30" t="str">
        <f>IF(ISERROR(FIND($A$2,Lines!AS35))=TRUE,"",MID(Lines!AS35,FIND($A$2,Lines!AS35)+LEN($A$2)+1,FIND(",",_xlfn.CONCAT(Lines!AS35,","),FIND($A$2,Lines!AS35))-FIND($A$2,Lines!AS35)-LEN($A$2)-1))</f>
        <v/>
      </c>
      <c r="AT35" s="30" t="str">
        <f>IF(ISERROR(FIND($A$2,Lines!AT35))=TRUE,"",MID(Lines!AT35,FIND($A$2,Lines!AT35)+LEN($A$2)+1,FIND(",",_xlfn.CONCAT(Lines!AT35,","),FIND($A$2,Lines!AT35))-FIND($A$2,Lines!AT35)-LEN($A$2)-1))</f>
        <v/>
      </c>
    </row>
    <row r="36" spans="1:46" ht="20.25" customHeight="1">
      <c r="A36" s="2" t="s">
        <v>84</v>
      </c>
      <c r="B36" s="30" t="str">
        <f>IF(ISERROR(FIND($A$2,Lines!B36))=TRUE,"",MID(Lines!B36,FIND($A$2,Lines!B36)+LEN($A$2)+1,FIND(",",_xlfn.CONCAT(Lines!B36,","),FIND($A$2,Lines!B36))-FIND($A$2,Lines!B36)-LEN($A$2)-1))</f>
        <v/>
      </c>
      <c r="C36" s="30" t="str">
        <f>IF(ISERROR(FIND($A$2,Lines!C36))=TRUE,"",MID(Lines!C36,FIND($A$2,Lines!C36)+LEN($A$2)+1,FIND(",",_xlfn.CONCAT(Lines!C36,","),FIND($A$2,Lines!C36))-FIND($A$2,Lines!C36)-LEN($A$2)-1))</f>
        <v/>
      </c>
      <c r="D36" s="30" t="str">
        <f>IF(ISERROR(FIND($A$2,Lines!D36))=TRUE,"",MID(Lines!D36,FIND($A$2,Lines!D36)+LEN($A$2)+1,FIND(",",_xlfn.CONCAT(Lines!D36,","),FIND($A$2,Lines!D36))-FIND($A$2,Lines!D36)-LEN($A$2)-1))</f>
        <v/>
      </c>
      <c r="E36" s="30" t="str">
        <f>IF(ISERROR(FIND($A$2,Lines!E36))=TRUE,"",MID(Lines!E36,FIND($A$2,Lines!E36)+LEN($A$2)+1,FIND(",",_xlfn.CONCAT(Lines!E36,","),FIND($A$2,Lines!E36))-FIND($A$2,Lines!E36)-LEN($A$2)-1))</f>
        <v/>
      </c>
      <c r="F36" s="30" t="str">
        <f>IF(ISERROR(FIND($A$2,Lines!F36))=TRUE,"",MID(Lines!F36,FIND($A$2,Lines!F36)+LEN($A$2)+1,FIND(",",_xlfn.CONCAT(Lines!F36,","),FIND($A$2,Lines!F36))-FIND($A$2,Lines!F36)-LEN($A$2)-1))</f>
        <v/>
      </c>
      <c r="G36" s="30" t="str">
        <f>IF(ISERROR(FIND($A$2,Lines!G36))=TRUE,"",MID(Lines!G36,FIND($A$2,Lines!G36)+LEN($A$2)+1,FIND(",",_xlfn.CONCAT(Lines!G36,","),FIND($A$2,Lines!G36))-FIND($A$2,Lines!G36)-LEN($A$2)-1))</f>
        <v/>
      </c>
      <c r="H36" s="30" t="str">
        <f>IF(ISERROR(FIND($A$2,Lines!H36))=TRUE,"",MID(Lines!H36,FIND($A$2,Lines!H36)+LEN($A$2)+1,FIND(",",_xlfn.CONCAT(Lines!H36,","),FIND($A$2,Lines!H36))-FIND($A$2,Lines!H36)-LEN($A$2)-1))</f>
        <v/>
      </c>
      <c r="I36" s="30" t="str">
        <f>IF(ISERROR(FIND($A$2,Lines!I36))=TRUE,"",MID(Lines!I36,FIND($A$2,Lines!I36)+LEN($A$2)+1,FIND(",",_xlfn.CONCAT(Lines!I36,","),FIND($A$2,Lines!I36))-FIND($A$2,Lines!I36)-LEN($A$2)-1))</f>
        <v/>
      </c>
      <c r="J36" s="30" t="str">
        <f>IF(ISERROR(FIND($A$2,Lines!J36))=TRUE,"",MID(Lines!J36,FIND($A$2,Lines!J36)+LEN($A$2)+1,FIND(",",_xlfn.CONCAT(Lines!J36,","),FIND($A$2,Lines!J36))-FIND($A$2,Lines!J36)-LEN($A$2)-1))</f>
        <v/>
      </c>
      <c r="K36" s="30" t="str">
        <f>IF(ISERROR(FIND($A$2,Lines!K36))=TRUE,"",MID(Lines!K36,FIND($A$2,Lines!K36)+LEN($A$2)+1,FIND(",",_xlfn.CONCAT(Lines!K36,","),FIND($A$2,Lines!K36))-FIND($A$2,Lines!K36)-LEN($A$2)-1))</f>
        <v/>
      </c>
      <c r="L36" s="30" t="str">
        <f>IF(ISERROR(FIND($A$2,Lines!L36))=TRUE,"",MID(Lines!L36,FIND($A$2,Lines!L36)+LEN($A$2)+1,FIND(",",_xlfn.CONCAT(Lines!L36,","),FIND($A$2,Lines!L36))-FIND($A$2,Lines!L36)-LEN($A$2)-1))</f>
        <v/>
      </c>
      <c r="M36" s="30" t="str">
        <f>IF(ISERROR(FIND($A$2,Lines!M36))=TRUE,"",MID(Lines!M36,FIND($A$2,Lines!M36)+LEN($A$2)+1,FIND(",",_xlfn.CONCAT(Lines!M36,","),FIND($A$2,Lines!M36))-FIND($A$2,Lines!M36)-LEN($A$2)-1))</f>
        <v/>
      </c>
      <c r="N36" s="30" t="str">
        <f>IF(ISERROR(FIND($A$2,Lines!N36))=TRUE,"",MID(Lines!N36,FIND($A$2,Lines!N36)+LEN($A$2)+1,FIND(",",_xlfn.CONCAT(Lines!N36,","),FIND($A$2,Lines!N36))-FIND($A$2,Lines!N36)-LEN($A$2)-1))</f>
        <v/>
      </c>
      <c r="O36" s="30" t="str">
        <f>IF(ISERROR(FIND($A$2,Lines!O36))=TRUE,"",MID(Lines!O36,FIND($A$2,Lines!O36)+LEN($A$2)+1,FIND(",",_xlfn.CONCAT(Lines!O36,","),FIND($A$2,Lines!O36))-FIND($A$2,Lines!O36)-LEN($A$2)-1))</f>
        <v>2</v>
      </c>
      <c r="P36" s="30" t="str">
        <f>IF(ISERROR(FIND($A$2,Lines!P36))=TRUE,"",MID(Lines!P36,FIND($A$2,Lines!P36)+LEN($A$2)+1,FIND(",",_xlfn.CONCAT(Lines!P36,","),FIND($A$2,Lines!P36))-FIND($A$2,Lines!P36)-LEN($A$2)-1))</f>
        <v/>
      </c>
      <c r="Q36" s="30" t="str">
        <f>IF(ISERROR(FIND($A$2,Lines!Q36))=TRUE,"",MID(Lines!Q36,FIND($A$2,Lines!Q36)+LEN($A$2)+1,FIND(",",_xlfn.CONCAT(Lines!Q36,","),FIND($A$2,Lines!Q36))-FIND($A$2,Lines!Q36)-LEN($A$2)-1))</f>
        <v/>
      </c>
      <c r="R36" s="30" t="str">
        <f>IF(ISERROR(FIND($A$2,Lines!R36))=TRUE,"",MID(Lines!R36,FIND($A$2,Lines!R36)+LEN($A$2)+1,FIND(",",_xlfn.CONCAT(Lines!R36,","),FIND($A$2,Lines!R36))-FIND($A$2,Lines!R36)-LEN($A$2)-1))</f>
        <v/>
      </c>
      <c r="S36" s="30" t="str">
        <f>IF(ISERROR(FIND($A$2,Lines!S36))=TRUE,"",MID(Lines!S36,FIND($A$2,Lines!S36)+LEN($A$2)+1,FIND(",",_xlfn.CONCAT(Lines!S36,","),FIND($A$2,Lines!S36))-FIND($A$2,Lines!S36)-LEN($A$2)-1))</f>
        <v/>
      </c>
      <c r="T36" s="30" t="str">
        <f>IF(ISERROR(FIND($A$2,Lines!T36))=TRUE,"",MID(Lines!T36,FIND($A$2,Lines!T36)+LEN($A$2)+1,FIND(",",_xlfn.CONCAT(Lines!T36,","),FIND($A$2,Lines!T36))-FIND($A$2,Lines!T36)-LEN($A$2)-1))</f>
        <v/>
      </c>
      <c r="U36" s="30" t="str">
        <f>IF(ISERROR(FIND($A$2,Lines!U36))=TRUE,"",MID(Lines!U36,FIND($A$2,Lines!U36)+LEN($A$2)+1,FIND(",",_xlfn.CONCAT(Lines!U36,","),FIND($A$2,Lines!U36))-FIND($A$2,Lines!U36)-LEN($A$2)-1))</f>
        <v/>
      </c>
      <c r="V36" s="30" t="str">
        <f>IF(ISERROR(FIND($A$2,Lines!V36))=TRUE,"",MID(Lines!V36,FIND($A$2,Lines!V36)+LEN($A$2)+1,FIND(",",_xlfn.CONCAT(Lines!V36,","),FIND($A$2,Lines!V36))-FIND($A$2,Lines!V36)-LEN($A$2)-1))</f>
        <v/>
      </c>
      <c r="W36" s="36" t="str">
        <f>IF(ISERROR(FIND($A$2,Lines!W36))=TRUE,"",MID(Lines!W36,FIND($A$2,Lines!W36)+LEN($A$2)+1,FIND(",",_xlfn.CONCAT(Lines!W36,","),FIND($A$2,Lines!W36))-FIND($A$2,Lines!W36)-LEN($A$2)-1))</f>
        <v/>
      </c>
      <c r="X36" s="30" t="str">
        <f>IF(ISERROR(FIND($A$2,Lines!X36))=TRUE,"",MID(Lines!X36,FIND($A$2,Lines!X36)+LEN($A$2)+1,FIND(",",_xlfn.CONCAT(Lines!X36,","),FIND($A$2,Lines!X36))-FIND($A$2,Lines!X36)-LEN($A$2)-1))</f>
        <v/>
      </c>
      <c r="Y36" s="30" t="str">
        <f>IF(ISERROR(FIND($A$2,Lines!Y36))=TRUE,"",MID(Lines!Y36,FIND($A$2,Lines!Y36)+LEN($A$2)+1,FIND(",",_xlfn.CONCAT(Lines!Y36,","),FIND($A$2,Lines!Y36))-FIND($A$2,Lines!Y36)-LEN($A$2)-1))</f>
        <v/>
      </c>
      <c r="Z36" s="30" t="str">
        <f>IF(ISERROR(FIND($A$2,Lines!Z36))=TRUE,"",MID(Lines!Z36,FIND($A$2,Lines!Z36)+LEN($A$2)+1,FIND(",",_xlfn.CONCAT(Lines!Z36,","),FIND($A$2,Lines!Z36))-FIND($A$2,Lines!Z36)-LEN($A$2)-1))</f>
        <v/>
      </c>
      <c r="AA36" s="30" t="str">
        <f>IF(ISERROR(FIND($A$2,Lines!AA36))=TRUE,"",MID(Lines!AA36,FIND($A$2,Lines!AA36)+LEN($A$2)+1,FIND(",",_xlfn.CONCAT(Lines!AA36,","),FIND($A$2,Lines!AA36))-FIND($A$2,Lines!AA36)-LEN($A$2)-1))</f>
        <v/>
      </c>
      <c r="AB36" s="30" t="str">
        <f>IF(ISERROR(FIND($A$2,Lines!AB36))=TRUE,"",MID(Lines!AB36,FIND($A$2,Lines!AB36)+LEN($A$2)+1,FIND(",",_xlfn.CONCAT(Lines!AB36,","),FIND($A$2,Lines!AB36))-FIND($A$2,Lines!AB36)-LEN($A$2)-1))</f>
        <v/>
      </c>
      <c r="AC36" s="30" t="str">
        <f>IF(ISERROR(FIND($A$2,Lines!AC36))=TRUE,"",MID(Lines!AC36,FIND($A$2,Lines!AC36)+LEN($A$2)+1,FIND(",",_xlfn.CONCAT(Lines!AC36,","),FIND($A$2,Lines!AC36))-FIND($A$2,Lines!AC36)-LEN($A$2)-1))</f>
        <v/>
      </c>
      <c r="AD36" s="30" t="str">
        <f>IF(ISERROR(FIND($A$2,Lines!AD36))=TRUE,"",MID(Lines!AD36,FIND($A$2,Lines!AD36)+LEN($A$2)+1,FIND(",",_xlfn.CONCAT(Lines!AD36,","),FIND($A$2,Lines!AD36))-FIND($A$2,Lines!AD36)-LEN($A$2)-1))</f>
        <v/>
      </c>
      <c r="AE36" s="51" t="str">
        <f>IF(ISERROR(FIND($A$2,Lines!AE36))=TRUE,"",MID(Lines!AE36,FIND($A$2,Lines!AE36)+LEN($A$2)+1,FIND(",",_xlfn.CONCAT(Lines!AE36,","),FIND($A$2,Lines!AE36))-FIND($A$2,Lines!AE36)-LEN($A$2)-1))</f>
        <v/>
      </c>
      <c r="AF36" s="42" t="str">
        <f>IF(ISERROR(FIND($A$2,Lines!AF36))=TRUE,"",MID(Lines!AF36,FIND($A$2,Lines!AF36)+LEN($A$2)+1,FIND(",",_xlfn.CONCAT(Lines!AF36,","),FIND($A$2,Lines!AF36))-FIND($A$2,Lines!AF36)-LEN($A$2)-1))</f>
        <v/>
      </c>
      <c r="AG36" s="42" t="str">
        <f>IF(ISERROR(FIND($A$2,Lines!AG36))=TRUE,"",MID(Lines!AG36,FIND($A$2,Lines!AG36)+LEN($A$2)+1,FIND(",",_xlfn.CONCAT(Lines!AG36,","),FIND($A$2,Lines!AG36))-FIND($A$2,Lines!AG36)-LEN($A$2)-1))</f>
        <v/>
      </c>
      <c r="AH36" s="66" t="str">
        <f>IF(ISERROR(FIND($A$2,Lines!AH36))=TRUE,"",MID(Lines!AH36,FIND($A$2,Lines!AH36)+LEN($A$2)+1,FIND(",",_xlfn.CONCAT(Lines!AH36,","),FIND($A$2,Lines!AH36))-FIND($A$2,Lines!AH36)-LEN($A$2)-1))</f>
        <v/>
      </c>
      <c r="AI36" s="42" t="str">
        <f>IF(ISERROR(FIND($A$2,Lines!AI36))=TRUE,"",MID(Lines!AI36,FIND($A$2,Lines!AI36)+LEN($A$2)+1,FIND(",",_xlfn.CONCAT(Lines!AI36,","),FIND($A$2,Lines!AI36))-FIND($A$2,Lines!AI36)-LEN($A$2)-1))</f>
        <v/>
      </c>
      <c r="AJ36" s="49" t="str">
        <f>IF(ISERROR(FIND($A$2,Lines!AJ36))=TRUE,"",MID(Lines!AJ36,FIND($A$2,Lines!AJ36)+LEN($A$2)+1,FIND(",",_xlfn.CONCAT(Lines!AJ36,","),FIND($A$2,Lines!AJ36))-FIND($A$2,Lines!AJ36)-LEN($A$2)-1))</f>
        <v/>
      </c>
      <c r="AK36" s="30" t="str">
        <f>IF(ISERROR(FIND($A$2,Lines!AK36))=TRUE,"",MID(Lines!AK36,FIND($A$2,Lines!AK36)+LEN($A$2)+1,FIND(",",_xlfn.CONCAT(Lines!AK36,","),FIND($A$2,Lines!AK36))-FIND($A$2,Lines!AK36)-LEN($A$2)-1))</f>
        <v/>
      </c>
      <c r="AL36" s="30" t="str">
        <f>IF(ISERROR(FIND($A$2,Lines!AL36))=TRUE,"",MID(Lines!AL36,FIND($A$2,Lines!AL36)+LEN($A$2)+1,FIND(",",_xlfn.CONCAT(Lines!AL36,","),FIND($A$2,Lines!AL36))-FIND($A$2,Lines!AL36)-LEN($A$2)-1))</f>
        <v/>
      </c>
      <c r="AM36" s="30" t="str">
        <f>IF(ISERROR(FIND($A$2,Lines!AM36))=TRUE,"",MID(Lines!AM36,FIND($A$2,Lines!AM36)+LEN($A$2)+1,FIND(",",_xlfn.CONCAT(Lines!AM36,","),FIND($A$2,Lines!AM36))-FIND($A$2,Lines!AM36)-LEN($A$2)-1))</f>
        <v/>
      </c>
      <c r="AN36" s="30" t="str">
        <f>IF(ISERROR(FIND($A$2,Lines!AN36))=TRUE,"",MID(Lines!AN36,FIND($A$2,Lines!AN36)+LEN($A$2)+1,FIND(",",_xlfn.CONCAT(Lines!AN36,","),FIND($A$2,Lines!AN36))-FIND($A$2,Lines!AN36)-LEN($A$2)-1))</f>
        <v/>
      </c>
      <c r="AO36" s="30" t="str">
        <f>IF(ISERROR(FIND($A$2,Lines!AO36))=TRUE,"",MID(Lines!AO36,FIND($A$2,Lines!AO36)+LEN($A$2)+1,FIND(",",_xlfn.CONCAT(Lines!AO36,","),FIND($A$2,Lines!AO36))-FIND($A$2,Lines!AO36)-LEN($A$2)-1))</f>
        <v/>
      </c>
      <c r="AP36" s="30" t="str">
        <f>IF(ISERROR(FIND($A$2,Lines!AP36))=TRUE,"",MID(Lines!AP36,FIND($A$2,Lines!AP36)+LEN($A$2)+1,FIND(",",_xlfn.CONCAT(Lines!AP36,","),FIND($A$2,Lines!AP36))-FIND($A$2,Lines!AP36)-LEN($A$2)-1))</f>
        <v/>
      </c>
      <c r="AQ36" s="30" t="str">
        <f>IF(ISERROR(FIND($A$2,Lines!AQ36))=TRUE,"",MID(Lines!AQ36,FIND($A$2,Lines!AQ36)+LEN($A$2)+1,FIND(",",_xlfn.CONCAT(Lines!AQ36,","),FIND($A$2,Lines!AQ36))-FIND($A$2,Lines!AQ36)-LEN($A$2)-1))</f>
        <v/>
      </c>
      <c r="AR36" s="30" t="str">
        <f>IF(ISERROR(FIND($A$2,Lines!AR36))=TRUE,"",MID(Lines!AR36,FIND($A$2,Lines!AR36)+LEN($A$2)+1,FIND(",",_xlfn.CONCAT(Lines!AR36,","),FIND($A$2,Lines!AR36))-FIND($A$2,Lines!AR36)-LEN($A$2)-1))</f>
        <v/>
      </c>
      <c r="AS36" s="30" t="str">
        <f>IF(ISERROR(FIND($A$2,Lines!AS36))=TRUE,"",MID(Lines!AS36,FIND($A$2,Lines!AS36)+LEN($A$2)+1,FIND(",",_xlfn.CONCAT(Lines!AS36,","),FIND($A$2,Lines!AS36))-FIND($A$2,Lines!AS36)-LEN($A$2)-1))</f>
        <v/>
      </c>
      <c r="AT36" s="30" t="str">
        <f>IF(ISERROR(FIND($A$2,Lines!AT36))=TRUE,"",MID(Lines!AT36,FIND($A$2,Lines!AT36)+LEN($A$2)+1,FIND(",",_xlfn.CONCAT(Lines!AT36,","),FIND($A$2,Lines!AT36))-FIND($A$2,Lines!AT36)-LEN($A$2)-1))</f>
        <v/>
      </c>
    </row>
    <row r="37" spans="1:46" ht="20.25" customHeight="1">
      <c r="A37" s="2" t="s">
        <v>85</v>
      </c>
      <c r="B37" s="30" t="str">
        <f>IF(ISERROR(FIND($A$2,Lines!B37))=TRUE,"",MID(Lines!B37,FIND($A$2,Lines!B37)+LEN($A$2)+1,FIND(",",_xlfn.CONCAT(Lines!B37,","),FIND($A$2,Lines!B37))-FIND($A$2,Lines!B37)-LEN($A$2)-1))</f>
        <v/>
      </c>
      <c r="C37" s="30" t="str">
        <f>IF(ISERROR(FIND($A$2,Lines!C37))=TRUE,"",MID(Lines!C37,FIND($A$2,Lines!C37)+LEN($A$2)+1,FIND(",",_xlfn.CONCAT(Lines!C37,","),FIND($A$2,Lines!C37))-FIND($A$2,Lines!C37)-LEN($A$2)-1))</f>
        <v/>
      </c>
      <c r="D37" s="30" t="str">
        <f>IF(ISERROR(FIND($A$2,Lines!D37))=TRUE,"",MID(Lines!D37,FIND($A$2,Lines!D37)+LEN($A$2)+1,FIND(",",_xlfn.CONCAT(Lines!D37,","),FIND($A$2,Lines!D37))-FIND($A$2,Lines!D37)-LEN($A$2)-1))</f>
        <v/>
      </c>
      <c r="E37" s="30" t="str">
        <f>IF(ISERROR(FIND($A$2,Lines!E37))=TRUE,"",MID(Lines!E37,FIND($A$2,Lines!E37)+LEN($A$2)+1,FIND(",",_xlfn.CONCAT(Lines!E37,","),FIND($A$2,Lines!E37))-FIND($A$2,Lines!E37)-LEN($A$2)-1))</f>
        <v/>
      </c>
      <c r="F37" s="30" t="str">
        <f>IF(ISERROR(FIND($A$2,Lines!F37))=TRUE,"",MID(Lines!F37,FIND($A$2,Lines!F37)+LEN($A$2)+1,FIND(",",_xlfn.CONCAT(Lines!F37,","),FIND($A$2,Lines!F37))-FIND($A$2,Lines!F37)-LEN($A$2)-1))</f>
        <v/>
      </c>
      <c r="G37" s="30" t="str">
        <f>IF(ISERROR(FIND($A$2,Lines!G37))=TRUE,"",MID(Lines!G37,FIND($A$2,Lines!G37)+LEN($A$2)+1,FIND(",",_xlfn.CONCAT(Lines!G37,","),FIND($A$2,Lines!G37))-FIND($A$2,Lines!G37)-LEN($A$2)-1))</f>
        <v/>
      </c>
      <c r="H37" s="30" t="str">
        <f>IF(ISERROR(FIND($A$2,Lines!H37))=TRUE,"",MID(Lines!H37,FIND($A$2,Lines!H37)+LEN($A$2)+1,FIND(",",_xlfn.CONCAT(Lines!H37,","),FIND($A$2,Lines!H37))-FIND($A$2,Lines!H37)-LEN($A$2)-1))</f>
        <v/>
      </c>
      <c r="I37" s="30" t="str">
        <f>IF(ISERROR(FIND($A$2,Lines!I37))=TRUE,"",MID(Lines!I37,FIND($A$2,Lines!I37)+LEN($A$2)+1,FIND(",",_xlfn.CONCAT(Lines!I37,","),FIND($A$2,Lines!I37))-FIND($A$2,Lines!I37)-LEN($A$2)-1))</f>
        <v/>
      </c>
      <c r="J37" s="30" t="str">
        <f>IF(ISERROR(FIND($A$2,Lines!J37))=TRUE,"",MID(Lines!J37,FIND($A$2,Lines!J37)+LEN($A$2)+1,FIND(",",_xlfn.CONCAT(Lines!J37,","),FIND($A$2,Lines!J37))-FIND($A$2,Lines!J37)-LEN($A$2)-1))</f>
        <v/>
      </c>
      <c r="K37" s="30" t="str">
        <f>IF(ISERROR(FIND($A$2,Lines!K37))=TRUE,"",MID(Lines!K37,FIND($A$2,Lines!K37)+LEN($A$2)+1,FIND(",",_xlfn.CONCAT(Lines!K37,","),FIND($A$2,Lines!K37))-FIND($A$2,Lines!K37)-LEN($A$2)-1))</f>
        <v/>
      </c>
      <c r="L37" s="30" t="str">
        <f>IF(ISERROR(FIND($A$2,Lines!L37))=TRUE,"",MID(Lines!L37,FIND($A$2,Lines!L37)+LEN($A$2)+1,FIND(",",_xlfn.CONCAT(Lines!L37,","),FIND($A$2,Lines!L37))-FIND($A$2,Lines!L37)-LEN($A$2)-1))</f>
        <v/>
      </c>
      <c r="M37" s="30" t="str">
        <f>IF(ISERROR(FIND($A$2,Lines!M37))=TRUE,"",MID(Lines!M37,FIND($A$2,Lines!M37)+LEN($A$2)+1,FIND(",",_xlfn.CONCAT(Lines!M37,","),FIND($A$2,Lines!M37))-FIND($A$2,Lines!M37)-LEN($A$2)-1))</f>
        <v/>
      </c>
      <c r="N37" s="30" t="str">
        <f>IF(ISERROR(FIND($A$2,Lines!N37))=TRUE,"",MID(Lines!N37,FIND($A$2,Lines!N37)+LEN($A$2)+1,FIND(",",_xlfn.CONCAT(Lines!N37,","),FIND($A$2,Lines!N37))-FIND($A$2,Lines!N37)-LEN($A$2)-1))</f>
        <v/>
      </c>
      <c r="O37" s="30" t="str">
        <f>IF(ISERROR(FIND($A$2,Lines!O37))=TRUE,"",MID(Lines!O37,FIND($A$2,Lines!O37)+LEN($A$2)+1,FIND(",",_xlfn.CONCAT(Lines!O37,","),FIND($A$2,Lines!O37))-FIND($A$2,Lines!O37)-LEN($A$2)-1))</f>
        <v/>
      </c>
      <c r="P37" s="30" t="str">
        <f>IF(ISERROR(FIND($A$2,Lines!P37))=TRUE,"",MID(Lines!P37,FIND($A$2,Lines!P37)+LEN($A$2)+1,FIND(",",_xlfn.CONCAT(Lines!P37,","),FIND($A$2,Lines!P37))-FIND($A$2,Lines!P37)-LEN($A$2)-1))</f>
        <v/>
      </c>
      <c r="Q37" s="30" t="str">
        <f>IF(ISERROR(FIND($A$2,Lines!Q37))=TRUE,"",MID(Lines!Q37,FIND($A$2,Lines!Q37)+LEN($A$2)+1,FIND(",",_xlfn.CONCAT(Lines!Q37,","),FIND($A$2,Lines!Q37))-FIND($A$2,Lines!Q37)-LEN($A$2)-1))</f>
        <v/>
      </c>
      <c r="R37" s="30" t="str">
        <f>IF(ISERROR(FIND($A$2,Lines!R37))=TRUE,"",MID(Lines!R37,FIND($A$2,Lines!R37)+LEN($A$2)+1,FIND(",",_xlfn.CONCAT(Lines!R37,","),FIND($A$2,Lines!R37))-FIND($A$2,Lines!R37)-LEN($A$2)-1))</f>
        <v/>
      </c>
      <c r="S37" s="30" t="str">
        <f>IF(ISERROR(FIND($A$2,Lines!S37))=TRUE,"",MID(Lines!S37,FIND($A$2,Lines!S37)+LEN($A$2)+1,FIND(",",_xlfn.CONCAT(Lines!S37,","),FIND($A$2,Lines!S37))-FIND($A$2,Lines!S37)-LEN($A$2)-1))</f>
        <v/>
      </c>
      <c r="T37" s="30" t="str">
        <f>IF(ISERROR(FIND($A$2,Lines!T37))=TRUE,"",MID(Lines!T37,FIND($A$2,Lines!T37)+LEN($A$2)+1,FIND(",",_xlfn.CONCAT(Lines!T37,","),FIND($A$2,Lines!T37))-FIND($A$2,Lines!T37)-LEN($A$2)-1))</f>
        <v/>
      </c>
      <c r="U37" s="30" t="str">
        <f>IF(ISERROR(FIND($A$2,Lines!U37))=TRUE,"",MID(Lines!U37,FIND($A$2,Lines!U37)+LEN($A$2)+1,FIND(",",_xlfn.CONCAT(Lines!U37,","),FIND($A$2,Lines!U37))-FIND($A$2,Lines!U37)-LEN($A$2)-1))</f>
        <v/>
      </c>
      <c r="V37" s="30" t="str">
        <f>IF(ISERROR(FIND($A$2,Lines!V37))=TRUE,"",MID(Lines!V37,FIND($A$2,Lines!V37)+LEN($A$2)+1,FIND(",",_xlfn.CONCAT(Lines!V37,","),FIND($A$2,Lines!V37))-FIND($A$2,Lines!V37)-LEN($A$2)-1))</f>
        <v/>
      </c>
      <c r="W37" s="36" t="str">
        <f>IF(ISERROR(FIND($A$2,Lines!W37))=TRUE,"",MID(Lines!W37,FIND($A$2,Lines!W37)+LEN($A$2)+1,FIND(",",_xlfn.CONCAT(Lines!W37,","),FIND($A$2,Lines!W37))-FIND($A$2,Lines!W37)-LEN($A$2)-1))</f>
        <v/>
      </c>
      <c r="X37" s="30" t="str">
        <f>IF(ISERROR(FIND($A$2,Lines!X37))=TRUE,"",MID(Lines!X37,FIND($A$2,Lines!X37)+LEN($A$2)+1,FIND(",",_xlfn.CONCAT(Lines!X37,","),FIND($A$2,Lines!X37))-FIND($A$2,Lines!X37)-LEN($A$2)-1))</f>
        <v/>
      </c>
      <c r="Y37" s="30" t="str">
        <f>IF(ISERROR(FIND($A$2,Lines!Y37))=TRUE,"",MID(Lines!Y37,FIND($A$2,Lines!Y37)+LEN($A$2)+1,FIND(",",_xlfn.CONCAT(Lines!Y37,","),FIND($A$2,Lines!Y37))-FIND($A$2,Lines!Y37)-LEN($A$2)-1))</f>
        <v/>
      </c>
      <c r="Z37" s="30" t="str">
        <f>IF(ISERROR(FIND($A$2,Lines!Z37))=TRUE,"",MID(Lines!Z37,FIND($A$2,Lines!Z37)+LEN($A$2)+1,FIND(",",_xlfn.CONCAT(Lines!Z37,","),FIND($A$2,Lines!Z37))-FIND($A$2,Lines!Z37)-LEN($A$2)-1))</f>
        <v/>
      </c>
      <c r="AA37" s="30" t="str">
        <f>IF(ISERROR(FIND($A$2,Lines!AA37))=TRUE,"",MID(Lines!AA37,FIND($A$2,Lines!AA37)+LEN($A$2)+1,FIND(",",_xlfn.CONCAT(Lines!AA37,","),FIND($A$2,Lines!AA37))-FIND($A$2,Lines!AA37)-LEN($A$2)-1))</f>
        <v/>
      </c>
      <c r="AB37" s="30" t="str">
        <f>IF(ISERROR(FIND($A$2,Lines!AB37))=TRUE,"",MID(Lines!AB37,FIND($A$2,Lines!AB37)+LEN($A$2)+1,FIND(",",_xlfn.CONCAT(Lines!AB37,","),FIND($A$2,Lines!AB37))-FIND($A$2,Lines!AB37)-LEN($A$2)-1))</f>
        <v/>
      </c>
      <c r="AC37" s="30" t="str">
        <f>IF(ISERROR(FIND($A$2,Lines!AC37))=TRUE,"",MID(Lines!AC37,FIND($A$2,Lines!AC37)+LEN($A$2)+1,FIND(",",_xlfn.CONCAT(Lines!AC37,","),FIND($A$2,Lines!AC37))-FIND($A$2,Lines!AC37)-LEN($A$2)-1))</f>
        <v/>
      </c>
      <c r="AD37" s="30" t="str">
        <f>IF(ISERROR(FIND($A$2,Lines!AD37))=TRUE,"",MID(Lines!AD37,FIND($A$2,Lines!AD37)+LEN($A$2)+1,FIND(",",_xlfn.CONCAT(Lines!AD37,","),FIND($A$2,Lines!AD37))-FIND($A$2,Lines!AD37)-LEN($A$2)-1))</f>
        <v/>
      </c>
      <c r="AE37" s="51" t="str">
        <f>IF(ISERROR(FIND($A$2,Lines!AE37))=TRUE,"",MID(Lines!AE37,FIND($A$2,Lines!AE37)+LEN($A$2)+1,FIND(",",_xlfn.CONCAT(Lines!AE37,","),FIND($A$2,Lines!AE37))-FIND($A$2,Lines!AE37)-LEN($A$2)-1))</f>
        <v/>
      </c>
      <c r="AF37" s="42" t="str">
        <f>IF(ISERROR(FIND($A$2,Lines!AF37))=TRUE,"",MID(Lines!AF37,FIND($A$2,Lines!AF37)+LEN($A$2)+1,FIND(",",_xlfn.CONCAT(Lines!AF37,","),FIND($A$2,Lines!AF37))-FIND($A$2,Lines!AF37)-LEN($A$2)-1))</f>
        <v/>
      </c>
      <c r="AG37" s="42" t="str">
        <f>IF(ISERROR(FIND($A$2,Lines!AG37))=TRUE,"",MID(Lines!AG37,FIND($A$2,Lines!AG37)+LEN($A$2)+1,FIND(",",_xlfn.CONCAT(Lines!AG37,","),FIND($A$2,Lines!AG37))-FIND($A$2,Lines!AG37)-LEN($A$2)-1))</f>
        <v/>
      </c>
      <c r="AH37" s="42" t="str">
        <f>IF(ISERROR(FIND($A$2,Lines!AH37))=TRUE,"",MID(Lines!AH37,FIND($A$2,Lines!AH37)+LEN($A$2)+1,FIND(",",_xlfn.CONCAT(Lines!AH37,","),FIND($A$2,Lines!AH37))-FIND($A$2,Lines!AH37)-LEN($A$2)-1))</f>
        <v/>
      </c>
      <c r="AI37" s="66" t="str">
        <f>IF(ISERROR(FIND($A$2,Lines!AI37))=TRUE,"",MID(Lines!AI37,FIND($A$2,Lines!AI37)+LEN($A$2)+1,FIND(",",_xlfn.CONCAT(Lines!AI37,","),FIND($A$2,Lines!AI37))-FIND($A$2,Lines!AI37)-LEN($A$2)-1))</f>
        <v/>
      </c>
      <c r="AJ37" s="49" t="str">
        <f>IF(ISERROR(FIND($A$2,Lines!AJ37))=TRUE,"",MID(Lines!AJ37,FIND($A$2,Lines!AJ37)+LEN($A$2)+1,FIND(",",_xlfn.CONCAT(Lines!AJ37,","),FIND($A$2,Lines!AJ37))-FIND($A$2,Lines!AJ37)-LEN($A$2)-1))</f>
        <v/>
      </c>
      <c r="AK37" s="30" t="str">
        <f>IF(ISERROR(FIND($A$2,Lines!AK37))=TRUE,"",MID(Lines!AK37,FIND($A$2,Lines!AK37)+LEN($A$2)+1,FIND(",",_xlfn.CONCAT(Lines!AK37,","),FIND($A$2,Lines!AK37))-FIND($A$2,Lines!AK37)-LEN($A$2)-1))</f>
        <v/>
      </c>
      <c r="AL37" s="30" t="str">
        <f>IF(ISERROR(FIND($A$2,Lines!AL37))=TRUE,"",MID(Lines!AL37,FIND($A$2,Lines!AL37)+LEN($A$2)+1,FIND(",",_xlfn.CONCAT(Lines!AL37,","),FIND($A$2,Lines!AL37))-FIND($A$2,Lines!AL37)-LEN($A$2)-1))</f>
        <v/>
      </c>
      <c r="AM37" s="30" t="str">
        <f>IF(ISERROR(FIND($A$2,Lines!AM37))=TRUE,"",MID(Lines!AM37,FIND($A$2,Lines!AM37)+LEN($A$2)+1,FIND(",",_xlfn.CONCAT(Lines!AM37,","),FIND($A$2,Lines!AM37))-FIND($A$2,Lines!AM37)-LEN($A$2)-1))</f>
        <v/>
      </c>
      <c r="AN37" s="30" t="str">
        <f>IF(ISERROR(FIND($A$2,Lines!AN37))=TRUE,"",MID(Lines!AN37,FIND($A$2,Lines!AN37)+LEN($A$2)+1,FIND(",",_xlfn.CONCAT(Lines!AN37,","),FIND($A$2,Lines!AN37))-FIND($A$2,Lines!AN37)-LEN($A$2)-1))</f>
        <v/>
      </c>
      <c r="AO37" s="30" t="str">
        <f>IF(ISERROR(FIND($A$2,Lines!AO37))=TRUE,"",MID(Lines!AO37,FIND($A$2,Lines!AO37)+LEN($A$2)+1,FIND(",",_xlfn.CONCAT(Lines!AO37,","),FIND($A$2,Lines!AO37))-FIND($A$2,Lines!AO37)-LEN($A$2)-1))</f>
        <v/>
      </c>
      <c r="AP37" s="30" t="str">
        <f>IF(ISERROR(FIND($A$2,Lines!AP37))=TRUE,"",MID(Lines!AP37,FIND($A$2,Lines!AP37)+LEN($A$2)+1,FIND(",",_xlfn.CONCAT(Lines!AP37,","),FIND($A$2,Lines!AP37))-FIND($A$2,Lines!AP37)-LEN($A$2)-1))</f>
        <v/>
      </c>
      <c r="AQ37" s="30" t="str">
        <f>IF(ISERROR(FIND($A$2,Lines!AQ37))=TRUE,"",MID(Lines!AQ37,FIND($A$2,Lines!AQ37)+LEN($A$2)+1,FIND(",",_xlfn.CONCAT(Lines!AQ37,","),FIND($A$2,Lines!AQ37))-FIND($A$2,Lines!AQ37)-LEN($A$2)-1))</f>
        <v/>
      </c>
      <c r="AR37" s="30" t="str">
        <f>IF(ISERROR(FIND($A$2,Lines!AR37))=TRUE,"",MID(Lines!AR37,FIND($A$2,Lines!AR37)+LEN($A$2)+1,FIND(",",_xlfn.CONCAT(Lines!AR37,","),FIND($A$2,Lines!AR37))-FIND($A$2,Lines!AR37)-LEN($A$2)-1))</f>
        <v/>
      </c>
      <c r="AS37" s="30" t="str">
        <f>IF(ISERROR(FIND($A$2,Lines!AS37))=TRUE,"",MID(Lines!AS37,FIND($A$2,Lines!AS37)+LEN($A$2)+1,FIND(",",_xlfn.CONCAT(Lines!AS37,","),FIND($A$2,Lines!AS37))-FIND($A$2,Lines!AS37)-LEN($A$2)-1))</f>
        <v/>
      </c>
      <c r="AT37" s="30" t="str">
        <f>IF(ISERROR(FIND($A$2,Lines!AT37))=TRUE,"",MID(Lines!AT37,FIND($A$2,Lines!AT37)+LEN($A$2)+1,FIND(",",_xlfn.CONCAT(Lines!AT37,","),FIND($A$2,Lines!AT37))-FIND($A$2,Lines!AT37)-LEN($A$2)-1))</f>
        <v/>
      </c>
    </row>
    <row r="38" spans="1:46" ht="20.25" customHeight="1">
      <c r="A38" s="2" t="s">
        <v>86</v>
      </c>
      <c r="B38" s="30" t="str">
        <f>IF(ISERROR(FIND($A$2,Lines!B38))=TRUE,"",MID(Lines!B38,FIND($A$2,Lines!B38)+LEN($A$2)+1,FIND(",",_xlfn.CONCAT(Lines!B38,","),FIND($A$2,Lines!B38))-FIND($A$2,Lines!B38)-LEN($A$2)-1))</f>
        <v/>
      </c>
      <c r="C38" s="30" t="str">
        <f>IF(ISERROR(FIND($A$2,Lines!C38))=TRUE,"",MID(Lines!C38,FIND($A$2,Lines!C38)+LEN($A$2)+1,FIND(",",_xlfn.CONCAT(Lines!C38,","),FIND($A$2,Lines!C38))-FIND($A$2,Lines!C38)-LEN($A$2)-1))</f>
        <v/>
      </c>
      <c r="D38" s="30" t="str">
        <f>IF(ISERROR(FIND($A$2,Lines!D38))=TRUE,"",MID(Lines!D38,FIND($A$2,Lines!D38)+LEN($A$2)+1,FIND(",",_xlfn.CONCAT(Lines!D38,","),FIND($A$2,Lines!D38))-FIND($A$2,Lines!D38)-LEN($A$2)-1))</f>
        <v/>
      </c>
      <c r="E38" s="30" t="str">
        <f>IF(ISERROR(FIND($A$2,Lines!E38))=TRUE,"",MID(Lines!E38,FIND($A$2,Lines!E38)+LEN($A$2)+1,FIND(",",_xlfn.CONCAT(Lines!E38,","),FIND($A$2,Lines!E38))-FIND($A$2,Lines!E38)-LEN($A$2)-1))</f>
        <v/>
      </c>
      <c r="F38" s="30" t="str">
        <f>IF(ISERROR(FIND($A$2,Lines!F38))=TRUE,"",MID(Lines!F38,FIND($A$2,Lines!F38)+LEN($A$2)+1,FIND(",",_xlfn.CONCAT(Lines!F38,","),FIND($A$2,Lines!F38))-FIND($A$2,Lines!F38)-LEN($A$2)-1))</f>
        <v/>
      </c>
      <c r="G38" s="30" t="str">
        <f>IF(ISERROR(FIND($A$2,Lines!G38))=TRUE,"",MID(Lines!G38,FIND($A$2,Lines!G38)+LEN($A$2)+1,FIND(",",_xlfn.CONCAT(Lines!G38,","),FIND($A$2,Lines!G38))-FIND($A$2,Lines!G38)-LEN($A$2)-1))</f>
        <v/>
      </c>
      <c r="H38" s="30" t="str">
        <f>IF(ISERROR(FIND($A$2,Lines!H38))=TRUE,"",MID(Lines!H38,FIND($A$2,Lines!H38)+LEN($A$2)+1,FIND(",",_xlfn.CONCAT(Lines!H38,","),FIND($A$2,Lines!H38))-FIND($A$2,Lines!H38)-LEN($A$2)-1))</f>
        <v/>
      </c>
      <c r="I38" s="30" t="str">
        <f>IF(ISERROR(FIND($A$2,Lines!I38))=TRUE,"",MID(Lines!I38,FIND($A$2,Lines!I38)+LEN($A$2)+1,FIND(",",_xlfn.CONCAT(Lines!I38,","),FIND($A$2,Lines!I38))-FIND($A$2,Lines!I38)-LEN($A$2)-1))</f>
        <v/>
      </c>
      <c r="J38" s="30" t="str">
        <f>IF(ISERROR(FIND($A$2,Lines!J38))=TRUE,"",MID(Lines!J38,FIND($A$2,Lines!J38)+LEN($A$2)+1,FIND(",",_xlfn.CONCAT(Lines!J38,","),FIND($A$2,Lines!J38))-FIND($A$2,Lines!J38)-LEN($A$2)-1))</f>
        <v/>
      </c>
      <c r="K38" s="30" t="str">
        <f>IF(ISERROR(FIND($A$2,Lines!K38))=TRUE,"",MID(Lines!K38,FIND($A$2,Lines!K38)+LEN($A$2)+1,FIND(",",_xlfn.CONCAT(Lines!K38,","),FIND($A$2,Lines!K38))-FIND($A$2,Lines!K38)-LEN($A$2)-1))</f>
        <v/>
      </c>
      <c r="L38" s="30" t="str">
        <f>IF(ISERROR(FIND($A$2,Lines!L38))=TRUE,"",MID(Lines!L38,FIND($A$2,Lines!L38)+LEN($A$2)+1,FIND(",",_xlfn.CONCAT(Lines!L38,","),FIND($A$2,Lines!L38))-FIND($A$2,Lines!L38)-LEN($A$2)-1))</f>
        <v/>
      </c>
      <c r="M38" s="30" t="str">
        <f>IF(ISERROR(FIND($A$2,Lines!M38))=TRUE,"",MID(Lines!M38,FIND($A$2,Lines!M38)+LEN($A$2)+1,FIND(",",_xlfn.CONCAT(Lines!M38,","),FIND($A$2,Lines!M38))-FIND($A$2,Lines!M38)-LEN($A$2)-1))</f>
        <v/>
      </c>
      <c r="N38" s="30" t="str">
        <f>IF(ISERROR(FIND($A$2,Lines!N38))=TRUE,"",MID(Lines!N38,FIND($A$2,Lines!N38)+LEN($A$2)+1,FIND(",",_xlfn.CONCAT(Lines!N38,","),FIND($A$2,Lines!N38))-FIND($A$2,Lines!N38)-LEN($A$2)-1))</f>
        <v/>
      </c>
      <c r="O38" s="45" t="str">
        <f>IF(ISERROR(FIND($A$2,Lines!O38))=TRUE,"",MID(Lines!O38,FIND($A$2,Lines!O38)+LEN($A$2)+1,FIND(",",_xlfn.CONCAT(Lines!O38,","),FIND($A$2,Lines!O38))-FIND($A$2,Lines!O38)-LEN($A$2)-1))</f>
        <v/>
      </c>
      <c r="P38" s="30" t="str">
        <f>IF(ISERROR(FIND($A$2,Lines!P38))=TRUE,"",MID(Lines!P38,FIND($A$2,Lines!P38)+LEN($A$2)+1,FIND(",",_xlfn.CONCAT(Lines!P38,","),FIND($A$2,Lines!P38))-FIND($A$2,Lines!P38)-LEN($A$2)-1))</f>
        <v/>
      </c>
      <c r="Q38" s="30" t="str">
        <f>IF(ISERROR(FIND($A$2,Lines!Q38))=TRUE,"",MID(Lines!Q38,FIND($A$2,Lines!Q38)+LEN($A$2)+1,FIND(",",_xlfn.CONCAT(Lines!Q38,","),FIND($A$2,Lines!Q38))-FIND($A$2,Lines!Q38)-LEN($A$2)-1))</f>
        <v/>
      </c>
      <c r="R38" s="30" t="str">
        <f>IF(ISERROR(FIND($A$2,Lines!R38))=TRUE,"",MID(Lines!R38,FIND($A$2,Lines!R38)+LEN($A$2)+1,FIND(",",_xlfn.CONCAT(Lines!R38,","),FIND($A$2,Lines!R38))-FIND($A$2,Lines!R38)-LEN($A$2)-1))</f>
        <v/>
      </c>
      <c r="S38" s="30" t="str">
        <f>IF(ISERROR(FIND($A$2,Lines!S38))=TRUE,"",MID(Lines!S38,FIND($A$2,Lines!S38)+LEN($A$2)+1,FIND(",",_xlfn.CONCAT(Lines!S38,","),FIND($A$2,Lines!S38))-FIND($A$2,Lines!S38)-LEN($A$2)-1))</f>
        <v/>
      </c>
      <c r="T38" s="30" t="str">
        <f>IF(ISERROR(FIND($A$2,Lines!T38))=TRUE,"",MID(Lines!T38,FIND($A$2,Lines!T38)+LEN($A$2)+1,FIND(",",_xlfn.CONCAT(Lines!T38,","),FIND($A$2,Lines!T38))-FIND($A$2,Lines!T38)-LEN($A$2)-1))</f>
        <v/>
      </c>
      <c r="U38" s="30" t="str">
        <f>IF(ISERROR(FIND($A$2,Lines!U38))=TRUE,"",MID(Lines!U38,FIND($A$2,Lines!U38)+LEN($A$2)+1,FIND(",",_xlfn.CONCAT(Lines!U38,","),FIND($A$2,Lines!U38))-FIND($A$2,Lines!U38)-LEN($A$2)-1))</f>
        <v/>
      </c>
      <c r="V38" s="30" t="str">
        <f>IF(ISERROR(FIND($A$2,Lines!V38))=TRUE,"",MID(Lines!V38,FIND($A$2,Lines!V38)+LEN($A$2)+1,FIND(",",_xlfn.CONCAT(Lines!V38,","),FIND($A$2,Lines!V38))-FIND($A$2,Lines!V38)-LEN($A$2)-1))</f>
        <v/>
      </c>
      <c r="W38" s="36" t="str">
        <f>IF(ISERROR(FIND($A$2,Lines!W38))=TRUE,"",MID(Lines!W38,FIND($A$2,Lines!W38)+LEN($A$2)+1,FIND(",",_xlfn.CONCAT(Lines!W38,","),FIND($A$2,Lines!W38))-FIND($A$2,Lines!W38)-LEN($A$2)-1))</f>
        <v/>
      </c>
      <c r="X38" s="30" t="str">
        <f>IF(ISERROR(FIND($A$2,Lines!X38))=TRUE,"",MID(Lines!X38,FIND($A$2,Lines!X38)+LEN($A$2)+1,FIND(",",_xlfn.CONCAT(Lines!X38,","),FIND($A$2,Lines!X38))-FIND($A$2,Lines!X38)-LEN($A$2)-1))</f>
        <v/>
      </c>
      <c r="Y38" s="30" t="str">
        <f>IF(ISERROR(FIND($A$2,Lines!Y38))=TRUE,"",MID(Lines!Y38,FIND($A$2,Lines!Y38)+LEN($A$2)+1,FIND(",",_xlfn.CONCAT(Lines!Y38,","),FIND($A$2,Lines!Y38))-FIND($A$2,Lines!Y38)-LEN($A$2)-1))</f>
        <v/>
      </c>
      <c r="Z38" s="30" t="str">
        <f>IF(ISERROR(FIND($A$2,Lines!Z38))=TRUE,"",MID(Lines!Z38,FIND($A$2,Lines!Z38)+LEN($A$2)+1,FIND(",",_xlfn.CONCAT(Lines!Z38,","),FIND($A$2,Lines!Z38))-FIND($A$2,Lines!Z38)-LEN($A$2)-1))</f>
        <v/>
      </c>
      <c r="AA38" s="30" t="str">
        <f>IF(ISERROR(FIND($A$2,Lines!AA38))=TRUE,"",MID(Lines!AA38,FIND($A$2,Lines!AA38)+LEN($A$2)+1,FIND(",",_xlfn.CONCAT(Lines!AA38,","),FIND($A$2,Lines!AA38))-FIND($A$2,Lines!AA38)-LEN($A$2)-1))</f>
        <v/>
      </c>
      <c r="AB38" s="30" t="str">
        <f>IF(ISERROR(FIND($A$2,Lines!AB38))=TRUE,"",MID(Lines!AB38,FIND($A$2,Lines!AB38)+LEN($A$2)+1,FIND(",",_xlfn.CONCAT(Lines!AB38,","),FIND($A$2,Lines!AB38))-FIND($A$2,Lines!AB38)-LEN($A$2)-1))</f>
        <v/>
      </c>
      <c r="AC38" s="30" t="str">
        <f>IF(ISERROR(FIND($A$2,Lines!AC38))=TRUE,"",MID(Lines!AC38,FIND($A$2,Lines!AC38)+LEN($A$2)+1,FIND(",",_xlfn.CONCAT(Lines!AC38,","),FIND($A$2,Lines!AC38))-FIND($A$2,Lines!AC38)-LEN($A$2)-1))</f>
        <v/>
      </c>
      <c r="AD38" s="30" t="str">
        <f>IF(ISERROR(FIND($A$2,Lines!AD38))=TRUE,"",MID(Lines!AD38,FIND($A$2,Lines!AD38)+LEN($A$2)+1,FIND(",",_xlfn.CONCAT(Lines!AD38,","),FIND($A$2,Lines!AD38))-FIND($A$2,Lines!AD38)-LEN($A$2)-1))</f>
        <v/>
      </c>
      <c r="AE38" s="55" t="str">
        <f>IF(ISERROR(FIND($A$2,Lines!AE38))=TRUE,"",MID(Lines!AE38,FIND($A$2,Lines!AE38)+LEN($A$2)+1,FIND(",",_xlfn.CONCAT(Lines!AE38,","),FIND($A$2,Lines!AE38))-FIND($A$2,Lines!AE38)-LEN($A$2)-1))</f>
        <v/>
      </c>
      <c r="AF38" s="56" t="str">
        <f>IF(ISERROR(FIND($A$2,Lines!AF38))=TRUE,"",MID(Lines!AF38,FIND($A$2,Lines!AF38)+LEN($A$2)+1,FIND(",",_xlfn.CONCAT(Lines!AF38,","),FIND($A$2,Lines!AF38))-FIND($A$2,Lines!AF38)-LEN($A$2)-1))</f>
        <v/>
      </c>
      <c r="AG38" s="56" t="str">
        <f>IF(ISERROR(FIND($A$2,Lines!AG38))=TRUE,"",MID(Lines!AG38,FIND($A$2,Lines!AG38)+LEN($A$2)+1,FIND(",",_xlfn.CONCAT(Lines!AG38,","),FIND($A$2,Lines!AG38))-FIND($A$2,Lines!AG38)-LEN($A$2)-1))</f>
        <v/>
      </c>
      <c r="AH38" s="56" t="str">
        <f>IF(ISERROR(FIND($A$2,Lines!AH38))=TRUE,"",MID(Lines!AH38,FIND($A$2,Lines!AH38)+LEN($A$2)+1,FIND(",",_xlfn.CONCAT(Lines!AH38,","),FIND($A$2,Lines!AH38))-FIND($A$2,Lines!AH38)-LEN($A$2)-1))</f>
        <v/>
      </c>
      <c r="AI38" s="56" t="str">
        <f>IF(ISERROR(FIND($A$2,Lines!AI38))=TRUE,"",MID(Lines!AI38,FIND($A$2,Lines!AI38)+LEN($A$2)+1,FIND(",",_xlfn.CONCAT(Lines!AI38,","),FIND($A$2,Lines!AI38))-FIND($A$2,Lines!AI38)-LEN($A$2)-1))</f>
        <v/>
      </c>
      <c r="AJ38" s="67" t="str">
        <f>IF(ISERROR(FIND($A$2,Lines!AJ38))=TRUE,"",MID(Lines!AJ38,FIND($A$2,Lines!AJ38)+LEN($A$2)+1,FIND(",",_xlfn.CONCAT(Lines!AJ38,","),FIND($A$2,Lines!AJ38))-FIND($A$2,Lines!AJ38)-LEN($A$2)-1))</f>
        <v/>
      </c>
      <c r="AK38" s="30" t="str">
        <f>IF(ISERROR(FIND($A$2,Lines!AK38))=TRUE,"",MID(Lines!AK38,FIND($A$2,Lines!AK38)+LEN($A$2)+1,FIND(",",_xlfn.CONCAT(Lines!AK38,","),FIND($A$2,Lines!AK38))-FIND($A$2,Lines!AK38)-LEN($A$2)-1))</f>
        <v/>
      </c>
      <c r="AL38" s="30" t="str">
        <f>IF(ISERROR(FIND($A$2,Lines!AL38))=TRUE,"",MID(Lines!AL38,FIND($A$2,Lines!AL38)+LEN($A$2)+1,FIND(",",_xlfn.CONCAT(Lines!AL38,","),FIND($A$2,Lines!AL38))-FIND($A$2,Lines!AL38)-LEN($A$2)-1))</f>
        <v/>
      </c>
      <c r="AM38" s="30" t="str">
        <f>IF(ISERROR(FIND($A$2,Lines!AM38))=TRUE,"",MID(Lines!AM38,FIND($A$2,Lines!AM38)+LEN($A$2)+1,FIND(",",_xlfn.CONCAT(Lines!AM38,","),FIND($A$2,Lines!AM38))-FIND($A$2,Lines!AM38)-LEN($A$2)-1))</f>
        <v/>
      </c>
      <c r="AN38" s="30" t="str">
        <f>IF(ISERROR(FIND($A$2,Lines!AN38))=TRUE,"",MID(Lines!AN38,FIND($A$2,Lines!AN38)+LEN($A$2)+1,FIND(",",_xlfn.CONCAT(Lines!AN38,","),FIND($A$2,Lines!AN38))-FIND($A$2,Lines!AN38)-LEN($A$2)-1))</f>
        <v/>
      </c>
      <c r="AO38" s="30" t="str">
        <f>IF(ISERROR(FIND($A$2,Lines!AO38))=TRUE,"",MID(Lines!AO38,FIND($A$2,Lines!AO38)+LEN($A$2)+1,FIND(",",_xlfn.CONCAT(Lines!AO38,","),FIND($A$2,Lines!AO38))-FIND($A$2,Lines!AO38)-LEN($A$2)-1))</f>
        <v/>
      </c>
      <c r="AP38" s="30" t="str">
        <f>IF(ISERROR(FIND($A$2,Lines!AP38))=TRUE,"",MID(Lines!AP38,FIND($A$2,Lines!AP38)+LEN($A$2)+1,FIND(",",_xlfn.CONCAT(Lines!AP38,","),FIND($A$2,Lines!AP38))-FIND($A$2,Lines!AP38)-LEN($A$2)-1))</f>
        <v/>
      </c>
      <c r="AQ38" s="30" t="str">
        <f>IF(ISERROR(FIND($A$2,Lines!AQ38))=TRUE,"",MID(Lines!AQ38,FIND($A$2,Lines!AQ38)+LEN($A$2)+1,FIND(",",_xlfn.CONCAT(Lines!AQ38,","),FIND($A$2,Lines!AQ38))-FIND($A$2,Lines!AQ38)-LEN($A$2)-1))</f>
        <v/>
      </c>
      <c r="AR38" s="30" t="str">
        <f>IF(ISERROR(FIND($A$2,Lines!AR38))=TRUE,"",MID(Lines!AR38,FIND($A$2,Lines!AR38)+LEN($A$2)+1,FIND(",",_xlfn.CONCAT(Lines!AR38,","),FIND($A$2,Lines!AR38))-FIND($A$2,Lines!AR38)-LEN($A$2)-1))</f>
        <v/>
      </c>
      <c r="AS38" s="30" t="str">
        <f>IF(ISERROR(FIND($A$2,Lines!AS38))=TRUE,"",MID(Lines!AS38,FIND($A$2,Lines!AS38)+LEN($A$2)+1,FIND(",",_xlfn.CONCAT(Lines!AS38,","),FIND($A$2,Lines!AS38))-FIND($A$2,Lines!AS38)-LEN($A$2)-1))</f>
        <v/>
      </c>
      <c r="AT38" s="30" t="str">
        <f>IF(ISERROR(FIND($A$2,Lines!AT38))=TRUE,"",MID(Lines!AT38,FIND($A$2,Lines!AT38)+LEN($A$2)+1,FIND(",",_xlfn.CONCAT(Lines!AT38,","),FIND($A$2,Lines!AT38))-FIND($A$2,Lines!AT38)-LEN($A$2)-1))</f>
        <v/>
      </c>
    </row>
    <row r="39" spans="1:46" ht="20.25" customHeight="1">
      <c r="A39" s="2" t="s">
        <v>87</v>
      </c>
      <c r="B39" s="30" t="str">
        <f>IF(ISERROR(FIND($A$2,Lines!B39))=TRUE,"",MID(Lines!B39,FIND($A$2,Lines!B39)+LEN($A$2)+1,FIND(",",_xlfn.CONCAT(Lines!B39,","),FIND($A$2,Lines!B39))-FIND($A$2,Lines!B39)-LEN($A$2)-1))</f>
        <v/>
      </c>
      <c r="C39" s="30" t="str">
        <f>IF(ISERROR(FIND($A$2,Lines!C39))=TRUE,"",MID(Lines!C39,FIND($A$2,Lines!C39)+LEN($A$2)+1,FIND(",",_xlfn.CONCAT(Lines!C39,","),FIND($A$2,Lines!C39))-FIND($A$2,Lines!C39)-LEN($A$2)-1))</f>
        <v/>
      </c>
      <c r="D39" s="30" t="str">
        <f>IF(ISERROR(FIND($A$2,Lines!D39))=TRUE,"",MID(Lines!D39,FIND($A$2,Lines!D39)+LEN($A$2)+1,FIND(",",_xlfn.CONCAT(Lines!D39,","),FIND($A$2,Lines!D39))-FIND($A$2,Lines!D39)-LEN($A$2)-1))</f>
        <v/>
      </c>
      <c r="E39" s="30" t="str">
        <f>IF(ISERROR(FIND($A$2,Lines!E39))=TRUE,"",MID(Lines!E39,FIND($A$2,Lines!E39)+LEN($A$2)+1,FIND(",",_xlfn.CONCAT(Lines!E39,","),FIND($A$2,Lines!E39))-FIND($A$2,Lines!E39)-LEN($A$2)-1))</f>
        <v/>
      </c>
      <c r="F39" s="30" t="str">
        <f>IF(ISERROR(FIND($A$2,Lines!F39))=TRUE,"",MID(Lines!F39,FIND($A$2,Lines!F39)+LEN($A$2)+1,FIND(",",_xlfn.CONCAT(Lines!F39,","),FIND($A$2,Lines!F39))-FIND($A$2,Lines!F39)-LEN($A$2)-1))</f>
        <v/>
      </c>
      <c r="G39" s="30" t="str">
        <f>IF(ISERROR(FIND($A$2,Lines!G39))=TRUE,"",MID(Lines!G39,FIND($A$2,Lines!G39)+LEN($A$2)+1,FIND(",",_xlfn.CONCAT(Lines!G39,","),FIND($A$2,Lines!G39))-FIND($A$2,Lines!G39)-LEN($A$2)-1))</f>
        <v/>
      </c>
      <c r="H39" s="30" t="str">
        <f>IF(ISERROR(FIND($A$2,Lines!H39))=TRUE,"",MID(Lines!H39,FIND($A$2,Lines!H39)+LEN($A$2)+1,FIND(",",_xlfn.CONCAT(Lines!H39,","),FIND($A$2,Lines!H39))-FIND($A$2,Lines!H39)-LEN($A$2)-1))</f>
        <v/>
      </c>
      <c r="I39" s="30" t="str">
        <f>IF(ISERROR(FIND($A$2,Lines!I39))=TRUE,"",MID(Lines!I39,FIND($A$2,Lines!I39)+LEN($A$2)+1,FIND(",",_xlfn.CONCAT(Lines!I39,","),FIND($A$2,Lines!I39))-FIND($A$2,Lines!I39)-LEN($A$2)-1))</f>
        <v/>
      </c>
      <c r="J39" s="30" t="str">
        <f>IF(ISERROR(FIND($A$2,Lines!J39))=TRUE,"",MID(Lines!J39,FIND($A$2,Lines!J39)+LEN($A$2)+1,FIND(",",_xlfn.CONCAT(Lines!J39,","),FIND($A$2,Lines!J39))-FIND($A$2,Lines!J39)-LEN($A$2)-1))</f>
        <v/>
      </c>
      <c r="K39" s="30" t="str">
        <f>IF(ISERROR(FIND($A$2,Lines!K39))=TRUE,"",MID(Lines!K39,FIND($A$2,Lines!K39)+LEN($A$2)+1,FIND(",",_xlfn.CONCAT(Lines!K39,","),FIND($A$2,Lines!K39))-FIND($A$2,Lines!K39)-LEN($A$2)-1))</f>
        <v/>
      </c>
      <c r="L39" s="30" t="str">
        <f>IF(ISERROR(FIND($A$2,Lines!L39))=TRUE,"",MID(Lines!L39,FIND($A$2,Lines!L39)+LEN($A$2)+1,FIND(",",_xlfn.CONCAT(Lines!L39,","),FIND($A$2,Lines!L39))-FIND($A$2,Lines!L39)-LEN($A$2)-1))</f>
        <v/>
      </c>
      <c r="M39" s="30" t="str">
        <f>IF(ISERROR(FIND($A$2,Lines!M39))=TRUE,"",MID(Lines!M39,FIND($A$2,Lines!M39)+LEN($A$2)+1,FIND(",",_xlfn.CONCAT(Lines!M39,","),FIND($A$2,Lines!M39))-FIND($A$2,Lines!M39)-LEN($A$2)-1))</f>
        <v/>
      </c>
      <c r="N39" s="30" t="str">
        <f>IF(ISERROR(FIND($A$2,Lines!N39))=TRUE,"",MID(Lines!N39,FIND($A$2,Lines!N39)+LEN($A$2)+1,FIND(",",_xlfn.CONCAT(Lines!N39,","),FIND($A$2,Lines!N39))-FIND($A$2,Lines!N39)-LEN($A$2)-1))</f>
        <v/>
      </c>
      <c r="O39" s="30" t="str">
        <f>IF(ISERROR(FIND($A$2,Lines!O39))=TRUE,"",MID(Lines!O39,FIND($A$2,Lines!O39)+LEN($A$2)+1,FIND(",",_xlfn.CONCAT(Lines!O39,","),FIND($A$2,Lines!O39))-FIND($A$2,Lines!O39)-LEN($A$2)-1))</f>
        <v/>
      </c>
      <c r="P39" s="30" t="str">
        <f>IF(ISERROR(FIND($A$2,Lines!P39))=TRUE,"",MID(Lines!P39,FIND($A$2,Lines!P39)+LEN($A$2)+1,FIND(",",_xlfn.CONCAT(Lines!P39,","),FIND($A$2,Lines!P39))-FIND($A$2,Lines!P39)-LEN($A$2)-1))</f>
        <v/>
      </c>
      <c r="Q39" s="30" t="str">
        <f>IF(ISERROR(FIND($A$2,Lines!Q39))=TRUE,"",MID(Lines!Q39,FIND($A$2,Lines!Q39)+LEN($A$2)+1,FIND(",",_xlfn.CONCAT(Lines!Q39,","),FIND($A$2,Lines!Q39))-FIND($A$2,Lines!Q39)-LEN($A$2)-1))</f>
        <v/>
      </c>
      <c r="R39" s="30" t="str">
        <f>IF(ISERROR(FIND($A$2,Lines!R39))=TRUE,"",MID(Lines!R39,FIND($A$2,Lines!R39)+LEN($A$2)+1,FIND(",",_xlfn.CONCAT(Lines!R39,","),FIND($A$2,Lines!R39))-FIND($A$2,Lines!R39)-LEN($A$2)-1))</f>
        <v/>
      </c>
      <c r="S39" s="30" t="str">
        <f>IF(ISERROR(FIND($A$2,Lines!S39))=TRUE,"",MID(Lines!S39,FIND($A$2,Lines!S39)+LEN($A$2)+1,FIND(",",_xlfn.CONCAT(Lines!S39,","),FIND($A$2,Lines!S39))-FIND($A$2,Lines!S39)-LEN($A$2)-1))</f>
        <v/>
      </c>
      <c r="T39" s="30" t="str">
        <f>IF(ISERROR(FIND($A$2,Lines!T39))=TRUE,"",MID(Lines!T39,FIND($A$2,Lines!T39)+LEN($A$2)+1,FIND(",",_xlfn.CONCAT(Lines!T39,","),FIND($A$2,Lines!T39))-FIND($A$2,Lines!T39)-LEN($A$2)-1))</f>
        <v/>
      </c>
      <c r="U39" s="30" t="str">
        <f>IF(ISERROR(FIND($A$2,Lines!U39))=TRUE,"",MID(Lines!U39,FIND($A$2,Lines!U39)+LEN($A$2)+1,FIND(",",_xlfn.CONCAT(Lines!U39,","),FIND($A$2,Lines!U39))-FIND($A$2,Lines!U39)-LEN($A$2)-1))</f>
        <v/>
      </c>
      <c r="V39" s="30" t="str">
        <f>IF(ISERROR(FIND($A$2,Lines!V39))=TRUE,"",MID(Lines!V39,FIND($A$2,Lines!V39)+LEN($A$2)+1,FIND(",",_xlfn.CONCAT(Lines!V39,","),FIND($A$2,Lines!V39))-FIND($A$2,Lines!V39)-LEN($A$2)-1))</f>
        <v/>
      </c>
      <c r="W39" s="36" t="str">
        <f>IF(ISERROR(FIND($A$2,Lines!W39))=TRUE,"",MID(Lines!W39,FIND($A$2,Lines!W39)+LEN($A$2)+1,FIND(",",_xlfn.CONCAT(Lines!W39,","),FIND($A$2,Lines!W39))-FIND($A$2,Lines!W39)-LEN($A$2)-1))</f>
        <v/>
      </c>
      <c r="X39" s="30" t="str">
        <f>IF(ISERROR(FIND($A$2,Lines!X39))=TRUE,"",MID(Lines!X39,FIND($A$2,Lines!X39)+LEN($A$2)+1,FIND(",",_xlfn.CONCAT(Lines!X39,","),FIND($A$2,Lines!X39))-FIND($A$2,Lines!X39)-LEN($A$2)-1))</f>
        <v/>
      </c>
      <c r="Y39" s="30" t="str">
        <f>IF(ISERROR(FIND($A$2,Lines!Y39))=TRUE,"",MID(Lines!Y39,FIND($A$2,Lines!Y39)+LEN($A$2)+1,FIND(",",_xlfn.CONCAT(Lines!Y39,","),FIND($A$2,Lines!Y39))-FIND($A$2,Lines!Y39)-LEN($A$2)-1))</f>
        <v/>
      </c>
      <c r="Z39" s="30" t="str">
        <f>IF(ISERROR(FIND($A$2,Lines!Z39))=TRUE,"",MID(Lines!Z39,FIND($A$2,Lines!Z39)+LEN($A$2)+1,FIND(",",_xlfn.CONCAT(Lines!Z39,","),FIND($A$2,Lines!Z39))-FIND($A$2,Lines!Z39)-LEN($A$2)-1))</f>
        <v/>
      </c>
      <c r="AA39" s="30" t="str">
        <f>IF(ISERROR(FIND($A$2,Lines!AA39))=TRUE,"",MID(Lines!AA39,FIND($A$2,Lines!AA39)+LEN($A$2)+1,FIND(",",_xlfn.CONCAT(Lines!AA39,","),FIND($A$2,Lines!AA39))-FIND($A$2,Lines!AA39)-LEN($A$2)-1))</f>
        <v/>
      </c>
      <c r="AB39" s="30" t="str">
        <f>IF(ISERROR(FIND($A$2,Lines!AB39))=TRUE,"",MID(Lines!AB39,FIND($A$2,Lines!AB39)+LEN($A$2)+1,FIND(",",_xlfn.CONCAT(Lines!AB39,","),FIND($A$2,Lines!AB39))-FIND($A$2,Lines!AB39)-LEN($A$2)-1))</f>
        <v/>
      </c>
      <c r="AC39" s="30" t="str">
        <f>IF(ISERROR(FIND($A$2,Lines!AC39))=TRUE,"",MID(Lines!AC39,FIND($A$2,Lines!AC39)+LEN($A$2)+1,FIND(",",_xlfn.CONCAT(Lines!AC39,","),FIND($A$2,Lines!AC39))-FIND($A$2,Lines!AC39)-LEN($A$2)-1))</f>
        <v/>
      </c>
      <c r="AD39" s="30" t="str">
        <f>IF(ISERROR(FIND($A$2,Lines!AD39))=TRUE,"",MID(Lines!AD39,FIND($A$2,Lines!AD39)+LEN($A$2)+1,FIND(",",_xlfn.CONCAT(Lines!AD39,","),FIND($A$2,Lines!AD39))-FIND($A$2,Lines!AD39)-LEN($A$2)-1))</f>
        <v/>
      </c>
      <c r="AE39" s="30" t="str">
        <f>IF(ISERROR(FIND($A$2,Lines!AE39))=TRUE,"",MID(Lines!AE39,FIND($A$2,Lines!AE39)+LEN($A$2)+1,FIND(",",_xlfn.CONCAT(Lines!AE39,","),FIND($A$2,Lines!AE39))-FIND($A$2,Lines!AE39)-LEN($A$2)-1))</f>
        <v/>
      </c>
      <c r="AF39" s="30" t="str">
        <f>IF(ISERROR(FIND($A$2,Lines!AF39))=TRUE,"",MID(Lines!AF39,FIND($A$2,Lines!AF39)+LEN($A$2)+1,FIND(",",_xlfn.CONCAT(Lines!AF39,","),FIND($A$2,Lines!AF39))-FIND($A$2,Lines!AF39)-LEN($A$2)-1))</f>
        <v/>
      </c>
      <c r="AG39" s="30" t="str">
        <f>IF(ISERROR(FIND($A$2,Lines!AG39))=TRUE,"",MID(Lines!AG39,FIND($A$2,Lines!AG39)+LEN($A$2)+1,FIND(",",_xlfn.CONCAT(Lines!AG39,","),FIND($A$2,Lines!AG39))-FIND($A$2,Lines!AG39)-LEN($A$2)-1))</f>
        <v/>
      </c>
      <c r="AH39" s="30" t="str">
        <f>IF(ISERROR(FIND($A$2,Lines!AH39))=TRUE,"",MID(Lines!AH39,FIND($A$2,Lines!AH39)+LEN($A$2)+1,FIND(",",_xlfn.CONCAT(Lines!AH39,","),FIND($A$2,Lines!AH39))-FIND($A$2,Lines!AH39)-LEN($A$2)-1))</f>
        <v/>
      </c>
      <c r="AI39" s="30" t="str">
        <f>IF(ISERROR(FIND($A$2,Lines!AI39))=TRUE,"",MID(Lines!AI39,FIND($A$2,Lines!AI39)+LEN($A$2)+1,FIND(",",_xlfn.CONCAT(Lines!AI39,","),FIND($A$2,Lines!AI39))-FIND($A$2,Lines!AI39)-LEN($A$2)-1))</f>
        <v/>
      </c>
      <c r="AJ39" s="30" t="str">
        <f>IF(ISERROR(FIND($A$2,Lines!AJ39))=TRUE,"",MID(Lines!AJ39,FIND($A$2,Lines!AJ39)+LEN($A$2)+1,FIND(",",_xlfn.CONCAT(Lines!AJ39,","),FIND($A$2,Lines!AJ39))-FIND($A$2,Lines!AJ39)-LEN($A$2)-1))</f>
        <v/>
      </c>
      <c r="AK39" s="65" t="str">
        <f>IF(ISERROR(FIND($A$2,Lines!AK39))=TRUE,"",MID(Lines!AK39,FIND($A$2,Lines!AK39)+LEN($A$2)+1,FIND(",",_xlfn.CONCAT(Lines!AK39,","),FIND($A$2,Lines!AK39))-FIND($A$2,Lines!AK39)-LEN($A$2)-1))</f>
        <v/>
      </c>
      <c r="AL39" s="50" t="str">
        <f>IF(ISERROR(FIND($A$2,Lines!AL39))=TRUE,"",MID(Lines!AL39,FIND($A$2,Lines!AL39)+LEN($A$2)+1,FIND(",",_xlfn.CONCAT(Lines!AL39,","),FIND($A$2,Lines!AL39))-FIND($A$2,Lines!AL39)-LEN($A$2)-1))</f>
        <v/>
      </c>
      <c r="AM39" s="50" t="str">
        <f>IF(ISERROR(FIND($A$2,Lines!AM39))=TRUE,"",MID(Lines!AM39,FIND($A$2,Lines!AM39)+LEN($A$2)+1,FIND(",",_xlfn.CONCAT(Lines!AM39,","),FIND($A$2,Lines!AM39))-FIND($A$2,Lines!AM39)-LEN($A$2)-1))</f>
        <v/>
      </c>
      <c r="AN39" s="50" t="str">
        <f>IF(ISERROR(FIND($A$2,Lines!AN39))=TRUE,"",MID(Lines!AN39,FIND($A$2,Lines!AN39)+LEN($A$2)+1,FIND(",",_xlfn.CONCAT(Lines!AN39,","),FIND($A$2,Lines!AN39))-FIND($A$2,Lines!AN39)-LEN($A$2)-1))</f>
        <v/>
      </c>
      <c r="AO39" s="60" t="str">
        <f>IF(ISERROR(FIND($A$2,Lines!AO39))=TRUE,"",MID(Lines!AO39,FIND($A$2,Lines!AO39)+LEN($A$2)+1,FIND(",",_xlfn.CONCAT(Lines!AO39,","),FIND($A$2,Lines!AO39))-FIND($A$2,Lines!AO39)-LEN($A$2)-1))</f>
        <v/>
      </c>
      <c r="AP39" s="30" t="str">
        <f>IF(ISERROR(FIND($A$2,Lines!AP39))=TRUE,"",MID(Lines!AP39,FIND($A$2,Lines!AP39)+LEN($A$2)+1,FIND(",",_xlfn.CONCAT(Lines!AP39,","),FIND($A$2,Lines!AP39))-FIND($A$2,Lines!AP39)-LEN($A$2)-1))</f>
        <v/>
      </c>
      <c r="AQ39" s="30" t="str">
        <f>IF(ISERROR(FIND($A$2,Lines!AQ39))=TRUE,"",MID(Lines!AQ39,FIND($A$2,Lines!AQ39)+LEN($A$2)+1,FIND(",",_xlfn.CONCAT(Lines!AQ39,","),FIND($A$2,Lines!AQ39))-FIND($A$2,Lines!AQ39)-LEN($A$2)-1))</f>
        <v/>
      </c>
      <c r="AR39" s="30" t="str">
        <f>IF(ISERROR(FIND($A$2,Lines!AR39))=TRUE,"",MID(Lines!AR39,FIND($A$2,Lines!AR39)+LEN($A$2)+1,FIND(",",_xlfn.CONCAT(Lines!AR39,","),FIND($A$2,Lines!AR39))-FIND($A$2,Lines!AR39)-LEN($A$2)-1))</f>
        <v/>
      </c>
      <c r="AS39" s="30" t="str">
        <f>IF(ISERROR(FIND($A$2,Lines!AS39))=TRUE,"",MID(Lines!AS39,FIND($A$2,Lines!AS39)+LEN($A$2)+1,FIND(",",_xlfn.CONCAT(Lines!AS39,","),FIND($A$2,Lines!AS39))-FIND($A$2,Lines!AS39)-LEN($A$2)-1))</f>
        <v/>
      </c>
      <c r="AT39" s="30" t="str">
        <f>IF(ISERROR(FIND($A$2,Lines!AT39))=TRUE,"",MID(Lines!AT39,FIND($A$2,Lines!AT39)+LEN($A$2)+1,FIND(",",_xlfn.CONCAT(Lines!AT39,","),FIND($A$2,Lines!AT39))-FIND($A$2,Lines!AT39)-LEN($A$2)-1))</f>
        <v/>
      </c>
    </row>
    <row r="40" spans="1:46" ht="20.25" customHeight="1">
      <c r="A40" s="2" t="s">
        <v>88</v>
      </c>
      <c r="B40" s="30" t="str">
        <f>IF(ISERROR(FIND($A$2,Lines!B40))=TRUE,"",MID(Lines!B40,FIND($A$2,Lines!B40)+LEN($A$2)+1,FIND(",",_xlfn.CONCAT(Lines!B40,","),FIND($A$2,Lines!B40))-FIND($A$2,Lines!B40)-LEN($A$2)-1))</f>
        <v/>
      </c>
      <c r="C40" s="30" t="str">
        <f>IF(ISERROR(FIND($A$2,Lines!C40))=TRUE,"",MID(Lines!C40,FIND($A$2,Lines!C40)+LEN($A$2)+1,FIND(",",_xlfn.CONCAT(Lines!C40,","),FIND($A$2,Lines!C40))-FIND($A$2,Lines!C40)-LEN($A$2)-1))</f>
        <v/>
      </c>
      <c r="D40" s="30" t="str">
        <f>IF(ISERROR(FIND($A$2,Lines!D40))=TRUE,"",MID(Lines!D40,FIND($A$2,Lines!D40)+LEN($A$2)+1,FIND(",",_xlfn.CONCAT(Lines!D40,","),FIND($A$2,Lines!D40))-FIND($A$2,Lines!D40)-LEN($A$2)-1))</f>
        <v/>
      </c>
      <c r="E40" s="30" t="str">
        <f>IF(ISERROR(FIND($A$2,Lines!E40))=TRUE,"",MID(Lines!E40,FIND($A$2,Lines!E40)+LEN($A$2)+1,FIND(",",_xlfn.CONCAT(Lines!E40,","),FIND($A$2,Lines!E40))-FIND($A$2,Lines!E40)-LEN($A$2)-1))</f>
        <v/>
      </c>
      <c r="F40" s="30" t="str">
        <f>IF(ISERROR(FIND($A$2,Lines!F40))=TRUE,"",MID(Lines!F40,FIND($A$2,Lines!F40)+LEN($A$2)+1,FIND(",",_xlfn.CONCAT(Lines!F40,","),FIND($A$2,Lines!F40))-FIND($A$2,Lines!F40)-LEN($A$2)-1))</f>
        <v/>
      </c>
      <c r="G40" s="30" t="str">
        <f>IF(ISERROR(FIND($A$2,Lines!G40))=TRUE,"",MID(Lines!G40,FIND($A$2,Lines!G40)+LEN($A$2)+1,FIND(",",_xlfn.CONCAT(Lines!G40,","),FIND($A$2,Lines!G40))-FIND($A$2,Lines!G40)-LEN($A$2)-1))</f>
        <v/>
      </c>
      <c r="H40" s="30" t="str">
        <f>IF(ISERROR(FIND($A$2,Lines!H40))=TRUE,"",MID(Lines!H40,FIND($A$2,Lines!H40)+LEN($A$2)+1,FIND(",",_xlfn.CONCAT(Lines!H40,","),FIND($A$2,Lines!H40))-FIND($A$2,Lines!H40)-LEN($A$2)-1))</f>
        <v/>
      </c>
      <c r="I40" s="30" t="str">
        <f>IF(ISERROR(FIND($A$2,Lines!I40))=TRUE,"",MID(Lines!I40,FIND($A$2,Lines!I40)+LEN($A$2)+1,FIND(",",_xlfn.CONCAT(Lines!I40,","),FIND($A$2,Lines!I40))-FIND($A$2,Lines!I40)-LEN($A$2)-1))</f>
        <v/>
      </c>
      <c r="J40" s="30" t="str">
        <f>IF(ISERROR(FIND($A$2,Lines!J40))=TRUE,"",MID(Lines!J40,FIND($A$2,Lines!J40)+LEN($A$2)+1,FIND(",",_xlfn.CONCAT(Lines!J40,","),FIND($A$2,Lines!J40))-FIND($A$2,Lines!J40)-LEN($A$2)-1))</f>
        <v/>
      </c>
      <c r="K40" s="30" t="str">
        <f>IF(ISERROR(FIND($A$2,Lines!K40))=TRUE,"",MID(Lines!K40,FIND($A$2,Lines!K40)+LEN($A$2)+1,FIND(",",_xlfn.CONCAT(Lines!K40,","),FIND($A$2,Lines!K40))-FIND($A$2,Lines!K40)-LEN($A$2)-1))</f>
        <v/>
      </c>
      <c r="L40" s="30" t="str">
        <f>IF(ISERROR(FIND($A$2,Lines!L40))=TRUE,"",MID(Lines!L40,FIND($A$2,Lines!L40)+LEN($A$2)+1,FIND(",",_xlfn.CONCAT(Lines!L40,","),FIND($A$2,Lines!L40))-FIND($A$2,Lines!L40)-LEN($A$2)-1))</f>
        <v/>
      </c>
      <c r="M40" s="30" t="str">
        <f>IF(ISERROR(FIND($A$2,Lines!M40))=TRUE,"",MID(Lines!M40,FIND($A$2,Lines!M40)+LEN($A$2)+1,FIND(",",_xlfn.CONCAT(Lines!M40,","),FIND($A$2,Lines!M40))-FIND($A$2,Lines!M40)-LEN($A$2)-1))</f>
        <v/>
      </c>
      <c r="N40" s="30" t="str">
        <f>IF(ISERROR(FIND($A$2,Lines!N40))=TRUE,"",MID(Lines!N40,FIND($A$2,Lines!N40)+LEN($A$2)+1,FIND(",",_xlfn.CONCAT(Lines!N40,","),FIND($A$2,Lines!N40))-FIND($A$2,Lines!N40)-LEN($A$2)-1))</f>
        <v/>
      </c>
      <c r="O40" s="30" t="str">
        <f>IF(ISERROR(FIND($A$2,Lines!O40))=TRUE,"",MID(Lines!O40,FIND($A$2,Lines!O40)+LEN($A$2)+1,FIND(",",_xlfn.CONCAT(Lines!O40,","),FIND($A$2,Lines!O40))-FIND($A$2,Lines!O40)-LEN($A$2)-1))</f>
        <v/>
      </c>
      <c r="P40" s="30" t="str">
        <f>IF(ISERROR(FIND($A$2,Lines!P40))=TRUE,"",MID(Lines!P40,FIND($A$2,Lines!P40)+LEN($A$2)+1,FIND(",",_xlfn.CONCAT(Lines!P40,","),FIND($A$2,Lines!P40))-FIND($A$2,Lines!P40)-LEN($A$2)-1))</f>
        <v/>
      </c>
      <c r="Q40" s="30" t="str">
        <f>IF(ISERROR(FIND($A$2,Lines!Q40))=TRUE,"",MID(Lines!Q40,FIND($A$2,Lines!Q40)+LEN($A$2)+1,FIND(",",_xlfn.CONCAT(Lines!Q40,","),FIND($A$2,Lines!Q40))-FIND($A$2,Lines!Q40)-LEN($A$2)-1))</f>
        <v/>
      </c>
      <c r="R40" s="30" t="str">
        <f>IF(ISERROR(FIND($A$2,Lines!R40))=TRUE,"",MID(Lines!R40,FIND($A$2,Lines!R40)+LEN($A$2)+1,FIND(",",_xlfn.CONCAT(Lines!R40,","),FIND($A$2,Lines!R40))-FIND($A$2,Lines!R40)-LEN($A$2)-1))</f>
        <v/>
      </c>
      <c r="S40" s="30" t="str">
        <f>IF(ISERROR(FIND($A$2,Lines!S40))=TRUE,"",MID(Lines!S40,FIND($A$2,Lines!S40)+LEN($A$2)+1,FIND(",",_xlfn.CONCAT(Lines!S40,","),FIND($A$2,Lines!S40))-FIND($A$2,Lines!S40)-LEN($A$2)-1))</f>
        <v/>
      </c>
      <c r="T40" s="30" t="str">
        <f>IF(ISERROR(FIND($A$2,Lines!T40))=TRUE,"",MID(Lines!T40,FIND($A$2,Lines!T40)+LEN($A$2)+1,FIND(",",_xlfn.CONCAT(Lines!T40,","),FIND($A$2,Lines!T40))-FIND($A$2,Lines!T40)-LEN($A$2)-1))</f>
        <v/>
      </c>
      <c r="U40" s="30" t="str">
        <f>IF(ISERROR(FIND($A$2,Lines!U40))=TRUE,"",MID(Lines!U40,FIND($A$2,Lines!U40)+LEN($A$2)+1,FIND(",",_xlfn.CONCAT(Lines!U40,","),FIND($A$2,Lines!U40))-FIND($A$2,Lines!U40)-LEN($A$2)-1))</f>
        <v/>
      </c>
      <c r="V40" s="30" t="str">
        <f>IF(ISERROR(FIND($A$2,Lines!V40))=TRUE,"",MID(Lines!V40,FIND($A$2,Lines!V40)+LEN($A$2)+1,FIND(",",_xlfn.CONCAT(Lines!V40,","),FIND($A$2,Lines!V40))-FIND($A$2,Lines!V40)-LEN($A$2)-1))</f>
        <v/>
      </c>
      <c r="W40" s="36" t="str">
        <f>IF(ISERROR(FIND($A$2,Lines!W40))=TRUE,"",MID(Lines!W40,FIND($A$2,Lines!W40)+LEN($A$2)+1,FIND(",",_xlfn.CONCAT(Lines!W40,","),FIND($A$2,Lines!W40))-FIND($A$2,Lines!W40)-LEN($A$2)-1))</f>
        <v/>
      </c>
      <c r="X40" s="30" t="str">
        <f>IF(ISERROR(FIND($A$2,Lines!X40))=TRUE,"",MID(Lines!X40,FIND($A$2,Lines!X40)+LEN($A$2)+1,FIND(",",_xlfn.CONCAT(Lines!X40,","),FIND($A$2,Lines!X40))-FIND($A$2,Lines!X40)-LEN($A$2)-1))</f>
        <v/>
      </c>
      <c r="Y40" s="30" t="str">
        <f>IF(ISERROR(FIND($A$2,Lines!Y40))=TRUE,"",MID(Lines!Y40,FIND($A$2,Lines!Y40)+LEN($A$2)+1,FIND(",",_xlfn.CONCAT(Lines!Y40,","),FIND($A$2,Lines!Y40))-FIND($A$2,Lines!Y40)-LEN($A$2)-1))</f>
        <v/>
      </c>
      <c r="Z40" s="30" t="str">
        <f>IF(ISERROR(FIND($A$2,Lines!Z40))=TRUE,"",MID(Lines!Z40,FIND($A$2,Lines!Z40)+LEN($A$2)+1,FIND(",",_xlfn.CONCAT(Lines!Z40,","),FIND($A$2,Lines!Z40))-FIND($A$2,Lines!Z40)-LEN($A$2)-1))</f>
        <v/>
      </c>
      <c r="AA40" s="30" t="str">
        <f>IF(ISERROR(FIND($A$2,Lines!AA40))=TRUE,"",MID(Lines!AA40,FIND($A$2,Lines!AA40)+LEN($A$2)+1,FIND(",",_xlfn.CONCAT(Lines!AA40,","),FIND($A$2,Lines!AA40))-FIND($A$2,Lines!AA40)-LEN($A$2)-1))</f>
        <v/>
      </c>
      <c r="AB40" s="30" t="str">
        <f>IF(ISERROR(FIND($A$2,Lines!AB40))=TRUE,"",MID(Lines!AB40,FIND($A$2,Lines!AB40)+LEN($A$2)+1,FIND(",",_xlfn.CONCAT(Lines!AB40,","),FIND($A$2,Lines!AB40))-FIND($A$2,Lines!AB40)-LEN($A$2)-1))</f>
        <v/>
      </c>
      <c r="AC40" s="30" t="str">
        <f>IF(ISERROR(FIND($A$2,Lines!AC40))=TRUE,"",MID(Lines!AC40,FIND($A$2,Lines!AC40)+LEN($A$2)+1,FIND(",",_xlfn.CONCAT(Lines!AC40,","),FIND($A$2,Lines!AC40))-FIND($A$2,Lines!AC40)-LEN($A$2)-1))</f>
        <v/>
      </c>
      <c r="AD40" s="30" t="str">
        <f>IF(ISERROR(FIND($A$2,Lines!AD40))=TRUE,"",MID(Lines!AD40,FIND($A$2,Lines!AD40)+LEN($A$2)+1,FIND(",",_xlfn.CONCAT(Lines!AD40,","),FIND($A$2,Lines!AD40))-FIND($A$2,Lines!AD40)-LEN($A$2)-1))</f>
        <v/>
      </c>
      <c r="AE40" s="30" t="str">
        <f>IF(ISERROR(FIND($A$2,Lines!AE40))=TRUE,"",MID(Lines!AE40,FIND($A$2,Lines!AE40)+LEN($A$2)+1,FIND(",",_xlfn.CONCAT(Lines!AE40,","),FIND($A$2,Lines!AE40))-FIND($A$2,Lines!AE40)-LEN($A$2)-1))</f>
        <v/>
      </c>
      <c r="AF40" s="30" t="str">
        <f>IF(ISERROR(FIND($A$2,Lines!AF40))=TRUE,"",MID(Lines!AF40,FIND($A$2,Lines!AF40)+LEN($A$2)+1,FIND(",",_xlfn.CONCAT(Lines!AF40,","),FIND($A$2,Lines!AF40))-FIND($A$2,Lines!AF40)-LEN($A$2)-1))</f>
        <v/>
      </c>
      <c r="AG40" s="30" t="str">
        <f>IF(ISERROR(FIND($A$2,Lines!AG40))=TRUE,"",MID(Lines!AG40,FIND($A$2,Lines!AG40)+LEN($A$2)+1,FIND(",",_xlfn.CONCAT(Lines!AG40,","),FIND($A$2,Lines!AG40))-FIND($A$2,Lines!AG40)-LEN($A$2)-1))</f>
        <v/>
      </c>
      <c r="AH40" s="30" t="str">
        <f>IF(ISERROR(FIND($A$2,Lines!AH40))=TRUE,"",MID(Lines!AH40,FIND($A$2,Lines!AH40)+LEN($A$2)+1,FIND(",",_xlfn.CONCAT(Lines!AH40,","),FIND($A$2,Lines!AH40))-FIND($A$2,Lines!AH40)-LEN($A$2)-1))</f>
        <v/>
      </c>
      <c r="AI40" s="30" t="str">
        <f>IF(ISERROR(FIND($A$2,Lines!AI40))=TRUE,"",MID(Lines!AI40,FIND($A$2,Lines!AI40)+LEN($A$2)+1,FIND(",",_xlfn.CONCAT(Lines!AI40,","),FIND($A$2,Lines!AI40))-FIND($A$2,Lines!AI40)-LEN($A$2)-1))</f>
        <v/>
      </c>
      <c r="AJ40" s="30" t="str">
        <f>IF(ISERROR(FIND($A$2,Lines!AJ40))=TRUE,"",MID(Lines!AJ40,FIND($A$2,Lines!AJ40)+LEN($A$2)+1,FIND(",",_xlfn.CONCAT(Lines!AJ40,","),FIND($A$2,Lines!AJ40))-FIND($A$2,Lines!AJ40)-LEN($A$2)-1))</f>
        <v/>
      </c>
      <c r="AK40" s="54" t="str">
        <f>IF(ISERROR(FIND($A$2,Lines!AK40))=TRUE,"",MID(Lines!AK40,FIND($A$2,Lines!AK40)+LEN($A$2)+1,FIND(",",_xlfn.CONCAT(Lines!AK40,","),FIND($A$2,Lines!AK40))-FIND($A$2,Lines!AK40)-LEN($A$2)-1))</f>
        <v/>
      </c>
      <c r="AL40" s="66" t="str">
        <f>IF(ISERROR(FIND($A$2,Lines!AL40))=TRUE,"",MID(Lines!AL40,FIND($A$2,Lines!AL40)+LEN($A$2)+1,FIND(",",_xlfn.CONCAT(Lines!AL40,","),FIND($A$2,Lines!AL40))-FIND($A$2,Lines!AL40)-LEN($A$2)-1))</f>
        <v/>
      </c>
      <c r="AM40" s="43" t="str">
        <f>IF(ISERROR(FIND($A$2,Lines!AM40))=TRUE,"",MID(Lines!AM40,FIND($A$2,Lines!AM40)+LEN($A$2)+1,FIND(",",_xlfn.CONCAT(Lines!AM40,","),FIND($A$2,Lines!AM40))-FIND($A$2,Lines!AM40)-LEN($A$2)-1))</f>
        <v/>
      </c>
      <c r="AN40" s="43" t="str">
        <f>IF(ISERROR(FIND($A$2,Lines!AN40))=TRUE,"",MID(Lines!AN40,FIND($A$2,Lines!AN40)+LEN($A$2)+1,FIND(",",_xlfn.CONCAT(Lines!AN40,","),FIND($A$2,Lines!AN40))-FIND($A$2,Lines!AN40)-LEN($A$2)-1))</f>
        <v/>
      </c>
      <c r="AO40" s="61" t="str">
        <f>IF(ISERROR(FIND($A$2,Lines!AO40))=TRUE,"",MID(Lines!AO40,FIND($A$2,Lines!AO40)+LEN($A$2)+1,FIND(",",_xlfn.CONCAT(Lines!AO40,","),FIND($A$2,Lines!AO40))-FIND($A$2,Lines!AO40)-LEN($A$2)-1))</f>
        <v/>
      </c>
      <c r="AP40" s="30" t="str">
        <f>IF(ISERROR(FIND($A$2,Lines!AP40))=TRUE,"",MID(Lines!AP40,FIND($A$2,Lines!AP40)+LEN($A$2)+1,FIND(",",_xlfn.CONCAT(Lines!AP40,","),FIND($A$2,Lines!AP40))-FIND($A$2,Lines!AP40)-LEN($A$2)-1))</f>
        <v/>
      </c>
      <c r="AQ40" s="30" t="str">
        <f>IF(ISERROR(FIND($A$2,Lines!AQ40))=TRUE,"",MID(Lines!AQ40,FIND($A$2,Lines!AQ40)+LEN($A$2)+1,FIND(",",_xlfn.CONCAT(Lines!AQ40,","),FIND($A$2,Lines!AQ40))-FIND($A$2,Lines!AQ40)-LEN($A$2)-1))</f>
        <v/>
      </c>
      <c r="AR40" s="30" t="str">
        <f>IF(ISERROR(FIND($A$2,Lines!AR40))=TRUE,"",MID(Lines!AR40,FIND($A$2,Lines!AR40)+LEN($A$2)+1,FIND(",",_xlfn.CONCAT(Lines!AR40,","),FIND($A$2,Lines!AR40))-FIND($A$2,Lines!AR40)-LEN($A$2)-1))</f>
        <v/>
      </c>
      <c r="AS40" s="30" t="str">
        <f>IF(ISERROR(FIND($A$2,Lines!AS40))=TRUE,"",MID(Lines!AS40,FIND($A$2,Lines!AS40)+LEN($A$2)+1,FIND(",",_xlfn.CONCAT(Lines!AS40,","),FIND($A$2,Lines!AS40))-FIND($A$2,Lines!AS40)-LEN($A$2)-1))</f>
        <v/>
      </c>
      <c r="AT40" s="30" t="str">
        <f>IF(ISERROR(FIND($A$2,Lines!AT40))=TRUE,"",MID(Lines!AT40,FIND($A$2,Lines!AT40)+LEN($A$2)+1,FIND(",",_xlfn.CONCAT(Lines!AT40,","),FIND($A$2,Lines!AT40))-FIND($A$2,Lines!AT40)-LEN($A$2)-1))</f>
        <v/>
      </c>
    </row>
    <row r="41" spans="1:46" ht="20.25" customHeight="1">
      <c r="A41" s="2" t="s">
        <v>89</v>
      </c>
      <c r="B41" s="30" t="str">
        <f>IF(ISERROR(FIND($A$2,Lines!B41))=TRUE,"",MID(Lines!B41,FIND($A$2,Lines!B41)+LEN($A$2)+1,FIND(",",_xlfn.CONCAT(Lines!B41,","),FIND($A$2,Lines!B41))-FIND($A$2,Lines!B41)-LEN($A$2)-1))</f>
        <v/>
      </c>
      <c r="C41" s="30" t="str">
        <f>IF(ISERROR(FIND($A$2,Lines!C41))=TRUE,"",MID(Lines!C41,FIND($A$2,Lines!C41)+LEN($A$2)+1,FIND(",",_xlfn.CONCAT(Lines!C41,","),FIND($A$2,Lines!C41))-FIND($A$2,Lines!C41)-LEN($A$2)-1))</f>
        <v/>
      </c>
      <c r="D41" s="30" t="str">
        <f>IF(ISERROR(FIND($A$2,Lines!D41))=TRUE,"",MID(Lines!D41,FIND($A$2,Lines!D41)+LEN($A$2)+1,FIND(",",_xlfn.CONCAT(Lines!D41,","),FIND($A$2,Lines!D41))-FIND($A$2,Lines!D41)-LEN($A$2)-1))</f>
        <v/>
      </c>
      <c r="E41" s="30" t="str">
        <f>IF(ISERROR(FIND($A$2,Lines!E41))=TRUE,"",MID(Lines!E41,FIND($A$2,Lines!E41)+LEN($A$2)+1,FIND(",",_xlfn.CONCAT(Lines!E41,","),FIND($A$2,Lines!E41))-FIND($A$2,Lines!E41)-LEN($A$2)-1))</f>
        <v/>
      </c>
      <c r="F41" s="30" t="str">
        <f>IF(ISERROR(FIND($A$2,Lines!F41))=TRUE,"",MID(Lines!F41,FIND($A$2,Lines!F41)+LEN($A$2)+1,FIND(",",_xlfn.CONCAT(Lines!F41,","),FIND($A$2,Lines!F41))-FIND($A$2,Lines!F41)-LEN($A$2)-1))</f>
        <v/>
      </c>
      <c r="G41" s="30" t="str">
        <f>IF(ISERROR(FIND($A$2,Lines!G41))=TRUE,"",MID(Lines!G41,FIND($A$2,Lines!G41)+LEN($A$2)+1,FIND(",",_xlfn.CONCAT(Lines!G41,","),FIND($A$2,Lines!G41))-FIND($A$2,Lines!G41)-LEN($A$2)-1))</f>
        <v/>
      </c>
      <c r="H41" s="30" t="str">
        <f>IF(ISERROR(FIND($A$2,Lines!H41))=TRUE,"",MID(Lines!H41,FIND($A$2,Lines!H41)+LEN($A$2)+1,FIND(",",_xlfn.CONCAT(Lines!H41,","),FIND($A$2,Lines!H41))-FIND($A$2,Lines!H41)-LEN($A$2)-1))</f>
        <v/>
      </c>
      <c r="I41" s="30" t="str">
        <f>IF(ISERROR(FIND($A$2,Lines!I41))=TRUE,"",MID(Lines!I41,FIND($A$2,Lines!I41)+LEN($A$2)+1,FIND(",",_xlfn.CONCAT(Lines!I41,","),FIND($A$2,Lines!I41))-FIND($A$2,Lines!I41)-LEN($A$2)-1))</f>
        <v/>
      </c>
      <c r="J41" s="30" t="str">
        <f>IF(ISERROR(FIND($A$2,Lines!J41))=TRUE,"",MID(Lines!J41,FIND($A$2,Lines!J41)+LEN($A$2)+1,FIND(",",_xlfn.CONCAT(Lines!J41,","),FIND($A$2,Lines!J41))-FIND($A$2,Lines!J41)-LEN($A$2)-1))</f>
        <v/>
      </c>
      <c r="K41" s="30" t="str">
        <f>IF(ISERROR(FIND($A$2,Lines!K41))=TRUE,"",MID(Lines!K41,FIND($A$2,Lines!K41)+LEN($A$2)+1,FIND(",",_xlfn.CONCAT(Lines!K41,","),FIND($A$2,Lines!K41))-FIND($A$2,Lines!K41)-LEN($A$2)-1))</f>
        <v/>
      </c>
      <c r="L41" s="30" t="str">
        <f>IF(ISERROR(FIND($A$2,Lines!L41))=TRUE,"",MID(Lines!L41,FIND($A$2,Lines!L41)+LEN($A$2)+1,FIND(",",_xlfn.CONCAT(Lines!L41,","),FIND($A$2,Lines!L41))-FIND($A$2,Lines!L41)-LEN($A$2)-1))</f>
        <v/>
      </c>
      <c r="M41" s="30" t="str">
        <f>IF(ISERROR(FIND($A$2,Lines!M41))=TRUE,"",MID(Lines!M41,FIND($A$2,Lines!M41)+LEN($A$2)+1,FIND(",",_xlfn.CONCAT(Lines!M41,","),FIND($A$2,Lines!M41))-FIND($A$2,Lines!M41)-LEN($A$2)-1))</f>
        <v/>
      </c>
      <c r="N41" s="30" t="str">
        <f>IF(ISERROR(FIND($A$2,Lines!N41))=TRUE,"",MID(Lines!N41,FIND($A$2,Lines!N41)+LEN($A$2)+1,FIND(",",_xlfn.CONCAT(Lines!N41,","),FIND($A$2,Lines!N41))-FIND($A$2,Lines!N41)-LEN($A$2)-1))</f>
        <v/>
      </c>
      <c r="O41" s="30" t="str">
        <f>IF(ISERROR(FIND($A$2,Lines!O41))=TRUE,"",MID(Lines!O41,FIND($A$2,Lines!O41)+LEN($A$2)+1,FIND(",",_xlfn.CONCAT(Lines!O41,","),FIND($A$2,Lines!O41))-FIND($A$2,Lines!O41)-LEN($A$2)-1))</f>
        <v/>
      </c>
      <c r="P41" s="30" t="str">
        <f>IF(ISERROR(FIND($A$2,Lines!P41))=TRUE,"",MID(Lines!P41,FIND($A$2,Lines!P41)+LEN($A$2)+1,FIND(",",_xlfn.CONCAT(Lines!P41,","),FIND($A$2,Lines!P41))-FIND($A$2,Lines!P41)-LEN($A$2)-1))</f>
        <v/>
      </c>
      <c r="Q41" s="30" t="str">
        <f>IF(ISERROR(FIND($A$2,Lines!Q41))=TRUE,"",MID(Lines!Q41,FIND($A$2,Lines!Q41)+LEN($A$2)+1,FIND(",",_xlfn.CONCAT(Lines!Q41,","),FIND($A$2,Lines!Q41))-FIND($A$2,Lines!Q41)-LEN($A$2)-1))</f>
        <v/>
      </c>
      <c r="R41" s="30" t="str">
        <f>IF(ISERROR(FIND($A$2,Lines!R41))=TRUE,"",MID(Lines!R41,FIND($A$2,Lines!R41)+LEN($A$2)+1,FIND(",",_xlfn.CONCAT(Lines!R41,","),FIND($A$2,Lines!R41))-FIND($A$2,Lines!R41)-LEN($A$2)-1))</f>
        <v/>
      </c>
      <c r="S41" s="30" t="str">
        <f>IF(ISERROR(FIND($A$2,Lines!S41))=TRUE,"",MID(Lines!S41,FIND($A$2,Lines!S41)+LEN($A$2)+1,FIND(",",_xlfn.CONCAT(Lines!S41,","),FIND($A$2,Lines!S41))-FIND($A$2,Lines!S41)-LEN($A$2)-1))</f>
        <v/>
      </c>
      <c r="T41" s="30" t="str">
        <f>IF(ISERROR(FIND($A$2,Lines!T41))=TRUE,"",MID(Lines!T41,FIND($A$2,Lines!T41)+LEN($A$2)+1,FIND(",",_xlfn.CONCAT(Lines!T41,","),FIND($A$2,Lines!T41))-FIND($A$2,Lines!T41)-LEN($A$2)-1))</f>
        <v/>
      </c>
      <c r="U41" s="30" t="str">
        <f>IF(ISERROR(FIND($A$2,Lines!U41))=TRUE,"",MID(Lines!U41,FIND($A$2,Lines!U41)+LEN($A$2)+1,FIND(",",_xlfn.CONCAT(Lines!U41,","),FIND($A$2,Lines!U41))-FIND($A$2,Lines!U41)-LEN($A$2)-1))</f>
        <v/>
      </c>
      <c r="V41" s="30" t="str">
        <f>IF(ISERROR(FIND($A$2,Lines!V41))=TRUE,"",MID(Lines!V41,FIND($A$2,Lines!V41)+LEN($A$2)+1,FIND(",",_xlfn.CONCAT(Lines!V41,","),FIND($A$2,Lines!V41))-FIND($A$2,Lines!V41)-LEN($A$2)-1))</f>
        <v/>
      </c>
      <c r="W41" s="36" t="str">
        <f>IF(ISERROR(FIND($A$2,Lines!W41))=TRUE,"",MID(Lines!W41,FIND($A$2,Lines!W41)+LEN($A$2)+1,FIND(",",_xlfn.CONCAT(Lines!W41,","),FIND($A$2,Lines!W41))-FIND($A$2,Lines!W41)-LEN($A$2)-1))</f>
        <v/>
      </c>
      <c r="X41" s="30" t="str">
        <f>IF(ISERROR(FIND($A$2,Lines!X41))=TRUE,"",MID(Lines!X41,FIND($A$2,Lines!X41)+LEN($A$2)+1,FIND(",",_xlfn.CONCAT(Lines!X41,","),FIND($A$2,Lines!X41))-FIND($A$2,Lines!X41)-LEN($A$2)-1))</f>
        <v/>
      </c>
      <c r="Y41" s="30" t="str">
        <f>IF(ISERROR(FIND($A$2,Lines!Y41))=TRUE,"",MID(Lines!Y41,FIND($A$2,Lines!Y41)+LEN($A$2)+1,FIND(",",_xlfn.CONCAT(Lines!Y41,","),FIND($A$2,Lines!Y41))-FIND($A$2,Lines!Y41)-LEN($A$2)-1))</f>
        <v/>
      </c>
      <c r="Z41" s="30" t="str">
        <f>IF(ISERROR(FIND($A$2,Lines!Z41))=TRUE,"",MID(Lines!Z41,FIND($A$2,Lines!Z41)+LEN($A$2)+1,FIND(",",_xlfn.CONCAT(Lines!Z41,","),FIND($A$2,Lines!Z41))-FIND($A$2,Lines!Z41)-LEN($A$2)-1))</f>
        <v/>
      </c>
      <c r="AA41" s="30" t="str">
        <f>IF(ISERROR(FIND($A$2,Lines!AA41))=TRUE,"",MID(Lines!AA41,FIND($A$2,Lines!AA41)+LEN($A$2)+1,FIND(",",_xlfn.CONCAT(Lines!AA41,","),FIND($A$2,Lines!AA41))-FIND($A$2,Lines!AA41)-LEN($A$2)-1))</f>
        <v/>
      </c>
      <c r="AB41" s="30" t="str">
        <f>IF(ISERROR(FIND($A$2,Lines!AB41))=TRUE,"",MID(Lines!AB41,FIND($A$2,Lines!AB41)+LEN($A$2)+1,FIND(",",_xlfn.CONCAT(Lines!AB41,","),FIND($A$2,Lines!AB41))-FIND($A$2,Lines!AB41)-LEN($A$2)-1))</f>
        <v/>
      </c>
      <c r="AC41" s="30" t="str">
        <f>IF(ISERROR(FIND($A$2,Lines!AC41))=TRUE,"",MID(Lines!AC41,FIND($A$2,Lines!AC41)+LEN($A$2)+1,FIND(",",_xlfn.CONCAT(Lines!AC41,","),FIND($A$2,Lines!AC41))-FIND($A$2,Lines!AC41)-LEN($A$2)-1))</f>
        <v/>
      </c>
      <c r="AD41" s="30" t="str">
        <f>IF(ISERROR(FIND($A$2,Lines!AD41))=TRUE,"",MID(Lines!AD41,FIND($A$2,Lines!AD41)+LEN($A$2)+1,FIND(",",_xlfn.CONCAT(Lines!AD41,","),FIND($A$2,Lines!AD41))-FIND($A$2,Lines!AD41)-LEN($A$2)-1))</f>
        <v/>
      </c>
      <c r="AE41" s="30" t="str">
        <f>IF(ISERROR(FIND($A$2,Lines!AE41))=TRUE,"",MID(Lines!AE41,FIND($A$2,Lines!AE41)+LEN($A$2)+1,FIND(",",_xlfn.CONCAT(Lines!AE41,","),FIND($A$2,Lines!AE41))-FIND($A$2,Lines!AE41)-LEN($A$2)-1))</f>
        <v/>
      </c>
      <c r="AF41" s="30" t="str">
        <f>IF(ISERROR(FIND($A$2,Lines!AF41))=TRUE,"",MID(Lines!AF41,FIND($A$2,Lines!AF41)+LEN($A$2)+1,FIND(",",_xlfn.CONCAT(Lines!AF41,","),FIND($A$2,Lines!AF41))-FIND($A$2,Lines!AF41)-LEN($A$2)-1))</f>
        <v/>
      </c>
      <c r="AG41" s="30" t="str">
        <f>IF(ISERROR(FIND($A$2,Lines!AG41))=TRUE,"",MID(Lines!AG41,FIND($A$2,Lines!AG41)+LEN($A$2)+1,FIND(",",_xlfn.CONCAT(Lines!AG41,","),FIND($A$2,Lines!AG41))-FIND($A$2,Lines!AG41)-LEN($A$2)-1))</f>
        <v/>
      </c>
      <c r="AH41" s="30" t="str">
        <f>IF(ISERROR(FIND($A$2,Lines!AH41))=TRUE,"",MID(Lines!AH41,FIND($A$2,Lines!AH41)+LEN($A$2)+1,FIND(",",_xlfn.CONCAT(Lines!AH41,","),FIND($A$2,Lines!AH41))-FIND($A$2,Lines!AH41)-LEN($A$2)-1))</f>
        <v/>
      </c>
      <c r="AI41" s="30" t="str">
        <f>IF(ISERROR(FIND($A$2,Lines!AI41))=TRUE,"",MID(Lines!AI41,FIND($A$2,Lines!AI41)+LEN($A$2)+1,FIND(",",_xlfn.CONCAT(Lines!AI41,","),FIND($A$2,Lines!AI41))-FIND($A$2,Lines!AI41)-LEN($A$2)-1))</f>
        <v/>
      </c>
      <c r="AJ41" s="30" t="str">
        <f>IF(ISERROR(FIND($A$2,Lines!AJ41))=TRUE,"",MID(Lines!AJ41,FIND($A$2,Lines!AJ41)+LEN($A$2)+1,FIND(",",_xlfn.CONCAT(Lines!AJ41,","),FIND($A$2,Lines!AJ41))-FIND($A$2,Lines!AJ41)-LEN($A$2)-1))</f>
        <v/>
      </c>
      <c r="AK41" s="54" t="str">
        <f>IF(ISERROR(FIND($A$2,Lines!AK41))=TRUE,"",MID(Lines!AK41,FIND($A$2,Lines!AK41)+LEN($A$2)+1,FIND(",",_xlfn.CONCAT(Lines!AK41,","),FIND($A$2,Lines!AK41))-FIND($A$2,Lines!AK41)-LEN($A$2)-1))</f>
        <v/>
      </c>
      <c r="AL41" s="43" t="str">
        <f>IF(ISERROR(FIND($A$2,Lines!AL41))=TRUE,"",MID(Lines!AL41,FIND($A$2,Lines!AL41)+LEN($A$2)+1,FIND(",",_xlfn.CONCAT(Lines!AL41,","),FIND($A$2,Lines!AL41))-FIND($A$2,Lines!AL41)-LEN($A$2)-1))</f>
        <v/>
      </c>
      <c r="AM41" s="66" t="str">
        <f>IF(ISERROR(FIND($A$2,Lines!AM41))=TRUE,"",MID(Lines!AM41,FIND($A$2,Lines!AM41)+LEN($A$2)+1,FIND(",",_xlfn.CONCAT(Lines!AM41,","),FIND($A$2,Lines!AM41))-FIND($A$2,Lines!AM41)-LEN($A$2)-1))</f>
        <v/>
      </c>
      <c r="AN41" s="43" t="str">
        <f>IF(ISERROR(FIND($A$2,Lines!AN41))=TRUE,"",MID(Lines!AN41,FIND($A$2,Lines!AN41)+LEN($A$2)+1,FIND(",",_xlfn.CONCAT(Lines!AN41,","),FIND($A$2,Lines!AN41))-FIND($A$2,Lines!AN41)-LEN($A$2)-1))</f>
        <v/>
      </c>
      <c r="AO41" s="61" t="str">
        <f>IF(ISERROR(FIND($A$2,Lines!AO41))=TRUE,"",MID(Lines!AO41,FIND($A$2,Lines!AO41)+LEN($A$2)+1,FIND(",",_xlfn.CONCAT(Lines!AO41,","),FIND($A$2,Lines!AO41))-FIND($A$2,Lines!AO41)-LEN($A$2)-1))</f>
        <v/>
      </c>
      <c r="AP41" s="30" t="str">
        <f>IF(ISERROR(FIND($A$2,Lines!AP41))=TRUE,"",MID(Lines!AP41,FIND($A$2,Lines!AP41)+LEN($A$2)+1,FIND(",",_xlfn.CONCAT(Lines!AP41,","),FIND($A$2,Lines!AP41))-FIND($A$2,Lines!AP41)-LEN($A$2)-1))</f>
        <v/>
      </c>
      <c r="AQ41" s="30" t="str">
        <f>IF(ISERROR(FIND($A$2,Lines!AQ41))=TRUE,"",MID(Lines!AQ41,FIND($A$2,Lines!AQ41)+LEN($A$2)+1,FIND(",",_xlfn.CONCAT(Lines!AQ41,","),FIND($A$2,Lines!AQ41))-FIND($A$2,Lines!AQ41)-LEN($A$2)-1))</f>
        <v/>
      </c>
      <c r="AR41" s="30" t="str">
        <f>IF(ISERROR(FIND($A$2,Lines!AR41))=TRUE,"",MID(Lines!AR41,FIND($A$2,Lines!AR41)+LEN($A$2)+1,FIND(",",_xlfn.CONCAT(Lines!AR41,","),FIND($A$2,Lines!AR41))-FIND($A$2,Lines!AR41)-LEN($A$2)-1))</f>
        <v/>
      </c>
      <c r="AS41" s="30" t="str">
        <f>IF(ISERROR(FIND($A$2,Lines!AS41))=TRUE,"",MID(Lines!AS41,FIND($A$2,Lines!AS41)+LEN($A$2)+1,FIND(",",_xlfn.CONCAT(Lines!AS41,","),FIND($A$2,Lines!AS41))-FIND($A$2,Lines!AS41)-LEN($A$2)-1))</f>
        <v/>
      </c>
      <c r="AT41" s="30" t="str">
        <f>IF(ISERROR(FIND($A$2,Lines!AT41))=TRUE,"",MID(Lines!AT41,FIND($A$2,Lines!AT41)+LEN($A$2)+1,FIND(",",_xlfn.CONCAT(Lines!AT41,","),FIND($A$2,Lines!AT41))-FIND($A$2,Lines!AT41)-LEN($A$2)-1))</f>
        <v/>
      </c>
    </row>
    <row r="42" spans="1:46" ht="20.25" customHeight="1">
      <c r="A42" s="2" t="s">
        <v>90</v>
      </c>
      <c r="B42" s="30" t="str">
        <f>IF(ISERROR(FIND($A$2,Lines!B42))=TRUE,"",MID(Lines!B42,FIND($A$2,Lines!B42)+LEN($A$2)+1,FIND(",",_xlfn.CONCAT(Lines!B42,","),FIND($A$2,Lines!B42))-FIND($A$2,Lines!B42)-LEN($A$2)-1))</f>
        <v/>
      </c>
      <c r="C42" s="30" t="str">
        <f>IF(ISERROR(FIND($A$2,Lines!C42))=TRUE,"",MID(Lines!C42,FIND($A$2,Lines!C42)+LEN($A$2)+1,FIND(",",_xlfn.CONCAT(Lines!C42,","),FIND($A$2,Lines!C42))-FIND($A$2,Lines!C42)-LEN($A$2)-1))</f>
        <v/>
      </c>
      <c r="D42" s="30" t="str">
        <f>IF(ISERROR(FIND($A$2,Lines!D42))=TRUE,"",MID(Lines!D42,FIND($A$2,Lines!D42)+LEN($A$2)+1,FIND(",",_xlfn.CONCAT(Lines!D42,","),FIND($A$2,Lines!D42))-FIND($A$2,Lines!D42)-LEN($A$2)-1))</f>
        <v/>
      </c>
      <c r="E42" s="30" t="str">
        <f>IF(ISERROR(FIND($A$2,Lines!E42))=TRUE,"",MID(Lines!E42,FIND($A$2,Lines!E42)+LEN($A$2)+1,FIND(",",_xlfn.CONCAT(Lines!E42,","),FIND($A$2,Lines!E42))-FIND($A$2,Lines!E42)-LEN($A$2)-1))</f>
        <v/>
      </c>
      <c r="F42" s="30" t="str">
        <f>IF(ISERROR(FIND($A$2,Lines!F42))=TRUE,"",MID(Lines!F42,FIND($A$2,Lines!F42)+LEN($A$2)+1,FIND(",",_xlfn.CONCAT(Lines!F42,","),FIND($A$2,Lines!F42))-FIND($A$2,Lines!F42)-LEN($A$2)-1))</f>
        <v/>
      </c>
      <c r="G42" s="30" t="str">
        <f>IF(ISERROR(FIND($A$2,Lines!G42))=TRUE,"",MID(Lines!G42,FIND($A$2,Lines!G42)+LEN($A$2)+1,FIND(",",_xlfn.CONCAT(Lines!G42,","),FIND($A$2,Lines!G42))-FIND($A$2,Lines!G42)-LEN($A$2)-1))</f>
        <v/>
      </c>
      <c r="H42" s="30" t="str">
        <f>IF(ISERROR(FIND($A$2,Lines!H42))=TRUE,"",MID(Lines!H42,FIND($A$2,Lines!H42)+LEN($A$2)+1,FIND(",",_xlfn.CONCAT(Lines!H42,","),FIND($A$2,Lines!H42))-FIND($A$2,Lines!H42)-LEN($A$2)-1))</f>
        <v/>
      </c>
      <c r="I42" s="30" t="str">
        <f>IF(ISERROR(FIND($A$2,Lines!I42))=TRUE,"",MID(Lines!I42,FIND($A$2,Lines!I42)+LEN($A$2)+1,FIND(",",_xlfn.CONCAT(Lines!I42,","),FIND($A$2,Lines!I42))-FIND($A$2,Lines!I42)-LEN($A$2)-1))</f>
        <v/>
      </c>
      <c r="J42" s="30" t="str">
        <f>IF(ISERROR(FIND($A$2,Lines!J42))=TRUE,"",MID(Lines!J42,FIND($A$2,Lines!J42)+LEN($A$2)+1,FIND(",",_xlfn.CONCAT(Lines!J42,","),FIND($A$2,Lines!J42))-FIND($A$2,Lines!J42)-LEN($A$2)-1))</f>
        <v/>
      </c>
      <c r="K42" s="30" t="str">
        <f>IF(ISERROR(FIND($A$2,Lines!K42))=TRUE,"",MID(Lines!K42,FIND($A$2,Lines!K42)+LEN($A$2)+1,FIND(",",_xlfn.CONCAT(Lines!K42,","),FIND($A$2,Lines!K42))-FIND($A$2,Lines!K42)-LEN($A$2)-1))</f>
        <v/>
      </c>
      <c r="L42" s="30" t="str">
        <f>IF(ISERROR(FIND($A$2,Lines!L42))=TRUE,"",MID(Lines!L42,FIND($A$2,Lines!L42)+LEN($A$2)+1,FIND(",",_xlfn.CONCAT(Lines!L42,","),FIND($A$2,Lines!L42))-FIND($A$2,Lines!L42)-LEN($A$2)-1))</f>
        <v/>
      </c>
      <c r="M42" s="30" t="str">
        <f>IF(ISERROR(FIND($A$2,Lines!M42))=TRUE,"",MID(Lines!M42,FIND($A$2,Lines!M42)+LEN($A$2)+1,FIND(",",_xlfn.CONCAT(Lines!M42,","),FIND($A$2,Lines!M42))-FIND($A$2,Lines!M42)-LEN($A$2)-1))</f>
        <v/>
      </c>
      <c r="N42" s="30" t="str">
        <f>IF(ISERROR(FIND($A$2,Lines!N42))=TRUE,"",MID(Lines!N42,FIND($A$2,Lines!N42)+LEN($A$2)+1,FIND(",",_xlfn.CONCAT(Lines!N42,","),FIND($A$2,Lines!N42))-FIND($A$2,Lines!N42)-LEN($A$2)-1))</f>
        <v/>
      </c>
      <c r="O42" s="30" t="str">
        <f>IF(ISERROR(FIND($A$2,Lines!O42))=TRUE,"",MID(Lines!O42,FIND($A$2,Lines!O42)+LEN($A$2)+1,FIND(",",_xlfn.CONCAT(Lines!O42,","),FIND($A$2,Lines!O42))-FIND($A$2,Lines!O42)-LEN($A$2)-1))</f>
        <v/>
      </c>
      <c r="P42" s="30" t="str">
        <f>IF(ISERROR(FIND($A$2,Lines!P42))=TRUE,"",MID(Lines!P42,FIND($A$2,Lines!P42)+LEN($A$2)+1,FIND(",",_xlfn.CONCAT(Lines!P42,","),FIND($A$2,Lines!P42))-FIND($A$2,Lines!P42)-LEN($A$2)-1))</f>
        <v/>
      </c>
      <c r="Q42" s="30" t="str">
        <f>IF(ISERROR(FIND($A$2,Lines!Q42))=TRUE,"",MID(Lines!Q42,FIND($A$2,Lines!Q42)+LEN($A$2)+1,FIND(",",_xlfn.CONCAT(Lines!Q42,","),FIND($A$2,Lines!Q42))-FIND($A$2,Lines!Q42)-LEN($A$2)-1))</f>
        <v/>
      </c>
      <c r="R42" s="30" t="str">
        <f>IF(ISERROR(FIND($A$2,Lines!R42))=TRUE,"",MID(Lines!R42,FIND($A$2,Lines!R42)+LEN($A$2)+1,FIND(",",_xlfn.CONCAT(Lines!R42,","),FIND($A$2,Lines!R42))-FIND($A$2,Lines!R42)-LEN($A$2)-1))</f>
        <v/>
      </c>
      <c r="S42" s="30" t="str">
        <f>IF(ISERROR(FIND($A$2,Lines!S42))=TRUE,"",MID(Lines!S42,FIND($A$2,Lines!S42)+LEN($A$2)+1,FIND(",",_xlfn.CONCAT(Lines!S42,","),FIND($A$2,Lines!S42))-FIND($A$2,Lines!S42)-LEN($A$2)-1))</f>
        <v/>
      </c>
      <c r="T42" s="30" t="str">
        <f>IF(ISERROR(FIND($A$2,Lines!T42))=TRUE,"",MID(Lines!T42,FIND($A$2,Lines!T42)+LEN($A$2)+1,FIND(",",_xlfn.CONCAT(Lines!T42,","),FIND($A$2,Lines!T42))-FIND($A$2,Lines!T42)-LEN($A$2)-1))</f>
        <v/>
      </c>
      <c r="U42" s="30" t="str">
        <f>IF(ISERROR(FIND($A$2,Lines!U42))=TRUE,"",MID(Lines!U42,FIND($A$2,Lines!U42)+LEN($A$2)+1,FIND(",",_xlfn.CONCAT(Lines!U42,","),FIND($A$2,Lines!U42))-FIND($A$2,Lines!U42)-LEN($A$2)-1))</f>
        <v/>
      </c>
      <c r="V42" s="30" t="str">
        <f>IF(ISERROR(FIND($A$2,Lines!V42))=TRUE,"",MID(Lines!V42,FIND($A$2,Lines!V42)+LEN($A$2)+1,FIND(",",_xlfn.CONCAT(Lines!V42,","),FIND($A$2,Lines!V42))-FIND($A$2,Lines!V42)-LEN($A$2)-1))</f>
        <v/>
      </c>
      <c r="W42" s="36" t="str">
        <f>IF(ISERROR(FIND($A$2,Lines!W42))=TRUE,"",MID(Lines!W42,FIND($A$2,Lines!W42)+LEN($A$2)+1,FIND(",",_xlfn.CONCAT(Lines!W42,","),FIND($A$2,Lines!W42))-FIND($A$2,Lines!W42)-LEN($A$2)-1))</f>
        <v/>
      </c>
      <c r="X42" s="30" t="str">
        <f>IF(ISERROR(FIND($A$2,Lines!X42))=TRUE,"",MID(Lines!X42,FIND($A$2,Lines!X42)+LEN($A$2)+1,FIND(",",_xlfn.CONCAT(Lines!X42,","),FIND($A$2,Lines!X42))-FIND($A$2,Lines!X42)-LEN($A$2)-1))</f>
        <v/>
      </c>
      <c r="Y42" s="30" t="str">
        <f>IF(ISERROR(FIND($A$2,Lines!Y42))=TRUE,"",MID(Lines!Y42,FIND($A$2,Lines!Y42)+LEN($A$2)+1,FIND(",",_xlfn.CONCAT(Lines!Y42,","),FIND($A$2,Lines!Y42))-FIND($A$2,Lines!Y42)-LEN($A$2)-1))</f>
        <v/>
      </c>
      <c r="Z42" s="30" t="str">
        <f>IF(ISERROR(FIND($A$2,Lines!Z42))=TRUE,"",MID(Lines!Z42,FIND($A$2,Lines!Z42)+LEN($A$2)+1,FIND(",",_xlfn.CONCAT(Lines!Z42,","),FIND($A$2,Lines!Z42))-FIND($A$2,Lines!Z42)-LEN($A$2)-1))</f>
        <v/>
      </c>
      <c r="AA42" s="30" t="str">
        <f>IF(ISERROR(FIND($A$2,Lines!AA42))=TRUE,"",MID(Lines!AA42,FIND($A$2,Lines!AA42)+LEN($A$2)+1,FIND(",",_xlfn.CONCAT(Lines!AA42,","),FIND($A$2,Lines!AA42))-FIND($A$2,Lines!AA42)-LEN($A$2)-1))</f>
        <v/>
      </c>
      <c r="AB42" s="30" t="str">
        <f>IF(ISERROR(FIND($A$2,Lines!AB42))=TRUE,"",MID(Lines!AB42,FIND($A$2,Lines!AB42)+LEN($A$2)+1,FIND(",",_xlfn.CONCAT(Lines!AB42,","),FIND($A$2,Lines!AB42))-FIND($A$2,Lines!AB42)-LEN($A$2)-1))</f>
        <v/>
      </c>
      <c r="AC42" s="30" t="str">
        <f>IF(ISERROR(FIND($A$2,Lines!AC42))=TRUE,"",MID(Lines!AC42,FIND($A$2,Lines!AC42)+LEN($A$2)+1,FIND(",",_xlfn.CONCAT(Lines!AC42,","),FIND($A$2,Lines!AC42))-FIND($A$2,Lines!AC42)-LEN($A$2)-1))</f>
        <v/>
      </c>
      <c r="AD42" s="30" t="str">
        <f>IF(ISERROR(FIND($A$2,Lines!AD42))=TRUE,"",MID(Lines!AD42,FIND($A$2,Lines!AD42)+LEN($A$2)+1,FIND(",",_xlfn.CONCAT(Lines!AD42,","),FIND($A$2,Lines!AD42))-FIND($A$2,Lines!AD42)-LEN($A$2)-1))</f>
        <v/>
      </c>
      <c r="AE42" s="30" t="str">
        <f>IF(ISERROR(FIND($A$2,Lines!AE42))=TRUE,"",MID(Lines!AE42,FIND($A$2,Lines!AE42)+LEN($A$2)+1,FIND(",",_xlfn.CONCAT(Lines!AE42,","),FIND($A$2,Lines!AE42))-FIND($A$2,Lines!AE42)-LEN($A$2)-1))</f>
        <v/>
      </c>
      <c r="AF42" s="30" t="str">
        <f>IF(ISERROR(FIND($A$2,Lines!AF42))=TRUE,"",MID(Lines!AF42,FIND($A$2,Lines!AF42)+LEN($A$2)+1,FIND(",",_xlfn.CONCAT(Lines!AF42,","),FIND($A$2,Lines!AF42))-FIND($A$2,Lines!AF42)-LEN($A$2)-1))</f>
        <v/>
      </c>
      <c r="AG42" s="30" t="str">
        <f>IF(ISERROR(FIND($A$2,Lines!AG42))=TRUE,"",MID(Lines!AG42,FIND($A$2,Lines!AG42)+LEN($A$2)+1,FIND(",",_xlfn.CONCAT(Lines!AG42,","),FIND($A$2,Lines!AG42))-FIND($A$2,Lines!AG42)-LEN($A$2)-1))</f>
        <v/>
      </c>
      <c r="AH42" s="30" t="str">
        <f>IF(ISERROR(FIND($A$2,Lines!AH42))=TRUE,"",MID(Lines!AH42,FIND($A$2,Lines!AH42)+LEN($A$2)+1,FIND(",",_xlfn.CONCAT(Lines!AH42,","),FIND($A$2,Lines!AH42))-FIND($A$2,Lines!AH42)-LEN($A$2)-1))</f>
        <v/>
      </c>
      <c r="AI42" s="30" t="str">
        <f>IF(ISERROR(FIND($A$2,Lines!AI42))=TRUE,"",MID(Lines!AI42,FIND($A$2,Lines!AI42)+LEN($A$2)+1,FIND(",",_xlfn.CONCAT(Lines!AI42,","),FIND($A$2,Lines!AI42))-FIND($A$2,Lines!AI42)-LEN($A$2)-1))</f>
        <v/>
      </c>
      <c r="AJ42" s="30" t="str">
        <f>IF(ISERROR(FIND($A$2,Lines!AJ42))=TRUE,"",MID(Lines!AJ42,FIND($A$2,Lines!AJ42)+LEN($A$2)+1,FIND(",",_xlfn.CONCAT(Lines!AJ42,","),FIND($A$2,Lines!AJ42))-FIND($A$2,Lines!AJ42)-LEN($A$2)-1))</f>
        <v/>
      </c>
      <c r="AK42" s="54" t="str">
        <f>IF(ISERROR(FIND($A$2,Lines!AK42))=TRUE,"",MID(Lines!AK42,FIND($A$2,Lines!AK42)+LEN($A$2)+1,FIND(",",_xlfn.CONCAT(Lines!AK42,","),FIND($A$2,Lines!AK42))-FIND($A$2,Lines!AK42)-LEN($A$2)-1))</f>
        <v/>
      </c>
      <c r="AL42" s="43" t="str">
        <f>IF(ISERROR(FIND($A$2,Lines!AL42))=TRUE,"",MID(Lines!AL42,FIND($A$2,Lines!AL42)+LEN($A$2)+1,FIND(",",_xlfn.CONCAT(Lines!AL42,","),FIND($A$2,Lines!AL42))-FIND($A$2,Lines!AL42)-LEN($A$2)-1))</f>
        <v/>
      </c>
      <c r="AM42" s="43" t="str">
        <f>IF(ISERROR(FIND($A$2,Lines!AM42))=TRUE,"",MID(Lines!AM42,FIND($A$2,Lines!AM42)+LEN($A$2)+1,FIND(",",_xlfn.CONCAT(Lines!AM42,","),FIND($A$2,Lines!AM42))-FIND($A$2,Lines!AM42)-LEN($A$2)-1))</f>
        <v/>
      </c>
      <c r="AN42" s="66" t="str">
        <f>IF(ISERROR(FIND($A$2,Lines!AN42))=TRUE,"",MID(Lines!AN42,FIND($A$2,Lines!AN42)+LEN($A$2)+1,FIND(",",_xlfn.CONCAT(Lines!AN42,","),FIND($A$2,Lines!AN42))-FIND($A$2,Lines!AN42)-LEN($A$2)-1))</f>
        <v/>
      </c>
      <c r="AO42" s="61" t="str">
        <f>IF(ISERROR(FIND($A$2,Lines!AO42))=TRUE,"",MID(Lines!AO42,FIND($A$2,Lines!AO42)+LEN($A$2)+1,FIND(",",_xlfn.CONCAT(Lines!AO42,","),FIND($A$2,Lines!AO42))-FIND($A$2,Lines!AO42)-LEN($A$2)-1))</f>
        <v/>
      </c>
      <c r="AP42" s="30" t="str">
        <f>IF(ISERROR(FIND($A$2,Lines!AP42))=TRUE,"",MID(Lines!AP42,FIND($A$2,Lines!AP42)+LEN($A$2)+1,FIND(",",_xlfn.CONCAT(Lines!AP42,","),FIND($A$2,Lines!AP42))-FIND($A$2,Lines!AP42)-LEN($A$2)-1))</f>
        <v/>
      </c>
      <c r="AQ42" s="30" t="str">
        <f>IF(ISERROR(FIND($A$2,Lines!AQ42))=TRUE,"",MID(Lines!AQ42,FIND($A$2,Lines!AQ42)+LEN($A$2)+1,FIND(",",_xlfn.CONCAT(Lines!AQ42,","),FIND($A$2,Lines!AQ42))-FIND($A$2,Lines!AQ42)-LEN($A$2)-1))</f>
        <v/>
      </c>
      <c r="AR42" s="30" t="str">
        <f>IF(ISERROR(FIND($A$2,Lines!AR42))=TRUE,"",MID(Lines!AR42,FIND($A$2,Lines!AR42)+LEN($A$2)+1,FIND(",",_xlfn.CONCAT(Lines!AR42,","),FIND($A$2,Lines!AR42))-FIND($A$2,Lines!AR42)-LEN($A$2)-1))</f>
        <v/>
      </c>
      <c r="AS42" s="30" t="str">
        <f>IF(ISERROR(FIND($A$2,Lines!AS42))=TRUE,"",MID(Lines!AS42,FIND($A$2,Lines!AS42)+LEN($A$2)+1,FIND(",",_xlfn.CONCAT(Lines!AS42,","),FIND($A$2,Lines!AS42))-FIND($A$2,Lines!AS42)-LEN($A$2)-1))</f>
        <v/>
      </c>
      <c r="AT42" s="30" t="str">
        <f>IF(ISERROR(FIND($A$2,Lines!AT42))=TRUE,"",MID(Lines!AT42,FIND($A$2,Lines!AT42)+LEN($A$2)+1,FIND(",",_xlfn.CONCAT(Lines!AT42,","),FIND($A$2,Lines!AT42))-FIND($A$2,Lines!AT42)-LEN($A$2)-1))</f>
        <v/>
      </c>
    </row>
    <row r="43" spans="1:46" ht="20.25" customHeight="1">
      <c r="A43" s="2" t="s">
        <v>91</v>
      </c>
      <c r="B43" s="30" t="str">
        <f>IF(ISERROR(FIND($A$2,Lines!B43))=TRUE,"",MID(Lines!B43,FIND($A$2,Lines!B43)+LEN($A$2)+1,FIND(",",_xlfn.CONCAT(Lines!B43,","),FIND($A$2,Lines!B43))-FIND($A$2,Lines!B43)-LEN($A$2)-1))</f>
        <v/>
      </c>
      <c r="C43" s="30" t="str">
        <f>IF(ISERROR(FIND($A$2,Lines!C43))=TRUE,"",MID(Lines!C43,FIND($A$2,Lines!C43)+LEN($A$2)+1,FIND(",",_xlfn.CONCAT(Lines!C43,","),FIND($A$2,Lines!C43))-FIND($A$2,Lines!C43)-LEN($A$2)-1))</f>
        <v/>
      </c>
      <c r="D43" s="30" t="str">
        <f>IF(ISERROR(FIND($A$2,Lines!D43))=TRUE,"",MID(Lines!D43,FIND($A$2,Lines!D43)+LEN($A$2)+1,FIND(",",_xlfn.CONCAT(Lines!D43,","),FIND($A$2,Lines!D43))-FIND($A$2,Lines!D43)-LEN($A$2)-1))</f>
        <v/>
      </c>
      <c r="E43" s="30" t="str">
        <f>IF(ISERROR(FIND($A$2,Lines!E43))=TRUE,"",MID(Lines!E43,FIND($A$2,Lines!E43)+LEN($A$2)+1,FIND(",",_xlfn.CONCAT(Lines!E43,","),FIND($A$2,Lines!E43))-FIND($A$2,Lines!E43)-LEN($A$2)-1))</f>
        <v/>
      </c>
      <c r="F43" s="30" t="str">
        <f>IF(ISERROR(FIND($A$2,Lines!F43))=TRUE,"",MID(Lines!F43,FIND($A$2,Lines!F43)+LEN($A$2)+1,FIND(",",_xlfn.CONCAT(Lines!F43,","),FIND($A$2,Lines!F43))-FIND($A$2,Lines!F43)-LEN($A$2)-1))</f>
        <v/>
      </c>
      <c r="G43" s="30" t="str">
        <f>IF(ISERROR(FIND($A$2,Lines!G43))=TRUE,"",MID(Lines!G43,FIND($A$2,Lines!G43)+LEN($A$2)+1,FIND(",",_xlfn.CONCAT(Lines!G43,","),FIND($A$2,Lines!G43))-FIND($A$2,Lines!G43)-LEN($A$2)-1))</f>
        <v/>
      </c>
      <c r="H43" s="30" t="str">
        <f>IF(ISERROR(FIND($A$2,Lines!H43))=TRUE,"",MID(Lines!H43,FIND($A$2,Lines!H43)+LEN($A$2)+1,FIND(",",_xlfn.CONCAT(Lines!H43,","),FIND($A$2,Lines!H43))-FIND($A$2,Lines!H43)-LEN($A$2)-1))</f>
        <v/>
      </c>
      <c r="I43" s="30" t="str">
        <f>IF(ISERROR(FIND($A$2,Lines!I43))=TRUE,"",MID(Lines!I43,FIND($A$2,Lines!I43)+LEN($A$2)+1,FIND(",",_xlfn.CONCAT(Lines!I43,","),FIND($A$2,Lines!I43))-FIND($A$2,Lines!I43)-LEN($A$2)-1))</f>
        <v/>
      </c>
      <c r="J43" s="30" t="str">
        <f>IF(ISERROR(FIND($A$2,Lines!J43))=TRUE,"",MID(Lines!J43,FIND($A$2,Lines!J43)+LEN($A$2)+1,FIND(",",_xlfn.CONCAT(Lines!J43,","),FIND($A$2,Lines!J43))-FIND($A$2,Lines!J43)-LEN($A$2)-1))</f>
        <v/>
      </c>
      <c r="K43" s="30" t="str">
        <f>IF(ISERROR(FIND($A$2,Lines!K43))=TRUE,"",MID(Lines!K43,FIND($A$2,Lines!K43)+LEN($A$2)+1,FIND(",",_xlfn.CONCAT(Lines!K43,","),FIND($A$2,Lines!K43))-FIND($A$2,Lines!K43)-LEN($A$2)-1))</f>
        <v/>
      </c>
      <c r="L43" s="30" t="str">
        <f>IF(ISERROR(FIND($A$2,Lines!L43))=TRUE,"",MID(Lines!L43,FIND($A$2,Lines!L43)+LEN($A$2)+1,FIND(",",_xlfn.CONCAT(Lines!L43,","),FIND($A$2,Lines!L43))-FIND($A$2,Lines!L43)-LEN($A$2)-1))</f>
        <v/>
      </c>
      <c r="M43" s="30" t="str">
        <f>IF(ISERROR(FIND($A$2,Lines!M43))=TRUE,"",MID(Lines!M43,FIND($A$2,Lines!M43)+LEN($A$2)+1,FIND(",",_xlfn.CONCAT(Lines!M43,","),FIND($A$2,Lines!M43))-FIND($A$2,Lines!M43)-LEN($A$2)-1))</f>
        <v/>
      </c>
      <c r="N43" s="30" t="str">
        <f>IF(ISERROR(FIND($A$2,Lines!N43))=TRUE,"",MID(Lines!N43,FIND($A$2,Lines!N43)+LEN($A$2)+1,FIND(",",_xlfn.CONCAT(Lines!N43,","),FIND($A$2,Lines!N43))-FIND($A$2,Lines!N43)-LEN($A$2)-1))</f>
        <v/>
      </c>
      <c r="O43" s="30" t="str">
        <f>IF(ISERROR(FIND($A$2,Lines!O43))=TRUE,"",MID(Lines!O43,FIND($A$2,Lines!O43)+LEN($A$2)+1,FIND(",",_xlfn.CONCAT(Lines!O43,","),FIND($A$2,Lines!O43))-FIND($A$2,Lines!O43)-LEN($A$2)-1))</f>
        <v/>
      </c>
      <c r="P43" s="30" t="str">
        <f>IF(ISERROR(FIND($A$2,Lines!P43))=TRUE,"",MID(Lines!P43,FIND($A$2,Lines!P43)+LEN($A$2)+1,FIND(",",_xlfn.CONCAT(Lines!P43,","),FIND($A$2,Lines!P43))-FIND($A$2,Lines!P43)-LEN($A$2)-1))</f>
        <v/>
      </c>
      <c r="Q43" s="30" t="str">
        <f>IF(ISERROR(FIND($A$2,Lines!Q43))=TRUE,"",MID(Lines!Q43,FIND($A$2,Lines!Q43)+LEN($A$2)+1,FIND(",",_xlfn.CONCAT(Lines!Q43,","),FIND($A$2,Lines!Q43))-FIND($A$2,Lines!Q43)-LEN($A$2)-1))</f>
        <v/>
      </c>
      <c r="R43" s="30" t="str">
        <f>IF(ISERROR(FIND($A$2,Lines!R43))=TRUE,"",MID(Lines!R43,FIND($A$2,Lines!R43)+LEN($A$2)+1,FIND(",",_xlfn.CONCAT(Lines!R43,","),FIND($A$2,Lines!R43))-FIND($A$2,Lines!R43)-LEN($A$2)-1))</f>
        <v/>
      </c>
      <c r="S43" s="30" t="str">
        <f>IF(ISERROR(FIND($A$2,Lines!S43))=TRUE,"",MID(Lines!S43,FIND($A$2,Lines!S43)+LEN($A$2)+1,FIND(",",_xlfn.CONCAT(Lines!S43,","),FIND($A$2,Lines!S43))-FIND($A$2,Lines!S43)-LEN($A$2)-1))</f>
        <v/>
      </c>
      <c r="T43" s="30" t="str">
        <f>IF(ISERROR(FIND($A$2,Lines!T43))=TRUE,"",MID(Lines!T43,FIND($A$2,Lines!T43)+LEN($A$2)+1,FIND(",",_xlfn.CONCAT(Lines!T43,","),FIND($A$2,Lines!T43))-FIND($A$2,Lines!T43)-LEN($A$2)-1))</f>
        <v/>
      </c>
      <c r="U43" s="30" t="str">
        <f>IF(ISERROR(FIND($A$2,Lines!U43))=TRUE,"",MID(Lines!U43,FIND($A$2,Lines!U43)+LEN($A$2)+1,FIND(",",_xlfn.CONCAT(Lines!U43,","),FIND($A$2,Lines!U43))-FIND($A$2,Lines!U43)-LEN($A$2)-1))</f>
        <v/>
      </c>
      <c r="V43" s="30" t="str">
        <f>IF(ISERROR(FIND($A$2,Lines!V43))=TRUE,"",MID(Lines!V43,FIND($A$2,Lines!V43)+LEN($A$2)+1,FIND(",",_xlfn.CONCAT(Lines!V43,","),FIND($A$2,Lines!V43))-FIND($A$2,Lines!V43)-LEN($A$2)-1))</f>
        <v/>
      </c>
      <c r="W43" s="36" t="str">
        <f>IF(ISERROR(FIND($A$2,Lines!W43))=TRUE,"",MID(Lines!W43,FIND($A$2,Lines!W43)+LEN($A$2)+1,FIND(",",_xlfn.CONCAT(Lines!W43,","),FIND($A$2,Lines!W43))-FIND($A$2,Lines!W43)-LEN($A$2)-1))</f>
        <v/>
      </c>
      <c r="X43" s="30" t="str">
        <f>IF(ISERROR(FIND($A$2,Lines!X43))=TRUE,"",MID(Lines!X43,FIND($A$2,Lines!X43)+LEN($A$2)+1,FIND(",",_xlfn.CONCAT(Lines!X43,","),FIND($A$2,Lines!X43))-FIND($A$2,Lines!X43)-LEN($A$2)-1))</f>
        <v/>
      </c>
      <c r="Y43" s="30" t="str">
        <f>IF(ISERROR(FIND($A$2,Lines!Y43))=TRUE,"",MID(Lines!Y43,FIND($A$2,Lines!Y43)+LEN($A$2)+1,FIND(",",_xlfn.CONCAT(Lines!Y43,","),FIND($A$2,Lines!Y43))-FIND($A$2,Lines!Y43)-LEN($A$2)-1))</f>
        <v/>
      </c>
      <c r="Z43" s="30" t="str">
        <f>IF(ISERROR(FIND($A$2,Lines!Z43))=TRUE,"",MID(Lines!Z43,FIND($A$2,Lines!Z43)+LEN($A$2)+1,FIND(",",_xlfn.CONCAT(Lines!Z43,","),FIND($A$2,Lines!Z43))-FIND($A$2,Lines!Z43)-LEN($A$2)-1))</f>
        <v/>
      </c>
      <c r="AA43" s="30" t="str">
        <f>IF(ISERROR(FIND($A$2,Lines!AA43))=TRUE,"",MID(Lines!AA43,FIND($A$2,Lines!AA43)+LEN($A$2)+1,FIND(",",_xlfn.CONCAT(Lines!AA43,","),FIND($A$2,Lines!AA43))-FIND($A$2,Lines!AA43)-LEN($A$2)-1))</f>
        <v/>
      </c>
      <c r="AB43" s="30" t="str">
        <f>IF(ISERROR(FIND($A$2,Lines!AB43))=TRUE,"",MID(Lines!AB43,FIND($A$2,Lines!AB43)+LEN($A$2)+1,FIND(",",_xlfn.CONCAT(Lines!AB43,","),FIND($A$2,Lines!AB43))-FIND($A$2,Lines!AB43)-LEN($A$2)-1))</f>
        <v/>
      </c>
      <c r="AC43" s="30" t="str">
        <f>IF(ISERROR(FIND($A$2,Lines!AC43))=TRUE,"",MID(Lines!AC43,FIND($A$2,Lines!AC43)+LEN($A$2)+1,FIND(",",_xlfn.CONCAT(Lines!AC43,","),FIND($A$2,Lines!AC43))-FIND($A$2,Lines!AC43)-LEN($A$2)-1))</f>
        <v/>
      </c>
      <c r="AD43" s="30" t="str">
        <f>IF(ISERROR(FIND($A$2,Lines!AD43))=TRUE,"",MID(Lines!AD43,FIND($A$2,Lines!AD43)+LEN($A$2)+1,FIND(",",_xlfn.CONCAT(Lines!AD43,","),FIND($A$2,Lines!AD43))-FIND($A$2,Lines!AD43)-LEN($A$2)-1))</f>
        <v/>
      </c>
      <c r="AE43" s="30" t="str">
        <f>IF(ISERROR(FIND($A$2,Lines!AE43))=TRUE,"",MID(Lines!AE43,FIND($A$2,Lines!AE43)+LEN($A$2)+1,FIND(",",_xlfn.CONCAT(Lines!AE43,","),FIND($A$2,Lines!AE43))-FIND($A$2,Lines!AE43)-LEN($A$2)-1))</f>
        <v/>
      </c>
      <c r="AF43" s="30" t="str">
        <f>IF(ISERROR(FIND($A$2,Lines!AF43))=TRUE,"",MID(Lines!AF43,FIND($A$2,Lines!AF43)+LEN($A$2)+1,FIND(",",_xlfn.CONCAT(Lines!AF43,","),FIND($A$2,Lines!AF43))-FIND($A$2,Lines!AF43)-LEN($A$2)-1))</f>
        <v/>
      </c>
      <c r="AG43" s="30" t="str">
        <f>IF(ISERROR(FIND($A$2,Lines!AG43))=TRUE,"",MID(Lines!AG43,FIND($A$2,Lines!AG43)+LEN($A$2)+1,FIND(",",_xlfn.CONCAT(Lines!AG43,","),FIND($A$2,Lines!AG43))-FIND($A$2,Lines!AG43)-LEN($A$2)-1))</f>
        <v/>
      </c>
      <c r="AH43" s="30" t="str">
        <f>IF(ISERROR(FIND($A$2,Lines!AH43))=TRUE,"",MID(Lines!AH43,FIND($A$2,Lines!AH43)+LEN($A$2)+1,FIND(",",_xlfn.CONCAT(Lines!AH43,","),FIND($A$2,Lines!AH43))-FIND($A$2,Lines!AH43)-LEN($A$2)-1))</f>
        <v/>
      </c>
      <c r="AI43" s="30" t="str">
        <f>IF(ISERROR(FIND($A$2,Lines!AI43))=TRUE,"",MID(Lines!AI43,FIND($A$2,Lines!AI43)+LEN($A$2)+1,FIND(",",_xlfn.CONCAT(Lines!AI43,","),FIND($A$2,Lines!AI43))-FIND($A$2,Lines!AI43)-LEN($A$2)-1))</f>
        <v/>
      </c>
      <c r="AJ43" s="30" t="str">
        <f>IF(ISERROR(FIND($A$2,Lines!AJ43))=TRUE,"",MID(Lines!AJ43,FIND($A$2,Lines!AJ43)+LEN($A$2)+1,FIND(",",_xlfn.CONCAT(Lines!AJ43,","),FIND($A$2,Lines!AJ43))-FIND($A$2,Lines!AJ43)-LEN($A$2)-1))</f>
        <v/>
      </c>
      <c r="AK43" s="58" t="str">
        <f>IF(ISERROR(FIND($A$2,Lines!AK43))=TRUE,"",MID(Lines!AK43,FIND($A$2,Lines!AK43)+LEN($A$2)+1,FIND(",",_xlfn.CONCAT(Lines!AK43,","),FIND($A$2,Lines!AK43))-FIND($A$2,Lines!AK43)-LEN($A$2)-1))</f>
        <v/>
      </c>
      <c r="AL43" s="59" t="str">
        <f>IF(ISERROR(FIND($A$2,Lines!AL43))=TRUE,"",MID(Lines!AL43,FIND($A$2,Lines!AL43)+LEN($A$2)+1,FIND(",",_xlfn.CONCAT(Lines!AL43,","),FIND($A$2,Lines!AL43))-FIND($A$2,Lines!AL43)-LEN($A$2)-1))</f>
        <v/>
      </c>
      <c r="AM43" s="59" t="str">
        <f>IF(ISERROR(FIND($A$2,Lines!AM43))=TRUE,"",MID(Lines!AM43,FIND($A$2,Lines!AM43)+LEN($A$2)+1,FIND(",",_xlfn.CONCAT(Lines!AM43,","),FIND($A$2,Lines!AM43))-FIND($A$2,Lines!AM43)-LEN($A$2)-1))</f>
        <v/>
      </c>
      <c r="AN43" s="59" t="str">
        <f>IF(ISERROR(FIND($A$2,Lines!AN43))=TRUE,"",MID(Lines!AN43,FIND($A$2,Lines!AN43)+LEN($A$2)+1,FIND(",",_xlfn.CONCAT(Lines!AN43,","),FIND($A$2,Lines!AN43))-FIND($A$2,Lines!AN43)-LEN($A$2)-1))</f>
        <v/>
      </c>
      <c r="AO43" s="67" t="str">
        <f>IF(ISERROR(FIND($A$2,Lines!AO43))=TRUE,"",MID(Lines!AO43,FIND($A$2,Lines!AO43)+LEN($A$2)+1,FIND(",",_xlfn.CONCAT(Lines!AO43,","),FIND($A$2,Lines!AO43))-FIND($A$2,Lines!AO43)-LEN($A$2)-1))</f>
        <v/>
      </c>
      <c r="AP43" s="45" t="str">
        <f>IF(ISERROR(FIND($A$2,Lines!AP43))=TRUE,"",MID(Lines!AP43,FIND($A$2,Lines!AP43)+LEN($A$2)+1,FIND(",",_xlfn.CONCAT(Lines!AP43,","),FIND($A$2,Lines!AP43))-FIND($A$2,Lines!AP43)-LEN($A$2)-1))</f>
        <v/>
      </c>
      <c r="AQ43" s="30" t="str">
        <f>IF(ISERROR(FIND($A$2,Lines!AQ43))=TRUE,"",MID(Lines!AQ43,FIND($A$2,Lines!AQ43)+LEN($A$2)+1,FIND(",",_xlfn.CONCAT(Lines!AQ43,","),FIND($A$2,Lines!AQ43))-FIND($A$2,Lines!AQ43)-LEN($A$2)-1))</f>
        <v/>
      </c>
      <c r="AR43" s="30" t="str">
        <f>IF(ISERROR(FIND($A$2,Lines!AR43))=TRUE,"",MID(Lines!AR43,FIND($A$2,Lines!AR43)+LEN($A$2)+1,FIND(",",_xlfn.CONCAT(Lines!AR43,","),FIND($A$2,Lines!AR43))-FIND($A$2,Lines!AR43)-LEN($A$2)-1))</f>
        <v/>
      </c>
      <c r="AS43" s="30" t="str">
        <f>IF(ISERROR(FIND($A$2,Lines!AS43))=TRUE,"",MID(Lines!AS43,FIND($A$2,Lines!AS43)+LEN($A$2)+1,FIND(",",_xlfn.CONCAT(Lines!AS43,","),FIND($A$2,Lines!AS43))-FIND($A$2,Lines!AS43)-LEN($A$2)-1))</f>
        <v/>
      </c>
      <c r="AT43" s="30" t="str">
        <f>IF(ISERROR(FIND($A$2,Lines!AT43))=TRUE,"",MID(Lines!AT43,FIND($A$2,Lines!AT43)+LEN($A$2)+1,FIND(",",_xlfn.CONCAT(Lines!AT43,","),FIND($A$2,Lines!AT43))-FIND($A$2,Lines!AT43)-LEN($A$2)-1))</f>
        <v/>
      </c>
    </row>
    <row r="44" spans="1:46" ht="20.25" customHeight="1">
      <c r="A44" s="2" t="s">
        <v>92</v>
      </c>
      <c r="B44" s="30" t="str">
        <f>IF(ISERROR(FIND($A$2,Lines!B44))=TRUE,"",MID(Lines!B44,FIND($A$2,Lines!B44)+LEN($A$2)+1,FIND(",",_xlfn.CONCAT(Lines!B44,","),FIND($A$2,Lines!B44))-FIND($A$2,Lines!B44)-LEN($A$2)-1))</f>
        <v/>
      </c>
      <c r="C44" s="30" t="str">
        <f>IF(ISERROR(FIND($A$2,Lines!C44))=TRUE,"",MID(Lines!C44,FIND($A$2,Lines!C44)+LEN($A$2)+1,FIND(",",_xlfn.CONCAT(Lines!C44,","),FIND($A$2,Lines!C44))-FIND($A$2,Lines!C44)-LEN($A$2)-1))</f>
        <v/>
      </c>
      <c r="D44" s="30" t="str">
        <f>IF(ISERROR(FIND($A$2,Lines!D44))=TRUE,"",MID(Lines!D44,FIND($A$2,Lines!D44)+LEN($A$2)+1,FIND(",",_xlfn.CONCAT(Lines!D44,","),FIND($A$2,Lines!D44))-FIND($A$2,Lines!D44)-LEN($A$2)-1))</f>
        <v/>
      </c>
      <c r="E44" s="30" t="str">
        <f>IF(ISERROR(FIND($A$2,Lines!E44))=TRUE,"",MID(Lines!E44,FIND($A$2,Lines!E44)+LEN($A$2)+1,FIND(",",_xlfn.CONCAT(Lines!E44,","),FIND($A$2,Lines!E44))-FIND($A$2,Lines!E44)-LEN($A$2)-1))</f>
        <v/>
      </c>
      <c r="F44" s="30" t="str">
        <f>IF(ISERROR(FIND($A$2,Lines!F44))=TRUE,"",MID(Lines!F44,FIND($A$2,Lines!F44)+LEN($A$2)+1,FIND(",",_xlfn.CONCAT(Lines!F44,","),FIND($A$2,Lines!F44))-FIND($A$2,Lines!F44)-LEN($A$2)-1))</f>
        <v/>
      </c>
      <c r="G44" s="30" t="str">
        <f>IF(ISERROR(FIND($A$2,Lines!G44))=TRUE,"",MID(Lines!G44,FIND($A$2,Lines!G44)+LEN($A$2)+1,FIND(",",_xlfn.CONCAT(Lines!G44,","),FIND($A$2,Lines!G44))-FIND($A$2,Lines!G44)-LEN($A$2)-1))</f>
        <v/>
      </c>
      <c r="H44" s="30" t="str">
        <f>IF(ISERROR(FIND($A$2,Lines!H44))=TRUE,"",MID(Lines!H44,FIND($A$2,Lines!H44)+LEN($A$2)+1,FIND(",",_xlfn.CONCAT(Lines!H44,","),FIND($A$2,Lines!H44))-FIND($A$2,Lines!H44)-LEN($A$2)-1))</f>
        <v/>
      </c>
      <c r="I44" s="30" t="str">
        <f>IF(ISERROR(FIND($A$2,Lines!I44))=TRUE,"",MID(Lines!I44,FIND($A$2,Lines!I44)+LEN($A$2)+1,FIND(",",_xlfn.CONCAT(Lines!I44,","),FIND($A$2,Lines!I44))-FIND($A$2,Lines!I44)-LEN($A$2)-1))</f>
        <v/>
      </c>
      <c r="J44" s="30" t="str">
        <f>IF(ISERROR(FIND($A$2,Lines!J44))=TRUE,"",MID(Lines!J44,FIND($A$2,Lines!J44)+LEN($A$2)+1,FIND(",",_xlfn.CONCAT(Lines!J44,","),FIND($A$2,Lines!J44))-FIND($A$2,Lines!J44)-LEN($A$2)-1))</f>
        <v/>
      </c>
      <c r="K44" s="30" t="str">
        <f>IF(ISERROR(FIND($A$2,Lines!K44))=TRUE,"",MID(Lines!K44,FIND($A$2,Lines!K44)+LEN($A$2)+1,FIND(",",_xlfn.CONCAT(Lines!K44,","),FIND($A$2,Lines!K44))-FIND($A$2,Lines!K44)-LEN($A$2)-1))</f>
        <v/>
      </c>
      <c r="L44" s="30" t="str">
        <f>IF(ISERROR(FIND($A$2,Lines!L44))=TRUE,"",MID(Lines!L44,FIND($A$2,Lines!L44)+LEN($A$2)+1,FIND(",",_xlfn.CONCAT(Lines!L44,","),FIND($A$2,Lines!L44))-FIND($A$2,Lines!L44)-LEN($A$2)-1))</f>
        <v/>
      </c>
      <c r="M44" s="30" t="str">
        <f>IF(ISERROR(FIND($A$2,Lines!M44))=TRUE,"",MID(Lines!M44,FIND($A$2,Lines!M44)+LEN($A$2)+1,FIND(",",_xlfn.CONCAT(Lines!M44,","),FIND($A$2,Lines!M44))-FIND($A$2,Lines!M44)-LEN($A$2)-1))</f>
        <v/>
      </c>
      <c r="N44" s="30" t="str">
        <f>IF(ISERROR(FIND($A$2,Lines!N44))=TRUE,"",MID(Lines!N44,FIND($A$2,Lines!N44)+LEN($A$2)+1,FIND(",",_xlfn.CONCAT(Lines!N44,","),FIND($A$2,Lines!N44))-FIND($A$2,Lines!N44)-LEN($A$2)-1))</f>
        <v/>
      </c>
      <c r="O44" s="30" t="str">
        <f>IF(ISERROR(FIND($A$2,Lines!O44))=TRUE,"",MID(Lines!O44,FIND($A$2,Lines!O44)+LEN($A$2)+1,FIND(",",_xlfn.CONCAT(Lines!O44,","),FIND($A$2,Lines!O44))-FIND($A$2,Lines!O44)-LEN($A$2)-1))</f>
        <v/>
      </c>
      <c r="P44" s="30" t="str">
        <f>IF(ISERROR(FIND($A$2,Lines!P44))=TRUE,"",MID(Lines!P44,FIND($A$2,Lines!P44)+LEN($A$2)+1,FIND(",",_xlfn.CONCAT(Lines!P44,","),FIND($A$2,Lines!P44))-FIND($A$2,Lines!P44)-LEN($A$2)-1))</f>
        <v/>
      </c>
      <c r="Q44" s="30" t="str">
        <f>IF(ISERROR(FIND($A$2,Lines!Q44))=TRUE,"",MID(Lines!Q44,FIND($A$2,Lines!Q44)+LEN($A$2)+1,FIND(",",_xlfn.CONCAT(Lines!Q44,","),FIND($A$2,Lines!Q44))-FIND($A$2,Lines!Q44)-LEN($A$2)-1))</f>
        <v/>
      </c>
      <c r="R44" s="30" t="str">
        <f>IF(ISERROR(FIND($A$2,Lines!R44))=TRUE,"",MID(Lines!R44,FIND($A$2,Lines!R44)+LEN($A$2)+1,FIND(",",_xlfn.CONCAT(Lines!R44,","),FIND($A$2,Lines!R44))-FIND($A$2,Lines!R44)-LEN($A$2)-1))</f>
        <v/>
      </c>
      <c r="S44" s="30" t="str">
        <f>IF(ISERROR(FIND($A$2,Lines!S44))=TRUE,"",MID(Lines!S44,FIND($A$2,Lines!S44)+LEN($A$2)+1,FIND(",",_xlfn.CONCAT(Lines!S44,","),FIND($A$2,Lines!S44))-FIND($A$2,Lines!S44)-LEN($A$2)-1))</f>
        <v/>
      </c>
      <c r="T44" s="30" t="str">
        <f>IF(ISERROR(FIND($A$2,Lines!T44))=TRUE,"",MID(Lines!T44,FIND($A$2,Lines!T44)+LEN($A$2)+1,FIND(",",_xlfn.CONCAT(Lines!T44,","),FIND($A$2,Lines!T44))-FIND($A$2,Lines!T44)-LEN($A$2)-1))</f>
        <v/>
      </c>
      <c r="U44" s="30" t="str">
        <f>IF(ISERROR(FIND($A$2,Lines!U44))=TRUE,"",MID(Lines!U44,FIND($A$2,Lines!U44)+LEN($A$2)+1,FIND(",",_xlfn.CONCAT(Lines!U44,","),FIND($A$2,Lines!U44))-FIND($A$2,Lines!U44)-LEN($A$2)-1))</f>
        <v/>
      </c>
      <c r="V44" s="30" t="str">
        <f>IF(ISERROR(FIND($A$2,Lines!V44))=TRUE,"",MID(Lines!V44,FIND($A$2,Lines!V44)+LEN($A$2)+1,FIND(",",_xlfn.CONCAT(Lines!V44,","),FIND($A$2,Lines!V44))-FIND($A$2,Lines!V44)-LEN($A$2)-1))</f>
        <v/>
      </c>
      <c r="W44" s="36" t="str">
        <f>IF(ISERROR(FIND($A$2,Lines!W44))=TRUE,"",MID(Lines!W44,FIND($A$2,Lines!W44)+LEN($A$2)+1,FIND(",",_xlfn.CONCAT(Lines!W44,","),FIND($A$2,Lines!W44))-FIND($A$2,Lines!W44)-LEN($A$2)-1))</f>
        <v/>
      </c>
      <c r="X44" s="30" t="str">
        <f>IF(ISERROR(FIND($A$2,Lines!X44))=TRUE,"",MID(Lines!X44,FIND($A$2,Lines!X44)+LEN($A$2)+1,FIND(",",_xlfn.CONCAT(Lines!X44,","),FIND($A$2,Lines!X44))-FIND($A$2,Lines!X44)-LEN($A$2)-1))</f>
        <v/>
      </c>
      <c r="Y44" s="30" t="str">
        <f>IF(ISERROR(FIND($A$2,Lines!Y44))=TRUE,"",MID(Lines!Y44,FIND($A$2,Lines!Y44)+LEN($A$2)+1,FIND(",",_xlfn.CONCAT(Lines!Y44,","),FIND($A$2,Lines!Y44))-FIND($A$2,Lines!Y44)-LEN($A$2)-1))</f>
        <v/>
      </c>
      <c r="Z44" s="30" t="str">
        <f>IF(ISERROR(FIND($A$2,Lines!Z44))=TRUE,"",MID(Lines!Z44,FIND($A$2,Lines!Z44)+LEN($A$2)+1,FIND(",",_xlfn.CONCAT(Lines!Z44,","),FIND($A$2,Lines!Z44))-FIND($A$2,Lines!Z44)-LEN($A$2)-1))</f>
        <v/>
      </c>
      <c r="AA44" s="30" t="str">
        <f>IF(ISERROR(FIND($A$2,Lines!AA44))=TRUE,"",MID(Lines!AA44,FIND($A$2,Lines!AA44)+LEN($A$2)+1,FIND(",",_xlfn.CONCAT(Lines!AA44,","),FIND($A$2,Lines!AA44))-FIND($A$2,Lines!AA44)-LEN($A$2)-1))</f>
        <v/>
      </c>
      <c r="AB44" s="30" t="str">
        <f>IF(ISERROR(FIND($A$2,Lines!AB44))=TRUE,"",MID(Lines!AB44,FIND($A$2,Lines!AB44)+LEN($A$2)+1,FIND(",",_xlfn.CONCAT(Lines!AB44,","),FIND($A$2,Lines!AB44))-FIND($A$2,Lines!AB44)-LEN($A$2)-1))</f>
        <v/>
      </c>
      <c r="AC44" s="30" t="str">
        <f>IF(ISERROR(FIND($A$2,Lines!AC44))=TRUE,"",MID(Lines!AC44,FIND($A$2,Lines!AC44)+LEN($A$2)+1,FIND(",",_xlfn.CONCAT(Lines!AC44,","),FIND($A$2,Lines!AC44))-FIND($A$2,Lines!AC44)-LEN($A$2)-1))</f>
        <v/>
      </c>
      <c r="AD44" s="30" t="str">
        <f>IF(ISERROR(FIND($A$2,Lines!AD44))=TRUE,"",MID(Lines!AD44,FIND($A$2,Lines!AD44)+LEN($A$2)+1,FIND(",",_xlfn.CONCAT(Lines!AD44,","),FIND($A$2,Lines!AD44))-FIND($A$2,Lines!AD44)-LEN($A$2)-1))</f>
        <v/>
      </c>
      <c r="AE44" s="30" t="str">
        <f>IF(ISERROR(FIND($A$2,Lines!AE44))=TRUE,"",MID(Lines!AE44,FIND($A$2,Lines!AE44)+LEN($A$2)+1,FIND(",",_xlfn.CONCAT(Lines!AE44,","),FIND($A$2,Lines!AE44))-FIND($A$2,Lines!AE44)-LEN($A$2)-1))</f>
        <v/>
      </c>
      <c r="AF44" s="30" t="str">
        <f>IF(ISERROR(FIND($A$2,Lines!AF44))=TRUE,"",MID(Lines!AF44,FIND($A$2,Lines!AF44)+LEN($A$2)+1,FIND(",",_xlfn.CONCAT(Lines!AF44,","),FIND($A$2,Lines!AF44))-FIND($A$2,Lines!AF44)-LEN($A$2)-1))</f>
        <v/>
      </c>
      <c r="AG44" s="30" t="str">
        <f>IF(ISERROR(FIND($A$2,Lines!AG44))=TRUE,"",MID(Lines!AG44,FIND($A$2,Lines!AG44)+LEN($A$2)+1,FIND(",",_xlfn.CONCAT(Lines!AG44,","),FIND($A$2,Lines!AG44))-FIND($A$2,Lines!AG44)-LEN($A$2)-1))</f>
        <v/>
      </c>
      <c r="AH44" s="30" t="str">
        <f>IF(ISERROR(FIND($A$2,Lines!AH44))=TRUE,"",MID(Lines!AH44,FIND($A$2,Lines!AH44)+LEN($A$2)+1,FIND(",",_xlfn.CONCAT(Lines!AH44,","),FIND($A$2,Lines!AH44))-FIND($A$2,Lines!AH44)-LEN($A$2)-1))</f>
        <v/>
      </c>
      <c r="AI44" s="30" t="str">
        <f>IF(ISERROR(FIND($A$2,Lines!AI44))=TRUE,"",MID(Lines!AI44,FIND($A$2,Lines!AI44)+LEN($A$2)+1,FIND(",",_xlfn.CONCAT(Lines!AI44,","),FIND($A$2,Lines!AI44))-FIND($A$2,Lines!AI44)-LEN($A$2)-1))</f>
        <v/>
      </c>
      <c r="AJ44" s="30" t="str">
        <f>IF(ISERROR(FIND($A$2,Lines!AJ44))=TRUE,"",MID(Lines!AJ44,FIND($A$2,Lines!AJ44)+LEN($A$2)+1,FIND(",",_xlfn.CONCAT(Lines!AJ44,","),FIND($A$2,Lines!AJ44))-FIND($A$2,Lines!AJ44)-LEN($A$2)-1))</f>
        <v/>
      </c>
      <c r="AK44" s="30" t="str">
        <f>IF(ISERROR(FIND($A$2,Lines!AK44))=TRUE,"",MID(Lines!AK44,FIND($A$2,Lines!AK44)+LEN($A$2)+1,FIND(",",_xlfn.CONCAT(Lines!AK44,","),FIND($A$2,Lines!AK44))-FIND($A$2,Lines!AK44)-LEN($A$2)-1))</f>
        <v/>
      </c>
      <c r="AL44" s="30" t="str">
        <f>IF(ISERROR(FIND($A$2,Lines!AL44))=TRUE,"",MID(Lines!AL44,FIND($A$2,Lines!AL44)+LEN($A$2)+1,FIND(",",_xlfn.CONCAT(Lines!AL44,","),FIND($A$2,Lines!AL44))-FIND($A$2,Lines!AL44)-LEN($A$2)-1))</f>
        <v/>
      </c>
      <c r="AM44" s="30" t="str">
        <f>IF(ISERROR(FIND($A$2,Lines!AM44))=TRUE,"",MID(Lines!AM44,FIND($A$2,Lines!AM44)+LEN($A$2)+1,FIND(",",_xlfn.CONCAT(Lines!AM44,","),FIND($A$2,Lines!AM44))-FIND($A$2,Lines!AM44)-LEN($A$2)-1))</f>
        <v/>
      </c>
      <c r="AN44" s="30" t="str">
        <f>IF(ISERROR(FIND($A$2,Lines!AN44))=TRUE,"",MID(Lines!AN44,FIND($A$2,Lines!AN44)+LEN($A$2)+1,FIND(",",_xlfn.CONCAT(Lines!AN44,","),FIND($A$2,Lines!AN44))-FIND($A$2,Lines!AN44)-LEN($A$2)-1))</f>
        <v/>
      </c>
      <c r="AO44" s="45" t="str">
        <f>IF(ISERROR(FIND($A$2,Lines!AO44))=TRUE,"",MID(Lines!AO44,FIND($A$2,Lines!AO44)+LEN($A$2)+1,FIND(",",_xlfn.CONCAT(Lines!AO44,","),FIND($A$2,Lines!AO44))-FIND($A$2,Lines!AO44)-LEN($A$2)-1))</f>
        <v/>
      </c>
      <c r="AP44" s="65" t="str">
        <f>IF(ISERROR(FIND($A$2,Lines!AP44))=TRUE,"",MID(Lines!AP44,FIND($A$2,Lines!AP44)+LEN($A$2)+1,FIND(",",_xlfn.CONCAT(Lines!AP44,","),FIND($A$2,Lines!AP44))-FIND($A$2,Lines!AP44)-LEN($A$2)-1))</f>
        <v/>
      </c>
      <c r="AQ44" s="62" t="str">
        <f>IF(ISERROR(FIND($A$2,Lines!AQ44))=TRUE,"",MID(Lines!AQ44,FIND($A$2,Lines!AQ44)+LEN($A$2)+1,FIND(",",_xlfn.CONCAT(Lines!AQ44,","),FIND($A$2,Lines!AQ44))-FIND($A$2,Lines!AQ44)-LEN($A$2)-1))</f>
        <v/>
      </c>
      <c r="AR44" s="62" t="str">
        <f>IF(ISERROR(FIND($A$2,Lines!AR44))=TRUE,"",MID(Lines!AR44,FIND($A$2,Lines!AR44)+LEN($A$2)+1,FIND(",",_xlfn.CONCAT(Lines!AR44,","),FIND($A$2,Lines!AR44))-FIND($A$2,Lines!AR44)-LEN($A$2)-1))</f>
        <v/>
      </c>
      <c r="AS44" s="62" t="str">
        <f>IF(ISERROR(FIND($A$2,Lines!AS44))=TRUE,"",MID(Lines!AS44,FIND($A$2,Lines!AS44)+LEN($A$2)+1,FIND(",",_xlfn.CONCAT(Lines!AS44,","),FIND($A$2,Lines!AS44))-FIND($A$2,Lines!AS44)-LEN($A$2)-1))</f>
        <v/>
      </c>
      <c r="AT44" s="62" t="str">
        <f>IF(ISERROR(FIND($A$2,Lines!AT44))=TRUE,"",MID(Lines!AT44,FIND($A$2,Lines!AT44)+LEN($A$2)+1,FIND(",",_xlfn.CONCAT(Lines!AT44,","),FIND($A$2,Lines!AT44))-FIND($A$2,Lines!AT44)-LEN($A$2)-1))</f>
        <v/>
      </c>
    </row>
    <row r="45" spans="1:46" ht="20.25" customHeight="1">
      <c r="A45" s="2" t="s">
        <v>93</v>
      </c>
      <c r="B45" s="30" t="str">
        <f>IF(ISERROR(FIND($A$2,Lines!B45))=TRUE,"",MID(Lines!B45,FIND($A$2,Lines!B45)+LEN($A$2)+1,FIND(",",_xlfn.CONCAT(Lines!B45,","),FIND($A$2,Lines!B45))-FIND($A$2,Lines!B45)-LEN($A$2)-1))</f>
        <v/>
      </c>
      <c r="C45" s="30" t="str">
        <f>IF(ISERROR(FIND($A$2,Lines!C45))=TRUE,"",MID(Lines!C45,FIND($A$2,Lines!C45)+LEN($A$2)+1,FIND(",",_xlfn.CONCAT(Lines!C45,","),FIND($A$2,Lines!C45))-FIND($A$2,Lines!C45)-LEN($A$2)-1))</f>
        <v/>
      </c>
      <c r="D45" s="30" t="str">
        <f>IF(ISERROR(FIND($A$2,Lines!D45))=TRUE,"",MID(Lines!D45,FIND($A$2,Lines!D45)+LEN($A$2)+1,FIND(",",_xlfn.CONCAT(Lines!D45,","),FIND($A$2,Lines!D45))-FIND($A$2,Lines!D45)-LEN($A$2)-1))</f>
        <v/>
      </c>
      <c r="E45" s="30" t="str">
        <f>IF(ISERROR(FIND($A$2,Lines!E45))=TRUE,"",MID(Lines!E45,FIND($A$2,Lines!E45)+LEN($A$2)+1,FIND(",",_xlfn.CONCAT(Lines!E45,","),FIND($A$2,Lines!E45))-FIND($A$2,Lines!E45)-LEN($A$2)-1))</f>
        <v/>
      </c>
      <c r="F45" s="30" t="str">
        <f>IF(ISERROR(FIND($A$2,Lines!F45))=TRUE,"",MID(Lines!F45,FIND($A$2,Lines!F45)+LEN($A$2)+1,FIND(",",_xlfn.CONCAT(Lines!F45,","),FIND($A$2,Lines!F45))-FIND($A$2,Lines!F45)-LEN($A$2)-1))</f>
        <v/>
      </c>
      <c r="G45" s="30" t="str">
        <f>IF(ISERROR(FIND($A$2,Lines!G45))=TRUE,"",MID(Lines!G45,FIND($A$2,Lines!G45)+LEN($A$2)+1,FIND(",",_xlfn.CONCAT(Lines!G45,","),FIND($A$2,Lines!G45))-FIND($A$2,Lines!G45)-LEN($A$2)-1))</f>
        <v/>
      </c>
      <c r="H45" s="30" t="str">
        <f>IF(ISERROR(FIND($A$2,Lines!H45))=TRUE,"",MID(Lines!H45,FIND($A$2,Lines!H45)+LEN($A$2)+1,FIND(",",_xlfn.CONCAT(Lines!H45,","),FIND($A$2,Lines!H45))-FIND($A$2,Lines!H45)-LEN($A$2)-1))</f>
        <v/>
      </c>
      <c r="I45" s="30" t="str">
        <f>IF(ISERROR(FIND($A$2,Lines!I45))=TRUE,"",MID(Lines!I45,FIND($A$2,Lines!I45)+LEN($A$2)+1,FIND(",",_xlfn.CONCAT(Lines!I45,","),FIND($A$2,Lines!I45))-FIND($A$2,Lines!I45)-LEN($A$2)-1))</f>
        <v/>
      </c>
      <c r="J45" s="30" t="str">
        <f>IF(ISERROR(FIND($A$2,Lines!J45))=TRUE,"",MID(Lines!J45,FIND($A$2,Lines!J45)+LEN($A$2)+1,FIND(",",_xlfn.CONCAT(Lines!J45,","),FIND($A$2,Lines!J45))-FIND($A$2,Lines!J45)-LEN($A$2)-1))</f>
        <v/>
      </c>
      <c r="K45" s="30" t="str">
        <f>IF(ISERROR(FIND($A$2,Lines!K45))=TRUE,"",MID(Lines!K45,FIND($A$2,Lines!K45)+LEN($A$2)+1,FIND(",",_xlfn.CONCAT(Lines!K45,","),FIND($A$2,Lines!K45))-FIND($A$2,Lines!K45)-LEN($A$2)-1))</f>
        <v/>
      </c>
      <c r="L45" s="30" t="str">
        <f>IF(ISERROR(FIND($A$2,Lines!L45))=TRUE,"",MID(Lines!L45,FIND($A$2,Lines!L45)+LEN($A$2)+1,FIND(",",_xlfn.CONCAT(Lines!L45,","),FIND($A$2,Lines!L45))-FIND($A$2,Lines!L45)-LEN($A$2)-1))</f>
        <v/>
      </c>
      <c r="M45" s="30" t="str">
        <f>IF(ISERROR(FIND($A$2,Lines!M45))=TRUE,"",MID(Lines!M45,FIND($A$2,Lines!M45)+LEN($A$2)+1,FIND(",",_xlfn.CONCAT(Lines!M45,","),FIND($A$2,Lines!M45))-FIND($A$2,Lines!M45)-LEN($A$2)-1))</f>
        <v/>
      </c>
      <c r="N45" s="30" t="str">
        <f>IF(ISERROR(FIND($A$2,Lines!N45))=TRUE,"",MID(Lines!N45,FIND($A$2,Lines!N45)+LEN($A$2)+1,FIND(",",_xlfn.CONCAT(Lines!N45,","),FIND($A$2,Lines!N45))-FIND($A$2,Lines!N45)-LEN($A$2)-1))</f>
        <v/>
      </c>
      <c r="O45" s="30" t="str">
        <f>IF(ISERROR(FIND($A$2,Lines!O45))=TRUE,"",MID(Lines!O45,FIND($A$2,Lines!O45)+LEN($A$2)+1,FIND(",",_xlfn.CONCAT(Lines!O45,","),FIND($A$2,Lines!O45))-FIND($A$2,Lines!O45)-LEN($A$2)-1))</f>
        <v/>
      </c>
      <c r="P45" s="30" t="str">
        <f>IF(ISERROR(FIND($A$2,Lines!P45))=TRUE,"",MID(Lines!P45,FIND($A$2,Lines!P45)+LEN($A$2)+1,FIND(",",_xlfn.CONCAT(Lines!P45,","),FIND($A$2,Lines!P45))-FIND($A$2,Lines!P45)-LEN($A$2)-1))</f>
        <v/>
      </c>
      <c r="Q45" s="30" t="str">
        <f>IF(ISERROR(FIND($A$2,Lines!Q45))=TRUE,"",MID(Lines!Q45,FIND($A$2,Lines!Q45)+LEN($A$2)+1,FIND(",",_xlfn.CONCAT(Lines!Q45,","),FIND($A$2,Lines!Q45))-FIND($A$2,Lines!Q45)-LEN($A$2)-1))</f>
        <v/>
      </c>
      <c r="R45" s="30" t="str">
        <f>IF(ISERROR(FIND($A$2,Lines!R45))=TRUE,"",MID(Lines!R45,FIND($A$2,Lines!R45)+LEN($A$2)+1,FIND(",",_xlfn.CONCAT(Lines!R45,","),FIND($A$2,Lines!R45))-FIND($A$2,Lines!R45)-LEN($A$2)-1))</f>
        <v/>
      </c>
      <c r="S45" s="30" t="str">
        <f>IF(ISERROR(FIND($A$2,Lines!S45))=TRUE,"",MID(Lines!S45,FIND($A$2,Lines!S45)+LEN($A$2)+1,FIND(",",_xlfn.CONCAT(Lines!S45,","),FIND($A$2,Lines!S45))-FIND($A$2,Lines!S45)-LEN($A$2)-1))</f>
        <v/>
      </c>
      <c r="T45" s="30" t="str">
        <f>IF(ISERROR(FIND($A$2,Lines!T45))=TRUE,"",MID(Lines!T45,FIND($A$2,Lines!T45)+LEN($A$2)+1,FIND(",",_xlfn.CONCAT(Lines!T45,","),FIND($A$2,Lines!T45))-FIND($A$2,Lines!T45)-LEN($A$2)-1))</f>
        <v/>
      </c>
      <c r="U45" s="30" t="str">
        <f>IF(ISERROR(FIND($A$2,Lines!U45))=TRUE,"",MID(Lines!U45,FIND($A$2,Lines!U45)+LEN($A$2)+1,FIND(",",_xlfn.CONCAT(Lines!U45,","),FIND($A$2,Lines!U45))-FIND($A$2,Lines!U45)-LEN($A$2)-1))</f>
        <v/>
      </c>
      <c r="V45" s="30" t="str">
        <f>IF(ISERROR(FIND($A$2,Lines!V45))=TRUE,"",MID(Lines!V45,FIND($A$2,Lines!V45)+LEN($A$2)+1,FIND(",",_xlfn.CONCAT(Lines!V45,","),FIND($A$2,Lines!V45))-FIND($A$2,Lines!V45)-LEN($A$2)-1))</f>
        <v/>
      </c>
      <c r="W45" s="36" t="str">
        <f>IF(ISERROR(FIND($A$2,Lines!W45))=TRUE,"",MID(Lines!W45,FIND($A$2,Lines!W45)+LEN($A$2)+1,FIND(",",_xlfn.CONCAT(Lines!W45,","),FIND($A$2,Lines!W45))-FIND($A$2,Lines!W45)-LEN($A$2)-1))</f>
        <v/>
      </c>
      <c r="X45" s="30" t="str">
        <f>IF(ISERROR(FIND($A$2,Lines!X45))=TRUE,"",MID(Lines!X45,FIND($A$2,Lines!X45)+LEN($A$2)+1,FIND(",",_xlfn.CONCAT(Lines!X45,","),FIND($A$2,Lines!X45))-FIND($A$2,Lines!X45)-LEN($A$2)-1))</f>
        <v/>
      </c>
      <c r="Y45" s="30" t="str">
        <f>IF(ISERROR(FIND($A$2,Lines!Y45))=TRUE,"",MID(Lines!Y45,FIND($A$2,Lines!Y45)+LEN($A$2)+1,FIND(",",_xlfn.CONCAT(Lines!Y45,","),FIND($A$2,Lines!Y45))-FIND($A$2,Lines!Y45)-LEN($A$2)-1))</f>
        <v/>
      </c>
      <c r="Z45" s="30" t="str">
        <f>IF(ISERROR(FIND($A$2,Lines!Z45))=TRUE,"",MID(Lines!Z45,FIND($A$2,Lines!Z45)+LEN($A$2)+1,FIND(",",_xlfn.CONCAT(Lines!Z45,","),FIND($A$2,Lines!Z45))-FIND($A$2,Lines!Z45)-LEN($A$2)-1))</f>
        <v/>
      </c>
      <c r="AA45" s="30" t="str">
        <f>IF(ISERROR(FIND($A$2,Lines!AA45))=TRUE,"",MID(Lines!AA45,FIND($A$2,Lines!AA45)+LEN($A$2)+1,FIND(",",_xlfn.CONCAT(Lines!AA45,","),FIND($A$2,Lines!AA45))-FIND($A$2,Lines!AA45)-LEN($A$2)-1))</f>
        <v/>
      </c>
      <c r="AB45" s="30" t="str">
        <f>IF(ISERROR(FIND($A$2,Lines!AB45))=TRUE,"",MID(Lines!AB45,FIND($A$2,Lines!AB45)+LEN($A$2)+1,FIND(",",_xlfn.CONCAT(Lines!AB45,","),FIND($A$2,Lines!AB45))-FIND($A$2,Lines!AB45)-LEN($A$2)-1))</f>
        <v/>
      </c>
      <c r="AC45" s="30" t="str">
        <f>IF(ISERROR(FIND($A$2,Lines!AC45))=TRUE,"",MID(Lines!AC45,FIND($A$2,Lines!AC45)+LEN($A$2)+1,FIND(",",_xlfn.CONCAT(Lines!AC45,","),FIND($A$2,Lines!AC45))-FIND($A$2,Lines!AC45)-LEN($A$2)-1))</f>
        <v/>
      </c>
      <c r="AD45" s="30" t="str">
        <f>IF(ISERROR(FIND($A$2,Lines!AD45))=TRUE,"",MID(Lines!AD45,FIND($A$2,Lines!AD45)+LEN($A$2)+1,FIND(",",_xlfn.CONCAT(Lines!AD45,","),FIND($A$2,Lines!AD45))-FIND($A$2,Lines!AD45)-LEN($A$2)-1))</f>
        <v/>
      </c>
      <c r="AE45" s="30" t="str">
        <f>IF(ISERROR(FIND($A$2,Lines!AE45))=TRUE,"",MID(Lines!AE45,FIND($A$2,Lines!AE45)+LEN($A$2)+1,FIND(",",_xlfn.CONCAT(Lines!AE45,","),FIND($A$2,Lines!AE45))-FIND($A$2,Lines!AE45)-LEN($A$2)-1))</f>
        <v/>
      </c>
      <c r="AF45" s="30" t="str">
        <f>IF(ISERROR(FIND($A$2,Lines!AF45))=TRUE,"",MID(Lines!AF45,FIND($A$2,Lines!AF45)+LEN($A$2)+1,FIND(",",_xlfn.CONCAT(Lines!AF45,","),FIND($A$2,Lines!AF45))-FIND($A$2,Lines!AF45)-LEN($A$2)-1))</f>
        <v/>
      </c>
      <c r="AG45" s="30" t="str">
        <f>IF(ISERROR(FIND($A$2,Lines!AG45))=TRUE,"",MID(Lines!AG45,FIND($A$2,Lines!AG45)+LEN($A$2)+1,FIND(",",_xlfn.CONCAT(Lines!AG45,","),FIND($A$2,Lines!AG45))-FIND($A$2,Lines!AG45)-LEN($A$2)-1))</f>
        <v/>
      </c>
      <c r="AH45" s="30" t="str">
        <f>IF(ISERROR(FIND($A$2,Lines!AH45))=TRUE,"",MID(Lines!AH45,FIND($A$2,Lines!AH45)+LEN($A$2)+1,FIND(",",_xlfn.CONCAT(Lines!AH45,","),FIND($A$2,Lines!AH45))-FIND($A$2,Lines!AH45)-LEN($A$2)-1))</f>
        <v/>
      </c>
      <c r="AI45" s="30" t="str">
        <f>IF(ISERROR(FIND($A$2,Lines!AI45))=TRUE,"",MID(Lines!AI45,FIND($A$2,Lines!AI45)+LEN($A$2)+1,FIND(",",_xlfn.CONCAT(Lines!AI45,","),FIND($A$2,Lines!AI45))-FIND($A$2,Lines!AI45)-LEN($A$2)-1))</f>
        <v/>
      </c>
      <c r="AJ45" s="30" t="str">
        <f>IF(ISERROR(FIND($A$2,Lines!AJ45))=TRUE,"",MID(Lines!AJ45,FIND($A$2,Lines!AJ45)+LEN($A$2)+1,FIND(",",_xlfn.CONCAT(Lines!AJ45,","),FIND($A$2,Lines!AJ45))-FIND($A$2,Lines!AJ45)-LEN($A$2)-1))</f>
        <v/>
      </c>
      <c r="AK45" s="30" t="str">
        <f>IF(ISERROR(FIND($A$2,Lines!AK45))=TRUE,"",MID(Lines!AK45,FIND($A$2,Lines!AK45)+LEN($A$2)+1,FIND(",",_xlfn.CONCAT(Lines!AK45,","),FIND($A$2,Lines!AK45))-FIND($A$2,Lines!AK45)-LEN($A$2)-1))</f>
        <v/>
      </c>
      <c r="AL45" s="30" t="str">
        <f>IF(ISERROR(FIND($A$2,Lines!AL45))=TRUE,"",MID(Lines!AL45,FIND($A$2,Lines!AL45)+LEN($A$2)+1,FIND(",",_xlfn.CONCAT(Lines!AL45,","),FIND($A$2,Lines!AL45))-FIND($A$2,Lines!AL45)-LEN($A$2)-1))</f>
        <v/>
      </c>
      <c r="AM45" s="30" t="str">
        <f>IF(ISERROR(FIND($A$2,Lines!AM45))=TRUE,"",MID(Lines!AM45,FIND($A$2,Lines!AM45)+LEN($A$2)+1,FIND(",",_xlfn.CONCAT(Lines!AM45,","),FIND($A$2,Lines!AM45))-FIND($A$2,Lines!AM45)-LEN($A$2)-1))</f>
        <v/>
      </c>
      <c r="AN45" s="30" t="str">
        <f>IF(ISERROR(FIND($A$2,Lines!AN45))=TRUE,"",MID(Lines!AN45,FIND($A$2,Lines!AN45)+LEN($A$2)+1,FIND(",",_xlfn.CONCAT(Lines!AN45,","),FIND($A$2,Lines!AN45))-FIND($A$2,Lines!AN45)-LEN($A$2)-1))</f>
        <v/>
      </c>
      <c r="AO45" s="30" t="str">
        <f>IF(ISERROR(FIND($A$2,Lines!AO45))=TRUE,"",MID(Lines!AO45,FIND($A$2,Lines!AO45)+LEN($A$2)+1,FIND(",",_xlfn.CONCAT(Lines!AO45,","),FIND($A$2,Lines!AO45))-FIND($A$2,Lines!AO45)-LEN($A$2)-1))</f>
        <v/>
      </c>
      <c r="AP45" s="57" t="str">
        <f>IF(ISERROR(FIND($A$2,Lines!AP45))=TRUE,"",MID(Lines!AP45,FIND($A$2,Lines!AP45)+LEN($A$2)+1,FIND(",",_xlfn.CONCAT(Lines!AP45,","),FIND($A$2,Lines!AP45))-FIND($A$2,Lines!AP45)-LEN($A$2)-1))</f>
        <v/>
      </c>
      <c r="AQ45" s="66" t="str">
        <f>IF(ISERROR(FIND($A$2,Lines!AQ45))=TRUE,"",MID(Lines!AQ45,FIND($A$2,Lines!AQ45)+LEN($A$2)+1,FIND(",",_xlfn.CONCAT(Lines!AQ45,","),FIND($A$2,Lines!AQ45))-FIND($A$2,Lines!AQ45)-LEN($A$2)-1))</f>
        <v/>
      </c>
      <c r="AR45" s="44" t="str">
        <f>IF(ISERROR(FIND($A$2,Lines!AR45))=TRUE,"",MID(Lines!AR45,FIND($A$2,Lines!AR45)+LEN($A$2)+1,FIND(",",_xlfn.CONCAT(Lines!AR45,","),FIND($A$2,Lines!AR45))-FIND($A$2,Lines!AR45)-LEN($A$2)-1))</f>
        <v/>
      </c>
      <c r="AS45" s="44" t="str">
        <f>IF(ISERROR(FIND($A$2,Lines!AS45))=TRUE,"",MID(Lines!AS45,FIND($A$2,Lines!AS45)+LEN($A$2)+1,FIND(",",_xlfn.CONCAT(Lines!AS45,","),FIND($A$2,Lines!AS45))-FIND($A$2,Lines!AS45)-LEN($A$2)-1))</f>
        <v/>
      </c>
      <c r="AT45" s="44" t="str">
        <f>IF(ISERROR(FIND($A$2,Lines!AT45))=TRUE,"",MID(Lines!AT45,FIND($A$2,Lines!AT45)+LEN($A$2)+1,FIND(",",_xlfn.CONCAT(Lines!AT45,","),FIND($A$2,Lines!AT45))-FIND($A$2,Lines!AT45)-LEN($A$2)-1))</f>
        <v/>
      </c>
    </row>
    <row r="46" spans="1:46" ht="20.25" customHeight="1">
      <c r="A46" s="2" t="s">
        <v>94</v>
      </c>
      <c r="B46" s="30" t="str">
        <f>IF(ISERROR(FIND($A$2,Lines!B46))=TRUE,"",MID(Lines!B46,FIND($A$2,Lines!B46)+LEN($A$2)+1,FIND(",",_xlfn.CONCAT(Lines!B46,","),FIND($A$2,Lines!B46))-FIND($A$2,Lines!B46)-LEN($A$2)-1))</f>
        <v/>
      </c>
      <c r="C46" s="30" t="str">
        <f>IF(ISERROR(FIND($A$2,Lines!C46))=TRUE,"",MID(Lines!C46,FIND($A$2,Lines!C46)+LEN($A$2)+1,FIND(",",_xlfn.CONCAT(Lines!C46,","),FIND($A$2,Lines!C46))-FIND($A$2,Lines!C46)-LEN($A$2)-1))</f>
        <v/>
      </c>
      <c r="D46" s="30" t="str">
        <f>IF(ISERROR(FIND($A$2,Lines!D46))=TRUE,"",MID(Lines!D46,FIND($A$2,Lines!D46)+LEN($A$2)+1,FIND(",",_xlfn.CONCAT(Lines!D46,","),FIND($A$2,Lines!D46))-FIND($A$2,Lines!D46)-LEN($A$2)-1))</f>
        <v/>
      </c>
      <c r="E46" s="30" t="str">
        <f>IF(ISERROR(FIND($A$2,Lines!E46))=TRUE,"",MID(Lines!E46,FIND($A$2,Lines!E46)+LEN($A$2)+1,FIND(",",_xlfn.CONCAT(Lines!E46,","),FIND($A$2,Lines!E46))-FIND($A$2,Lines!E46)-LEN($A$2)-1))</f>
        <v/>
      </c>
      <c r="F46" s="30" t="str">
        <f>IF(ISERROR(FIND($A$2,Lines!F46))=TRUE,"",MID(Lines!F46,FIND($A$2,Lines!F46)+LEN($A$2)+1,FIND(",",_xlfn.CONCAT(Lines!F46,","),FIND($A$2,Lines!F46))-FIND($A$2,Lines!F46)-LEN($A$2)-1))</f>
        <v/>
      </c>
      <c r="G46" s="30" t="str">
        <f>IF(ISERROR(FIND($A$2,Lines!G46))=TRUE,"",MID(Lines!G46,FIND($A$2,Lines!G46)+LEN($A$2)+1,FIND(",",_xlfn.CONCAT(Lines!G46,","),FIND($A$2,Lines!G46))-FIND($A$2,Lines!G46)-LEN($A$2)-1))</f>
        <v/>
      </c>
      <c r="H46" s="30" t="str">
        <f>IF(ISERROR(FIND($A$2,Lines!H46))=TRUE,"",MID(Lines!H46,FIND($A$2,Lines!H46)+LEN($A$2)+1,FIND(",",_xlfn.CONCAT(Lines!H46,","),FIND($A$2,Lines!H46))-FIND($A$2,Lines!H46)-LEN($A$2)-1))</f>
        <v/>
      </c>
      <c r="I46" s="30" t="str">
        <f>IF(ISERROR(FIND($A$2,Lines!I46))=TRUE,"",MID(Lines!I46,FIND($A$2,Lines!I46)+LEN($A$2)+1,FIND(",",_xlfn.CONCAT(Lines!I46,","),FIND($A$2,Lines!I46))-FIND($A$2,Lines!I46)-LEN($A$2)-1))</f>
        <v/>
      </c>
      <c r="J46" s="30" t="str">
        <f>IF(ISERROR(FIND($A$2,Lines!J46))=TRUE,"",MID(Lines!J46,FIND($A$2,Lines!J46)+LEN($A$2)+1,FIND(",",_xlfn.CONCAT(Lines!J46,","),FIND($A$2,Lines!J46))-FIND($A$2,Lines!J46)-LEN($A$2)-1))</f>
        <v/>
      </c>
      <c r="K46" s="30" t="str">
        <f>IF(ISERROR(FIND($A$2,Lines!K46))=TRUE,"",MID(Lines!K46,FIND($A$2,Lines!K46)+LEN($A$2)+1,FIND(",",_xlfn.CONCAT(Lines!K46,","),FIND($A$2,Lines!K46))-FIND($A$2,Lines!K46)-LEN($A$2)-1))</f>
        <v/>
      </c>
      <c r="L46" s="30" t="str">
        <f>IF(ISERROR(FIND($A$2,Lines!L46))=TRUE,"",MID(Lines!L46,FIND($A$2,Lines!L46)+LEN($A$2)+1,FIND(",",_xlfn.CONCAT(Lines!L46,","),FIND($A$2,Lines!L46))-FIND($A$2,Lines!L46)-LEN($A$2)-1))</f>
        <v/>
      </c>
      <c r="M46" s="30" t="str">
        <f>IF(ISERROR(FIND($A$2,Lines!M46))=TRUE,"",MID(Lines!M46,FIND($A$2,Lines!M46)+LEN($A$2)+1,FIND(",",_xlfn.CONCAT(Lines!M46,","),FIND($A$2,Lines!M46))-FIND($A$2,Lines!M46)-LEN($A$2)-1))</f>
        <v/>
      </c>
      <c r="N46" s="30" t="str">
        <f>IF(ISERROR(FIND($A$2,Lines!N46))=TRUE,"",MID(Lines!N46,FIND($A$2,Lines!N46)+LEN($A$2)+1,FIND(",",_xlfn.CONCAT(Lines!N46,","),FIND($A$2,Lines!N46))-FIND($A$2,Lines!N46)-LEN($A$2)-1))</f>
        <v/>
      </c>
      <c r="O46" s="30" t="str">
        <f>IF(ISERROR(FIND($A$2,Lines!O46))=TRUE,"",MID(Lines!O46,FIND($A$2,Lines!O46)+LEN($A$2)+1,FIND(",",_xlfn.CONCAT(Lines!O46,","),FIND($A$2,Lines!O46))-FIND($A$2,Lines!O46)-LEN($A$2)-1))</f>
        <v/>
      </c>
      <c r="P46" s="30" t="str">
        <f>IF(ISERROR(FIND($A$2,Lines!P46))=TRUE,"",MID(Lines!P46,FIND($A$2,Lines!P46)+LEN($A$2)+1,FIND(",",_xlfn.CONCAT(Lines!P46,","),FIND($A$2,Lines!P46))-FIND($A$2,Lines!P46)-LEN($A$2)-1))</f>
        <v/>
      </c>
      <c r="Q46" s="30" t="str">
        <f>IF(ISERROR(FIND($A$2,Lines!Q46))=TRUE,"",MID(Lines!Q46,FIND($A$2,Lines!Q46)+LEN($A$2)+1,FIND(",",_xlfn.CONCAT(Lines!Q46,","),FIND($A$2,Lines!Q46))-FIND($A$2,Lines!Q46)-LEN($A$2)-1))</f>
        <v/>
      </c>
      <c r="R46" s="30" t="str">
        <f>IF(ISERROR(FIND($A$2,Lines!R46))=TRUE,"",MID(Lines!R46,FIND($A$2,Lines!R46)+LEN($A$2)+1,FIND(",",_xlfn.CONCAT(Lines!R46,","),FIND($A$2,Lines!R46))-FIND($A$2,Lines!R46)-LEN($A$2)-1))</f>
        <v/>
      </c>
      <c r="S46" s="30" t="str">
        <f>IF(ISERROR(FIND($A$2,Lines!S46))=TRUE,"",MID(Lines!S46,FIND($A$2,Lines!S46)+LEN($A$2)+1,FIND(",",_xlfn.CONCAT(Lines!S46,","),FIND($A$2,Lines!S46))-FIND($A$2,Lines!S46)-LEN($A$2)-1))</f>
        <v/>
      </c>
      <c r="T46" s="30" t="str">
        <f>IF(ISERROR(FIND($A$2,Lines!T46))=TRUE,"",MID(Lines!T46,FIND($A$2,Lines!T46)+LEN($A$2)+1,FIND(",",_xlfn.CONCAT(Lines!T46,","),FIND($A$2,Lines!T46))-FIND($A$2,Lines!T46)-LEN($A$2)-1))</f>
        <v/>
      </c>
      <c r="U46" s="30" t="str">
        <f>IF(ISERROR(FIND($A$2,Lines!U46))=TRUE,"",MID(Lines!U46,FIND($A$2,Lines!U46)+LEN($A$2)+1,FIND(",",_xlfn.CONCAT(Lines!U46,","),FIND($A$2,Lines!U46))-FIND($A$2,Lines!U46)-LEN($A$2)-1))</f>
        <v/>
      </c>
      <c r="V46" s="30" t="str">
        <f>IF(ISERROR(FIND($A$2,Lines!V46))=TRUE,"",MID(Lines!V46,FIND($A$2,Lines!V46)+LEN($A$2)+1,FIND(",",_xlfn.CONCAT(Lines!V46,","),FIND($A$2,Lines!V46))-FIND($A$2,Lines!V46)-LEN($A$2)-1))</f>
        <v/>
      </c>
      <c r="W46" s="36" t="str">
        <f>IF(ISERROR(FIND($A$2,Lines!W46))=TRUE,"",MID(Lines!W46,FIND($A$2,Lines!W46)+LEN($A$2)+1,FIND(",",_xlfn.CONCAT(Lines!W46,","),FIND($A$2,Lines!W46))-FIND($A$2,Lines!W46)-LEN($A$2)-1))</f>
        <v/>
      </c>
      <c r="X46" s="30" t="str">
        <f>IF(ISERROR(FIND($A$2,Lines!X46))=TRUE,"",MID(Lines!X46,FIND($A$2,Lines!X46)+LEN($A$2)+1,FIND(",",_xlfn.CONCAT(Lines!X46,","),FIND($A$2,Lines!X46))-FIND($A$2,Lines!X46)-LEN($A$2)-1))</f>
        <v/>
      </c>
      <c r="Y46" s="30" t="str">
        <f>IF(ISERROR(FIND($A$2,Lines!Y46))=TRUE,"",MID(Lines!Y46,FIND($A$2,Lines!Y46)+LEN($A$2)+1,FIND(",",_xlfn.CONCAT(Lines!Y46,","),FIND($A$2,Lines!Y46))-FIND($A$2,Lines!Y46)-LEN($A$2)-1))</f>
        <v/>
      </c>
      <c r="Z46" s="30" t="str">
        <f>IF(ISERROR(FIND($A$2,Lines!Z46))=TRUE,"",MID(Lines!Z46,FIND($A$2,Lines!Z46)+LEN($A$2)+1,FIND(",",_xlfn.CONCAT(Lines!Z46,","),FIND($A$2,Lines!Z46))-FIND($A$2,Lines!Z46)-LEN($A$2)-1))</f>
        <v/>
      </c>
      <c r="AA46" s="30" t="str">
        <f>IF(ISERROR(FIND($A$2,Lines!AA46))=TRUE,"",MID(Lines!AA46,FIND($A$2,Lines!AA46)+LEN($A$2)+1,FIND(",",_xlfn.CONCAT(Lines!AA46,","),FIND($A$2,Lines!AA46))-FIND($A$2,Lines!AA46)-LEN($A$2)-1))</f>
        <v/>
      </c>
      <c r="AB46" s="30" t="str">
        <f>IF(ISERROR(FIND($A$2,Lines!AB46))=TRUE,"",MID(Lines!AB46,FIND($A$2,Lines!AB46)+LEN($A$2)+1,FIND(",",_xlfn.CONCAT(Lines!AB46,","),FIND($A$2,Lines!AB46))-FIND($A$2,Lines!AB46)-LEN($A$2)-1))</f>
        <v/>
      </c>
      <c r="AC46" s="30" t="str">
        <f>IF(ISERROR(FIND($A$2,Lines!AC46))=TRUE,"",MID(Lines!AC46,FIND($A$2,Lines!AC46)+LEN($A$2)+1,FIND(",",_xlfn.CONCAT(Lines!AC46,","),FIND($A$2,Lines!AC46))-FIND($A$2,Lines!AC46)-LEN($A$2)-1))</f>
        <v/>
      </c>
      <c r="AD46" s="30" t="str">
        <f>IF(ISERROR(FIND($A$2,Lines!AD46))=TRUE,"",MID(Lines!AD46,FIND($A$2,Lines!AD46)+LEN($A$2)+1,FIND(",",_xlfn.CONCAT(Lines!AD46,","),FIND($A$2,Lines!AD46))-FIND($A$2,Lines!AD46)-LEN($A$2)-1))</f>
        <v/>
      </c>
      <c r="AE46" s="30" t="str">
        <f>IF(ISERROR(FIND($A$2,Lines!AE46))=TRUE,"",MID(Lines!AE46,FIND($A$2,Lines!AE46)+LEN($A$2)+1,FIND(",",_xlfn.CONCAT(Lines!AE46,","),FIND($A$2,Lines!AE46))-FIND($A$2,Lines!AE46)-LEN($A$2)-1))</f>
        <v/>
      </c>
      <c r="AF46" s="30" t="str">
        <f>IF(ISERROR(FIND($A$2,Lines!AF46))=TRUE,"",MID(Lines!AF46,FIND($A$2,Lines!AF46)+LEN($A$2)+1,FIND(",",_xlfn.CONCAT(Lines!AF46,","),FIND($A$2,Lines!AF46))-FIND($A$2,Lines!AF46)-LEN($A$2)-1))</f>
        <v/>
      </c>
      <c r="AG46" s="30" t="str">
        <f>IF(ISERROR(FIND($A$2,Lines!AG46))=TRUE,"",MID(Lines!AG46,FIND($A$2,Lines!AG46)+LEN($A$2)+1,FIND(",",_xlfn.CONCAT(Lines!AG46,","),FIND($A$2,Lines!AG46))-FIND($A$2,Lines!AG46)-LEN($A$2)-1))</f>
        <v/>
      </c>
      <c r="AH46" s="30" t="str">
        <f>IF(ISERROR(FIND($A$2,Lines!AH46))=TRUE,"",MID(Lines!AH46,FIND($A$2,Lines!AH46)+LEN($A$2)+1,FIND(",",_xlfn.CONCAT(Lines!AH46,","),FIND($A$2,Lines!AH46))-FIND($A$2,Lines!AH46)-LEN($A$2)-1))</f>
        <v/>
      </c>
      <c r="AI46" s="30" t="str">
        <f>IF(ISERROR(FIND($A$2,Lines!AI46))=TRUE,"",MID(Lines!AI46,FIND($A$2,Lines!AI46)+LEN($A$2)+1,FIND(",",_xlfn.CONCAT(Lines!AI46,","),FIND($A$2,Lines!AI46))-FIND($A$2,Lines!AI46)-LEN($A$2)-1))</f>
        <v/>
      </c>
      <c r="AJ46" s="30" t="str">
        <f>IF(ISERROR(FIND($A$2,Lines!AJ46))=TRUE,"",MID(Lines!AJ46,FIND($A$2,Lines!AJ46)+LEN($A$2)+1,FIND(",",_xlfn.CONCAT(Lines!AJ46,","),FIND($A$2,Lines!AJ46))-FIND($A$2,Lines!AJ46)-LEN($A$2)-1))</f>
        <v/>
      </c>
      <c r="AK46" s="30" t="str">
        <f>IF(ISERROR(FIND($A$2,Lines!AK46))=TRUE,"",MID(Lines!AK46,FIND($A$2,Lines!AK46)+LEN($A$2)+1,FIND(",",_xlfn.CONCAT(Lines!AK46,","),FIND($A$2,Lines!AK46))-FIND($A$2,Lines!AK46)-LEN($A$2)-1))</f>
        <v/>
      </c>
      <c r="AL46" s="30" t="str">
        <f>IF(ISERROR(FIND($A$2,Lines!AL46))=TRUE,"",MID(Lines!AL46,FIND($A$2,Lines!AL46)+LEN($A$2)+1,FIND(",",_xlfn.CONCAT(Lines!AL46,","),FIND($A$2,Lines!AL46))-FIND($A$2,Lines!AL46)-LEN($A$2)-1))</f>
        <v/>
      </c>
      <c r="AM46" s="30" t="str">
        <f>IF(ISERROR(FIND($A$2,Lines!AM46))=TRUE,"",MID(Lines!AM46,FIND($A$2,Lines!AM46)+LEN($A$2)+1,FIND(",",_xlfn.CONCAT(Lines!AM46,","),FIND($A$2,Lines!AM46))-FIND($A$2,Lines!AM46)-LEN($A$2)-1))</f>
        <v/>
      </c>
      <c r="AN46" s="30" t="str">
        <f>IF(ISERROR(FIND($A$2,Lines!AN46))=TRUE,"",MID(Lines!AN46,FIND($A$2,Lines!AN46)+LEN($A$2)+1,FIND(",",_xlfn.CONCAT(Lines!AN46,","),FIND($A$2,Lines!AN46))-FIND($A$2,Lines!AN46)-LEN($A$2)-1))</f>
        <v/>
      </c>
      <c r="AO46" s="30" t="str">
        <f>IF(ISERROR(FIND($A$2,Lines!AO46))=TRUE,"",MID(Lines!AO46,FIND($A$2,Lines!AO46)+LEN($A$2)+1,FIND(",",_xlfn.CONCAT(Lines!AO46,","),FIND($A$2,Lines!AO46))-FIND($A$2,Lines!AO46)-LEN($A$2)-1))</f>
        <v/>
      </c>
      <c r="AP46" s="57" t="str">
        <f>IF(ISERROR(FIND($A$2,Lines!AP46))=TRUE,"",MID(Lines!AP46,FIND($A$2,Lines!AP46)+LEN($A$2)+1,FIND(",",_xlfn.CONCAT(Lines!AP46,","),FIND($A$2,Lines!AP46))-FIND($A$2,Lines!AP46)-LEN($A$2)-1))</f>
        <v/>
      </c>
      <c r="AQ46" s="44" t="str">
        <f>IF(ISERROR(FIND($A$2,Lines!AQ46))=TRUE,"",MID(Lines!AQ46,FIND($A$2,Lines!AQ46)+LEN($A$2)+1,FIND(",",_xlfn.CONCAT(Lines!AQ46,","),FIND($A$2,Lines!AQ46))-FIND($A$2,Lines!AQ46)-LEN($A$2)-1))</f>
        <v/>
      </c>
      <c r="AR46" s="66" t="str">
        <f>IF(ISERROR(FIND($A$2,Lines!AR46))=TRUE,"",MID(Lines!AR46,FIND($A$2,Lines!AR46)+LEN($A$2)+1,FIND(",",_xlfn.CONCAT(Lines!AR46,","),FIND($A$2,Lines!AR46))-FIND($A$2,Lines!AR46)-LEN($A$2)-1))</f>
        <v/>
      </c>
      <c r="AS46" s="44" t="str">
        <f>IF(ISERROR(FIND($A$2,Lines!AS46))=TRUE,"",MID(Lines!AS46,FIND($A$2,Lines!AS46)+LEN($A$2)+1,FIND(",",_xlfn.CONCAT(Lines!AS46,","),FIND($A$2,Lines!AS46))-FIND($A$2,Lines!AS46)-LEN($A$2)-1))</f>
        <v/>
      </c>
      <c r="AT46" s="44" t="str">
        <f>IF(ISERROR(FIND($A$2,Lines!AT46))=TRUE,"",MID(Lines!AT46,FIND($A$2,Lines!AT46)+LEN($A$2)+1,FIND(",",_xlfn.CONCAT(Lines!AT46,","),FIND($A$2,Lines!AT46))-FIND($A$2,Lines!AT46)-LEN($A$2)-1))</f>
        <v/>
      </c>
    </row>
    <row r="47" spans="1:46" ht="20.25" customHeight="1">
      <c r="A47" s="2" t="s">
        <v>95</v>
      </c>
      <c r="B47" s="30" t="str">
        <f>IF(ISERROR(FIND($A$2,Lines!B47))=TRUE,"",MID(Lines!B47,FIND($A$2,Lines!B47)+LEN($A$2)+1,FIND(",",_xlfn.CONCAT(Lines!B47,","),FIND($A$2,Lines!B47))-FIND($A$2,Lines!B47)-LEN($A$2)-1))</f>
        <v/>
      </c>
      <c r="C47" s="30" t="str">
        <f>IF(ISERROR(FIND($A$2,Lines!C47))=TRUE,"",MID(Lines!C47,FIND($A$2,Lines!C47)+LEN($A$2)+1,FIND(",",_xlfn.CONCAT(Lines!C47,","),FIND($A$2,Lines!C47))-FIND($A$2,Lines!C47)-LEN($A$2)-1))</f>
        <v/>
      </c>
      <c r="D47" s="30" t="str">
        <f>IF(ISERROR(FIND($A$2,Lines!D47))=TRUE,"",MID(Lines!D47,FIND($A$2,Lines!D47)+LEN($A$2)+1,FIND(",",_xlfn.CONCAT(Lines!D47,","),FIND($A$2,Lines!D47))-FIND($A$2,Lines!D47)-LEN($A$2)-1))</f>
        <v/>
      </c>
      <c r="E47" s="30" t="str">
        <f>IF(ISERROR(FIND($A$2,Lines!E47))=TRUE,"",MID(Lines!E47,FIND($A$2,Lines!E47)+LEN($A$2)+1,FIND(",",_xlfn.CONCAT(Lines!E47,","),FIND($A$2,Lines!E47))-FIND($A$2,Lines!E47)-LEN($A$2)-1))</f>
        <v/>
      </c>
      <c r="F47" s="30" t="str">
        <f>IF(ISERROR(FIND($A$2,Lines!F47))=TRUE,"",MID(Lines!F47,FIND($A$2,Lines!F47)+LEN($A$2)+1,FIND(",",_xlfn.CONCAT(Lines!F47,","),FIND($A$2,Lines!F47))-FIND($A$2,Lines!F47)-LEN($A$2)-1))</f>
        <v/>
      </c>
      <c r="G47" s="30" t="str">
        <f>IF(ISERROR(FIND($A$2,Lines!G47))=TRUE,"",MID(Lines!G47,FIND($A$2,Lines!G47)+LEN($A$2)+1,FIND(",",_xlfn.CONCAT(Lines!G47,","),FIND($A$2,Lines!G47))-FIND($A$2,Lines!G47)-LEN($A$2)-1))</f>
        <v/>
      </c>
      <c r="H47" s="30" t="str">
        <f>IF(ISERROR(FIND($A$2,Lines!H47))=TRUE,"",MID(Lines!H47,FIND($A$2,Lines!H47)+LEN($A$2)+1,FIND(",",_xlfn.CONCAT(Lines!H47,","),FIND($A$2,Lines!H47))-FIND($A$2,Lines!H47)-LEN($A$2)-1))</f>
        <v/>
      </c>
      <c r="I47" s="30" t="str">
        <f>IF(ISERROR(FIND($A$2,Lines!I47))=TRUE,"",MID(Lines!I47,FIND($A$2,Lines!I47)+LEN($A$2)+1,FIND(",",_xlfn.CONCAT(Lines!I47,","),FIND($A$2,Lines!I47))-FIND($A$2,Lines!I47)-LEN($A$2)-1))</f>
        <v/>
      </c>
      <c r="J47" s="30" t="str">
        <f>IF(ISERROR(FIND($A$2,Lines!J47))=TRUE,"",MID(Lines!J47,FIND($A$2,Lines!J47)+LEN($A$2)+1,FIND(",",_xlfn.CONCAT(Lines!J47,","),FIND($A$2,Lines!J47))-FIND($A$2,Lines!J47)-LEN($A$2)-1))</f>
        <v/>
      </c>
      <c r="K47" s="30" t="str">
        <f>IF(ISERROR(FIND($A$2,Lines!K47))=TRUE,"",MID(Lines!K47,FIND($A$2,Lines!K47)+LEN($A$2)+1,FIND(",",_xlfn.CONCAT(Lines!K47,","),FIND($A$2,Lines!K47))-FIND($A$2,Lines!K47)-LEN($A$2)-1))</f>
        <v/>
      </c>
      <c r="L47" s="30" t="str">
        <f>IF(ISERROR(FIND($A$2,Lines!L47))=TRUE,"",MID(Lines!L47,FIND($A$2,Lines!L47)+LEN($A$2)+1,FIND(",",_xlfn.CONCAT(Lines!L47,","),FIND($A$2,Lines!L47))-FIND($A$2,Lines!L47)-LEN($A$2)-1))</f>
        <v/>
      </c>
      <c r="M47" s="30" t="str">
        <f>IF(ISERROR(FIND($A$2,Lines!M47))=TRUE,"",MID(Lines!M47,FIND($A$2,Lines!M47)+LEN($A$2)+1,FIND(",",_xlfn.CONCAT(Lines!M47,","),FIND($A$2,Lines!M47))-FIND($A$2,Lines!M47)-LEN($A$2)-1))</f>
        <v/>
      </c>
      <c r="N47" s="30" t="str">
        <f>IF(ISERROR(FIND($A$2,Lines!N47))=TRUE,"",MID(Lines!N47,FIND($A$2,Lines!N47)+LEN($A$2)+1,FIND(",",_xlfn.CONCAT(Lines!N47,","),FIND($A$2,Lines!N47))-FIND($A$2,Lines!N47)-LEN($A$2)-1))</f>
        <v/>
      </c>
      <c r="O47" s="30" t="str">
        <f>IF(ISERROR(FIND($A$2,Lines!O47))=TRUE,"",MID(Lines!O47,FIND($A$2,Lines!O47)+LEN($A$2)+1,FIND(",",_xlfn.CONCAT(Lines!O47,","),FIND($A$2,Lines!O47))-FIND($A$2,Lines!O47)-LEN($A$2)-1))</f>
        <v/>
      </c>
      <c r="P47" s="30" t="str">
        <f>IF(ISERROR(FIND($A$2,Lines!P47))=TRUE,"",MID(Lines!P47,FIND($A$2,Lines!P47)+LEN($A$2)+1,FIND(",",_xlfn.CONCAT(Lines!P47,","),FIND($A$2,Lines!P47))-FIND($A$2,Lines!P47)-LEN($A$2)-1))</f>
        <v/>
      </c>
      <c r="Q47" s="30" t="str">
        <f>IF(ISERROR(FIND($A$2,Lines!Q47))=TRUE,"",MID(Lines!Q47,FIND($A$2,Lines!Q47)+LEN($A$2)+1,FIND(",",_xlfn.CONCAT(Lines!Q47,","),FIND($A$2,Lines!Q47))-FIND($A$2,Lines!Q47)-LEN($A$2)-1))</f>
        <v/>
      </c>
      <c r="R47" s="30" t="str">
        <f>IF(ISERROR(FIND($A$2,Lines!R47))=TRUE,"",MID(Lines!R47,FIND($A$2,Lines!R47)+LEN($A$2)+1,FIND(",",_xlfn.CONCAT(Lines!R47,","),FIND($A$2,Lines!R47))-FIND($A$2,Lines!R47)-LEN($A$2)-1))</f>
        <v/>
      </c>
      <c r="S47" s="30" t="str">
        <f>IF(ISERROR(FIND($A$2,Lines!S47))=TRUE,"",MID(Lines!S47,FIND($A$2,Lines!S47)+LEN($A$2)+1,FIND(",",_xlfn.CONCAT(Lines!S47,","),FIND($A$2,Lines!S47))-FIND($A$2,Lines!S47)-LEN($A$2)-1))</f>
        <v/>
      </c>
      <c r="T47" s="30" t="str">
        <f>IF(ISERROR(FIND($A$2,Lines!T47))=TRUE,"",MID(Lines!T47,FIND($A$2,Lines!T47)+LEN($A$2)+1,FIND(",",_xlfn.CONCAT(Lines!T47,","),FIND($A$2,Lines!T47))-FIND($A$2,Lines!T47)-LEN($A$2)-1))</f>
        <v/>
      </c>
      <c r="U47" s="30" t="str">
        <f>IF(ISERROR(FIND($A$2,Lines!U47))=TRUE,"",MID(Lines!U47,FIND($A$2,Lines!U47)+LEN($A$2)+1,FIND(",",_xlfn.CONCAT(Lines!U47,","),FIND($A$2,Lines!U47))-FIND($A$2,Lines!U47)-LEN($A$2)-1))</f>
        <v/>
      </c>
      <c r="V47" s="30" t="str">
        <f>IF(ISERROR(FIND($A$2,Lines!V47))=TRUE,"",MID(Lines!V47,FIND($A$2,Lines!V47)+LEN($A$2)+1,FIND(",",_xlfn.CONCAT(Lines!V47,","),FIND($A$2,Lines!V47))-FIND($A$2,Lines!V47)-LEN($A$2)-1))</f>
        <v/>
      </c>
      <c r="W47" s="36" t="str">
        <f>IF(ISERROR(FIND($A$2,Lines!W47))=TRUE,"",MID(Lines!W47,FIND($A$2,Lines!W47)+LEN($A$2)+1,FIND(",",_xlfn.CONCAT(Lines!W47,","),FIND($A$2,Lines!W47))-FIND($A$2,Lines!W47)-LEN($A$2)-1))</f>
        <v/>
      </c>
      <c r="X47" s="30" t="str">
        <f>IF(ISERROR(FIND($A$2,Lines!X47))=TRUE,"",MID(Lines!X47,FIND($A$2,Lines!X47)+LEN($A$2)+1,FIND(",",_xlfn.CONCAT(Lines!X47,","),FIND($A$2,Lines!X47))-FIND($A$2,Lines!X47)-LEN($A$2)-1))</f>
        <v/>
      </c>
      <c r="Y47" s="30" t="str">
        <f>IF(ISERROR(FIND($A$2,Lines!Y47))=TRUE,"",MID(Lines!Y47,FIND($A$2,Lines!Y47)+LEN($A$2)+1,FIND(",",_xlfn.CONCAT(Lines!Y47,","),FIND($A$2,Lines!Y47))-FIND($A$2,Lines!Y47)-LEN($A$2)-1))</f>
        <v/>
      </c>
      <c r="Z47" s="30" t="str">
        <f>IF(ISERROR(FIND($A$2,Lines!Z47))=TRUE,"",MID(Lines!Z47,FIND($A$2,Lines!Z47)+LEN($A$2)+1,FIND(",",_xlfn.CONCAT(Lines!Z47,","),FIND($A$2,Lines!Z47))-FIND($A$2,Lines!Z47)-LEN($A$2)-1))</f>
        <v/>
      </c>
      <c r="AA47" s="30" t="str">
        <f>IF(ISERROR(FIND($A$2,Lines!AA47))=TRUE,"",MID(Lines!AA47,FIND($A$2,Lines!AA47)+LEN($A$2)+1,FIND(",",_xlfn.CONCAT(Lines!AA47,","),FIND($A$2,Lines!AA47))-FIND($A$2,Lines!AA47)-LEN($A$2)-1))</f>
        <v/>
      </c>
      <c r="AB47" s="30" t="str">
        <f>IF(ISERROR(FIND($A$2,Lines!AB47))=TRUE,"",MID(Lines!AB47,FIND($A$2,Lines!AB47)+LEN($A$2)+1,FIND(",",_xlfn.CONCAT(Lines!AB47,","),FIND($A$2,Lines!AB47))-FIND($A$2,Lines!AB47)-LEN($A$2)-1))</f>
        <v/>
      </c>
      <c r="AC47" s="30" t="str">
        <f>IF(ISERROR(FIND($A$2,Lines!AC47))=TRUE,"",MID(Lines!AC47,FIND($A$2,Lines!AC47)+LEN($A$2)+1,FIND(",",_xlfn.CONCAT(Lines!AC47,","),FIND($A$2,Lines!AC47))-FIND($A$2,Lines!AC47)-LEN($A$2)-1))</f>
        <v/>
      </c>
      <c r="AD47" s="30" t="str">
        <f>IF(ISERROR(FIND($A$2,Lines!AD47))=TRUE,"",MID(Lines!AD47,FIND($A$2,Lines!AD47)+LEN($A$2)+1,FIND(",",_xlfn.CONCAT(Lines!AD47,","),FIND($A$2,Lines!AD47))-FIND($A$2,Lines!AD47)-LEN($A$2)-1))</f>
        <v/>
      </c>
      <c r="AE47" s="30" t="str">
        <f>IF(ISERROR(FIND($A$2,Lines!AE47))=TRUE,"",MID(Lines!AE47,FIND($A$2,Lines!AE47)+LEN($A$2)+1,FIND(",",_xlfn.CONCAT(Lines!AE47,","),FIND($A$2,Lines!AE47))-FIND($A$2,Lines!AE47)-LEN($A$2)-1))</f>
        <v/>
      </c>
      <c r="AF47" s="30" t="str">
        <f>IF(ISERROR(FIND($A$2,Lines!AF47))=TRUE,"",MID(Lines!AF47,FIND($A$2,Lines!AF47)+LEN($A$2)+1,FIND(",",_xlfn.CONCAT(Lines!AF47,","),FIND($A$2,Lines!AF47))-FIND($A$2,Lines!AF47)-LEN($A$2)-1))</f>
        <v/>
      </c>
      <c r="AG47" s="30" t="str">
        <f>IF(ISERROR(FIND($A$2,Lines!AG47))=TRUE,"",MID(Lines!AG47,FIND($A$2,Lines!AG47)+LEN($A$2)+1,FIND(",",_xlfn.CONCAT(Lines!AG47,","),FIND($A$2,Lines!AG47))-FIND($A$2,Lines!AG47)-LEN($A$2)-1))</f>
        <v/>
      </c>
      <c r="AH47" s="30" t="str">
        <f>IF(ISERROR(FIND($A$2,Lines!AH47))=TRUE,"",MID(Lines!AH47,FIND($A$2,Lines!AH47)+LEN($A$2)+1,FIND(",",_xlfn.CONCAT(Lines!AH47,","),FIND($A$2,Lines!AH47))-FIND($A$2,Lines!AH47)-LEN($A$2)-1))</f>
        <v/>
      </c>
      <c r="AI47" s="30" t="str">
        <f>IF(ISERROR(FIND($A$2,Lines!AI47))=TRUE,"",MID(Lines!AI47,FIND($A$2,Lines!AI47)+LEN($A$2)+1,FIND(",",_xlfn.CONCAT(Lines!AI47,","),FIND($A$2,Lines!AI47))-FIND($A$2,Lines!AI47)-LEN($A$2)-1))</f>
        <v/>
      </c>
      <c r="AJ47" s="30" t="str">
        <f>IF(ISERROR(FIND($A$2,Lines!AJ47))=TRUE,"",MID(Lines!AJ47,FIND($A$2,Lines!AJ47)+LEN($A$2)+1,FIND(",",_xlfn.CONCAT(Lines!AJ47,","),FIND($A$2,Lines!AJ47))-FIND($A$2,Lines!AJ47)-LEN($A$2)-1))</f>
        <v/>
      </c>
      <c r="AK47" s="30" t="str">
        <f>IF(ISERROR(FIND($A$2,Lines!AK47))=TRUE,"",MID(Lines!AK47,FIND($A$2,Lines!AK47)+LEN($A$2)+1,FIND(",",_xlfn.CONCAT(Lines!AK47,","),FIND($A$2,Lines!AK47))-FIND($A$2,Lines!AK47)-LEN($A$2)-1))</f>
        <v/>
      </c>
      <c r="AL47" s="30" t="str">
        <f>IF(ISERROR(FIND($A$2,Lines!AL47))=TRUE,"",MID(Lines!AL47,FIND($A$2,Lines!AL47)+LEN($A$2)+1,FIND(",",_xlfn.CONCAT(Lines!AL47,","),FIND($A$2,Lines!AL47))-FIND($A$2,Lines!AL47)-LEN($A$2)-1))</f>
        <v/>
      </c>
      <c r="AM47" s="30" t="str">
        <f>IF(ISERROR(FIND($A$2,Lines!AM47))=TRUE,"",MID(Lines!AM47,FIND($A$2,Lines!AM47)+LEN($A$2)+1,FIND(",",_xlfn.CONCAT(Lines!AM47,","),FIND($A$2,Lines!AM47))-FIND($A$2,Lines!AM47)-LEN($A$2)-1))</f>
        <v/>
      </c>
      <c r="AN47" s="30" t="str">
        <f>IF(ISERROR(FIND($A$2,Lines!AN47))=TRUE,"",MID(Lines!AN47,FIND($A$2,Lines!AN47)+LEN($A$2)+1,FIND(",",_xlfn.CONCAT(Lines!AN47,","),FIND($A$2,Lines!AN47))-FIND($A$2,Lines!AN47)-LEN($A$2)-1))</f>
        <v/>
      </c>
      <c r="AO47" s="30" t="str">
        <f>IF(ISERROR(FIND($A$2,Lines!AO47))=TRUE,"",MID(Lines!AO47,FIND($A$2,Lines!AO47)+LEN($A$2)+1,FIND(",",_xlfn.CONCAT(Lines!AO47,","),FIND($A$2,Lines!AO47))-FIND($A$2,Lines!AO47)-LEN($A$2)-1))</f>
        <v/>
      </c>
      <c r="AP47" s="57" t="str">
        <f>IF(ISERROR(FIND($A$2,Lines!AP47))=TRUE,"",MID(Lines!AP47,FIND($A$2,Lines!AP47)+LEN($A$2)+1,FIND(",",_xlfn.CONCAT(Lines!AP47,","),FIND($A$2,Lines!AP47))-FIND($A$2,Lines!AP47)-LEN($A$2)-1))</f>
        <v/>
      </c>
      <c r="AQ47" s="44" t="str">
        <f>IF(ISERROR(FIND($A$2,Lines!AQ47))=TRUE,"",MID(Lines!AQ47,FIND($A$2,Lines!AQ47)+LEN($A$2)+1,FIND(",",_xlfn.CONCAT(Lines!AQ47,","),FIND($A$2,Lines!AQ47))-FIND($A$2,Lines!AQ47)-LEN($A$2)-1))</f>
        <v/>
      </c>
      <c r="AR47" s="44" t="str">
        <f>IF(ISERROR(FIND($A$2,Lines!AR47))=TRUE,"",MID(Lines!AR47,FIND($A$2,Lines!AR47)+LEN($A$2)+1,FIND(",",_xlfn.CONCAT(Lines!AR47,","),FIND($A$2,Lines!AR47))-FIND($A$2,Lines!AR47)-LEN($A$2)-1))</f>
        <v/>
      </c>
      <c r="AS47" s="66" t="str">
        <f>IF(ISERROR(FIND($A$2,Lines!AS47))=TRUE,"",MID(Lines!AS47,FIND($A$2,Lines!AS47)+LEN($A$2)+1,FIND(",",_xlfn.CONCAT(Lines!AS47,","),FIND($A$2,Lines!AS47))-FIND($A$2,Lines!AS47)-LEN($A$2)-1))</f>
        <v/>
      </c>
      <c r="AT47" s="44" t="str">
        <f>IF(ISERROR(FIND($A$2,Lines!AT47))=TRUE,"",MID(Lines!AT47,FIND($A$2,Lines!AT47)+LEN($A$2)+1,FIND(",",_xlfn.CONCAT(Lines!AT47,","),FIND($A$2,Lines!AT47))-FIND($A$2,Lines!AT47)-LEN($A$2)-1))</f>
        <v/>
      </c>
    </row>
    <row r="48" spans="1:46" ht="20.25" customHeight="1">
      <c r="A48" s="2" t="s">
        <v>96</v>
      </c>
      <c r="B48" s="30" t="str">
        <f>IF(ISERROR(FIND($A$2,Lines!B48))=TRUE,"",MID(Lines!B48,FIND($A$2,Lines!B48)+LEN($A$2)+1,FIND(",",_xlfn.CONCAT(Lines!B48,","),FIND($A$2,Lines!B48))-FIND($A$2,Lines!B48)-LEN($A$2)-1))</f>
        <v/>
      </c>
      <c r="C48" s="30" t="str">
        <f>IF(ISERROR(FIND($A$2,Lines!C48))=TRUE,"",MID(Lines!C48,FIND($A$2,Lines!C48)+LEN($A$2)+1,FIND(",",_xlfn.CONCAT(Lines!C48,","),FIND($A$2,Lines!C48))-FIND($A$2,Lines!C48)-LEN($A$2)-1))</f>
        <v/>
      </c>
      <c r="D48" s="30" t="str">
        <f>IF(ISERROR(FIND($A$2,Lines!D48))=TRUE,"",MID(Lines!D48,FIND($A$2,Lines!D48)+LEN($A$2)+1,FIND(",",_xlfn.CONCAT(Lines!D48,","),FIND($A$2,Lines!D48))-FIND($A$2,Lines!D48)-LEN($A$2)-1))</f>
        <v/>
      </c>
      <c r="E48" s="30" t="str">
        <f>IF(ISERROR(FIND($A$2,Lines!E48))=TRUE,"",MID(Lines!E48,FIND($A$2,Lines!E48)+LEN($A$2)+1,FIND(",",_xlfn.CONCAT(Lines!E48,","),FIND($A$2,Lines!E48))-FIND($A$2,Lines!E48)-LEN($A$2)-1))</f>
        <v/>
      </c>
      <c r="F48" s="30" t="str">
        <f>IF(ISERROR(FIND($A$2,Lines!F48))=TRUE,"",MID(Lines!F48,FIND($A$2,Lines!F48)+LEN($A$2)+1,FIND(",",_xlfn.CONCAT(Lines!F48,","),FIND($A$2,Lines!F48))-FIND($A$2,Lines!F48)-LEN($A$2)-1))</f>
        <v/>
      </c>
      <c r="G48" s="30" t="str">
        <f>IF(ISERROR(FIND($A$2,Lines!G48))=TRUE,"",MID(Lines!G48,FIND($A$2,Lines!G48)+LEN($A$2)+1,FIND(",",_xlfn.CONCAT(Lines!G48,","),FIND($A$2,Lines!G48))-FIND($A$2,Lines!G48)-LEN($A$2)-1))</f>
        <v/>
      </c>
      <c r="H48" s="30" t="str">
        <f>IF(ISERROR(FIND($A$2,Lines!H48))=TRUE,"",MID(Lines!H48,FIND($A$2,Lines!H48)+LEN($A$2)+1,FIND(",",_xlfn.CONCAT(Lines!H48,","),FIND($A$2,Lines!H48))-FIND($A$2,Lines!H48)-LEN($A$2)-1))</f>
        <v/>
      </c>
      <c r="I48" s="30" t="str">
        <f>IF(ISERROR(FIND($A$2,Lines!I48))=TRUE,"",MID(Lines!I48,FIND($A$2,Lines!I48)+LEN($A$2)+1,FIND(",",_xlfn.CONCAT(Lines!I48,","),FIND($A$2,Lines!I48))-FIND($A$2,Lines!I48)-LEN($A$2)-1))</f>
        <v/>
      </c>
      <c r="J48" s="30" t="str">
        <f>IF(ISERROR(FIND($A$2,Lines!J48))=TRUE,"",MID(Lines!J48,FIND($A$2,Lines!J48)+LEN($A$2)+1,FIND(",",_xlfn.CONCAT(Lines!J48,","),FIND($A$2,Lines!J48))-FIND($A$2,Lines!J48)-LEN($A$2)-1))</f>
        <v/>
      </c>
      <c r="K48" s="30" t="str">
        <f>IF(ISERROR(FIND($A$2,Lines!K48))=TRUE,"",MID(Lines!K48,FIND($A$2,Lines!K48)+LEN($A$2)+1,FIND(",",_xlfn.CONCAT(Lines!K48,","),FIND($A$2,Lines!K48))-FIND($A$2,Lines!K48)-LEN($A$2)-1))</f>
        <v/>
      </c>
      <c r="L48" s="30" t="str">
        <f>IF(ISERROR(FIND($A$2,Lines!L48))=TRUE,"",MID(Lines!L48,FIND($A$2,Lines!L48)+LEN($A$2)+1,FIND(",",_xlfn.CONCAT(Lines!L48,","),FIND($A$2,Lines!L48))-FIND($A$2,Lines!L48)-LEN($A$2)-1))</f>
        <v/>
      </c>
      <c r="M48" s="30" t="str">
        <f>IF(ISERROR(FIND($A$2,Lines!M48))=TRUE,"",MID(Lines!M48,FIND($A$2,Lines!M48)+LEN($A$2)+1,FIND(",",_xlfn.CONCAT(Lines!M48,","),FIND($A$2,Lines!M48))-FIND($A$2,Lines!M48)-LEN($A$2)-1))</f>
        <v/>
      </c>
      <c r="N48" s="30" t="str">
        <f>IF(ISERROR(FIND($A$2,Lines!N48))=TRUE,"",MID(Lines!N48,FIND($A$2,Lines!N48)+LEN($A$2)+1,FIND(",",_xlfn.CONCAT(Lines!N48,","),FIND($A$2,Lines!N48))-FIND($A$2,Lines!N48)-LEN($A$2)-1))</f>
        <v/>
      </c>
      <c r="O48" s="30" t="str">
        <f>IF(ISERROR(FIND($A$2,Lines!O48))=TRUE,"",MID(Lines!O48,FIND($A$2,Lines!O48)+LEN($A$2)+1,FIND(",",_xlfn.CONCAT(Lines!O48,","),FIND($A$2,Lines!O48))-FIND($A$2,Lines!O48)-LEN($A$2)-1))</f>
        <v/>
      </c>
      <c r="P48" s="30" t="str">
        <f>IF(ISERROR(FIND($A$2,Lines!P48))=TRUE,"",MID(Lines!P48,FIND($A$2,Lines!P48)+LEN($A$2)+1,FIND(",",_xlfn.CONCAT(Lines!P48,","),FIND($A$2,Lines!P48))-FIND($A$2,Lines!P48)-LEN($A$2)-1))</f>
        <v/>
      </c>
      <c r="Q48" s="30" t="str">
        <f>IF(ISERROR(FIND($A$2,Lines!Q48))=TRUE,"",MID(Lines!Q48,FIND($A$2,Lines!Q48)+LEN($A$2)+1,FIND(",",_xlfn.CONCAT(Lines!Q48,","),FIND($A$2,Lines!Q48))-FIND($A$2,Lines!Q48)-LEN($A$2)-1))</f>
        <v/>
      </c>
      <c r="R48" s="30" t="str">
        <f>IF(ISERROR(FIND($A$2,Lines!R48))=TRUE,"",MID(Lines!R48,FIND($A$2,Lines!R48)+LEN($A$2)+1,FIND(",",_xlfn.CONCAT(Lines!R48,","),FIND($A$2,Lines!R48))-FIND($A$2,Lines!R48)-LEN($A$2)-1))</f>
        <v/>
      </c>
      <c r="S48" s="30" t="str">
        <f>IF(ISERROR(FIND($A$2,Lines!S48))=TRUE,"",MID(Lines!S48,FIND($A$2,Lines!S48)+LEN($A$2)+1,FIND(",",_xlfn.CONCAT(Lines!S48,","),FIND($A$2,Lines!S48))-FIND($A$2,Lines!S48)-LEN($A$2)-1))</f>
        <v/>
      </c>
      <c r="T48" s="30" t="str">
        <f>IF(ISERROR(FIND($A$2,Lines!T48))=TRUE,"",MID(Lines!T48,FIND($A$2,Lines!T48)+LEN($A$2)+1,FIND(",",_xlfn.CONCAT(Lines!T48,","),FIND($A$2,Lines!T48))-FIND($A$2,Lines!T48)-LEN($A$2)-1))</f>
        <v/>
      </c>
      <c r="U48" s="30" t="str">
        <f>IF(ISERROR(FIND($A$2,Lines!U48))=TRUE,"",MID(Lines!U48,FIND($A$2,Lines!U48)+LEN($A$2)+1,FIND(",",_xlfn.CONCAT(Lines!U48,","),FIND($A$2,Lines!U48))-FIND($A$2,Lines!U48)-LEN($A$2)-1))</f>
        <v/>
      </c>
      <c r="V48" s="30" t="str">
        <f>IF(ISERROR(FIND($A$2,Lines!V48))=TRUE,"",MID(Lines!V48,FIND($A$2,Lines!V48)+LEN($A$2)+1,FIND(",",_xlfn.CONCAT(Lines!V48,","),FIND($A$2,Lines!V48))-FIND($A$2,Lines!V48)-LEN($A$2)-1))</f>
        <v/>
      </c>
      <c r="W48" s="36" t="str">
        <f>IF(ISERROR(FIND($A$2,Lines!W48))=TRUE,"",MID(Lines!W48,FIND($A$2,Lines!W48)+LEN($A$2)+1,FIND(",",_xlfn.CONCAT(Lines!W48,","),FIND($A$2,Lines!W48))-FIND($A$2,Lines!W48)-LEN($A$2)-1))</f>
        <v/>
      </c>
      <c r="X48" s="30" t="str">
        <f>IF(ISERROR(FIND($A$2,Lines!X48))=TRUE,"",MID(Lines!X48,FIND($A$2,Lines!X48)+LEN($A$2)+1,FIND(",",_xlfn.CONCAT(Lines!X48,","),FIND($A$2,Lines!X48))-FIND($A$2,Lines!X48)-LEN($A$2)-1))</f>
        <v/>
      </c>
      <c r="Y48" s="30" t="str">
        <f>IF(ISERROR(FIND($A$2,Lines!Y48))=TRUE,"",MID(Lines!Y48,FIND($A$2,Lines!Y48)+LEN($A$2)+1,FIND(",",_xlfn.CONCAT(Lines!Y48,","),FIND($A$2,Lines!Y48))-FIND($A$2,Lines!Y48)-LEN($A$2)-1))</f>
        <v/>
      </c>
      <c r="Z48" s="30" t="str">
        <f>IF(ISERROR(FIND($A$2,Lines!Z48))=TRUE,"",MID(Lines!Z48,FIND($A$2,Lines!Z48)+LEN($A$2)+1,FIND(",",_xlfn.CONCAT(Lines!Z48,","),FIND($A$2,Lines!Z48))-FIND($A$2,Lines!Z48)-LEN($A$2)-1))</f>
        <v/>
      </c>
      <c r="AA48" s="30" t="str">
        <f>IF(ISERROR(FIND($A$2,Lines!AA48))=TRUE,"",MID(Lines!AA48,FIND($A$2,Lines!AA48)+LEN($A$2)+1,FIND(",",_xlfn.CONCAT(Lines!AA48,","),FIND($A$2,Lines!AA48))-FIND($A$2,Lines!AA48)-LEN($A$2)-1))</f>
        <v/>
      </c>
      <c r="AB48" s="30" t="str">
        <f>IF(ISERROR(FIND($A$2,Lines!AB48))=TRUE,"",MID(Lines!AB48,FIND($A$2,Lines!AB48)+LEN($A$2)+1,FIND(",",_xlfn.CONCAT(Lines!AB48,","),FIND($A$2,Lines!AB48))-FIND($A$2,Lines!AB48)-LEN($A$2)-1))</f>
        <v/>
      </c>
      <c r="AC48" s="30" t="str">
        <f>IF(ISERROR(FIND($A$2,Lines!AC48))=TRUE,"",MID(Lines!AC48,FIND($A$2,Lines!AC48)+LEN($A$2)+1,FIND(",",_xlfn.CONCAT(Lines!AC48,","),FIND($A$2,Lines!AC48))-FIND($A$2,Lines!AC48)-LEN($A$2)-1))</f>
        <v/>
      </c>
      <c r="AD48" s="30" t="str">
        <f>IF(ISERROR(FIND($A$2,Lines!AD48))=TRUE,"",MID(Lines!AD48,FIND($A$2,Lines!AD48)+LEN($A$2)+1,FIND(",",_xlfn.CONCAT(Lines!AD48,","),FIND($A$2,Lines!AD48))-FIND($A$2,Lines!AD48)-LEN($A$2)-1))</f>
        <v/>
      </c>
      <c r="AE48" s="30" t="str">
        <f>IF(ISERROR(FIND($A$2,Lines!AE48))=TRUE,"",MID(Lines!AE48,FIND($A$2,Lines!AE48)+LEN($A$2)+1,FIND(",",_xlfn.CONCAT(Lines!AE48,","),FIND($A$2,Lines!AE48))-FIND($A$2,Lines!AE48)-LEN($A$2)-1))</f>
        <v/>
      </c>
      <c r="AF48" s="30" t="str">
        <f>IF(ISERROR(FIND($A$2,Lines!AF48))=TRUE,"",MID(Lines!AF48,FIND($A$2,Lines!AF48)+LEN($A$2)+1,FIND(",",_xlfn.CONCAT(Lines!AF48,","),FIND($A$2,Lines!AF48))-FIND($A$2,Lines!AF48)-LEN($A$2)-1))</f>
        <v/>
      </c>
      <c r="AG48" s="30" t="str">
        <f>IF(ISERROR(FIND($A$2,Lines!AG48))=TRUE,"",MID(Lines!AG48,FIND($A$2,Lines!AG48)+LEN($A$2)+1,FIND(",",_xlfn.CONCAT(Lines!AG48,","),FIND($A$2,Lines!AG48))-FIND($A$2,Lines!AG48)-LEN($A$2)-1))</f>
        <v/>
      </c>
      <c r="AH48" s="30" t="str">
        <f>IF(ISERROR(FIND($A$2,Lines!AH48))=TRUE,"",MID(Lines!AH48,FIND($A$2,Lines!AH48)+LEN($A$2)+1,FIND(",",_xlfn.CONCAT(Lines!AH48,","),FIND($A$2,Lines!AH48))-FIND($A$2,Lines!AH48)-LEN($A$2)-1))</f>
        <v/>
      </c>
      <c r="AI48" s="30" t="str">
        <f>IF(ISERROR(FIND($A$2,Lines!AI48))=TRUE,"",MID(Lines!AI48,FIND($A$2,Lines!AI48)+LEN($A$2)+1,FIND(",",_xlfn.CONCAT(Lines!AI48,","),FIND($A$2,Lines!AI48))-FIND($A$2,Lines!AI48)-LEN($A$2)-1))</f>
        <v/>
      </c>
      <c r="AJ48" s="30" t="str">
        <f>IF(ISERROR(FIND($A$2,Lines!AJ48))=TRUE,"",MID(Lines!AJ48,FIND($A$2,Lines!AJ48)+LEN($A$2)+1,FIND(",",_xlfn.CONCAT(Lines!AJ48,","),FIND($A$2,Lines!AJ48))-FIND($A$2,Lines!AJ48)-LEN($A$2)-1))</f>
        <v/>
      </c>
      <c r="AK48" s="30" t="str">
        <f>IF(ISERROR(FIND($A$2,Lines!AK48))=TRUE,"",MID(Lines!AK48,FIND($A$2,Lines!AK48)+LEN($A$2)+1,FIND(",",_xlfn.CONCAT(Lines!AK48,","),FIND($A$2,Lines!AK48))-FIND($A$2,Lines!AK48)-LEN($A$2)-1))</f>
        <v/>
      </c>
      <c r="AL48" s="30" t="str">
        <f>IF(ISERROR(FIND($A$2,Lines!AL48))=TRUE,"",MID(Lines!AL48,FIND($A$2,Lines!AL48)+LEN($A$2)+1,FIND(",",_xlfn.CONCAT(Lines!AL48,","),FIND($A$2,Lines!AL48))-FIND($A$2,Lines!AL48)-LEN($A$2)-1))</f>
        <v/>
      </c>
      <c r="AM48" s="30" t="str">
        <f>IF(ISERROR(FIND($A$2,Lines!AM48))=TRUE,"",MID(Lines!AM48,FIND($A$2,Lines!AM48)+LEN($A$2)+1,FIND(",",_xlfn.CONCAT(Lines!AM48,","),FIND($A$2,Lines!AM48))-FIND($A$2,Lines!AM48)-LEN($A$2)-1))</f>
        <v/>
      </c>
      <c r="AN48" s="30" t="str">
        <f>IF(ISERROR(FIND($A$2,Lines!AN48))=TRUE,"",MID(Lines!AN48,FIND($A$2,Lines!AN48)+LEN($A$2)+1,FIND(",",_xlfn.CONCAT(Lines!AN48,","),FIND($A$2,Lines!AN48))-FIND($A$2,Lines!AN48)-LEN($A$2)-1))</f>
        <v/>
      </c>
      <c r="AO48" s="30" t="str">
        <f>IF(ISERROR(FIND($A$2,Lines!AO48))=TRUE,"",MID(Lines!AO48,FIND($A$2,Lines!AO48)+LEN($A$2)+1,FIND(",",_xlfn.CONCAT(Lines!AO48,","),FIND($A$2,Lines!AO48))-FIND($A$2,Lines!AO48)-LEN($A$2)-1))</f>
        <v/>
      </c>
      <c r="AP48" s="57" t="str">
        <f>IF(ISERROR(FIND($A$2,Lines!AP48))=TRUE,"",MID(Lines!AP48,FIND($A$2,Lines!AP48)+LEN($A$2)+1,FIND(",",_xlfn.CONCAT(Lines!AP48,","),FIND($A$2,Lines!AP48))-FIND($A$2,Lines!AP48)-LEN($A$2)-1))</f>
        <v/>
      </c>
      <c r="AQ48" s="44" t="str">
        <f>IF(ISERROR(FIND($A$2,Lines!AQ48))=TRUE,"",MID(Lines!AQ48,FIND($A$2,Lines!AQ48)+LEN($A$2)+1,FIND(",",_xlfn.CONCAT(Lines!AQ48,","),FIND($A$2,Lines!AQ48))-FIND($A$2,Lines!AQ48)-LEN($A$2)-1))</f>
        <v/>
      </c>
      <c r="AR48" s="44" t="str">
        <f>IF(ISERROR(FIND($A$2,Lines!AR48))=TRUE,"",MID(Lines!AR48,FIND($A$2,Lines!AR48)+LEN($A$2)+1,FIND(",",_xlfn.CONCAT(Lines!AR48,","),FIND($A$2,Lines!AR48))-FIND($A$2,Lines!AR48)-LEN($A$2)-1))</f>
        <v/>
      </c>
      <c r="AS48" s="44" t="str">
        <f>IF(ISERROR(FIND($A$2,Lines!AS48))=TRUE,"",MID(Lines!AS48,FIND($A$2,Lines!AS48)+LEN($A$2)+1,FIND(",",_xlfn.CONCAT(Lines!AS48,","),FIND($A$2,Lines!AS48))-FIND($A$2,Lines!AS48)-LEN($A$2)-1))</f>
        <v/>
      </c>
      <c r="AT48" s="66" t="str">
        <f>IF(ISERROR(FIND($A$2,Lines!AT48))=TRUE,"",MID(Lines!AT48,FIND($A$2,Lines!AT48)+LEN($A$2)+1,FIND(",",_xlfn.CONCAT(Lines!AT48,","),FIND($A$2,Lines!AT48))-FIND($A$2,Lines!AT48)-LEN($A$2)-1))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57"/>
  <sheetViews>
    <sheetView zoomScale="150" zoomScaleNormal="160" zoomScalePageLayoutView="160" workbookViewId="0">
      <selection activeCell="I4" sqref="I4:K4"/>
    </sheetView>
  </sheetViews>
  <sheetFormatPr baseColWidth="10" defaultColWidth="9.5" defaultRowHeight="20.25" customHeight="1"/>
  <cols>
    <col min="1" max="1" width="10.5" bestFit="1" customWidth="1"/>
    <col min="2" max="2" width="11.6640625" bestFit="1" customWidth="1"/>
    <col min="3" max="3" width="22.33203125" bestFit="1" customWidth="1"/>
    <col min="4" max="4" width="8.6640625" bestFit="1" customWidth="1"/>
    <col min="5" max="8" width="6.6640625" bestFit="1" customWidth="1"/>
    <col min="9" max="9" width="4.83203125" bestFit="1" customWidth="1"/>
    <col min="10" max="10" width="6.6640625" bestFit="1" customWidth="1"/>
    <col min="11" max="11" width="4.83203125" bestFit="1" customWidth="1"/>
    <col min="12" max="14" width="6.6640625" bestFit="1" customWidth="1"/>
    <col min="15" max="15" width="8.6640625" bestFit="1" customWidth="1"/>
    <col min="16" max="18" width="6.6640625" bestFit="1" customWidth="1"/>
    <col min="19" max="19" width="4.83203125" bestFit="1" customWidth="1"/>
    <col min="20" max="20" width="10.5" bestFit="1" customWidth="1"/>
    <col min="21" max="22" width="6.6640625" bestFit="1" customWidth="1"/>
    <col min="23" max="23" width="10.5" bestFit="1" customWidth="1"/>
    <col min="24" max="29" width="6.6640625" bestFit="1" customWidth="1"/>
    <col min="30" max="30" width="4.83203125" bestFit="1" customWidth="1"/>
    <col min="31" max="38" width="6.6640625" bestFit="1" customWidth="1"/>
    <col min="39" max="39" width="10.5" bestFit="1" customWidth="1"/>
    <col min="40" max="46" width="6.6640625" bestFit="1" customWidth="1"/>
  </cols>
  <sheetData>
    <row r="1" spans="1:46" ht="20.25" customHeight="1">
      <c r="B1" s="234"/>
      <c r="C1" s="234"/>
      <c r="D1" s="234"/>
      <c r="E1" s="234"/>
      <c r="F1" s="234"/>
      <c r="G1" s="1"/>
    </row>
    <row r="2" spans="1:46" ht="20.25" customHeight="1">
      <c r="A2" t="s">
        <v>216</v>
      </c>
      <c r="B2" s="1">
        <v>0.2</v>
      </c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IF(ISERROR(FIND($A$2,Lines!B4))=TRUE,"",MID(Lines!B4,FIND($A$2,Lines!B4)+LEN($A$2)+1,FIND(",",_xlfn.CONCAT(Lines!B4,","),FIND($A$2,Lines!B4))-FIND($A$2,Lines!B4)-LEN($A$2)-1))</f>
        <v/>
      </c>
      <c r="C4" s="26" t="str">
        <f>IF(ISERROR(FIND($A$2,Lines!C4))=TRUE,"",MID(Lines!C4,FIND($A$2,Lines!C4)+LEN($A$2)+1,FIND(",",_xlfn.CONCAT(Lines!C4,","),FIND($A$2,Lines!C4))-FIND($A$2,Lines!C4)-LEN($A$2)-1))</f>
        <v/>
      </c>
      <c r="D4" s="26" t="str">
        <f>IF(ISERROR(FIND($A$2,Lines!D4))=TRUE,"",MID(Lines!D4,FIND($A$2,Lines!D4)+LEN($A$2)+1,FIND(",",_xlfn.CONCAT(Lines!D4,","),FIND($A$2,Lines!D4))-FIND($A$2,Lines!D4)-LEN($A$2)-1))</f>
        <v/>
      </c>
      <c r="E4" s="26" t="str">
        <f>IF(ISERROR(FIND($A$2,Lines!E4))=TRUE,"",MID(Lines!E4,FIND($A$2,Lines!E4)+LEN($A$2)+1,FIND(",",_xlfn.CONCAT(Lines!E4,","),FIND($A$2,Lines!E4))-FIND($A$2,Lines!E4)-LEN($A$2)-1))</f>
        <v/>
      </c>
      <c r="F4" s="26" t="str">
        <f>IF(ISERROR(FIND($A$2,Lines!F4))=TRUE,"",MID(Lines!F4,FIND($A$2,Lines!F4)+LEN($A$2)+1,FIND(",",_xlfn.CONCAT(Lines!F4,","),FIND($A$2,Lines!F4))-FIND($A$2,Lines!F4)-LEN($A$2)-1))</f>
        <v/>
      </c>
      <c r="G4" s="26" t="str">
        <f>IF(ISERROR(FIND($A$2,Lines!G4))=TRUE,"",MID(Lines!G4,FIND($A$2,Lines!G4)+LEN($A$2)+1,FIND(",",_xlfn.CONCAT(Lines!G4,","),FIND($A$2,Lines!G4))-FIND($A$2,Lines!G4)-LEN($A$2)-1))</f>
        <v/>
      </c>
      <c r="H4" s="26" t="str">
        <f>IF(ISERROR(FIND($A$2,Lines!H4))=TRUE,"",MID(Lines!H4,FIND($A$2,Lines!H4)+LEN($A$2)+1,FIND(",",_xlfn.CONCAT(Lines!H4,","),FIND($A$2,Lines!H4))-FIND($A$2,Lines!H4)-LEN($A$2)-1))</f>
        <v>4</v>
      </c>
      <c r="I4" s="26" t="str">
        <f>IF(ISERROR(FIND($A$2,Lines!I4))=TRUE,"",MID(Lines!I4,FIND($A$2,Lines!I4)+LEN($A$2)+1,FIND(",",_xlfn.CONCAT(Lines!I4,","),FIND($A$2,Lines!I4))-FIND($A$2,Lines!I4)-LEN($A$2)-1))</f>
        <v/>
      </c>
      <c r="J4" s="26" t="str">
        <f>IF(ISERROR(FIND($A$2,Lines!J4))=TRUE,"",MID(Lines!J4,FIND($A$2,Lines!J4)+LEN($A$2)+1,FIND(",",_xlfn.CONCAT(Lines!J4,","),FIND($A$2,Lines!J4))-FIND($A$2,Lines!J4)-LEN($A$2)-1))</f>
        <v/>
      </c>
      <c r="K4" s="26" t="str">
        <f>IF(ISERROR(FIND($A$2,Lines!K4))=TRUE,"",MID(Lines!K4,FIND($A$2,Lines!K4)+LEN($A$2)+1,FIND(",",_xlfn.CONCAT(Lines!K4,","),FIND($A$2,Lines!K4))-FIND($A$2,Lines!K4)-LEN($A$2)-1))</f>
        <v/>
      </c>
      <c r="L4" s="26" t="str">
        <f>IF(ISERROR(FIND($A$2,Lines!L4))=TRUE,"",MID(Lines!L4,FIND($A$2,Lines!L4)+LEN($A$2)+1,FIND(",",_xlfn.CONCAT(Lines!L4,","),FIND($A$2,Lines!L4))-FIND($A$2,Lines!L4)-LEN($A$2)-1))</f>
        <v/>
      </c>
      <c r="M4" s="27" t="str">
        <f>IF(ISERROR(FIND($A$2,Lines!M4))=TRUE,"",MID(Lines!M4,FIND($A$2,Lines!M4)+LEN($A$2)+1,FIND(",",_xlfn.CONCAT(Lines!M4,","),FIND($A$2,Lines!M4))-FIND($A$2,Lines!M4)-LEN($A$2)-1))</f>
        <v/>
      </c>
      <c r="N4" s="30" t="str">
        <f>IF(ISERROR(FIND($A$2,Lines!N4))=TRUE,"",MID(Lines!N4,FIND($A$2,Lines!N4)+LEN($A$2)+1,FIND(",",_xlfn.CONCAT(Lines!N4,","),FIND($A$2,Lines!N4))-FIND($A$2,Lines!N4)-LEN($A$2)-1))</f>
        <v/>
      </c>
      <c r="O4" s="30" t="str">
        <f>IF(ISERROR(FIND($A$2,Lines!O4))=TRUE,"",MID(Lines!O4,FIND($A$2,Lines!O4)+LEN($A$2)+1,FIND(",",_xlfn.CONCAT(Lines!O4,","),FIND($A$2,Lines!O4))-FIND($A$2,Lines!O4)-LEN($A$2)-1))</f>
        <v/>
      </c>
      <c r="P4" s="30" t="str">
        <f>IF(ISERROR(FIND($A$2,Lines!P4))=TRUE,"",MID(Lines!P4,FIND($A$2,Lines!P4)+LEN($A$2)+1,FIND(",",_xlfn.CONCAT(Lines!P4,","),FIND($A$2,Lines!P4))-FIND($A$2,Lines!P4)-LEN($A$2)-1))</f>
        <v/>
      </c>
      <c r="Q4" s="30" t="str">
        <f>IF(ISERROR(FIND($A$2,Lines!Q4))=TRUE,"",MID(Lines!Q4,FIND($A$2,Lines!Q4)+LEN($A$2)+1,FIND(",",_xlfn.CONCAT(Lines!Q4,","),FIND($A$2,Lines!Q4))-FIND($A$2,Lines!Q4)-LEN($A$2)-1))</f>
        <v/>
      </c>
      <c r="R4" s="30" t="str">
        <f>IF(ISERROR(FIND($A$2,Lines!R4))=TRUE,"",MID(Lines!R4,FIND($A$2,Lines!R4)+LEN($A$2)+1,FIND(",",_xlfn.CONCAT(Lines!R4,","),FIND($A$2,Lines!R4))-FIND($A$2,Lines!R4)-LEN($A$2)-1))</f>
        <v/>
      </c>
      <c r="S4" s="30" t="str">
        <f>IF(ISERROR(FIND($A$2,Lines!S4))=TRUE,"",MID(Lines!S4,FIND($A$2,Lines!S4)+LEN($A$2)+1,FIND(",",_xlfn.CONCAT(Lines!S4,","),FIND($A$2,Lines!S4))-FIND($A$2,Lines!S4)-LEN($A$2)-1))</f>
        <v/>
      </c>
      <c r="T4" s="30" t="str">
        <f>IF(ISERROR(FIND($A$2,Lines!T4))=TRUE,"",MID(Lines!T4,FIND($A$2,Lines!T4)+LEN($A$2)+1,FIND(",",_xlfn.CONCAT(Lines!T4,","),FIND($A$2,Lines!T4))-FIND($A$2,Lines!T4)-LEN($A$2)-1))</f>
        <v/>
      </c>
      <c r="U4" s="30" t="str">
        <f>IF(ISERROR(FIND($A$2,Lines!U4))=TRUE,"",MID(Lines!U4,FIND($A$2,Lines!U4)+LEN($A$2)+1,FIND(",",_xlfn.CONCAT(Lines!U4,","),FIND($A$2,Lines!U4))-FIND($A$2,Lines!U4)-LEN($A$2)-1))</f>
        <v/>
      </c>
      <c r="V4" s="30" t="str">
        <f>IF(ISERROR(FIND($A$2,Lines!V4))=TRUE,"",MID(Lines!V4,FIND($A$2,Lines!V4)+LEN($A$2)+1,FIND(",",_xlfn.CONCAT(Lines!V4,","),FIND($A$2,Lines!V4))-FIND($A$2,Lines!V4)-LEN($A$2)-1))</f>
        <v/>
      </c>
      <c r="W4" s="36" t="str">
        <f>IF(ISERROR(FIND($A$2,Lines!W4))=TRUE,"",MID(Lines!W4,FIND($A$2,Lines!W4)+LEN($A$2)+1,FIND(",",_xlfn.CONCAT(Lines!W4,","),FIND($A$2,Lines!W4))-FIND($A$2,Lines!W4)-LEN($A$2)-1))</f>
        <v/>
      </c>
      <c r="X4" s="30" t="str">
        <f>IF(ISERROR(FIND($A$2,Lines!X4))=TRUE,"",MID(Lines!X4,FIND($A$2,Lines!X4)+LEN($A$2)+1,FIND(",",_xlfn.CONCAT(Lines!X4,","),FIND($A$2,Lines!X4))-FIND($A$2,Lines!X4)-LEN($A$2)-1))</f>
        <v/>
      </c>
      <c r="Y4" s="30" t="str">
        <f>IF(ISERROR(FIND($A$2,Lines!Y4))=TRUE,"",MID(Lines!Y4,FIND($A$2,Lines!Y4)+LEN($A$2)+1,FIND(",",_xlfn.CONCAT(Lines!Y4,","),FIND($A$2,Lines!Y4))-FIND($A$2,Lines!Y4)-LEN($A$2)-1))</f>
        <v/>
      </c>
      <c r="Z4" s="30" t="str">
        <f>IF(ISERROR(FIND($A$2,Lines!Z4))=TRUE,"",MID(Lines!Z4,FIND($A$2,Lines!Z4)+LEN($A$2)+1,FIND(",",_xlfn.CONCAT(Lines!Z4,","),FIND($A$2,Lines!Z4))-FIND($A$2,Lines!Z4)-LEN($A$2)-1))</f>
        <v/>
      </c>
      <c r="AA4" s="30" t="str">
        <f>IF(ISERROR(FIND($A$2,Lines!AA4))=TRUE,"",MID(Lines!AA4,FIND($A$2,Lines!AA4)+LEN($A$2)+1,FIND(",",_xlfn.CONCAT(Lines!AA4,","),FIND($A$2,Lines!AA4))-FIND($A$2,Lines!AA4)-LEN($A$2)-1))</f>
        <v/>
      </c>
      <c r="AB4" s="30" t="str">
        <f>IF(ISERROR(FIND($A$2,Lines!AB4))=TRUE,"",MID(Lines!AB4,FIND($A$2,Lines!AB4)+LEN($A$2)+1,FIND(",",_xlfn.CONCAT(Lines!AB4,","),FIND($A$2,Lines!AB4))-FIND($A$2,Lines!AB4)-LEN($A$2)-1))</f>
        <v/>
      </c>
      <c r="AC4" s="30" t="str">
        <f>IF(ISERROR(FIND($A$2,Lines!AC4))=TRUE,"",MID(Lines!AC4,FIND($A$2,Lines!AC4)+LEN($A$2)+1,FIND(",",_xlfn.CONCAT(Lines!AC4,","),FIND($A$2,Lines!AC4))-FIND($A$2,Lines!AC4)-LEN($A$2)-1))</f>
        <v/>
      </c>
      <c r="AD4" s="30" t="str">
        <f>IF(ISERROR(FIND($A$2,Lines!AD4))=TRUE,"",MID(Lines!AD4,FIND($A$2,Lines!AD4)+LEN($A$2)+1,FIND(",",_xlfn.CONCAT(Lines!AD4,","),FIND($A$2,Lines!AD4))-FIND($A$2,Lines!AD4)-LEN($A$2)-1))</f>
        <v/>
      </c>
      <c r="AE4" s="30" t="str">
        <f>IF(ISERROR(FIND($A$2,Lines!AE4))=TRUE,"",MID(Lines!AE4,FIND($A$2,Lines!AE4)+LEN($A$2)+1,FIND(",",_xlfn.CONCAT(Lines!AE4,","),FIND($A$2,Lines!AE4))-FIND($A$2,Lines!AE4)-LEN($A$2)-1))</f>
        <v/>
      </c>
      <c r="AF4" s="30" t="str">
        <f>IF(ISERROR(FIND($A$2,Lines!AF4))=TRUE,"",MID(Lines!AF4,FIND($A$2,Lines!AF4)+LEN($A$2)+1,FIND(",",_xlfn.CONCAT(Lines!AF4,","),FIND($A$2,Lines!AF4))-FIND($A$2,Lines!AF4)-LEN($A$2)-1))</f>
        <v/>
      </c>
      <c r="AG4" s="30" t="str">
        <f>IF(ISERROR(FIND($A$2,Lines!AG4))=TRUE,"",MID(Lines!AG4,FIND($A$2,Lines!AG4)+LEN($A$2)+1,FIND(",",_xlfn.CONCAT(Lines!AG4,","),FIND($A$2,Lines!AG4))-FIND($A$2,Lines!AG4)-LEN($A$2)-1))</f>
        <v/>
      </c>
      <c r="AH4" s="30" t="str">
        <f>IF(ISERROR(FIND($A$2,Lines!AH4))=TRUE,"",MID(Lines!AH4,FIND($A$2,Lines!AH4)+LEN($A$2)+1,FIND(",",_xlfn.CONCAT(Lines!AH4,","),FIND($A$2,Lines!AH4))-FIND($A$2,Lines!AH4)-LEN($A$2)-1))</f>
        <v/>
      </c>
      <c r="AI4" s="30" t="str">
        <f>IF(ISERROR(FIND($A$2,Lines!AI4))=TRUE,"",MID(Lines!AI4,FIND($A$2,Lines!AI4)+LEN($A$2)+1,FIND(",",_xlfn.CONCAT(Lines!AI4,","),FIND($A$2,Lines!AI4))-FIND($A$2,Lines!AI4)-LEN($A$2)-1))</f>
        <v/>
      </c>
      <c r="AJ4" s="30" t="str">
        <f>IF(ISERROR(FIND($A$2,Lines!AJ4))=TRUE,"",MID(Lines!AJ4,FIND($A$2,Lines!AJ4)+LEN($A$2)+1,FIND(",",_xlfn.CONCAT(Lines!AJ4,","),FIND($A$2,Lines!AJ4))-FIND($A$2,Lines!AJ4)-LEN($A$2)-1))</f>
        <v/>
      </c>
      <c r="AK4" s="30" t="str">
        <f>IF(ISERROR(FIND($A$2,Lines!AK4))=TRUE,"",MID(Lines!AK4,FIND($A$2,Lines!AK4)+LEN($A$2)+1,FIND(",",_xlfn.CONCAT(Lines!AK4,","),FIND($A$2,Lines!AK4))-FIND($A$2,Lines!AK4)-LEN($A$2)-1))</f>
        <v/>
      </c>
      <c r="AL4" s="30" t="str">
        <f>IF(ISERROR(FIND($A$2,Lines!AL4))=TRUE,"",MID(Lines!AL4,FIND($A$2,Lines!AL4)+LEN($A$2)+1,FIND(",",_xlfn.CONCAT(Lines!AL4,","),FIND($A$2,Lines!AL4))-FIND($A$2,Lines!AL4)-LEN($A$2)-1))</f>
        <v/>
      </c>
      <c r="AM4" s="30" t="str">
        <f>IF(ISERROR(FIND($A$2,Lines!AM4))=TRUE,"",MID(Lines!AM4,FIND($A$2,Lines!AM4)+LEN($A$2)+1,FIND(",",_xlfn.CONCAT(Lines!AM4,","),FIND($A$2,Lines!AM4))-FIND($A$2,Lines!AM4)-LEN($A$2)-1))</f>
        <v/>
      </c>
      <c r="AN4" s="30" t="str">
        <f>IF(ISERROR(FIND($A$2,Lines!AN4))=TRUE,"",MID(Lines!AN4,FIND($A$2,Lines!AN4)+LEN($A$2)+1,FIND(",",_xlfn.CONCAT(Lines!AN4,","),FIND($A$2,Lines!AN4))-FIND($A$2,Lines!AN4)-LEN($A$2)-1))</f>
        <v/>
      </c>
      <c r="AO4" s="30" t="str">
        <f>IF(ISERROR(FIND($A$2,Lines!AO4))=TRUE,"",MID(Lines!AO4,FIND($A$2,Lines!AO4)+LEN($A$2)+1,FIND(",",_xlfn.CONCAT(Lines!AO4,","),FIND($A$2,Lines!AO4))-FIND($A$2,Lines!AO4)-LEN($A$2)-1))</f>
        <v/>
      </c>
      <c r="AP4" s="30" t="str">
        <f>IF(ISERROR(FIND($A$2,Lines!AP4))=TRUE,"",MID(Lines!AP4,FIND($A$2,Lines!AP4)+LEN($A$2)+1,FIND(",",_xlfn.CONCAT(Lines!AP4,","),FIND($A$2,Lines!AP4))-FIND($A$2,Lines!AP4)-LEN($A$2)-1))</f>
        <v/>
      </c>
      <c r="AQ4" s="30" t="str">
        <f>IF(ISERROR(FIND($A$2,Lines!AQ4))=TRUE,"",MID(Lines!AQ4,FIND($A$2,Lines!AQ4)+LEN($A$2)+1,FIND(",",_xlfn.CONCAT(Lines!AQ4,","),FIND($A$2,Lines!AQ4))-FIND($A$2,Lines!AQ4)-LEN($A$2)-1))</f>
        <v/>
      </c>
      <c r="AR4" s="30" t="str">
        <f>IF(ISERROR(FIND($A$2,Lines!AR4))=TRUE,"",MID(Lines!AR4,FIND($A$2,Lines!AR4)+LEN($A$2)+1,FIND(",",_xlfn.CONCAT(Lines!AR4,","),FIND($A$2,Lines!AR4))-FIND($A$2,Lines!AR4)-LEN($A$2)-1))</f>
        <v/>
      </c>
      <c r="AS4" s="30" t="str">
        <f>IF(ISERROR(FIND($A$2,Lines!AS4))=TRUE,"",MID(Lines!AS4,FIND($A$2,Lines!AS4)+LEN($A$2)+1,FIND(",",_xlfn.CONCAT(Lines!AS4,","),FIND($A$2,Lines!AS4))-FIND($A$2,Lines!AS4)-LEN($A$2)-1))</f>
        <v/>
      </c>
      <c r="AT4" s="30" t="str">
        <f>IF(ISERROR(FIND($A$2,Lines!AT4))=TRUE,"",MID(Lines!AT4,FIND($A$2,Lines!AT4)+LEN($A$2)+1,FIND(",",_xlfn.CONCAT(Lines!AT4,","),FIND($A$2,Lines!AT4))-FIND($A$2,Lines!AT4)-LEN($A$2)-1))</f>
        <v/>
      </c>
    </row>
    <row r="5" spans="1:46" ht="20.25" customHeight="1">
      <c r="A5" s="2" t="s">
        <v>56</v>
      </c>
      <c r="B5" s="26" t="str">
        <f>IF(ISERROR(FIND($A$2,Lines!B5))=TRUE,"",MID(Lines!B5,FIND($A$2,Lines!B5)+LEN($A$2)+1,FIND(",",_xlfn.CONCAT(Lines!B5,","),FIND($A$2,Lines!B5))-FIND($A$2,Lines!B5)-LEN($A$2)-1))</f>
        <v/>
      </c>
      <c r="C5" s="63" t="str">
        <f>IF(ISERROR(FIND($A$2,Lines!C5))=TRUE,"",MID(Lines!C5,FIND($A$2,Lines!C5)+LEN($A$2)+1,FIND(",",_xlfn.CONCAT(Lines!C5,","),FIND($A$2,Lines!C5))-FIND($A$2,Lines!C5)-LEN($A$2)-1))</f>
        <v/>
      </c>
      <c r="D5" s="26" t="str">
        <f>IF(ISERROR(FIND($A$2,Lines!D5))=TRUE,"",MID(Lines!D5,FIND($A$2,Lines!D5)+LEN($A$2)+1,FIND(",",_xlfn.CONCAT(Lines!D5,","),FIND($A$2,Lines!D5))-FIND($A$2,Lines!D5)-LEN($A$2)-1))</f>
        <v/>
      </c>
      <c r="E5" s="26" t="str">
        <f>IF(ISERROR(FIND($A$2,Lines!E5))=TRUE,"",MID(Lines!E5,FIND($A$2,Lines!E5)+LEN($A$2)+1,FIND(",",_xlfn.CONCAT(Lines!E5,","),FIND($A$2,Lines!E5))-FIND($A$2,Lines!E5)-LEN($A$2)-1))</f>
        <v/>
      </c>
      <c r="F5" s="26" t="str">
        <f>IF(ISERROR(FIND($A$2,Lines!F5))=TRUE,"",MID(Lines!F5,FIND($A$2,Lines!F5)+LEN($A$2)+1,FIND(",",_xlfn.CONCAT(Lines!F5,","),FIND($A$2,Lines!F5))-FIND($A$2,Lines!F5)-LEN($A$2)-1))</f>
        <v>4</v>
      </c>
      <c r="G5" s="26" t="str">
        <f>IF(ISERROR(FIND($A$2,Lines!G5))=TRUE,"",MID(Lines!G5,FIND($A$2,Lines!G5)+LEN($A$2)+1,FIND(",",_xlfn.CONCAT(Lines!G5,","),FIND($A$2,Lines!G5))-FIND($A$2,Lines!G5)-LEN($A$2)-1))</f>
        <v/>
      </c>
      <c r="H5" s="26" t="str">
        <f>IF(ISERROR(FIND($A$2,Lines!H5))=TRUE,"",MID(Lines!H5,FIND($A$2,Lines!H5)+LEN($A$2)+1,FIND(",",_xlfn.CONCAT(Lines!H5,","),FIND($A$2,Lines!H5))-FIND($A$2,Lines!H5)-LEN($A$2)-1))</f>
        <v/>
      </c>
      <c r="I5" s="26" t="str">
        <f>IF(ISERROR(FIND($A$2,Lines!I5))=TRUE,"",MID(Lines!I5,FIND($A$2,Lines!I5)+LEN($A$2)+1,FIND(",",_xlfn.CONCAT(Lines!I5,","),FIND($A$2,Lines!I5))-FIND($A$2,Lines!I5)-LEN($A$2)-1))</f>
        <v/>
      </c>
      <c r="J5" s="26" t="str">
        <f>IF(ISERROR(FIND($A$2,Lines!J5))=TRUE,"",MID(Lines!J5,FIND($A$2,Lines!J5)+LEN($A$2)+1,FIND(",",_xlfn.CONCAT(Lines!J5,","),FIND($A$2,Lines!J5))-FIND($A$2,Lines!J5)-LEN($A$2)-1))</f>
        <v/>
      </c>
      <c r="K5" s="26" t="str">
        <f>IF(ISERROR(FIND($A$2,Lines!K5))=TRUE,"",MID(Lines!K5,FIND($A$2,Lines!K5)+LEN($A$2)+1,FIND(",",_xlfn.CONCAT(Lines!K5,","),FIND($A$2,Lines!K5))-FIND($A$2,Lines!K5)-LEN($A$2)-1))</f>
        <v/>
      </c>
      <c r="L5" s="26" t="str">
        <f>IF(ISERROR(FIND($A$2,Lines!L5))=TRUE,"",MID(Lines!L5,FIND($A$2,Lines!L5)+LEN($A$2)+1,FIND(",",_xlfn.CONCAT(Lines!L5,","),FIND($A$2,Lines!L5))-FIND($A$2,Lines!L5)-LEN($A$2)-1))</f>
        <v/>
      </c>
      <c r="M5" s="27" t="str">
        <f>IF(ISERROR(FIND($A$2,Lines!M5))=TRUE,"",MID(Lines!M5,FIND($A$2,Lines!M5)+LEN($A$2)+1,FIND(",",_xlfn.CONCAT(Lines!M5,","),FIND($A$2,Lines!M5))-FIND($A$2,Lines!M5)-LEN($A$2)-1))</f>
        <v/>
      </c>
      <c r="N5" s="30" t="str">
        <f>IF(ISERROR(FIND($A$2,Lines!N5))=TRUE,"",MID(Lines!N5,FIND($A$2,Lines!N5)+LEN($A$2)+1,FIND(",",_xlfn.CONCAT(Lines!N5,","),FIND($A$2,Lines!N5))-FIND($A$2,Lines!N5)-LEN($A$2)-1))</f>
        <v/>
      </c>
      <c r="O5" s="30" t="str">
        <f>IF(ISERROR(FIND($A$2,Lines!O5))=TRUE,"",MID(Lines!O5,FIND($A$2,Lines!O5)+LEN($A$2)+1,FIND(",",_xlfn.CONCAT(Lines!O5,","),FIND($A$2,Lines!O5))-FIND($A$2,Lines!O5)-LEN($A$2)-1))</f>
        <v/>
      </c>
      <c r="P5" s="30" t="str">
        <f>IF(ISERROR(FIND($A$2,Lines!P5))=TRUE,"",MID(Lines!P5,FIND($A$2,Lines!P5)+LEN($A$2)+1,FIND(",",_xlfn.CONCAT(Lines!P5,","),FIND($A$2,Lines!P5))-FIND($A$2,Lines!P5)-LEN($A$2)-1))</f>
        <v/>
      </c>
      <c r="Q5" s="30" t="str">
        <f>IF(ISERROR(FIND($A$2,Lines!Q5))=TRUE,"",MID(Lines!Q5,FIND($A$2,Lines!Q5)+LEN($A$2)+1,FIND(",",_xlfn.CONCAT(Lines!Q5,","),FIND($A$2,Lines!Q5))-FIND($A$2,Lines!Q5)-LEN($A$2)-1))</f>
        <v/>
      </c>
      <c r="R5" s="30" t="str">
        <f>IF(ISERROR(FIND($A$2,Lines!R5))=TRUE,"",MID(Lines!R5,FIND($A$2,Lines!R5)+LEN($A$2)+1,FIND(",",_xlfn.CONCAT(Lines!R5,","),FIND($A$2,Lines!R5))-FIND($A$2,Lines!R5)-LEN($A$2)-1))</f>
        <v/>
      </c>
      <c r="S5" s="30" t="str">
        <f>IF(ISERROR(FIND($A$2,Lines!S5))=TRUE,"",MID(Lines!S5,FIND($A$2,Lines!S5)+LEN($A$2)+1,FIND(",",_xlfn.CONCAT(Lines!S5,","),FIND($A$2,Lines!S5))-FIND($A$2,Lines!S5)-LEN($A$2)-1))</f>
        <v/>
      </c>
      <c r="T5" s="30" t="str">
        <f>IF(ISERROR(FIND($A$2,Lines!T5))=TRUE,"",MID(Lines!T5,FIND($A$2,Lines!T5)+LEN($A$2)+1,FIND(",",_xlfn.CONCAT(Lines!T5,","),FIND($A$2,Lines!T5))-FIND($A$2,Lines!T5)-LEN($A$2)-1))</f>
        <v/>
      </c>
      <c r="U5" s="30" t="str">
        <f>IF(ISERROR(FIND($A$2,Lines!U5))=TRUE,"",MID(Lines!U5,FIND($A$2,Lines!U5)+LEN($A$2)+1,FIND(",",_xlfn.CONCAT(Lines!U5,","),FIND($A$2,Lines!U5))-FIND($A$2,Lines!U5)-LEN($A$2)-1))</f>
        <v/>
      </c>
      <c r="V5" s="30" t="str">
        <f>IF(ISERROR(FIND($A$2,Lines!V5))=TRUE,"",MID(Lines!V5,FIND($A$2,Lines!V5)+LEN($A$2)+1,FIND(",",_xlfn.CONCAT(Lines!V5,","),FIND($A$2,Lines!V5))-FIND($A$2,Lines!V5)-LEN($A$2)-1))</f>
        <v/>
      </c>
      <c r="W5" s="36" t="str">
        <f>IF(ISERROR(FIND($A$2,Lines!W5))=TRUE,"",MID(Lines!W5,FIND($A$2,Lines!W5)+LEN($A$2)+1,FIND(",",_xlfn.CONCAT(Lines!W5,","),FIND($A$2,Lines!W5))-FIND($A$2,Lines!W5)-LEN($A$2)-1))</f>
        <v/>
      </c>
      <c r="X5" s="30" t="str">
        <f>IF(ISERROR(FIND($A$2,Lines!X5))=TRUE,"",MID(Lines!X5,FIND($A$2,Lines!X5)+LEN($A$2)+1,FIND(",",_xlfn.CONCAT(Lines!X5,","),FIND($A$2,Lines!X5))-FIND($A$2,Lines!X5)-LEN($A$2)-1))</f>
        <v/>
      </c>
      <c r="Y5" s="30" t="str">
        <f>IF(ISERROR(FIND($A$2,Lines!Y5))=TRUE,"",MID(Lines!Y5,FIND($A$2,Lines!Y5)+LEN($A$2)+1,FIND(",",_xlfn.CONCAT(Lines!Y5,","),FIND($A$2,Lines!Y5))-FIND($A$2,Lines!Y5)-LEN($A$2)-1))</f>
        <v/>
      </c>
      <c r="Z5" s="30" t="str">
        <f>IF(ISERROR(FIND($A$2,Lines!Z5))=TRUE,"",MID(Lines!Z5,FIND($A$2,Lines!Z5)+LEN($A$2)+1,FIND(",",_xlfn.CONCAT(Lines!Z5,","),FIND($A$2,Lines!Z5))-FIND($A$2,Lines!Z5)-LEN($A$2)-1))</f>
        <v/>
      </c>
      <c r="AA5" s="30" t="str">
        <f>IF(ISERROR(FIND($A$2,Lines!AA5))=TRUE,"",MID(Lines!AA5,FIND($A$2,Lines!AA5)+LEN($A$2)+1,FIND(",",_xlfn.CONCAT(Lines!AA5,","),FIND($A$2,Lines!AA5))-FIND($A$2,Lines!AA5)-LEN($A$2)-1))</f>
        <v/>
      </c>
      <c r="AB5" s="30" t="str">
        <f>IF(ISERROR(FIND($A$2,Lines!AB5))=TRUE,"",MID(Lines!AB5,FIND($A$2,Lines!AB5)+LEN($A$2)+1,FIND(",",_xlfn.CONCAT(Lines!AB5,","),FIND($A$2,Lines!AB5))-FIND($A$2,Lines!AB5)-LEN($A$2)-1))</f>
        <v/>
      </c>
      <c r="AC5" s="30" t="str">
        <f>IF(ISERROR(FIND($A$2,Lines!AC5))=TRUE,"",MID(Lines!AC5,FIND($A$2,Lines!AC5)+LEN($A$2)+1,FIND(",",_xlfn.CONCAT(Lines!AC5,","),FIND($A$2,Lines!AC5))-FIND($A$2,Lines!AC5)-LEN($A$2)-1))</f>
        <v/>
      </c>
      <c r="AD5" s="30" t="str">
        <f>IF(ISERROR(FIND($A$2,Lines!AD5))=TRUE,"",MID(Lines!AD5,FIND($A$2,Lines!AD5)+LEN($A$2)+1,FIND(",",_xlfn.CONCAT(Lines!AD5,","),FIND($A$2,Lines!AD5))-FIND($A$2,Lines!AD5)-LEN($A$2)-1))</f>
        <v/>
      </c>
      <c r="AE5" s="30" t="str">
        <f>IF(ISERROR(FIND($A$2,Lines!AE5))=TRUE,"",MID(Lines!AE5,FIND($A$2,Lines!AE5)+LEN($A$2)+1,FIND(",",_xlfn.CONCAT(Lines!AE5,","),FIND($A$2,Lines!AE5))-FIND($A$2,Lines!AE5)-LEN($A$2)-1))</f>
        <v/>
      </c>
      <c r="AF5" s="30" t="str">
        <f>IF(ISERROR(FIND($A$2,Lines!AF5))=TRUE,"",MID(Lines!AF5,FIND($A$2,Lines!AF5)+LEN($A$2)+1,FIND(",",_xlfn.CONCAT(Lines!AF5,","),FIND($A$2,Lines!AF5))-FIND($A$2,Lines!AF5)-LEN($A$2)-1))</f>
        <v/>
      </c>
      <c r="AG5" s="30" t="str">
        <f>IF(ISERROR(FIND($A$2,Lines!AG5))=TRUE,"",MID(Lines!AG5,FIND($A$2,Lines!AG5)+LEN($A$2)+1,FIND(",",_xlfn.CONCAT(Lines!AG5,","),FIND($A$2,Lines!AG5))-FIND($A$2,Lines!AG5)-LEN($A$2)-1))</f>
        <v/>
      </c>
      <c r="AH5" s="30" t="str">
        <f>IF(ISERROR(FIND($A$2,Lines!AH5))=TRUE,"",MID(Lines!AH5,FIND($A$2,Lines!AH5)+LEN($A$2)+1,FIND(",",_xlfn.CONCAT(Lines!AH5,","),FIND($A$2,Lines!AH5))-FIND($A$2,Lines!AH5)-LEN($A$2)-1))</f>
        <v/>
      </c>
      <c r="AI5" s="30" t="str">
        <f>IF(ISERROR(FIND($A$2,Lines!AI5))=TRUE,"",MID(Lines!AI5,FIND($A$2,Lines!AI5)+LEN($A$2)+1,FIND(",",_xlfn.CONCAT(Lines!AI5,","),FIND($A$2,Lines!AI5))-FIND($A$2,Lines!AI5)-LEN($A$2)-1))</f>
        <v/>
      </c>
      <c r="AJ5" s="30" t="str">
        <f>IF(ISERROR(FIND($A$2,Lines!AJ5))=TRUE,"",MID(Lines!AJ5,FIND($A$2,Lines!AJ5)+LEN($A$2)+1,FIND(",",_xlfn.CONCAT(Lines!AJ5,","),FIND($A$2,Lines!AJ5))-FIND($A$2,Lines!AJ5)-LEN($A$2)-1))</f>
        <v/>
      </c>
      <c r="AK5" s="30" t="str">
        <f>IF(ISERROR(FIND($A$2,Lines!AK5))=TRUE,"",MID(Lines!AK5,FIND($A$2,Lines!AK5)+LEN($A$2)+1,FIND(",",_xlfn.CONCAT(Lines!AK5,","),FIND($A$2,Lines!AK5))-FIND($A$2,Lines!AK5)-LEN($A$2)-1))</f>
        <v/>
      </c>
      <c r="AL5" s="30" t="str">
        <f>IF(ISERROR(FIND($A$2,Lines!AL5))=TRUE,"",MID(Lines!AL5,FIND($A$2,Lines!AL5)+LEN($A$2)+1,FIND(",",_xlfn.CONCAT(Lines!AL5,","),FIND($A$2,Lines!AL5))-FIND($A$2,Lines!AL5)-LEN($A$2)-1))</f>
        <v/>
      </c>
      <c r="AM5" s="30" t="str">
        <f>IF(ISERROR(FIND($A$2,Lines!AM5))=TRUE,"",MID(Lines!AM5,FIND($A$2,Lines!AM5)+LEN($A$2)+1,FIND(",",_xlfn.CONCAT(Lines!AM5,","),FIND($A$2,Lines!AM5))-FIND($A$2,Lines!AM5)-LEN($A$2)-1))</f>
        <v/>
      </c>
      <c r="AN5" s="30" t="str">
        <f>IF(ISERROR(FIND($A$2,Lines!AN5))=TRUE,"",MID(Lines!AN5,FIND($A$2,Lines!AN5)+LEN($A$2)+1,FIND(",",_xlfn.CONCAT(Lines!AN5,","),FIND($A$2,Lines!AN5))-FIND($A$2,Lines!AN5)-LEN($A$2)-1))</f>
        <v/>
      </c>
      <c r="AO5" s="30" t="str">
        <f>IF(ISERROR(FIND($A$2,Lines!AO5))=TRUE,"",MID(Lines!AO5,FIND($A$2,Lines!AO5)+LEN($A$2)+1,FIND(",",_xlfn.CONCAT(Lines!AO5,","),FIND($A$2,Lines!AO5))-FIND($A$2,Lines!AO5)-LEN($A$2)-1))</f>
        <v/>
      </c>
      <c r="AP5" s="30" t="str">
        <f>IF(ISERROR(FIND($A$2,Lines!AP5))=TRUE,"",MID(Lines!AP5,FIND($A$2,Lines!AP5)+LEN($A$2)+1,FIND(",",_xlfn.CONCAT(Lines!AP5,","),FIND($A$2,Lines!AP5))-FIND($A$2,Lines!AP5)-LEN($A$2)-1))</f>
        <v/>
      </c>
      <c r="AQ5" s="30" t="str">
        <f>IF(ISERROR(FIND($A$2,Lines!AQ5))=TRUE,"",MID(Lines!AQ5,FIND($A$2,Lines!AQ5)+LEN($A$2)+1,FIND(",",_xlfn.CONCAT(Lines!AQ5,","),FIND($A$2,Lines!AQ5))-FIND($A$2,Lines!AQ5)-LEN($A$2)-1))</f>
        <v/>
      </c>
      <c r="AR5" s="30" t="str">
        <f>IF(ISERROR(FIND($A$2,Lines!AR5))=TRUE,"",MID(Lines!AR5,FIND($A$2,Lines!AR5)+LEN($A$2)+1,FIND(",",_xlfn.CONCAT(Lines!AR5,","),FIND($A$2,Lines!AR5))-FIND($A$2,Lines!AR5)-LEN($A$2)-1))</f>
        <v/>
      </c>
      <c r="AS5" s="30" t="str">
        <f>IF(ISERROR(FIND($A$2,Lines!AS5))=TRUE,"",MID(Lines!AS5,FIND($A$2,Lines!AS5)+LEN($A$2)+1,FIND(",",_xlfn.CONCAT(Lines!AS5,","),FIND($A$2,Lines!AS5))-FIND($A$2,Lines!AS5)-LEN($A$2)-1))</f>
        <v/>
      </c>
      <c r="AT5" s="30" t="str">
        <f>IF(ISERROR(FIND($A$2,Lines!AT5))=TRUE,"",MID(Lines!AT5,FIND($A$2,Lines!AT5)+LEN($A$2)+1,FIND(",",_xlfn.CONCAT(Lines!AT5,","),FIND($A$2,Lines!AT5))-FIND($A$2,Lines!AT5)-LEN($A$2)-1))</f>
        <v/>
      </c>
    </row>
    <row r="6" spans="1:46" ht="20.25" customHeight="1">
      <c r="A6" s="2" t="s">
        <v>57</v>
      </c>
      <c r="B6" s="26" t="str">
        <f>IF(ISERROR(FIND($A$2,Lines!B6))=TRUE,"",MID(Lines!B6,FIND($A$2,Lines!B6)+LEN($A$2)+1,FIND(",",_xlfn.CONCAT(Lines!B6,","),FIND($A$2,Lines!B6))-FIND($A$2,Lines!B6)-LEN($A$2)-1))</f>
        <v/>
      </c>
      <c r="C6" s="26" t="str">
        <f>IF(ISERROR(FIND($A$2,Lines!C6))=TRUE,"",MID(Lines!C6,FIND($A$2,Lines!C6)+LEN($A$2)+1,FIND(",",_xlfn.CONCAT(Lines!C6,","),FIND($A$2,Lines!C6))-FIND($A$2,Lines!C6)-LEN($A$2)-1))</f>
        <v/>
      </c>
      <c r="D6" s="63" t="str">
        <f>IF(ISERROR(FIND($A$2,Lines!D6))=TRUE,"",MID(Lines!D6,FIND($A$2,Lines!D6)+LEN($A$2)+1,FIND(",",_xlfn.CONCAT(Lines!D6,","),FIND($A$2,Lines!D6))-FIND($A$2,Lines!D6)-LEN($A$2)-1))</f>
        <v/>
      </c>
      <c r="E6" s="26" t="str">
        <f>IF(ISERROR(FIND($A$2,Lines!E6))=TRUE,"",MID(Lines!E6,FIND($A$2,Lines!E6)+LEN($A$2)+1,FIND(",",_xlfn.CONCAT(Lines!E6,","),FIND($A$2,Lines!E6))-FIND($A$2,Lines!E6)-LEN($A$2)-1))</f>
        <v/>
      </c>
      <c r="F6" s="26" t="str">
        <f>IF(ISERROR(FIND($A$2,Lines!F6))=TRUE,"",MID(Lines!F6,FIND($A$2,Lines!F6)+LEN($A$2)+1,FIND(",",_xlfn.CONCAT(Lines!F6,","),FIND($A$2,Lines!F6))-FIND($A$2,Lines!F6)-LEN($A$2)-1))</f>
        <v/>
      </c>
      <c r="G6" s="26" t="str">
        <f>IF(ISERROR(FIND($A$2,Lines!G6))=TRUE,"",MID(Lines!G6,FIND($A$2,Lines!G6)+LEN($A$2)+1,FIND(",",_xlfn.CONCAT(Lines!G6,","),FIND($A$2,Lines!G6))-FIND($A$2,Lines!G6)-LEN($A$2)-1))</f>
        <v/>
      </c>
      <c r="H6" s="26" t="str">
        <f>IF(ISERROR(FIND($A$2,Lines!H6))=TRUE,"",MID(Lines!H6,FIND($A$2,Lines!H6)+LEN($A$2)+1,FIND(",",_xlfn.CONCAT(Lines!H6,","),FIND($A$2,Lines!H6))-FIND($A$2,Lines!H6)-LEN($A$2)-1))</f>
        <v/>
      </c>
      <c r="I6" s="26" t="str">
        <f>IF(ISERROR(FIND($A$2,Lines!I6))=TRUE,"",MID(Lines!I6,FIND($A$2,Lines!I6)+LEN($A$2)+1,FIND(",",_xlfn.CONCAT(Lines!I6,","),FIND($A$2,Lines!I6))-FIND($A$2,Lines!I6)-LEN($A$2)-1))</f>
        <v/>
      </c>
      <c r="J6" s="26" t="str">
        <f>IF(ISERROR(FIND($A$2,Lines!J6))=TRUE,"",MID(Lines!J6,FIND($A$2,Lines!J6)+LEN($A$2)+1,FIND(",",_xlfn.CONCAT(Lines!J6,","),FIND($A$2,Lines!J6))-FIND($A$2,Lines!J6)-LEN($A$2)-1))</f>
        <v/>
      </c>
      <c r="K6" s="26" t="str">
        <f>IF(ISERROR(FIND($A$2,Lines!K6))=TRUE,"",MID(Lines!K6,FIND($A$2,Lines!K6)+LEN($A$2)+1,FIND(",",_xlfn.CONCAT(Lines!K6,","),FIND($A$2,Lines!K6))-FIND($A$2,Lines!K6)-LEN($A$2)-1))</f>
        <v/>
      </c>
      <c r="L6" s="26" t="str">
        <f>IF(ISERROR(FIND($A$2,Lines!L6))=TRUE,"",MID(Lines!L6,FIND($A$2,Lines!L6)+LEN($A$2)+1,FIND(",",_xlfn.CONCAT(Lines!L6,","),FIND($A$2,Lines!L6))-FIND($A$2,Lines!L6)-LEN($A$2)-1))</f>
        <v/>
      </c>
      <c r="M6" s="27" t="str">
        <f>IF(ISERROR(FIND($A$2,Lines!M6))=TRUE,"",MID(Lines!M6,FIND($A$2,Lines!M6)+LEN($A$2)+1,FIND(",",_xlfn.CONCAT(Lines!M6,","),FIND($A$2,Lines!M6))-FIND($A$2,Lines!M6)-LEN($A$2)-1))</f>
        <v/>
      </c>
      <c r="N6" s="30" t="str">
        <f>IF(ISERROR(FIND($A$2,Lines!N6))=TRUE,"",MID(Lines!N6,FIND($A$2,Lines!N6)+LEN($A$2)+1,FIND(",",_xlfn.CONCAT(Lines!N6,","),FIND($A$2,Lines!N6))-FIND($A$2,Lines!N6)-LEN($A$2)-1))</f>
        <v/>
      </c>
      <c r="O6" s="30" t="str">
        <f>IF(ISERROR(FIND($A$2,Lines!O6))=TRUE,"",MID(Lines!O6,FIND($A$2,Lines!O6)+LEN($A$2)+1,FIND(",",_xlfn.CONCAT(Lines!O6,","),FIND($A$2,Lines!O6))-FIND($A$2,Lines!O6)-LEN($A$2)-1))</f>
        <v/>
      </c>
      <c r="P6" s="30" t="str">
        <f>IF(ISERROR(FIND($A$2,Lines!P6))=TRUE,"",MID(Lines!P6,FIND($A$2,Lines!P6)+LEN($A$2)+1,FIND(",",_xlfn.CONCAT(Lines!P6,","),FIND($A$2,Lines!P6))-FIND($A$2,Lines!P6)-LEN($A$2)-1))</f>
        <v/>
      </c>
      <c r="Q6" s="30" t="str">
        <f>IF(ISERROR(FIND($A$2,Lines!Q6))=TRUE,"",MID(Lines!Q6,FIND($A$2,Lines!Q6)+LEN($A$2)+1,FIND(",",_xlfn.CONCAT(Lines!Q6,","),FIND($A$2,Lines!Q6))-FIND($A$2,Lines!Q6)-LEN($A$2)-1))</f>
        <v/>
      </c>
      <c r="R6" s="30" t="str">
        <f>IF(ISERROR(FIND($A$2,Lines!R6))=TRUE,"",MID(Lines!R6,FIND($A$2,Lines!R6)+LEN($A$2)+1,FIND(",",_xlfn.CONCAT(Lines!R6,","),FIND($A$2,Lines!R6))-FIND($A$2,Lines!R6)-LEN($A$2)-1))</f>
        <v/>
      </c>
      <c r="S6" s="30" t="str">
        <f>IF(ISERROR(FIND($A$2,Lines!S6))=TRUE,"",MID(Lines!S6,FIND($A$2,Lines!S6)+LEN($A$2)+1,FIND(",",_xlfn.CONCAT(Lines!S6,","),FIND($A$2,Lines!S6))-FIND($A$2,Lines!S6)-LEN($A$2)-1))</f>
        <v/>
      </c>
      <c r="T6" s="30" t="str">
        <f>IF(ISERROR(FIND($A$2,Lines!T6))=TRUE,"",MID(Lines!T6,FIND($A$2,Lines!T6)+LEN($A$2)+1,FIND(",",_xlfn.CONCAT(Lines!T6,","),FIND($A$2,Lines!T6))-FIND($A$2,Lines!T6)-LEN($A$2)-1))</f>
        <v/>
      </c>
      <c r="U6" s="30" t="str">
        <f>IF(ISERROR(FIND($A$2,Lines!U6))=TRUE,"",MID(Lines!U6,FIND($A$2,Lines!U6)+LEN($A$2)+1,FIND(",",_xlfn.CONCAT(Lines!U6,","),FIND($A$2,Lines!U6))-FIND($A$2,Lines!U6)-LEN($A$2)-1))</f>
        <v/>
      </c>
      <c r="V6" s="30" t="str">
        <f>IF(ISERROR(FIND($A$2,Lines!V6))=TRUE,"",MID(Lines!V6,FIND($A$2,Lines!V6)+LEN($A$2)+1,FIND(",",_xlfn.CONCAT(Lines!V6,","),FIND($A$2,Lines!V6))-FIND($A$2,Lines!V6)-LEN($A$2)-1))</f>
        <v/>
      </c>
      <c r="W6" s="36" t="str">
        <f>IF(ISERROR(FIND($A$2,Lines!W6))=TRUE,"",MID(Lines!W6,FIND($A$2,Lines!W6)+LEN($A$2)+1,FIND(",",_xlfn.CONCAT(Lines!W6,","),FIND($A$2,Lines!W6))-FIND($A$2,Lines!W6)-LEN($A$2)-1))</f>
        <v/>
      </c>
      <c r="X6" s="30" t="str">
        <f>IF(ISERROR(FIND($A$2,Lines!X6))=TRUE,"",MID(Lines!X6,FIND($A$2,Lines!X6)+LEN($A$2)+1,FIND(",",_xlfn.CONCAT(Lines!X6,","),FIND($A$2,Lines!X6))-FIND($A$2,Lines!X6)-LEN($A$2)-1))</f>
        <v/>
      </c>
      <c r="Y6" s="30" t="str">
        <f>IF(ISERROR(FIND($A$2,Lines!Y6))=TRUE,"",MID(Lines!Y6,FIND($A$2,Lines!Y6)+LEN($A$2)+1,FIND(",",_xlfn.CONCAT(Lines!Y6,","),FIND($A$2,Lines!Y6))-FIND($A$2,Lines!Y6)-LEN($A$2)-1))</f>
        <v/>
      </c>
      <c r="Z6" s="30" t="str">
        <f>IF(ISERROR(FIND($A$2,Lines!Z6))=TRUE,"",MID(Lines!Z6,FIND($A$2,Lines!Z6)+LEN($A$2)+1,FIND(",",_xlfn.CONCAT(Lines!Z6,","),FIND($A$2,Lines!Z6))-FIND($A$2,Lines!Z6)-LEN($A$2)-1))</f>
        <v/>
      </c>
      <c r="AA6" s="30" t="str">
        <f>IF(ISERROR(FIND($A$2,Lines!AA6))=TRUE,"",MID(Lines!AA6,FIND($A$2,Lines!AA6)+LEN($A$2)+1,FIND(",",_xlfn.CONCAT(Lines!AA6,","),FIND($A$2,Lines!AA6))-FIND($A$2,Lines!AA6)-LEN($A$2)-1))</f>
        <v/>
      </c>
      <c r="AB6" s="30" t="str">
        <f>IF(ISERROR(FIND($A$2,Lines!AB6))=TRUE,"",MID(Lines!AB6,FIND($A$2,Lines!AB6)+LEN($A$2)+1,FIND(",",_xlfn.CONCAT(Lines!AB6,","),FIND($A$2,Lines!AB6))-FIND($A$2,Lines!AB6)-LEN($A$2)-1))</f>
        <v/>
      </c>
      <c r="AC6" s="30" t="str">
        <f>IF(ISERROR(FIND($A$2,Lines!AC6))=TRUE,"",MID(Lines!AC6,FIND($A$2,Lines!AC6)+LEN($A$2)+1,FIND(",",_xlfn.CONCAT(Lines!AC6,","),FIND($A$2,Lines!AC6))-FIND($A$2,Lines!AC6)-LEN($A$2)-1))</f>
        <v/>
      </c>
      <c r="AD6" s="30" t="str">
        <f>IF(ISERROR(FIND($A$2,Lines!AD6))=TRUE,"",MID(Lines!AD6,FIND($A$2,Lines!AD6)+LEN($A$2)+1,FIND(",",_xlfn.CONCAT(Lines!AD6,","),FIND($A$2,Lines!AD6))-FIND($A$2,Lines!AD6)-LEN($A$2)-1))</f>
        <v/>
      </c>
      <c r="AE6" s="30" t="str">
        <f>IF(ISERROR(FIND($A$2,Lines!AE6))=TRUE,"",MID(Lines!AE6,FIND($A$2,Lines!AE6)+LEN($A$2)+1,FIND(",",_xlfn.CONCAT(Lines!AE6,","),FIND($A$2,Lines!AE6))-FIND($A$2,Lines!AE6)-LEN($A$2)-1))</f>
        <v/>
      </c>
      <c r="AF6" s="30" t="str">
        <f>IF(ISERROR(FIND($A$2,Lines!AF6))=TRUE,"",MID(Lines!AF6,FIND($A$2,Lines!AF6)+LEN($A$2)+1,FIND(",",_xlfn.CONCAT(Lines!AF6,","),FIND($A$2,Lines!AF6))-FIND($A$2,Lines!AF6)-LEN($A$2)-1))</f>
        <v/>
      </c>
      <c r="AG6" s="30" t="str">
        <f>IF(ISERROR(FIND($A$2,Lines!AG6))=TRUE,"",MID(Lines!AG6,FIND($A$2,Lines!AG6)+LEN($A$2)+1,FIND(",",_xlfn.CONCAT(Lines!AG6,","),FIND($A$2,Lines!AG6))-FIND($A$2,Lines!AG6)-LEN($A$2)-1))</f>
        <v/>
      </c>
      <c r="AH6" s="30" t="str">
        <f>IF(ISERROR(FIND($A$2,Lines!AH6))=TRUE,"",MID(Lines!AH6,FIND($A$2,Lines!AH6)+LEN($A$2)+1,FIND(",",_xlfn.CONCAT(Lines!AH6,","),FIND($A$2,Lines!AH6))-FIND($A$2,Lines!AH6)-LEN($A$2)-1))</f>
        <v/>
      </c>
      <c r="AI6" s="30" t="str">
        <f>IF(ISERROR(FIND($A$2,Lines!AI6))=TRUE,"",MID(Lines!AI6,FIND($A$2,Lines!AI6)+LEN($A$2)+1,FIND(",",_xlfn.CONCAT(Lines!AI6,","),FIND($A$2,Lines!AI6))-FIND($A$2,Lines!AI6)-LEN($A$2)-1))</f>
        <v/>
      </c>
      <c r="AJ6" s="30" t="str">
        <f>IF(ISERROR(FIND($A$2,Lines!AJ6))=TRUE,"",MID(Lines!AJ6,FIND($A$2,Lines!AJ6)+LEN($A$2)+1,FIND(",",_xlfn.CONCAT(Lines!AJ6,","),FIND($A$2,Lines!AJ6))-FIND($A$2,Lines!AJ6)-LEN($A$2)-1))</f>
        <v/>
      </c>
      <c r="AK6" s="30" t="str">
        <f>IF(ISERROR(FIND($A$2,Lines!AK6))=TRUE,"",MID(Lines!AK6,FIND($A$2,Lines!AK6)+LEN($A$2)+1,FIND(",",_xlfn.CONCAT(Lines!AK6,","),FIND($A$2,Lines!AK6))-FIND($A$2,Lines!AK6)-LEN($A$2)-1))</f>
        <v/>
      </c>
      <c r="AL6" s="30" t="str">
        <f>IF(ISERROR(FIND($A$2,Lines!AL6))=TRUE,"",MID(Lines!AL6,FIND($A$2,Lines!AL6)+LEN($A$2)+1,FIND(",",_xlfn.CONCAT(Lines!AL6,","),FIND($A$2,Lines!AL6))-FIND($A$2,Lines!AL6)-LEN($A$2)-1))</f>
        <v/>
      </c>
      <c r="AM6" s="30" t="str">
        <f>IF(ISERROR(FIND($A$2,Lines!AM6))=TRUE,"",MID(Lines!AM6,FIND($A$2,Lines!AM6)+LEN($A$2)+1,FIND(",",_xlfn.CONCAT(Lines!AM6,","),FIND($A$2,Lines!AM6))-FIND($A$2,Lines!AM6)-LEN($A$2)-1))</f>
        <v/>
      </c>
      <c r="AN6" s="30" t="str">
        <f>IF(ISERROR(FIND($A$2,Lines!AN6))=TRUE,"",MID(Lines!AN6,FIND($A$2,Lines!AN6)+LEN($A$2)+1,FIND(",",_xlfn.CONCAT(Lines!AN6,","),FIND($A$2,Lines!AN6))-FIND($A$2,Lines!AN6)-LEN($A$2)-1))</f>
        <v/>
      </c>
      <c r="AO6" s="30" t="str">
        <f>IF(ISERROR(FIND($A$2,Lines!AO6))=TRUE,"",MID(Lines!AO6,FIND($A$2,Lines!AO6)+LEN($A$2)+1,FIND(",",_xlfn.CONCAT(Lines!AO6,","),FIND($A$2,Lines!AO6))-FIND($A$2,Lines!AO6)-LEN($A$2)-1))</f>
        <v/>
      </c>
      <c r="AP6" s="30" t="str">
        <f>IF(ISERROR(FIND($A$2,Lines!AP6))=TRUE,"",MID(Lines!AP6,FIND($A$2,Lines!AP6)+LEN($A$2)+1,FIND(",",_xlfn.CONCAT(Lines!AP6,","),FIND($A$2,Lines!AP6))-FIND($A$2,Lines!AP6)-LEN($A$2)-1))</f>
        <v/>
      </c>
      <c r="AQ6" s="30" t="str">
        <f>IF(ISERROR(FIND($A$2,Lines!AQ6))=TRUE,"",MID(Lines!AQ6,FIND($A$2,Lines!AQ6)+LEN($A$2)+1,FIND(",",_xlfn.CONCAT(Lines!AQ6,","),FIND($A$2,Lines!AQ6))-FIND($A$2,Lines!AQ6)-LEN($A$2)-1))</f>
        <v/>
      </c>
      <c r="AR6" s="30" t="str">
        <f>IF(ISERROR(FIND($A$2,Lines!AR6))=TRUE,"",MID(Lines!AR6,FIND($A$2,Lines!AR6)+LEN($A$2)+1,FIND(",",_xlfn.CONCAT(Lines!AR6,","),FIND($A$2,Lines!AR6))-FIND($A$2,Lines!AR6)-LEN($A$2)-1))</f>
        <v/>
      </c>
      <c r="AS6" s="30" t="str">
        <f>IF(ISERROR(FIND($A$2,Lines!AS6))=TRUE,"",MID(Lines!AS6,FIND($A$2,Lines!AS6)+LEN($A$2)+1,FIND(",",_xlfn.CONCAT(Lines!AS6,","),FIND($A$2,Lines!AS6))-FIND($A$2,Lines!AS6)-LEN($A$2)-1))</f>
        <v/>
      </c>
      <c r="AT6" s="30" t="str">
        <f>IF(ISERROR(FIND($A$2,Lines!AT6))=TRUE,"",MID(Lines!AT6,FIND($A$2,Lines!AT6)+LEN($A$2)+1,FIND(",",_xlfn.CONCAT(Lines!AT6,","),FIND($A$2,Lines!AT6))-FIND($A$2,Lines!AT6)-LEN($A$2)-1))</f>
        <v/>
      </c>
    </row>
    <row r="7" spans="1:46" ht="20.25" customHeight="1">
      <c r="A7" s="2" t="s">
        <v>58</v>
      </c>
      <c r="B7" s="26" t="str">
        <f>IF(ISERROR(FIND($A$2,Lines!B7))=TRUE,"",MID(Lines!B7,FIND($A$2,Lines!B7)+LEN($A$2)+1,FIND(",",_xlfn.CONCAT(Lines!B7,","),FIND($A$2,Lines!B7))-FIND($A$2,Lines!B7)-LEN($A$2)-1))</f>
        <v/>
      </c>
      <c r="C7" s="26" t="str">
        <f>IF(ISERROR(FIND($A$2,Lines!C7))=TRUE,"",MID(Lines!C7,FIND($A$2,Lines!C7)+LEN($A$2)+1,FIND(",",_xlfn.CONCAT(Lines!C7,","),FIND($A$2,Lines!C7))-FIND($A$2,Lines!C7)-LEN($A$2)-1))</f>
        <v/>
      </c>
      <c r="D7" s="26" t="str">
        <f>IF(ISERROR(FIND($A$2,Lines!D7))=TRUE,"",MID(Lines!D7,FIND($A$2,Lines!D7)+LEN($A$2)+1,FIND(",",_xlfn.CONCAT(Lines!D7,","),FIND($A$2,Lines!D7))-FIND($A$2,Lines!D7)-LEN($A$2)-1))</f>
        <v/>
      </c>
      <c r="E7" s="63" t="str">
        <f>IF(ISERROR(FIND($A$2,Lines!E7))=TRUE,"",MID(Lines!E7,FIND($A$2,Lines!E7)+LEN($A$2)+1,FIND(",",_xlfn.CONCAT(Lines!E7,","),FIND($A$2,Lines!E7))-FIND($A$2,Lines!E7)-LEN($A$2)-1))</f>
        <v/>
      </c>
      <c r="F7" s="26" t="str">
        <f>IF(ISERROR(FIND($A$2,Lines!F7))=TRUE,"",MID(Lines!F7,FIND($A$2,Lines!F7)+LEN($A$2)+1,FIND(",",_xlfn.CONCAT(Lines!F7,","),FIND($A$2,Lines!F7))-FIND($A$2,Lines!F7)-LEN($A$2)-1))</f>
        <v/>
      </c>
      <c r="G7" s="26" t="str">
        <f>IF(ISERROR(FIND($A$2,Lines!G7))=TRUE,"",MID(Lines!G7,FIND($A$2,Lines!G7)+LEN($A$2)+1,FIND(",",_xlfn.CONCAT(Lines!G7,","),FIND($A$2,Lines!G7))-FIND($A$2,Lines!G7)-LEN($A$2)-1))</f>
        <v/>
      </c>
      <c r="H7" s="26" t="str">
        <f>IF(ISERROR(FIND($A$2,Lines!H7))=TRUE,"",MID(Lines!H7,FIND($A$2,Lines!H7)+LEN($A$2)+1,FIND(",",_xlfn.CONCAT(Lines!H7,","),FIND($A$2,Lines!H7))-FIND($A$2,Lines!H7)-LEN($A$2)-1))</f>
        <v/>
      </c>
      <c r="I7" s="26" t="str">
        <f>IF(ISERROR(FIND($A$2,Lines!I7))=TRUE,"",MID(Lines!I7,FIND($A$2,Lines!I7)+LEN($A$2)+1,FIND(",",_xlfn.CONCAT(Lines!I7,","),FIND($A$2,Lines!I7))-FIND($A$2,Lines!I7)-LEN($A$2)-1))</f>
        <v/>
      </c>
      <c r="J7" s="26" t="str">
        <f>IF(ISERROR(FIND($A$2,Lines!J7))=TRUE,"",MID(Lines!J7,FIND($A$2,Lines!J7)+LEN($A$2)+1,FIND(",",_xlfn.CONCAT(Lines!J7,","),FIND($A$2,Lines!J7))-FIND($A$2,Lines!J7)-LEN($A$2)-1))</f>
        <v/>
      </c>
      <c r="K7" s="26" t="str">
        <f>IF(ISERROR(FIND($A$2,Lines!K7))=TRUE,"",MID(Lines!K7,FIND($A$2,Lines!K7)+LEN($A$2)+1,FIND(",",_xlfn.CONCAT(Lines!K7,","),FIND($A$2,Lines!K7))-FIND($A$2,Lines!K7)-LEN($A$2)-1))</f>
        <v/>
      </c>
      <c r="L7" s="26" t="str">
        <f>IF(ISERROR(FIND($A$2,Lines!L7))=TRUE,"",MID(Lines!L7,FIND($A$2,Lines!L7)+LEN($A$2)+1,FIND(",",_xlfn.CONCAT(Lines!L7,","),FIND($A$2,Lines!L7))-FIND($A$2,Lines!L7)-LEN($A$2)-1))</f>
        <v/>
      </c>
      <c r="M7" s="27" t="str">
        <f>IF(ISERROR(FIND($A$2,Lines!M7))=TRUE,"",MID(Lines!M7,FIND($A$2,Lines!M7)+LEN($A$2)+1,FIND(",",_xlfn.CONCAT(Lines!M7,","),FIND($A$2,Lines!M7))-FIND($A$2,Lines!M7)-LEN($A$2)-1))</f>
        <v/>
      </c>
      <c r="N7" s="30" t="str">
        <f>IF(ISERROR(FIND($A$2,Lines!N7))=TRUE,"",MID(Lines!N7,FIND($A$2,Lines!N7)+LEN($A$2)+1,FIND(",",_xlfn.CONCAT(Lines!N7,","),FIND($A$2,Lines!N7))-FIND($A$2,Lines!N7)-LEN($A$2)-1))</f>
        <v/>
      </c>
      <c r="O7" s="30" t="str">
        <f>IF(ISERROR(FIND($A$2,Lines!O7))=TRUE,"",MID(Lines!O7,FIND($A$2,Lines!O7)+LEN($A$2)+1,FIND(",",_xlfn.CONCAT(Lines!O7,","),FIND($A$2,Lines!O7))-FIND($A$2,Lines!O7)-LEN($A$2)-1))</f>
        <v/>
      </c>
      <c r="P7" s="30" t="str">
        <f>IF(ISERROR(FIND($A$2,Lines!P7))=TRUE,"",MID(Lines!P7,FIND($A$2,Lines!P7)+LEN($A$2)+1,FIND(",",_xlfn.CONCAT(Lines!P7,","),FIND($A$2,Lines!P7))-FIND($A$2,Lines!P7)-LEN($A$2)-1))</f>
        <v/>
      </c>
      <c r="Q7" s="30" t="str">
        <f>IF(ISERROR(FIND($A$2,Lines!Q7))=TRUE,"",MID(Lines!Q7,FIND($A$2,Lines!Q7)+LEN($A$2)+1,FIND(",",_xlfn.CONCAT(Lines!Q7,","),FIND($A$2,Lines!Q7))-FIND($A$2,Lines!Q7)-LEN($A$2)-1))</f>
        <v/>
      </c>
      <c r="R7" s="30" t="str">
        <f>IF(ISERROR(FIND($A$2,Lines!R7))=TRUE,"",MID(Lines!R7,FIND($A$2,Lines!R7)+LEN($A$2)+1,FIND(",",_xlfn.CONCAT(Lines!R7,","),FIND($A$2,Lines!R7))-FIND($A$2,Lines!R7)-LEN($A$2)-1))</f>
        <v/>
      </c>
      <c r="S7" s="30" t="str">
        <f>IF(ISERROR(FIND($A$2,Lines!S7))=TRUE,"",MID(Lines!S7,FIND($A$2,Lines!S7)+LEN($A$2)+1,FIND(",",_xlfn.CONCAT(Lines!S7,","),FIND($A$2,Lines!S7))-FIND($A$2,Lines!S7)-LEN($A$2)-1))</f>
        <v/>
      </c>
      <c r="T7" s="30" t="str">
        <f>IF(ISERROR(FIND($A$2,Lines!T7))=TRUE,"",MID(Lines!T7,FIND($A$2,Lines!T7)+LEN($A$2)+1,FIND(",",_xlfn.CONCAT(Lines!T7,","),FIND($A$2,Lines!T7))-FIND($A$2,Lines!T7)-LEN($A$2)-1))</f>
        <v/>
      </c>
      <c r="U7" s="30" t="str">
        <f>IF(ISERROR(FIND($A$2,Lines!U7))=TRUE,"",MID(Lines!U7,FIND($A$2,Lines!U7)+LEN($A$2)+1,FIND(",",_xlfn.CONCAT(Lines!U7,","),FIND($A$2,Lines!U7))-FIND($A$2,Lines!U7)-LEN($A$2)-1))</f>
        <v/>
      </c>
      <c r="V7" s="30" t="str">
        <f>IF(ISERROR(FIND($A$2,Lines!V7))=TRUE,"",MID(Lines!V7,FIND($A$2,Lines!V7)+LEN($A$2)+1,FIND(",",_xlfn.CONCAT(Lines!V7,","),FIND($A$2,Lines!V7))-FIND($A$2,Lines!V7)-LEN($A$2)-1))</f>
        <v/>
      </c>
      <c r="W7" s="36" t="str">
        <f>IF(ISERROR(FIND($A$2,Lines!W7))=TRUE,"",MID(Lines!W7,FIND($A$2,Lines!W7)+LEN($A$2)+1,FIND(",",_xlfn.CONCAT(Lines!W7,","),FIND($A$2,Lines!W7))-FIND($A$2,Lines!W7)-LEN($A$2)-1))</f>
        <v/>
      </c>
      <c r="X7" s="30" t="str">
        <f>IF(ISERROR(FIND($A$2,Lines!X7))=TRUE,"",MID(Lines!X7,FIND($A$2,Lines!X7)+LEN($A$2)+1,FIND(",",_xlfn.CONCAT(Lines!X7,","),FIND($A$2,Lines!X7))-FIND($A$2,Lines!X7)-LEN($A$2)-1))</f>
        <v/>
      </c>
      <c r="Y7" s="30" t="str">
        <f>IF(ISERROR(FIND($A$2,Lines!Y7))=TRUE,"",MID(Lines!Y7,FIND($A$2,Lines!Y7)+LEN($A$2)+1,FIND(",",_xlfn.CONCAT(Lines!Y7,","),FIND($A$2,Lines!Y7))-FIND($A$2,Lines!Y7)-LEN($A$2)-1))</f>
        <v/>
      </c>
      <c r="Z7" s="30" t="str">
        <f>IF(ISERROR(FIND($A$2,Lines!Z7))=TRUE,"",MID(Lines!Z7,FIND($A$2,Lines!Z7)+LEN($A$2)+1,FIND(",",_xlfn.CONCAT(Lines!Z7,","),FIND($A$2,Lines!Z7))-FIND($A$2,Lines!Z7)-LEN($A$2)-1))</f>
        <v/>
      </c>
      <c r="AA7" s="30" t="str">
        <f>IF(ISERROR(FIND($A$2,Lines!AA7))=TRUE,"",MID(Lines!AA7,FIND($A$2,Lines!AA7)+LEN($A$2)+1,FIND(",",_xlfn.CONCAT(Lines!AA7,","),FIND($A$2,Lines!AA7))-FIND($A$2,Lines!AA7)-LEN($A$2)-1))</f>
        <v/>
      </c>
      <c r="AB7" s="30" t="str">
        <f>IF(ISERROR(FIND($A$2,Lines!AB7))=TRUE,"",MID(Lines!AB7,FIND($A$2,Lines!AB7)+LEN($A$2)+1,FIND(",",_xlfn.CONCAT(Lines!AB7,","),FIND($A$2,Lines!AB7))-FIND($A$2,Lines!AB7)-LEN($A$2)-1))</f>
        <v/>
      </c>
      <c r="AC7" s="30" t="str">
        <f>IF(ISERROR(FIND($A$2,Lines!AC7))=TRUE,"",MID(Lines!AC7,FIND($A$2,Lines!AC7)+LEN($A$2)+1,FIND(",",_xlfn.CONCAT(Lines!AC7,","),FIND($A$2,Lines!AC7))-FIND($A$2,Lines!AC7)-LEN($A$2)-1))</f>
        <v/>
      </c>
      <c r="AD7" s="30" t="str">
        <f>IF(ISERROR(FIND($A$2,Lines!AD7))=TRUE,"",MID(Lines!AD7,FIND($A$2,Lines!AD7)+LEN($A$2)+1,FIND(",",_xlfn.CONCAT(Lines!AD7,","),FIND($A$2,Lines!AD7))-FIND($A$2,Lines!AD7)-LEN($A$2)-1))</f>
        <v/>
      </c>
      <c r="AE7" s="30" t="str">
        <f>IF(ISERROR(FIND($A$2,Lines!AE7))=TRUE,"",MID(Lines!AE7,FIND($A$2,Lines!AE7)+LEN($A$2)+1,FIND(",",_xlfn.CONCAT(Lines!AE7,","),FIND($A$2,Lines!AE7))-FIND($A$2,Lines!AE7)-LEN($A$2)-1))</f>
        <v/>
      </c>
      <c r="AF7" s="30" t="str">
        <f>IF(ISERROR(FIND($A$2,Lines!AF7))=TRUE,"",MID(Lines!AF7,FIND($A$2,Lines!AF7)+LEN($A$2)+1,FIND(",",_xlfn.CONCAT(Lines!AF7,","),FIND($A$2,Lines!AF7))-FIND($A$2,Lines!AF7)-LEN($A$2)-1))</f>
        <v/>
      </c>
      <c r="AG7" s="30" t="str">
        <f>IF(ISERROR(FIND($A$2,Lines!AG7))=TRUE,"",MID(Lines!AG7,FIND($A$2,Lines!AG7)+LEN($A$2)+1,FIND(",",_xlfn.CONCAT(Lines!AG7,","),FIND($A$2,Lines!AG7))-FIND($A$2,Lines!AG7)-LEN($A$2)-1))</f>
        <v/>
      </c>
      <c r="AH7" s="30" t="str">
        <f>IF(ISERROR(FIND($A$2,Lines!AH7))=TRUE,"",MID(Lines!AH7,FIND($A$2,Lines!AH7)+LEN($A$2)+1,FIND(",",_xlfn.CONCAT(Lines!AH7,","),FIND($A$2,Lines!AH7))-FIND($A$2,Lines!AH7)-LEN($A$2)-1))</f>
        <v/>
      </c>
      <c r="AI7" s="30" t="str">
        <f>IF(ISERROR(FIND($A$2,Lines!AI7))=TRUE,"",MID(Lines!AI7,FIND($A$2,Lines!AI7)+LEN($A$2)+1,FIND(",",_xlfn.CONCAT(Lines!AI7,","),FIND($A$2,Lines!AI7))-FIND($A$2,Lines!AI7)-LEN($A$2)-1))</f>
        <v/>
      </c>
      <c r="AJ7" s="30" t="str">
        <f>IF(ISERROR(FIND($A$2,Lines!AJ7))=TRUE,"",MID(Lines!AJ7,FIND($A$2,Lines!AJ7)+LEN($A$2)+1,FIND(",",_xlfn.CONCAT(Lines!AJ7,","),FIND($A$2,Lines!AJ7))-FIND($A$2,Lines!AJ7)-LEN($A$2)-1))</f>
        <v/>
      </c>
      <c r="AK7" s="30" t="str">
        <f>IF(ISERROR(FIND($A$2,Lines!AK7))=TRUE,"",MID(Lines!AK7,FIND($A$2,Lines!AK7)+LEN($A$2)+1,FIND(",",_xlfn.CONCAT(Lines!AK7,","),FIND($A$2,Lines!AK7))-FIND($A$2,Lines!AK7)-LEN($A$2)-1))</f>
        <v/>
      </c>
      <c r="AL7" s="30" t="str">
        <f>IF(ISERROR(FIND($A$2,Lines!AL7))=TRUE,"",MID(Lines!AL7,FIND($A$2,Lines!AL7)+LEN($A$2)+1,FIND(",",_xlfn.CONCAT(Lines!AL7,","),FIND($A$2,Lines!AL7))-FIND($A$2,Lines!AL7)-LEN($A$2)-1))</f>
        <v/>
      </c>
      <c r="AM7" s="30" t="str">
        <f>IF(ISERROR(FIND($A$2,Lines!AM7))=TRUE,"",MID(Lines!AM7,FIND($A$2,Lines!AM7)+LEN($A$2)+1,FIND(",",_xlfn.CONCAT(Lines!AM7,","),FIND($A$2,Lines!AM7))-FIND($A$2,Lines!AM7)-LEN($A$2)-1))</f>
        <v/>
      </c>
      <c r="AN7" s="30" t="str">
        <f>IF(ISERROR(FIND($A$2,Lines!AN7))=TRUE,"",MID(Lines!AN7,FIND($A$2,Lines!AN7)+LEN($A$2)+1,FIND(",",_xlfn.CONCAT(Lines!AN7,","),FIND($A$2,Lines!AN7))-FIND($A$2,Lines!AN7)-LEN($A$2)-1))</f>
        <v/>
      </c>
      <c r="AO7" s="30" t="str">
        <f>IF(ISERROR(FIND($A$2,Lines!AO7))=TRUE,"",MID(Lines!AO7,FIND($A$2,Lines!AO7)+LEN($A$2)+1,FIND(",",_xlfn.CONCAT(Lines!AO7,","),FIND($A$2,Lines!AO7))-FIND($A$2,Lines!AO7)-LEN($A$2)-1))</f>
        <v/>
      </c>
      <c r="AP7" s="30" t="str">
        <f>IF(ISERROR(FIND($A$2,Lines!AP7))=TRUE,"",MID(Lines!AP7,FIND($A$2,Lines!AP7)+LEN($A$2)+1,FIND(",",_xlfn.CONCAT(Lines!AP7,","),FIND($A$2,Lines!AP7))-FIND($A$2,Lines!AP7)-LEN($A$2)-1))</f>
        <v/>
      </c>
      <c r="AQ7" s="30" t="str">
        <f>IF(ISERROR(FIND($A$2,Lines!AQ7))=TRUE,"",MID(Lines!AQ7,FIND($A$2,Lines!AQ7)+LEN($A$2)+1,FIND(",",_xlfn.CONCAT(Lines!AQ7,","),FIND($A$2,Lines!AQ7))-FIND($A$2,Lines!AQ7)-LEN($A$2)-1))</f>
        <v/>
      </c>
      <c r="AR7" s="30" t="str">
        <f>IF(ISERROR(FIND($A$2,Lines!AR7))=TRUE,"",MID(Lines!AR7,FIND($A$2,Lines!AR7)+LEN($A$2)+1,FIND(",",_xlfn.CONCAT(Lines!AR7,","),FIND($A$2,Lines!AR7))-FIND($A$2,Lines!AR7)-LEN($A$2)-1))</f>
        <v/>
      </c>
      <c r="AS7" s="30" t="str">
        <f>IF(ISERROR(FIND($A$2,Lines!AS7))=TRUE,"",MID(Lines!AS7,FIND($A$2,Lines!AS7)+LEN($A$2)+1,FIND(",",_xlfn.CONCAT(Lines!AS7,","),FIND($A$2,Lines!AS7))-FIND($A$2,Lines!AS7)-LEN($A$2)-1))</f>
        <v/>
      </c>
      <c r="AT7" s="30" t="str">
        <f>IF(ISERROR(FIND($A$2,Lines!AT7))=TRUE,"",MID(Lines!AT7,FIND($A$2,Lines!AT7)+LEN($A$2)+1,FIND(",",_xlfn.CONCAT(Lines!AT7,","),FIND($A$2,Lines!AT7))-FIND($A$2,Lines!AT7)-LEN($A$2)-1))</f>
        <v/>
      </c>
    </row>
    <row r="8" spans="1:46" ht="20.25" customHeight="1">
      <c r="A8" s="2" t="s">
        <v>59</v>
      </c>
      <c r="B8" s="26" t="str">
        <f>IF(ISERROR(FIND($A$2,Lines!B8))=TRUE,"",MID(Lines!B8,FIND($A$2,Lines!B8)+LEN($A$2)+1,FIND(",",_xlfn.CONCAT(Lines!B8,","),FIND($A$2,Lines!B8))-FIND($A$2,Lines!B8)-LEN($A$2)-1))</f>
        <v/>
      </c>
      <c r="C8" s="26" t="str">
        <f>IF(ISERROR(FIND($A$2,Lines!C8))=TRUE,"",MID(Lines!C8,FIND($A$2,Lines!C8)+LEN($A$2)+1,FIND(",",_xlfn.CONCAT(Lines!C8,","),FIND($A$2,Lines!C8))-FIND($A$2,Lines!C8)-LEN($A$2)-1))</f>
        <v>4</v>
      </c>
      <c r="D8" s="26" t="str">
        <f>IF(ISERROR(FIND($A$2,Lines!D8))=TRUE,"",MID(Lines!D8,FIND($A$2,Lines!D8)+LEN($A$2)+1,FIND(",",_xlfn.CONCAT(Lines!D8,","),FIND($A$2,Lines!D8))-FIND($A$2,Lines!D8)-LEN($A$2)-1))</f>
        <v/>
      </c>
      <c r="E8" s="26" t="str">
        <f>IF(ISERROR(FIND($A$2,Lines!E8))=TRUE,"",MID(Lines!E8,FIND($A$2,Lines!E8)+LEN($A$2)+1,FIND(",",_xlfn.CONCAT(Lines!E8,","),FIND($A$2,Lines!E8))-FIND($A$2,Lines!E8)-LEN($A$2)-1))</f>
        <v/>
      </c>
      <c r="F8" s="63" t="str">
        <f>IF(ISERROR(FIND($A$2,Lines!F8))=TRUE,"",MID(Lines!F8,FIND($A$2,Lines!F8)+LEN($A$2)+1,FIND(",",_xlfn.CONCAT(Lines!F8,","),FIND($A$2,Lines!F8))-FIND($A$2,Lines!F8)-LEN($A$2)-1))</f>
        <v/>
      </c>
      <c r="G8" s="26" t="str">
        <f>IF(ISERROR(FIND($A$2,Lines!G8))=TRUE,"",MID(Lines!G8,FIND($A$2,Lines!G8)+LEN($A$2)+1,FIND(",",_xlfn.CONCAT(Lines!G8,","),FIND($A$2,Lines!G8))-FIND($A$2,Lines!G8)-LEN($A$2)-1))</f>
        <v/>
      </c>
      <c r="H8" s="26" t="str">
        <f>IF(ISERROR(FIND($A$2,Lines!H8))=TRUE,"",MID(Lines!H8,FIND($A$2,Lines!H8)+LEN($A$2)+1,FIND(",",_xlfn.CONCAT(Lines!H8,","),FIND($A$2,Lines!H8))-FIND($A$2,Lines!H8)-LEN($A$2)-1))</f>
        <v/>
      </c>
      <c r="I8" s="26" t="str">
        <f>IF(ISERROR(FIND($A$2,Lines!I8))=TRUE,"",MID(Lines!I8,FIND($A$2,Lines!I8)+LEN($A$2)+1,FIND(",",_xlfn.CONCAT(Lines!I8,","),FIND($A$2,Lines!I8))-FIND($A$2,Lines!I8)-LEN($A$2)-1))</f>
        <v/>
      </c>
      <c r="J8" s="26" t="str">
        <f>IF(ISERROR(FIND($A$2,Lines!J8))=TRUE,"",MID(Lines!J8,FIND($A$2,Lines!J8)+LEN($A$2)+1,FIND(",",_xlfn.CONCAT(Lines!J8,","),FIND($A$2,Lines!J8))-FIND($A$2,Lines!J8)-LEN($A$2)-1))</f>
        <v/>
      </c>
      <c r="K8" s="26" t="str">
        <f>IF(ISERROR(FIND($A$2,Lines!K8))=TRUE,"",MID(Lines!K8,FIND($A$2,Lines!K8)+LEN($A$2)+1,FIND(",",_xlfn.CONCAT(Lines!K8,","),FIND($A$2,Lines!K8))-FIND($A$2,Lines!K8)-LEN($A$2)-1))</f>
        <v/>
      </c>
      <c r="L8" s="26" t="str">
        <f>IF(ISERROR(FIND($A$2,Lines!L8))=TRUE,"",MID(Lines!L8,FIND($A$2,Lines!L8)+LEN($A$2)+1,FIND(",",_xlfn.CONCAT(Lines!L8,","),FIND($A$2,Lines!L8))-FIND($A$2,Lines!L8)-LEN($A$2)-1))</f>
        <v/>
      </c>
      <c r="M8" s="27" t="str">
        <f>IF(ISERROR(FIND($A$2,Lines!M8))=TRUE,"",MID(Lines!M8,FIND($A$2,Lines!M8)+LEN($A$2)+1,FIND(",",_xlfn.CONCAT(Lines!M8,","),FIND($A$2,Lines!M8))-FIND($A$2,Lines!M8)-LEN($A$2)-1))</f>
        <v>2</v>
      </c>
      <c r="N8" s="30" t="str">
        <f>IF(ISERROR(FIND($A$2,Lines!N8))=TRUE,"",MID(Lines!N8,FIND($A$2,Lines!N8)+LEN($A$2)+1,FIND(",",_xlfn.CONCAT(Lines!N8,","),FIND($A$2,Lines!N8))-FIND($A$2,Lines!N8)-LEN($A$2)-1))</f>
        <v/>
      </c>
      <c r="O8" s="30" t="str">
        <f>IF(ISERROR(FIND($A$2,Lines!O8))=TRUE,"",MID(Lines!O8,FIND($A$2,Lines!O8)+LEN($A$2)+1,FIND(",",_xlfn.CONCAT(Lines!O8,","),FIND($A$2,Lines!O8))-FIND($A$2,Lines!O8)-LEN($A$2)-1))</f>
        <v/>
      </c>
      <c r="P8" s="30" t="str">
        <f>IF(ISERROR(FIND($A$2,Lines!P8))=TRUE,"",MID(Lines!P8,FIND($A$2,Lines!P8)+LEN($A$2)+1,FIND(",",_xlfn.CONCAT(Lines!P8,","),FIND($A$2,Lines!P8))-FIND($A$2,Lines!P8)-LEN($A$2)-1))</f>
        <v/>
      </c>
      <c r="Q8" s="30" t="str">
        <f>IF(ISERROR(FIND($A$2,Lines!Q8))=TRUE,"",MID(Lines!Q8,FIND($A$2,Lines!Q8)+LEN($A$2)+1,FIND(",",_xlfn.CONCAT(Lines!Q8,","),FIND($A$2,Lines!Q8))-FIND($A$2,Lines!Q8)-LEN($A$2)-1))</f>
        <v/>
      </c>
      <c r="R8" s="30" t="str">
        <f>IF(ISERROR(FIND($A$2,Lines!R8))=TRUE,"",MID(Lines!R8,FIND($A$2,Lines!R8)+LEN($A$2)+1,FIND(",",_xlfn.CONCAT(Lines!R8,","),FIND($A$2,Lines!R8))-FIND($A$2,Lines!R8)-LEN($A$2)-1))</f>
        <v/>
      </c>
      <c r="S8" s="30" t="str">
        <f>IF(ISERROR(FIND($A$2,Lines!S8))=TRUE,"",MID(Lines!S8,FIND($A$2,Lines!S8)+LEN($A$2)+1,FIND(",",_xlfn.CONCAT(Lines!S8,","),FIND($A$2,Lines!S8))-FIND($A$2,Lines!S8)-LEN($A$2)-1))</f>
        <v/>
      </c>
      <c r="T8" s="30" t="str">
        <f>IF(ISERROR(FIND($A$2,Lines!T8))=TRUE,"",MID(Lines!T8,FIND($A$2,Lines!T8)+LEN($A$2)+1,FIND(",",_xlfn.CONCAT(Lines!T8,","),FIND($A$2,Lines!T8))-FIND($A$2,Lines!T8)-LEN($A$2)-1))</f>
        <v/>
      </c>
      <c r="U8" s="30" t="str">
        <f>IF(ISERROR(FIND($A$2,Lines!U8))=TRUE,"",MID(Lines!U8,FIND($A$2,Lines!U8)+LEN($A$2)+1,FIND(",",_xlfn.CONCAT(Lines!U8,","),FIND($A$2,Lines!U8))-FIND($A$2,Lines!U8)-LEN($A$2)-1))</f>
        <v/>
      </c>
      <c r="V8" s="30" t="str">
        <f>IF(ISERROR(FIND($A$2,Lines!V8))=TRUE,"",MID(Lines!V8,FIND($A$2,Lines!V8)+LEN($A$2)+1,FIND(",",_xlfn.CONCAT(Lines!V8,","),FIND($A$2,Lines!V8))-FIND($A$2,Lines!V8)-LEN($A$2)-1))</f>
        <v/>
      </c>
      <c r="W8" s="36" t="str">
        <f>IF(ISERROR(FIND($A$2,Lines!W8))=TRUE,"",MID(Lines!W8,FIND($A$2,Lines!W8)+LEN($A$2)+1,FIND(",",_xlfn.CONCAT(Lines!W8,","),FIND($A$2,Lines!W8))-FIND($A$2,Lines!W8)-LEN($A$2)-1))</f>
        <v/>
      </c>
      <c r="X8" s="30" t="str">
        <f>IF(ISERROR(FIND($A$2,Lines!X8))=TRUE,"",MID(Lines!X8,FIND($A$2,Lines!X8)+LEN($A$2)+1,FIND(",",_xlfn.CONCAT(Lines!X8,","),FIND($A$2,Lines!X8))-FIND($A$2,Lines!X8)-LEN($A$2)-1))</f>
        <v/>
      </c>
      <c r="Y8" s="30" t="str">
        <f>IF(ISERROR(FIND($A$2,Lines!Y8))=TRUE,"",MID(Lines!Y8,FIND($A$2,Lines!Y8)+LEN($A$2)+1,FIND(",",_xlfn.CONCAT(Lines!Y8,","),FIND($A$2,Lines!Y8))-FIND($A$2,Lines!Y8)-LEN($A$2)-1))</f>
        <v/>
      </c>
      <c r="Z8" s="30" t="str">
        <f>IF(ISERROR(FIND($A$2,Lines!Z8))=TRUE,"",MID(Lines!Z8,FIND($A$2,Lines!Z8)+LEN($A$2)+1,FIND(",",_xlfn.CONCAT(Lines!Z8,","),FIND($A$2,Lines!Z8))-FIND($A$2,Lines!Z8)-LEN($A$2)-1))</f>
        <v/>
      </c>
      <c r="AA8" s="30" t="str">
        <f>IF(ISERROR(FIND($A$2,Lines!AA8))=TRUE,"",MID(Lines!AA8,FIND($A$2,Lines!AA8)+LEN($A$2)+1,FIND(",",_xlfn.CONCAT(Lines!AA8,","),FIND($A$2,Lines!AA8))-FIND($A$2,Lines!AA8)-LEN($A$2)-1))</f>
        <v/>
      </c>
      <c r="AB8" s="30" t="str">
        <f>IF(ISERROR(FIND($A$2,Lines!AB8))=TRUE,"",MID(Lines!AB8,FIND($A$2,Lines!AB8)+LEN($A$2)+1,FIND(",",_xlfn.CONCAT(Lines!AB8,","),FIND($A$2,Lines!AB8))-FIND($A$2,Lines!AB8)-LEN($A$2)-1))</f>
        <v/>
      </c>
      <c r="AC8" s="30" t="str">
        <f>IF(ISERROR(FIND($A$2,Lines!AC8))=TRUE,"",MID(Lines!AC8,FIND($A$2,Lines!AC8)+LEN($A$2)+1,FIND(",",_xlfn.CONCAT(Lines!AC8,","),FIND($A$2,Lines!AC8))-FIND($A$2,Lines!AC8)-LEN($A$2)-1))</f>
        <v/>
      </c>
      <c r="AD8" s="30" t="str">
        <f>IF(ISERROR(FIND($A$2,Lines!AD8))=TRUE,"",MID(Lines!AD8,FIND($A$2,Lines!AD8)+LEN($A$2)+1,FIND(",",_xlfn.CONCAT(Lines!AD8,","),FIND($A$2,Lines!AD8))-FIND($A$2,Lines!AD8)-LEN($A$2)-1))</f>
        <v/>
      </c>
      <c r="AE8" s="30" t="str">
        <f>IF(ISERROR(FIND($A$2,Lines!AE8))=TRUE,"",MID(Lines!AE8,FIND($A$2,Lines!AE8)+LEN($A$2)+1,FIND(",",_xlfn.CONCAT(Lines!AE8,","),FIND($A$2,Lines!AE8))-FIND($A$2,Lines!AE8)-LEN($A$2)-1))</f>
        <v/>
      </c>
      <c r="AF8" s="30" t="str">
        <f>IF(ISERROR(FIND($A$2,Lines!AF8))=TRUE,"",MID(Lines!AF8,FIND($A$2,Lines!AF8)+LEN($A$2)+1,FIND(",",_xlfn.CONCAT(Lines!AF8,","),FIND($A$2,Lines!AF8))-FIND($A$2,Lines!AF8)-LEN($A$2)-1))</f>
        <v/>
      </c>
      <c r="AG8" s="30" t="str">
        <f>IF(ISERROR(FIND($A$2,Lines!AG8))=TRUE,"",MID(Lines!AG8,FIND($A$2,Lines!AG8)+LEN($A$2)+1,FIND(",",_xlfn.CONCAT(Lines!AG8,","),FIND($A$2,Lines!AG8))-FIND($A$2,Lines!AG8)-LEN($A$2)-1))</f>
        <v/>
      </c>
      <c r="AH8" s="30" t="str">
        <f>IF(ISERROR(FIND($A$2,Lines!AH8))=TRUE,"",MID(Lines!AH8,FIND($A$2,Lines!AH8)+LEN($A$2)+1,FIND(",",_xlfn.CONCAT(Lines!AH8,","),FIND($A$2,Lines!AH8))-FIND($A$2,Lines!AH8)-LEN($A$2)-1))</f>
        <v/>
      </c>
      <c r="AI8" s="30" t="str">
        <f>IF(ISERROR(FIND($A$2,Lines!AI8))=TRUE,"",MID(Lines!AI8,FIND($A$2,Lines!AI8)+LEN($A$2)+1,FIND(",",_xlfn.CONCAT(Lines!AI8,","),FIND($A$2,Lines!AI8))-FIND($A$2,Lines!AI8)-LEN($A$2)-1))</f>
        <v/>
      </c>
      <c r="AJ8" s="30" t="str">
        <f>IF(ISERROR(FIND($A$2,Lines!AJ8))=TRUE,"",MID(Lines!AJ8,FIND($A$2,Lines!AJ8)+LEN($A$2)+1,FIND(",",_xlfn.CONCAT(Lines!AJ8,","),FIND($A$2,Lines!AJ8))-FIND($A$2,Lines!AJ8)-LEN($A$2)-1))</f>
        <v/>
      </c>
      <c r="AK8" s="30" t="str">
        <f>IF(ISERROR(FIND($A$2,Lines!AK8))=TRUE,"",MID(Lines!AK8,FIND($A$2,Lines!AK8)+LEN($A$2)+1,FIND(",",_xlfn.CONCAT(Lines!AK8,","),FIND($A$2,Lines!AK8))-FIND($A$2,Lines!AK8)-LEN($A$2)-1))</f>
        <v/>
      </c>
      <c r="AL8" s="30" t="str">
        <f>IF(ISERROR(FIND($A$2,Lines!AL8))=TRUE,"",MID(Lines!AL8,FIND($A$2,Lines!AL8)+LEN($A$2)+1,FIND(",",_xlfn.CONCAT(Lines!AL8,","),FIND($A$2,Lines!AL8))-FIND($A$2,Lines!AL8)-LEN($A$2)-1))</f>
        <v/>
      </c>
      <c r="AM8" s="30" t="str">
        <f>IF(ISERROR(FIND($A$2,Lines!AM8))=TRUE,"",MID(Lines!AM8,FIND($A$2,Lines!AM8)+LEN($A$2)+1,FIND(",",_xlfn.CONCAT(Lines!AM8,","),FIND($A$2,Lines!AM8))-FIND($A$2,Lines!AM8)-LEN($A$2)-1))</f>
        <v/>
      </c>
      <c r="AN8" s="30" t="str">
        <f>IF(ISERROR(FIND($A$2,Lines!AN8))=TRUE,"",MID(Lines!AN8,FIND($A$2,Lines!AN8)+LEN($A$2)+1,FIND(",",_xlfn.CONCAT(Lines!AN8,","),FIND($A$2,Lines!AN8))-FIND($A$2,Lines!AN8)-LEN($A$2)-1))</f>
        <v/>
      </c>
      <c r="AO8" s="30" t="str">
        <f>IF(ISERROR(FIND($A$2,Lines!AO8))=TRUE,"",MID(Lines!AO8,FIND($A$2,Lines!AO8)+LEN($A$2)+1,FIND(",",_xlfn.CONCAT(Lines!AO8,","),FIND($A$2,Lines!AO8))-FIND($A$2,Lines!AO8)-LEN($A$2)-1))</f>
        <v/>
      </c>
      <c r="AP8" s="30" t="str">
        <f>IF(ISERROR(FIND($A$2,Lines!AP8))=TRUE,"",MID(Lines!AP8,FIND($A$2,Lines!AP8)+LEN($A$2)+1,FIND(",",_xlfn.CONCAT(Lines!AP8,","),FIND($A$2,Lines!AP8))-FIND($A$2,Lines!AP8)-LEN($A$2)-1))</f>
        <v/>
      </c>
      <c r="AQ8" s="30" t="str">
        <f>IF(ISERROR(FIND($A$2,Lines!AQ8))=TRUE,"",MID(Lines!AQ8,FIND($A$2,Lines!AQ8)+LEN($A$2)+1,FIND(",",_xlfn.CONCAT(Lines!AQ8,","),FIND($A$2,Lines!AQ8))-FIND($A$2,Lines!AQ8)-LEN($A$2)-1))</f>
        <v/>
      </c>
      <c r="AR8" s="30" t="str">
        <f>IF(ISERROR(FIND($A$2,Lines!AR8))=TRUE,"",MID(Lines!AR8,FIND($A$2,Lines!AR8)+LEN($A$2)+1,FIND(",",_xlfn.CONCAT(Lines!AR8,","),FIND($A$2,Lines!AR8))-FIND($A$2,Lines!AR8)-LEN($A$2)-1))</f>
        <v/>
      </c>
      <c r="AS8" s="30" t="str">
        <f>IF(ISERROR(FIND($A$2,Lines!AS8))=TRUE,"",MID(Lines!AS8,FIND($A$2,Lines!AS8)+LEN($A$2)+1,FIND(",",_xlfn.CONCAT(Lines!AS8,","),FIND($A$2,Lines!AS8))-FIND($A$2,Lines!AS8)-LEN($A$2)-1))</f>
        <v/>
      </c>
      <c r="AT8" s="30" t="str">
        <f>IF(ISERROR(FIND($A$2,Lines!AT8))=TRUE,"",MID(Lines!AT8,FIND($A$2,Lines!AT8)+LEN($A$2)+1,FIND(",",_xlfn.CONCAT(Lines!AT8,","),FIND($A$2,Lines!AT8))-FIND($A$2,Lines!AT8)-LEN($A$2)-1))</f>
        <v/>
      </c>
    </row>
    <row r="9" spans="1:46" ht="20.25" customHeight="1">
      <c r="A9" s="2" t="s">
        <v>60</v>
      </c>
      <c r="B9" s="26" t="str">
        <f>IF(ISERROR(FIND($A$2,Lines!B9))=TRUE,"",MID(Lines!B9,FIND($A$2,Lines!B9)+LEN($A$2)+1,FIND(",",_xlfn.CONCAT(Lines!B9,","),FIND($A$2,Lines!B9))-FIND($A$2,Lines!B9)-LEN($A$2)-1))</f>
        <v/>
      </c>
      <c r="C9" s="26" t="str">
        <f>IF(ISERROR(FIND($A$2,Lines!C9))=TRUE,"",MID(Lines!C9,FIND($A$2,Lines!C9)+LEN($A$2)+1,FIND(",",_xlfn.CONCAT(Lines!C9,","),FIND($A$2,Lines!C9))-FIND($A$2,Lines!C9)-LEN($A$2)-1))</f>
        <v/>
      </c>
      <c r="D9" s="26" t="str">
        <f>IF(ISERROR(FIND($A$2,Lines!D9))=TRUE,"",MID(Lines!D9,FIND($A$2,Lines!D9)+LEN($A$2)+1,FIND(",",_xlfn.CONCAT(Lines!D9,","),FIND($A$2,Lines!D9))-FIND($A$2,Lines!D9)-LEN($A$2)-1))</f>
        <v/>
      </c>
      <c r="E9" s="26" t="str">
        <f>IF(ISERROR(FIND($A$2,Lines!E9))=TRUE,"",MID(Lines!E9,FIND($A$2,Lines!E9)+LEN($A$2)+1,FIND(",",_xlfn.CONCAT(Lines!E9,","),FIND($A$2,Lines!E9))-FIND($A$2,Lines!E9)-LEN($A$2)-1))</f>
        <v/>
      </c>
      <c r="F9" s="26" t="str">
        <f>IF(ISERROR(FIND($A$2,Lines!F9))=TRUE,"",MID(Lines!F9,FIND($A$2,Lines!F9)+LEN($A$2)+1,FIND(",",_xlfn.CONCAT(Lines!F9,","),FIND($A$2,Lines!F9))-FIND($A$2,Lines!F9)-LEN($A$2)-1))</f>
        <v/>
      </c>
      <c r="G9" s="63" t="str">
        <f>IF(ISERROR(FIND($A$2,Lines!G9))=TRUE,"",MID(Lines!G9,FIND($A$2,Lines!G9)+LEN($A$2)+1,FIND(",",_xlfn.CONCAT(Lines!G9,","),FIND($A$2,Lines!G9))-FIND($A$2,Lines!G9)-LEN($A$2)-1))</f>
        <v/>
      </c>
      <c r="H9" s="26" t="str">
        <f>IF(ISERROR(FIND($A$2,Lines!H9))=TRUE,"",MID(Lines!H9,FIND($A$2,Lines!H9)+LEN($A$2)+1,FIND(",",_xlfn.CONCAT(Lines!H9,","),FIND($A$2,Lines!H9))-FIND($A$2,Lines!H9)-LEN($A$2)-1))</f>
        <v/>
      </c>
      <c r="I9" s="26" t="str">
        <f>IF(ISERROR(FIND($A$2,Lines!I9))=TRUE,"",MID(Lines!I9,FIND($A$2,Lines!I9)+LEN($A$2)+1,FIND(",",_xlfn.CONCAT(Lines!I9,","),FIND($A$2,Lines!I9))-FIND($A$2,Lines!I9)-LEN($A$2)-1))</f>
        <v/>
      </c>
      <c r="J9" s="26" t="str">
        <f>IF(ISERROR(FIND($A$2,Lines!J9))=TRUE,"",MID(Lines!J9,FIND($A$2,Lines!J9)+LEN($A$2)+1,FIND(",",_xlfn.CONCAT(Lines!J9,","),FIND($A$2,Lines!J9))-FIND($A$2,Lines!J9)-LEN($A$2)-1))</f>
        <v/>
      </c>
      <c r="K9" s="26" t="str">
        <f>IF(ISERROR(FIND($A$2,Lines!K9))=TRUE,"",MID(Lines!K9,FIND($A$2,Lines!K9)+LEN($A$2)+1,FIND(",",_xlfn.CONCAT(Lines!K9,","),FIND($A$2,Lines!K9))-FIND($A$2,Lines!K9)-LEN($A$2)-1))</f>
        <v/>
      </c>
      <c r="L9" s="26" t="str">
        <f>IF(ISERROR(FIND($A$2,Lines!L9))=TRUE,"",MID(Lines!L9,FIND($A$2,Lines!L9)+LEN($A$2)+1,FIND(",",_xlfn.CONCAT(Lines!L9,","),FIND($A$2,Lines!L9))-FIND($A$2,Lines!L9)-LEN($A$2)-1))</f>
        <v>3</v>
      </c>
      <c r="M9" s="27" t="str">
        <f>IF(ISERROR(FIND($A$2,Lines!M9))=TRUE,"",MID(Lines!M9,FIND($A$2,Lines!M9)+LEN($A$2)+1,FIND(",",_xlfn.CONCAT(Lines!M9,","),FIND($A$2,Lines!M9))-FIND($A$2,Lines!M9)-LEN($A$2)-1))</f>
        <v/>
      </c>
      <c r="N9" s="30" t="str">
        <f>IF(ISERROR(FIND($A$2,Lines!N9))=TRUE,"",MID(Lines!N9,FIND($A$2,Lines!N9)+LEN($A$2)+1,FIND(",",_xlfn.CONCAT(Lines!N9,","),FIND($A$2,Lines!N9))-FIND($A$2,Lines!N9)-LEN($A$2)-1))</f>
        <v/>
      </c>
      <c r="O9" s="30" t="str">
        <f>IF(ISERROR(FIND($A$2,Lines!O9))=TRUE,"",MID(Lines!O9,FIND($A$2,Lines!O9)+LEN($A$2)+1,FIND(",",_xlfn.CONCAT(Lines!O9,","),FIND($A$2,Lines!O9))-FIND($A$2,Lines!O9)-LEN($A$2)-1))</f>
        <v/>
      </c>
      <c r="P9" s="30" t="str">
        <f>IF(ISERROR(FIND($A$2,Lines!P9))=TRUE,"",MID(Lines!P9,FIND($A$2,Lines!P9)+LEN($A$2)+1,FIND(",",_xlfn.CONCAT(Lines!P9,","),FIND($A$2,Lines!P9))-FIND($A$2,Lines!P9)-LEN($A$2)-1))</f>
        <v/>
      </c>
      <c r="Q9" s="30" t="str">
        <f>IF(ISERROR(FIND($A$2,Lines!Q9))=TRUE,"",MID(Lines!Q9,FIND($A$2,Lines!Q9)+LEN($A$2)+1,FIND(",",_xlfn.CONCAT(Lines!Q9,","),FIND($A$2,Lines!Q9))-FIND($A$2,Lines!Q9)-LEN($A$2)-1))</f>
        <v/>
      </c>
      <c r="R9" s="30" t="str">
        <f>IF(ISERROR(FIND($A$2,Lines!R9))=TRUE,"",MID(Lines!R9,FIND($A$2,Lines!R9)+LEN($A$2)+1,FIND(",",_xlfn.CONCAT(Lines!R9,","),FIND($A$2,Lines!R9))-FIND($A$2,Lines!R9)-LEN($A$2)-1))</f>
        <v/>
      </c>
      <c r="S9" s="30" t="str">
        <f>IF(ISERROR(FIND($A$2,Lines!S9))=TRUE,"",MID(Lines!S9,FIND($A$2,Lines!S9)+LEN($A$2)+1,FIND(",",_xlfn.CONCAT(Lines!S9,","),FIND($A$2,Lines!S9))-FIND($A$2,Lines!S9)-LEN($A$2)-1))</f>
        <v/>
      </c>
      <c r="T9" s="30" t="str">
        <f>IF(ISERROR(FIND($A$2,Lines!T9))=TRUE,"",MID(Lines!T9,FIND($A$2,Lines!T9)+LEN($A$2)+1,FIND(",",_xlfn.CONCAT(Lines!T9,","),FIND($A$2,Lines!T9))-FIND($A$2,Lines!T9)-LEN($A$2)-1))</f>
        <v/>
      </c>
      <c r="U9" s="30" t="str">
        <f>IF(ISERROR(FIND($A$2,Lines!U9))=TRUE,"",MID(Lines!U9,FIND($A$2,Lines!U9)+LEN($A$2)+1,FIND(",",_xlfn.CONCAT(Lines!U9,","),FIND($A$2,Lines!U9))-FIND($A$2,Lines!U9)-LEN($A$2)-1))</f>
        <v/>
      </c>
      <c r="V9" s="30" t="str">
        <f>IF(ISERROR(FIND($A$2,Lines!V9))=TRUE,"",MID(Lines!V9,FIND($A$2,Lines!V9)+LEN($A$2)+1,FIND(",",_xlfn.CONCAT(Lines!V9,","),FIND($A$2,Lines!V9))-FIND($A$2,Lines!V9)-LEN($A$2)-1))</f>
        <v/>
      </c>
      <c r="W9" s="36" t="str">
        <f>IF(ISERROR(FIND($A$2,Lines!W9))=TRUE,"",MID(Lines!W9,FIND($A$2,Lines!W9)+LEN($A$2)+1,FIND(",",_xlfn.CONCAT(Lines!W9,","),FIND($A$2,Lines!W9))-FIND($A$2,Lines!W9)-LEN($A$2)-1))</f>
        <v/>
      </c>
      <c r="X9" s="30" t="str">
        <f>IF(ISERROR(FIND($A$2,Lines!X9))=TRUE,"",MID(Lines!X9,FIND($A$2,Lines!X9)+LEN($A$2)+1,FIND(",",_xlfn.CONCAT(Lines!X9,","),FIND($A$2,Lines!X9))-FIND($A$2,Lines!X9)-LEN($A$2)-1))</f>
        <v/>
      </c>
      <c r="Y9" s="30" t="str">
        <f>IF(ISERROR(FIND($A$2,Lines!Y9))=TRUE,"",MID(Lines!Y9,FIND($A$2,Lines!Y9)+LEN($A$2)+1,FIND(",",_xlfn.CONCAT(Lines!Y9,","),FIND($A$2,Lines!Y9))-FIND($A$2,Lines!Y9)-LEN($A$2)-1))</f>
        <v/>
      </c>
      <c r="Z9" s="30" t="str">
        <f>IF(ISERROR(FIND($A$2,Lines!Z9))=TRUE,"",MID(Lines!Z9,FIND($A$2,Lines!Z9)+LEN($A$2)+1,FIND(",",_xlfn.CONCAT(Lines!Z9,","),FIND($A$2,Lines!Z9))-FIND($A$2,Lines!Z9)-LEN($A$2)-1))</f>
        <v/>
      </c>
      <c r="AA9" s="30" t="str">
        <f>IF(ISERROR(FIND($A$2,Lines!AA9))=TRUE,"",MID(Lines!AA9,FIND($A$2,Lines!AA9)+LEN($A$2)+1,FIND(",",_xlfn.CONCAT(Lines!AA9,","),FIND($A$2,Lines!AA9))-FIND($A$2,Lines!AA9)-LEN($A$2)-1))</f>
        <v/>
      </c>
      <c r="AB9" s="30" t="str">
        <f>IF(ISERROR(FIND($A$2,Lines!AB9))=TRUE,"",MID(Lines!AB9,FIND($A$2,Lines!AB9)+LEN($A$2)+1,FIND(",",_xlfn.CONCAT(Lines!AB9,","),FIND($A$2,Lines!AB9))-FIND($A$2,Lines!AB9)-LEN($A$2)-1))</f>
        <v/>
      </c>
      <c r="AC9" s="30" t="str">
        <f>IF(ISERROR(FIND($A$2,Lines!AC9))=TRUE,"",MID(Lines!AC9,FIND($A$2,Lines!AC9)+LEN($A$2)+1,FIND(",",_xlfn.CONCAT(Lines!AC9,","),FIND($A$2,Lines!AC9))-FIND($A$2,Lines!AC9)-LEN($A$2)-1))</f>
        <v/>
      </c>
      <c r="AD9" s="30" t="str">
        <f>IF(ISERROR(FIND($A$2,Lines!AD9))=TRUE,"",MID(Lines!AD9,FIND($A$2,Lines!AD9)+LEN($A$2)+1,FIND(",",_xlfn.CONCAT(Lines!AD9,","),FIND($A$2,Lines!AD9))-FIND($A$2,Lines!AD9)-LEN($A$2)-1))</f>
        <v/>
      </c>
      <c r="AE9" s="30" t="str">
        <f>IF(ISERROR(FIND($A$2,Lines!AE9))=TRUE,"",MID(Lines!AE9,FIND($A$2,Lines!AE9)+LEN($A$2)+1,FIND(",",_xlfn.CONCAT(Lines!AE9,","),FIND($A$2,Lines!AE9))-FIND($A$2,Lines!AE9)-LEN($A$2)-1))</f>
        <v/>
      </c>
      <c r="AF9" s="30" t="str">
        <f>IF(ISERROR(FIND($A$2,Lines!AF9))=TRUE,"",MID(Lines!AF9,FIND($A$2,Lines!AF9)+LEN($A$2)+1,FIND(",",_xlfn.CONCAT(Lines!AF9,","),FIND($A$2,Lines!AF9))-FIND($A$2,Lines!AF9)-LEN($A$2)-1))</f>
        <v/>
      </c>
      <c r="AG9" s="30" t="str">
        <f>IF(ISERROR(FIND($A$2,Lines!AG9))=TRUE,"",MID(Lines!AG9,FIND($A$2,Lines!AG9)+LEN($A$2)+1,FIND(",",_xlfn.CONCAT(Lines!AG9,","),FIND($A$2,Lines!AG9))-FIND($A$2,Lines!AG9)-LEN($A$2)-1))</f>
        <v/>
      </c>
      <c r="AH9" s="30" t="str">
        <f>IF(ISERROR(FIND($A$2,Lines!AH9))=TRUE,"",MID(Lines!AH9,FIND($A$2,Lines!AH9)+LEN($A$2)+1,FIND(",",_xlfn.CONCAT(Lines!AH9,","),FIND($A$2,Lines!AH9))-FIND($A$2,Lines!AH9)-LEN($A$2)-1))</f>
        <v/>
      </c>
      <c r="AI9" s="30" t="str">
        <f>IF(ISERROR(FIND($A$2,Lines!AI9))=TRUE,"",MID(Lines!AI9,FIND($A$2,Lines!AI9)+LEN($A$2)+1,FIND(",",_xlfn.CONCAT(Lines!AI9,","),FIND($A$2,Lines!AI9))-FIND($A$2,Lines!AI9)-LEN($A$2)-1))</f>
        <v/>
      </c>
      <c r="AJ9" s="30" t="str">
        <f>IF(ISERROR(FIND($A$2,Lines!AJ9))=TRUE,"",MID(Lines!AJ9,FIND($A$2,Lines!AJ9)+LEN($A$2)+1,FIND(",",_xlfn.CONCAT(Lines!AJ9,","),FIND($A$2,Lines!AJ9))-FIND($A$2,Lines!AJ9)-LEN($A$2)-1))</f>
        <v/>
      </c>
      <c r="AK9" s="30" t="str">
        <f>IF(ISERROR(FIND($A$2,Lines!AK9))=TRUE,"",MID(Lines!AK9,FIND($A$2,Lines!AK9)+LEN($A$2)+1,FIND(",",_xlfn.CONCAT(Lines!AK9,","),FIND($A$2,Lines!AK9))-FIND($A$2,Lines!AK9)-LEN($A$2)-1))</f>
        <v/>
      </c>
      <c r="AL9" s="30" t="str">
        <f>IF(ISERROR(FIND($A$2,Lines!AL9))=TRUE,"",MID(Lines!AL9,FIND($A$2,Lines!AL9)+LEN($A$2)+1,FIND(",",_xlfn.CONCAT(Lines!AL9,","),FIND($A$2,Lines!AL9))-FIND($A$2,Lines!AL9)-LEN($A$2)-1))</f>
        <v/>
      </c>
      <c r="AM9" s="30" t="str">
        <f>IF(ISERROR(FIND($A$2,Lines!AM9))=TRUE,"",MID(Lines!AM9,FIND($A$2,Lines!AM9)+LEN($A$2)+1,FIND(",",_xlfn.CONCAT(Lines!AM9,","),FIND($A$2,Lines!AM9))-FIND($A$2,Lines!AM9)-LEN($A$2)-1))</f>
        <v/>
      </c>
      <c r="AN9" s="30" t="str">
        <f>IF(ISERROR(FIND($A$2,Lines!AN9))=TRUE,"",MID(Lines!AN9,FIND($A$2,Lines!AN9)+LEN($A$2)+1,FIND(",",_xlfn.CONCAT(Lines!AN9,","),FIND($A$2,Lines!AN9))-FIND($A$2,Lines!AN9)-LEN($A$2)-1))</f>
        <v/>
      </c>
      <c r="AO9" s="30" t="str">
        <f>IF(ISERROR(FIND($A$2,Lines!AO9))=TRUE,"",MID(Lines!AO9,FIND($A$2,Lines!AO9)+LEN($A$2)+1,FIND(",",_xlfn.CONCAT(Lines!AO9,","),FIND($A$2,Lines!AO9))-FIND($A$2,Lines!AO9)-LEN($A$2)-1))</f>
        <v/>
      </c>
      <c r="AP9" s="30" t="str">
        <f>IF(ISERROR(FIND($A$2,Lines!AP9))=TRUE,"",MID(Lines!AP9,FIND($A$2,Lines!AP9)+LEN($A$2)+1,FIND(",",_xlfn.CONCAT(Lines!AP9,","),FIND($A$2,Lines!AP9))-FIND($A$2,Lines!AP9)-LEN($A$2)-1))</f>
        <v/>
      </c>
      <c r="AQ9" s="30" t="str">
        <f>IF(ISERROR(FIND($A$2,Lines!AQ9))=TRUE,"",MID(Lines!AQ9,FIND($A$2,Lines!AQ9)+LEN($A$2)+1,FIND(",",_xlfn.CONCAT(Lines!AQ9,","),FIND($A$2,Lines!AQ9))-FIND($A$2,Lines!AQ9)-LEN($A$2)-1))</f>
        <v/>
      </c>
      <c r="AR9" s="30" t="str">
        <f>IF(ISERROR(FIND($A$2,Lines!AR9))=TRUE,"",MID(Lines!AR9,FIND($A$2,Lines!AR9)+LEN($A$2)+1,FIND(",",_xlfn.CONCAT(Lines!AR9,","),FIND($A$2,Lines!AR9))-FIND($A$2,Lines!AR9)-LEN($A$2)-1))</f>
        <v/>
      </c>
      <c r="AS9" s="30" t="str">
        <f>IF(ISERROR(FIND($A$2,Lines!AS9))=TRUE,"",MID(Lines!AS9,FIND($A$2,Lines!AS9)+LEN($A$2)+1,FIND(",",_xlfn.CONCAT(Lines!AS9,","),FIND($A$2,Lines!AS9))-FIND($A$2,Lines!AS9)-LEN($A$2)-1))</f>
        <v/>
      </c>
      <c r="AT9" s="30" t="str">
        <f>IF(ISERROR(FIND($A$2,Lines!AT9))=TRUE,"",MID(Lines!AT9,FIND($A$2,Lines!AT9)+LEN($A$2)+1,FIND(",",_xlfn.CONCAT(Lines!AT9,","),FIND($A$2,Lines!AT9))-FIND($A$2,Lines!AT9)-LEN($A$2)-1))</f>
        <v/>
      </c>
    </row>
    <row r="10" spans="1:46" ht="20.25" customHeight="1">
      <c r="A10" s="2" t="s">
        <v>61</v>
      </c>
      <c r="B10" s="26" t="str">
        <f>IF(ISERROR(FIND($A$2,Lines!B10))=TRUE,"",MID(Lines!B10,FIND($A$2,Lines!B10)+LEN($A$2)+1,FIND(",",_xlfn.CONCAT(Lines!B10,","),FIND($A$2,Lines!B10))-FIND($A$2,Lines!B10)-LEN($A$2)-1))</f>
        <v>4</v>
      </c>
      <c r="C10" s="26" t="str">
        <f>IF(ISERROR(FIND($A$2,Lines!C10))=TRUE,"",MID(Lines!C10,FIND($A$2,Lines!C10)+LEN($A$2)+1,FIND(",",_xlfn.CONCAT(Lines!C10,","),FIND($A$2,Lines!C10))-FIND($A$2,Lines!C10)-LEN($A$2)-1))</f>
        <v/>
      </c>
      <c r="D10" s="26" t="str">
        <f>IF(ISERROR(FIND($A$2,Lines!D10))=TRUE,"",MID(Lines!D10,FIND($A$2,Lines!D10)+LEN($A$2)+1,FIND(",",_xlfn.CONCAT(Lines!D10,","),FIND($A$2,Lines!D10))-FIND($A$2,Lines!D10)-LEN($A$2)-1))</f>
        <v/>
      </c>
      <c r="E10" s="26" t="str">
        <f>IF(ISERROR(FIND($A$2,Lines!E10))=TRUE,"",MID(Lines!E10,FIND($A$2,Lines!E10)+LEN($A$2)+1,FIND(",",_xlfn.CONCAT(Lines!E10,","),FIND($A$2,Lines!E10))-FIND($A$2,Lines!E10)-LEN($A$2)-1))</f>
        <v/>
      </c>
      <c r="F10" s="26" t="str">
        <f>IF(ISERROR(FIND($A$2,Lines!F10))=TRUE,"",MID(Lines!F10,FIND($A$2,Lines!F10)+LEN($A$2)+1,FIND(",",_xlfn.CONCAT(Lines!F10,","),FIND($A$2,Lines!F10))-FIND($A$2,Lines!F10)-LEN($A$2)-1))</f>
        <v/>
      </c>
      <c r="G10" s="26" t="str">
        <f>IF(ISERROR(FIND($A$2,Lines!G10))=TRUE,"",MID(Lines!G10,FIND($A$2,Lines!G10)+LEN($A$2)+1,FIND(",",_xlfn.CONCAT(Lines!G10,","),FIND($A$2,Lines!G10))-FIND($A$2,Lines!G10)-LEN($A$2)-1))</f>
        <v/>
      </c>
      <c r="H10" s="63" t="str">
        <f>IF(ISERROR(FIND($A$2,Lines!H10))=TRUE,"",MID(Lines!H10,FIND($A$2,Lines!H10)+LEN($A$2)+1,FIND(",",_xlfn.CONCAT(Lines!H10,","),FIND($A$2,Lines!H10))-FIND($A$2,Lines!H10)-LEN($A$2)-1))</f>
        <v/>
      </c>
      <c r="I10" s="26" t="str">
        <f>IF(ISERROR(FIND($A$2,Lines!I10))=TRUE,"",MID(Lines!I10,FIND($A$2,Lines!I10)+LEN($A$2)+1,FIND(",",_xlfn.CONCAT(Lines!I10,","),FIND($A$2,Lines!I10))-FIND($A$2,Lines!I10)-LEN($A$2)-1))</f>
        <v>5</v>
      </c>
      <c r="J10" s="26" t="str">
        <f>IF(ISERROR(FIND($A$2,Lines!J10))=TRUE,"",MID(Lines!J10,FIND($A$2,Lines!J10)+LEN($A$2)+1,FIND(",",_xlfn.CONCAT(Lines!J10,","),FIND($A$2,Lines!J10))-FIND($A$2,Lines!J10)-LEN($A$2)-1))</f>
        <v/>
      </c>
      <c r="K10" s="26" t="str">
        <f>IF(ISERROR(FIND($A$2,Lines!K10))=TRUE,"",MID(Lines!K10,FIND($A$2,Lines!K10)+LEN($A$2)+1,FIND(",",_xlfn.CONCAT(Lines!K10,","),FIND($A$2,Lines!K10))-FIND($A$2,Lines!K10)-LEN($A$2)-1))</f>
        <v/>
      </c>
      <c r="L10" s="26" t="str">
        <f>IF(ISERROR(FIND($A$2,Lines!L10))=TRUE,"",MID(Lines!L10,FIND($A$2,Lines!L10)+LEN($A$2)+1,FIND(",",_xlfn.CONCAT(Lines!L10,","),FIND($A$2,Lines!L10))-FIND($A$2,Lines!L10)-LEN($A$2)-1))</f>
        <v/>
      </c>
      <c r="M10" s="27" t="str">
        <f>IF(ISERROR(FIND($A$2,Lines!M10))=TRUE,"",MID(Lines!M10,FIND($A$2,Lines!M10)+LEN($A$2)+1,FIND(",",_xlfn.CONCAT(Lines!M10,","),FIND($A$2,Lines!M10))-FIND($A$2,Lines!M10)-LEN($A$2)-1))</f>
        <v/>
      </c>
      <c r="N10" s="30" t="str">
        <f>IF(ISERROR(FIND($A$2,Lines!N10))=TRUE,"",MID(Lines!N10,FIND($A$2,Lines!N10)+LEN($A$2)+1,FIND(",",_xlfn.CONCAT(Lines!N10,","),FIND($A$2,Lines!N10))-FIND($A$2,Lines!N10)-LEN($A$2)-1))</f>
        <v/>
      </c>
      <c r="O10" s="30" t="str">
        <f>IF(ISERROR(FIND($A$2,Lines!O10))=TRUE,"",MID(Lines!O10,FIND($A$2,Lines!O10)+LEN($A$2)+1,FIND(",",_xlfn.CONCAT(Lines!O10,","),FIND($A$2,Lines!O10))-FIND($A$2,Lines!O10)-LEN($A$2)-1))</f>
        <v/>
      </c>
      <c r="P10" s="30" t="str">
        <f>IF(ISERROR(FIND($A$2,Lines!P10))=TRUE,"",MID(Lines!P10,FIND($A$2,Lines!P10)+LEN($A$2)+1,FIND(",",_xlfn.CONCAT(Lines!P10,","),FIND($A$2,Lines!P10))-FIND($A$2,Lines!P10)-LEN($A$2)-1))</f>
        <v/>
      </c>
      <c r="Q10" s="30" t="str">
        <f>IF(ISERROR(FIND($A$2,Lines!Q10))=TRUE,"",MID(Lines!Q10,FIND($A$2,Lines!Q10)+LEN($A$2)+1,FIND(",",_xlfn.CONCAT(Lines!Q10,","),FIND($A$2,Lines!Q10))-FIND($A$2,Lines!Q10)-LEN($A$2)-1))</f>
        <v/>
      </c>
      <c r="R10" s="30" t="str">
        <f>IF(ISERROR(FIND($A$2,Lines!R10))=TRUE,"",MID(Lines!R10,FIND($A$2,Lines!R10)+LEN($A$2)+1,FIND(",",_xlfn.CONCAT(Lines!R10,","),FIND($A$2,Lines!R10))-FIND($A$2,Lines!R10)-LEN($A$2)-1))</f>
        <v/>
      </c>
      <c r="S10" s="30" t="str">
        <f>IF(ISERROR(FIND($A$2,Lines!S10))=TRUE,"",MID(Lines!S10,FIND($A$2,Lines!S10)+LEN($A$2)+1,FIND(",",_xlfn.CONCAT(Lines!S10,","),FIND($A$2,Lines!S10))-FIND($A$2,Lines!S10)-LEN($A$2)-1))</f>
        <v/>
      </c>
      <c r="T10" s="30" t="str">
        <f>IF(ISERROR(FIND($A$2,Lines!T10))=TRUE,"",MID(Lines!T10,FIND($A$2,Lines!T10)+LEN($A$2)+1,FIND(",",_xlfn.CONCAT(Lines!T10,","),FIND($A$2,Lines!T10))-FIND($A$2,Lines!T10)-LEN($A$2)-1))</f>
        <v/>
      </c>
      <c r="U10" s="30" t="str">
        <f>IF(ISERROR(FIND($A$2,Lines!U10))=TRUE,"",MID(Lines!U10,FIND($A$2,Lines!U10)+LEN($A$2)+1,FIND(",",_xlfn.CONCAT(Lines!U10,","),FIND($A$2,Lines!U10))-FIND($A$2,Lines!U10)-LEN($A$2)-1))</f>
        <v/>
      </c>
      <c r="V10" s="30" t="str">
        <f>IF(ISERROR(FIND($A$2,Lines!V10))=TRUE,"",MID(Lines!V10,FIND($A$2,Lines!V10)+LEN($A$2)+1,FIND(",",_xlfn.CONCAT(Lines!V10,","),FIND($A$2,Lines!V10))-FIND($A$2,Lines!V10)-LEN($A$2)-1))</f>
        <v/>
      </c>
      <c r="W10" s="36" t="str">
        <f>IF(ISERROR(FIND($A$2,Lines!W10))=TRUE,"",MID(Lines!W10,FIND($A$2,Lines!W10)+LEN($A$2)+1,FIND(",",_xlfn.CONCAT(Lines!W10,","),FIND($A$2,Lines!W10))-FIND($A$2,Lines!W10)-LEN($A$2)-1))</f>
        <v/>
      </c>
      <c r="X10" s="30" t="str">
        <f>IF(ISERROR(FIND($A$2,Lines!X10))=TRUE,"",MID(Lines!X10,FIND($A$2,Lines!X10)+LEN($A$2)+1,FIND(",",_xlfn.CONCAT(Lines!X10,","),FIND($A$2,Lines!X10))-FIND($A$2,Lines!X10)-LEN($A$2)-1))</f>
        <v/>
      </c>
      <c r="Y10" s="30" t="str">
        <f>IF(ISERROR(FIND($A$2,Lines!Y10))=TRUE,"",MID(Lines!Y10,FIND($A$2,Lines!Y10)+LEN($A$2)+1,FIND(",",_xlfn.CONCAT(Lines!Y10,","),FIND($A$2,Lines!Y10))-FIND($A$2,Lines!Y10)-LEN($A$2)-1))</f>
        <v/>
      </c>
      <c r="Z10" s="30" t="str">
        <f>IF(ISERROR(FIND($A$2,Lines!Z10))=TRUE,"",MID(Lines!Z10,FIND($A$2,Lines!Z10)+LEN($A$2)+1,FIND(",",_xlfn.CONCAT(Lines!Z10,","),FIND($A$2,Lines!Z10))-FIND($A$2,Lines!Z10)-LEN($A$2)-1))</f>
        <v/>
      </c>
      <c r="AA10" s="30" t="str">
        <f>IF(ISERROR(FIND($A$2,Lines!AA10))=TRUE,"",MID(Lines!AA10,FIND($A$2,Lines!AA10)+LEN($A$2)+1,FIND(",",_xlfn.CONCAT(Lines!AA10,","),FIND($A$2,Lines!AA10))-FIND($A$2,Lines!AA10)-LEN($A$2)-1))</f>
        <v/>
      </c>
      <c r="AB10" s="30" t="str">
        <f>IF(ISERROR(FIND($A$2,Lines!AB10))=TRUE,"",MID(Lines!AB10,FIND($A$2,Lines!AB10)+LEN($A$2)+1,FIND(",",_xlfn.CONCAT(Lines!AB10,","),FIND($A$2,Lines!AB10))-FIND($A$2,Lines!AB10)-LEN($A$2)-1))</f>
        <v/>
      </c>
      <c r="AC10" s="30" t="str">
        <f>IF(ISERROR(FIND($A$2,Lines!AC10))=TRUE,"",MID(Lines!AC10,FIND($A$2,Lines!AC10)+LEN($A$2)+1,FIND(",",_xlfn.CONCAT(Lines!AC10,","),FIND($A$2,Lines!AC10))-FIND($A$2,Lines!AC10)-LEN($A$2)-1))</f>
        <v/>
      </c>
      <c r="AD10" s="30" t="str">
        <f>IF(ISERROR(FIND($A$2,Lines!AD10))=TRUE,"",MID(Lines!AD10,FIND($A$2,Lines!AD10)+LEN($A$2)+1,FIND(",",_xlfn.CONCAT(Lines!AD10,","),FIND($A$2,Lines!AD10))-FIND($A$2,Lines!AD10)-LEN($A$2)-1))</f>
        <v/>
      </c>
      <c r="AE10" s="30" t="str">
        <f>IF(ISERROR(FIND($A$2,Lines!AE10))=TRUE,"",MID(Lines!AE10,FIND($A$2,Lines!AE10)+LEN($A$2)+1,FIND(",",_xlfn.CONCAT(Lines!AE10,","),FIND($A$2,Lines!AE10))-FIND($A$2,Lines!AE10)-LEN($A$2)-1))</f>
        <v/>
      </c>
      <c r="AF10" s="30" t="str">
        <f>IF(ISERROR(FIND($A$2,Lines!AF10))=TRUE,"",MID(Lines!AF10,FIND($A$2,Lines!AF10)+LEN($A$2)+1,FIND(",",_xlfn.CONCAT(Lines!AF10,","),FIND($A$2,Lines!AF10))-FIND($A$2,Lines!AF10)-LEN($A$2)-1))</f>
        <v/>
      </c>
      <c r="AG10" s="30" t="str">
        <f>IF(ISERROR(FIND($A$2,Lines!AG10))=TRUE,"",MID(Lines!AG10,FIND($A$2,Lines!AG10)+LEN($A$2)+1,FIND(",",_xlfn.CONCAT(Lines!AG10,","),FIND($A$2,Lines!AG10))-FIND($A$2,Lines!AG10)-LEN($A$2)-1))</f>
        <v/>
      </c>
      <c r="AH10" s="30" t="str">
        <f>IF(ISERROR(FIND($A$2,Lines!AH10))=TRUE,"",MID(Lines!AH10,FIND($A$2,Lines!AH10)+LEN($A$2)+1,FIND(",",_xlfn.CONCAT(Lines!AH10,","),FIND($A$2,Lines!AH10))-FIND($A$2,Lines!AH10)-LEN($A$2)-1))</f>
        <v/>
      </c>
      <c r="AI10" s="30" t="str">
        <f>IF(ISERROR(FIND($A$2,Lines!AI10))=TRUE,"",MID(Lines!AI10,FIND($A$2,Lines!AI10)+LEN($A$2)+1,FIND(",",_xlfn.CONCAT(Lines!AI10,","),FIND($A$2,Lines!AI10))-FIND($A$2,Lines!AI10)-LEN($A$2)-1))</f>
        <v/>
      </c>
      <c r="AJ10" s="30" t="str">
        <f>IF(ISERROR(FIND($A$2,Lines!AJ10))=TRUE,"",MID(Lines!AJ10,FIND($A$2,Lines!AJ10)+LEN($A$2)+1,FIND(",",_xlfn.CONCAT(Lines!AJ10,","),FIND($A$2,Lines!AJ10))-FIND($A$2,Lines!AJ10)-LEN($A$2)-1))</f>
        <v/>
      </c>
      <c r="AK10" s="30" t="str">
        <f>IF(ISERROR(FIND($A$2,Lines!AK10))=TRUE,"",MID(Lines!AK10,FIND($A$2,Lines!AK10)+LEN($A$2)+1,FIND(",",_xlfn.CONCAT(Lines!AK10,","),FIND($A$2,Lines!AK10))-FIND($A$2,Lines!AK10)-LEN($A$2)-1))</f>
        <v/>
      </c>
      <c r="AL10" s="30" t="str">
        <f>IF(ISERROR(FIND($A$2,Lines!AL10))=TRUE,"",MID(Lines!AL10,FIND($A$2,Lines!AL10)+LEN($A$2)+1,FIND(",",_xlfn.CONCAT(Lines!AL10,","),FIND($A$2,Lines!AL10))-FIND($A$2,Lines!AL10)-LEN($A$2)-1))</f>
        <v/>
      </c>
      <c r="AM10" s="30" t="str">
        <f>IF(ISERROR(FIND($A$2,Lines!AM10))=TRUE,"",MID(Lines!AM10,FIND($A$2,Lines!AM10)+LEN($A$2)+1,FIND(",",_xlfn.CONCAT(Lines!AM10,","),FIND($A$2,Lines!AM10))-FIND($A$2,Lines!AM10)-LEN($A$2)-1))</f>
        <v/>
      </c>
      <c r="AN10" s="30" t="str">
        <f>IF(ISERROR(FIND($A$2,Lines!AN10))=TRUE,"",MID(Lines!AN10,FIND($A$2,Lines!AN10)+LEN($A$2)+1,FIND(",",_xlfn.CONCAT(Lines!AN10,","),FIND($A$2,Lines!AN10))-FIND($A$2,Lines!AN10)-LEN($A$2)-1))</f>
        <v/>
      </c>
      <c r="AO10" s="30" t="str">
        <f>IF(ISERROR(FIND($A$2,Lines!AO10))=TRUE,"",MID(Lines!AO10,FIND($A$2,Lines!AO10)+LEN($A$2)+1,FIND(",",_xlfn.CONCAT(Lines!AO10,","),FIND($A$2,Lines!AO10))-FIND($A$2,Lines!AO10)-LEN($A$2)-1))</f>
        <v/>
      </c>
      <c r="AP10" s="30" t="str">
        <f>IF(ISERROR(FIND($A$2,Lines!AP10))=TRUE,"",MID(Lines!AP10,FIND($A$2,Lines!AP10)+LEN($A$2)+1,FIND(",",_xlfn.CONCAT(Lines!AP10,","),FIND($A$2,Lines!AP10))-FIND($A$2,Lines!AP10)-LEN($A$2)-1))</f>
        <v/>
      </c>
      <c r="AQ10" s="30" t="str">
        <f>IF(ISERROR(FIND($A$2,Lines!AQ10))=TRUE,"",MID(Lines!AQ10,FIND($A$2,Lines!AQ10)+LEN($A$2)+1,FIND(",",_xlfn.CONCAT(Lines!AQ10,","),FIND($A$2,Lines!AQ10))-FIND($A$2,Lines!AQ10)-LEN($A$2)-1))</f>
        <v/>
      </c>
      <c r="AR10" s="30" t="str">
        <f>IF(ISERROR(FIND($A$2,Lines!AR10))=TRUE,"",MID(Lines!AR10,FIND($A$2,Lines!AR10)+LEN($A$2)+1,FIND(",",_xlfn.CONCAT(Lines!AR10,","),FIND($A$2,Lines!AR10))-FIND($A$2,Lines!AR10)-LEN($A$2)-1))</f>
        <v/>
      </c>
      <c r="AS10" s="30" t="str">
        <f>IF(ISERROR(FIND($A$2,Lines!AS10))=TRUE,"",MID(Lines!AS10,FIND($A$2,Lines!AS10)+LEN($A$2)+1,FIND(",",_xlfn.CONCAT(Lines!AS10,","),FIND($A$2,Lines!AS10))-FIND($A$2,Lines!AS10)-LEN($A$2)-1))</f>
        <v/>
      </c>
      <c r="AT10" s="30" t="str">
        <f>IF(ISERROR(FIND($A$2,Lines!AT10))=TRUE,"",MID(Lines!AT10,FIND($A$2,Lines!AT10)+LEN($A$2)+1,FIND(",",_xlfn.CONCAT(Lines!AT10,","),FIND($A$2,Lines!AT10))-FIND($A$2,Lines!AT10)-LEN($A$2)-1))</f>
        <v/>
      </c>
    </row>
    <row r="11" spans="1:46" ht="20.25" customHeight="1">
      <c r="A11" s="2" t="s">
        <v>54</v>
      </c>
      <c r="B11" s="26" t="str">
        <f>IF(ISERROR(FIND($A$2,Lines!B11))=TRUE,"",MID(Lines!B11,FIND($A$2,Lines!B11)+LEN($A$2)+1,FIND(",",_xlfn.CONCAT(Lines!B11,","),FIND($A$2,Lines!B11))-FIND($A$2,Lines!B11)-LEN($A$2)-1))</f>
        <v/>
      </c>
      <c r="C11" s="26" t="str">
        <f>IF(ISERROR(FIND($A$2,Lines!C11))=TRUE,"",MID(Lines!C11,FIND($A$2,Lines!C11)+LEN($A$2)+1,FIND(",",_xlfn.CONCAT(Lines!C11,","),FIND($A$2,Lines!C11))-FIND($A$2,Lines!C11)-LEN($A$2)-1))</f>
        <v/>
      </c>
      <c r="D11" s="26" t="str">
        <f>IF(ISERROR(FIND($A$2,Lines!D11))=TRUE,"",MID(Lines!D11,FIND($A$2,Lines!D11)+LEN($A$2)+1,FIND(",",_xlfn.CONCAT(Lines!D11,","),FIND($A$2,Lines!D11))-FIND($A$2,Lines!D11)-LEN($A$2)-1))</f>
        <v/>
      </c>
      <c r="E11" s="26" t="str">
        <f>IF(ISERROR(FIND($A$2,Lines!E11))=TRUE,"",MID(Lines!E11,FIND($A$2,Lines!E11)+LEN($A$2)+1,FIND(",",_xlfn.CONCAT(Lines!E11,","),FIND($A$2,Lines!E11))-FIND($A$2,Lines!E11)-LEN($A$2)-1))</f>
        <v/>
      </c>
      <c r="F11" s="26" t="str">
        <f>IF(ISERROR(FIND($A$2,Lines!F11))=TRUE,"",MID(Lines!F11,FIND($A$2,Lines!F11)+LEN($A$2)+1,FIND(",",_xlfn.CONCAT(Lines!F11,","),FIND($A$2,Lines!F11))-FIND($A$2,Lines!F11)-LEN($A$2)-1))</f>
        <v/>
      </c>
      <c r="G11" s="26" t="str">
        <f>IF(ISERROR(FIND($A$2,Lines!G11))=TRUE,"",MID(Lines!G11,FIND($A$2,Lines!G11)+LEN($A$2)+1,FIND(",",_xlfn.CONCAT(Lines!G11,","),FIND($A$2,Lines!G11))-FIND($A$2,Lines!G11)-LEN($A$2)-1))</f>
        <v/>
      </c>
      <c r="H11" s="26" t="str">
        <f>IF(ISERROR(FIND($A$2,Lines!H11))=TRUE,"",MID(Lines!H11,FIND($A$2,Lines!H11)+LEN($A$2)+1,FIND(",",_xlfn.CONCAT(Lines!H11,","),FIND($A$2,Lines!H11))-FIND($A$2,Lines!H11)-LEN($A$2)-1))</f>
        <v>5</v>
      </c>
      <c r="I11" s="63" t="str">
        <f>IF(ISERROR(FIND($A$2,Lines!I11))=TRUE,"",MID(Lines!I11,FIND($A$2,Lines!I11)+LEN($A$2)+1,FIND(",",_xlfn.CONCAT(Lines!I11,","),FIND($A$2,Lines!I11))-FIND($A$2,Lines!I11)-LEN($A$2)-1))</f>
        <v/>
      </c>
      <c r="J11" s="26" t="str">
        <f>IF(ISERROR(FIND($A$2,Lines!J11))=TRUE,"",MID(Lines!J11,FIND($A$2,Lines!J11)+LEN($A$2)+1,FIND(",",_xlfn.CONCAT(Lines!J11,","),FIND($A$2,Lines!J11))-FIND($A$2,Lines!J11)-LEN($A$2)-1))</f>
        <v/>
      </c>
      <c r="K11" s="26" t="str">
        <f>IF(ISERROR(FIND($A$2,Lines!K11))=TRUE,"",MID(Lines!K11,FIND($A$2,Lines!K11)+LEN($A$2)+1,FIND(",",_xlfn.CONCAT(Lines!K11,","),FIND($A$2,Lines!K11))-FIND($A$2,Lines!K11)-LEN($A$2)-1))</f>
        <v/>
      </c>
      <c r="L11" s="26" t="str">
        <f>IF(ISERROR(FIND($A$2,Lines!L11))=TRUE,"",MID(Lines!L11,FIND($A$2,Lines!L11)+LEN($A$2)+1,FIND(",",_xlfn.CONCAT(Lines!L11,","),FIND($A$2,Lines!L11))-FIND($A$2,Lines!L11)-LEN($A$2)-1))</f>
        <v>1</v>
      </c>
      <c r="M11" s="27" t="str">
        <f>IF(ISERROR(FIND($A$2,Lines!M11))=TRUE,"",MID(Lines!M11,FIND($A$2,Lines!M11)+LEN($A$2)+1,FIND(",",_xlfn.CONCAT(Lines!M11,","),FIND($A$2,Lines!M11))-FIND($A$2,Lines!M11)-LEN($A$2)-1))</f>
        <v/>
      </c>
      <c r="N11" s="30" t="str">
        <f>IF(ISERROR(FIND($A$2,Lines!N11))=TRUE,"",MID(Lines!N11,FIND($A$2,Lines!N11)+LEN($A$2)+1,FIND(",",_xlfn.CONCAT(Lines!N11,","),FIND($A$2,Lines!N11))-FIND($A$2,Lines!N11)-LEN($A$2)-1))</f>
        <v/>
      </c>
      <c r="O11" s="30" t="str">
        <f>IF(ISERROR(FIND($A$2,Lines!O11))=TRUE,"",MID(Lines!O11,FIND($A$2,Lines!O11)+LEN($A$2)+1,FIND(",",_xlfn.CONCAT(Lines!O11,","),FIND($A$2,Lines!O11))-FIND($A$2,Lines!O11)-LEN($A$2)-1))</f>
        <v/>
      </c>
      <c r="P11" s="30" t="str">
        <f>IF(ISERROR(FIND($A$2,Lines!P11))=TRUE,"",MID(Lines!P11,FIND($A$2,Lines!P11)+LEN($A$2)+1,FIND(",",_xlfn.CONCAT(Lines!P11,","),FIND($A$2,Lines!P11))-FIND($A$2,Lines!P11)-LEN($A$2)-1))</f>
        <v/>
      </c>
      <c r="Q11" s="30" t="str">
        <f>IF(ISERROR(FIND($A$2,Lines!Q11))=TRUE,"",MID(Lines!Q11,FIND($A$2,Lines!Q11)+LEN($A$2)+1,FIND(",",_xlfn.CONCAT(Lines!Q11,","),FIND($A$2,Lines!Q11))-FIND($A$2,Lines!Q11)-LEN($A$2)-1))</f>
        <v/>
      </c>
      <c r="R11" s="30" t="str">
        <f>IF(ISERROR(FIND($A$2,Lines!R11))=TRUE,"",MID(Lines!R11,FIND($A$2,Lines!R11)+LEN($A$2)+1,FIND(",",_xlfn.CONCAT(Lines!R11,","),FIND($A$2,Lines!R11))-FIND($A$2,Lines!R11)-LEN($A$2)-1))</f>
        <v/>
      </c>
      <c r="S11" s="30" t="str">
        <f>IF(ISERROR(FIND($A$2,Lines!S11))=TRUE,"",MID(Lines!S11,FIND($A$2,Lines!S11)+LEN($A$2)+1,FIND(",",_xlfn.CONCAT(Lines!S11,","),FIND($A$2,Lines!S11))-FIND($A$2,Lines!S11)-LEN($A$2)-1))</f>
        <v/>
      </c>
      <c r="T11" s="30" t="str">
        <f>IF(ISERROR(FIND($A$2,Lines!T11))=TRUE,"",MID(Lines!T11,FIND($A$2,Lines!T11)+LEN($A$2)+1,FIND(",",_xlfn.CONCAT(Lines!T11,","),FIND($A$2,Lines!T11))-FIND($A$2,Lines!T11)-LEN($A$2)-1))</f>
        <v/>
      </c>
      <c r="U11" s="30" t="str">
        <f>IF(ISERROR(FIND($A$2,Lines!U11))=TRUE,"",MID(Lines!U11,FIND($A$2,Lines!U11)+LEN($A$2)+1,FIND(",",_xlfn.CONCAT(Lines!U11,","),FIND($A$2,Lines!U11))-FIND($A$2,Lines!U11)-LEN($A$2)-1))</f>
        <v/>
      </c>
      <c r="V11" s="30" t="str">
        <f>IF(ISERROR(FIND($A$2,Lines!V11))=TRUE,"",MID(Lines!V11,FIND($A$2,Lines!V11)+LEN($A$2)+1,FIND(",",_xlfn.CONCAT(Lines!V11,","),FIND($A$2,Lines!V11))-FIND($A$2,Lines!V11)-LEN($A$2)-1))</f>
        <v/>
      </c>
      <c r="W11" s="36" t="str">
        <f>IF(ISERROR(FIND($A$2,Lines!W11))=TRUE,"",MID(Lines!W11,FIND($A$2,Lines!W11)+LEN($A$2)+1,FIND(",",_xlfn.CONCAT(Lines!W11,","),FIND($A$2,Lines!W11))-FIND($A$2,Lines!W11)-LEN($A$2)-1))</f>
        <v/>
      </c>
      <c r="X11" s="30" t="str">
        <f>IF(ISERROR(FIND($A$2,Lines!X11))=TRUE,"",MID(Lines!X11,FIND($A$2,Lines!X11)+LEN($A$2)+1,FIND(",",_xlfn.CONCAT(Lines!X11,","),FIND($A$2,Lines!X11))-FIND($A$2,Lines!X11)-LEN($A$2)-1))</f>
        <v/>
      </c>
      <c r="Y11" s="30" t="str">
        <f>IF(ISERROR(FIND($A$2,Lines!Y11))=TRUE,"",MID(Lines!Y11,FIND($A$2,Lines!Y11)+LEN($A$2)+1,FIND(",",_xlfn.CONCAT(Lines!Y11,","),FIND($A$2,Lines!Y11))-FIND($A$2,Lines!Y11)-LEN($A$2)-1))</f>
        <v/>
      </c>
      <c r="Z11" s="30" t="str">
        <f>IF(ISERROR(FIND($A$2,Lines!Z11))=TRUE,"",MID(Lines!Z11,FIND($A$2,Lines!Z11)+LEN($A$2)+1,FIND(",",_xlfn.CONCAT(Lines!Z11,","),FIND($A$2,Lines!Z11))-FIND($A$2,Lines!Z11)-LEN($A$2)-1))</f>
        <v/>
      </c>
      <c r="AA11" s="30" t="str">
        <f>IF(ISERROR(FIND($A$2,Lines!AA11))=TRUE,"",MID(Lines!AA11,FIND($A$2,Lines!AA11)+LEN($A$2)+1,FIND(",",_xlfn.CONCAT(Lines!AA11,","),FIND($A$2,Lines!AA11))-FIND($A$2,Lines!AA11)-LEN($A$2)-1))</f>
        <v/>
      </c>
      <c r="AB11" s="30" t="str">
        <f>IF(ISERROR(FIND($A$2,Lines!AB11))=TRUE,"",MID(Lines!AB11,FIND($A$2,Lines!AB11)+LEN($A$2)+1,FIND(",",_xlfn.CONCAT(Lines!AB11,","),FIND($A$2,Lines!AB11))-FIND($A$2,Lines!AB11)-LEN($A$2)-1))</f>
        <v/>
      </c>
      <c r="AC11" s="30" t="str">
        <f>IF(ISERROR(FIND($A$2,Lines!AC11))=TRUE,"",MID(Lines!AC11,FIND($A$2,Lines!AC11)+LEN($A$2)+1,FIND(",",_xlfn.CONCAT(Lines!AC11,","),FIND($A$2,Lines!AC11))-FIND($A$2,Lines!AC11)-LEN($A$2)-1))</f>
        <v/>
      </c>
      <c r="AD11" s="30" t="str">
        <f>IF(ISERROR(FIND($A$2,Lines!AD11))=TRUE,"",MID(Lines!AD11,FIND($A$2,Lines!AD11)+LEN($A$2)+1,FIND(",",_xlfn.CONCAT(Lines!AD11,","),FIND($A$2,Lines!AD11))-FIND($A$2,Lines!AD11)-LEN($A$2)-1))</f>
        <v/>
      </c>
      <c r="AE11" s="30" t="str">
        <f>IF(ISERROR(FIND($A$2,Lines!AE11))=TRUE,"",MID(Lines!AE11,FIND($A$2,Lines!AE11)+LEN($A$2)+1,FIND(",",_xlfn.CONCAT(Lines!AE11,","),FIND($A$2,Lines!AE11))-FIND($A$2,Lines!AE11)-LEN($A$2)-1))</f>
        <v/>
      </c>
      <c r="AF11" s="30" t="str">
        <f>IF(ISERROR(FIND($A$2,Lines!AF11))=TRUE,"",MID(Lines!AF11,FIND($A$2,Lines!AF11)+LEN($A$2)+1,FIND(",",_xlfn.CONCAT(Lines!AF11,","),FIND($A$2,Lines!AF11))-FIND($A$2,Lines!AF11)-LEN($A$2)-1))</f>
        <v/>
      </c>
      <c r="AG11" s="30" t="str">
        <f>IF(ISERROR(FIND($A$2,Lines!AG11))=TRUE,"",MID(Lines!AG11,FIND($A$2,Lines!AG11)+LEN($A$2)+1,FIND(",",_xlfn.CONCAT(Lines!AG11,","),FIND($A$2,Lines!AG11))-FIND($A$2,Lines!AG11)-LEN($A$2)-1))</f>
        <v/>
      </c>
      <c r="AH11" s="30" t="str">
        <f>IF(ISERROR(FIND($A$2,Lines!AH11))=TRUE,"",MID(Lines!AH11,FIND($A$2,Lines!AH11)+LEN($A$2)+1,FIND(",",_xlfn.CONCAT(Lines!AH11,","),FIND($A$2,Lines!AH11))-FIND($A$2,Lines!AH11)-LEN($A$2)-1))</f>
        <v/>
      </c>
      <c r="AI11" s="30" t="str">
        <f>IF(ISERROR(FIND($A$2,Lines!AI11))=TRUE,"",MID(Lines!AI11,FIND($A$2,Lines!AI11)+LEN($A$2)+1,FIND(",",_xlfn.CONCAT(Lines!AI11,","),FIND($A$2,Lines!AI11))-FIND($A$2,Lines!AI11)-LEN($A$2)-1))</f>
        <v/>
      </c>
      <c r="AJ11" s="30" t="str">
        <f>IF(ISERROR(FIND($A$2,Lines!AJ11))=TRUE,"",MID(Lines!AJ11,FIND($A$2,Lines!AJ11)+LEN($A$2)+1,FIND(",",_xlfn.CONCAT(Lines!AJ11,","),FIND($A$2,Lines!AJ11))-FIND($A$2,Lines!AJ11)-LEN($A$2)-1))</f>
        <v/>
      </c>
      <c r="AK11" s="30" t="str">
        <f>IF(ISERROR(FIND($A$2,Lines!AK11))=TRUE,"",MID(Lines!AK11,FIND($A$2,Lines!AK11)+LEN($A$2)+1,FIND(",",_xlfn.CONCAT(Lines!AK11,","),FIND($A$2,Lines!AK11))-FIND($A$2,Lines!AK11)-LEN($A$2)-1))</f>
        <v/>
      </c>
      <c r="AL11" s="30" t="str">
        <f>IF(ISERROR(FIND($A$2,Lines!AL11))=TRUE,"",MID(Lines!AL11,FIND($A$2,Lines!AL11)+LEN($A$2)+1,FIND(",",_xlfn.CONCAT(Lines!AL11,","),FIND($A$2,Lines!AL11))-FIND($A$2,Lines!AL11)-LEN($A$2)-1))</f>
        <v/>
      </c>
      <c r="AM11" s="30" t="str">
        <f>IF(ISERROR(FIND($A$2,Lines!AM11))=TRUE,"",MID(Lines!AM11,FIND($A$2,Lines!AM11)+LEN($A$2)+1,FIND(",",_xlfn.CONCAT(Lines!AM11,","),FIND($A$2,Lines!AM11))-FIND($A$2,Lines!AM11)-LEN($A$2)-1))</f>
        <v/>
      </c>
      <c r="AN11" s="30" t="str">
        <f>IF(ISERROR(FIND($A$2,Lines!AN11))=TRUE,"",MID(Lines!AN11,FIND($A$2,Lines!AN11)+LEN($A$2)+1,FIND(",",_xlfn.CONCAT(Lines!AN11,","),FIND($A$2,Lines!AN11))-FIND($A$2,Lines!AN11)-LEN($A$2)-1))</f>
        <v/>
      </c>
      <c r="AO11" s="30" t="str">
        <f>IF(ISERROR(FIND($A$2,Lines!AO11))=TRUE,"",MID(Lines!AO11,FIND($A$2,Lines!AO11)+LEN($A$2)+1,FIND(",",_xlfn.CONCAT(Lines!AO11,","),FIND($A$2,Lines!AO11))-FIND($A$2,Lines!AO11)-LEN($A$2)-1))</f>
        <v/>
      </c>
      <c r="AP11" s="30" t="str">
        <f>IF(ISERROR(FIND($A$2,Lines!AP11))=TRUE,"",MID(Lines!AP11,FIND($A$2,Lines!AP11)+LEN($A$2)+1,FIND(",",_xlfn.CONCAT(Lines!AP11,","),FIND($A$2,Lines!AP11))-FIND($A$2,Lines!AP11)-LEN($A$2)-1))</f>
        <v/>
      </c>
      <c r="AQ11" s="30" t="str">
        <f>IF(ISERROR(FIND($A$2,Lines!AQ11))=TRUE,"",MID(Lines!AQ11,FIND($A$2,Lines!AQ11)+LEN($A$2)+1,FIND(",",_xlfn.CONCAT(Lines!AQ11,","),FIND($A$2,Lines!AQ11))-FIND($A$2,Lines!AQ11)-LEN($A$2)-1))</f>
        <v/>
      </c>
      <c r="AR11" s="30" t="str">
        <f>IF(ISERROR(FIND($A$2,Lines!AR11))=TRUE,"",MID(Lines!AR11,FIND($A$2,Lines!AR11)+LEN($A$2)+1,FIND(",",_xlfn.CONCAT(Lines!AR11,","),FIND($A$2,Lines!AR11))-FIND($A$2,Lines!AR11)-LEN($A$2)-1))</f>
        <v/>
      </c>
      <c r="AS11" s="30" t="str">
        <f>IF(ISERROR(FIND($A$2,Lines!AS11))=TRUE,"",MID(Lines!AS11,FIND($A$2,Lines!AS11)+LEN($A$2)+1,FIND(",",_xlfn.CONCAT(Lines!AS11,","),FIND($A$2,Lines!AS11))-FIND($A$2,Lines!AS11)-LEN($A$2)-1))</f>
        <v/>
      </c>
      <c r="AT11" s="30" t="str">
        <f>IF(ISERROR(FIND($A$2,Lines!AT11))=TRUE,"",MID(Lines!AT11,FIND($A$2,Lines!AT11)+LEN($A$2)+1,FIND(",",_xlfn.CONCAT(Lines!AT11,","),FIND($A$2,Lines!AT11))-FIND($A$2,Lines!AT11)-LEN($A$2)-1))</f>
        <v/>
      </c>
    </row>
    <row r="12" spans="1:46" ht="20.25" customHeight="1">
      <c r="A12" s="2" t="s">
        <v>62</v>
      </c>
      <c r="B12" s="26" t="str">
        <f>IF(ISERROR(FIND($A$2,Lines!B12))=TRUE,"",MID(Lines!B12,FIND($A$2,Lines!B12)+LEN($A$2)+1,FIND(",",_xlfn.CONCAT(Lines!B12,","),FIND($A$2,Lines!B12))-FIND($A$2,Lines!B12)-LEN($A$2)-1))</f>
        <v/>
      </c>
      <c r="C12" s="26" t="str">
        <f>IF(ISERROR(FIND($A$2,Lines!C12))=TRUE,"",MID(Lines!C12,FIND($A$2,Lines!C12)+LEN($A$2)+1,FIND(",",_xlfn.CONCAT(Lines!C12,","),FIND($A$2,Lines!C12))-FIND($A$2,Lines!C12)-LEN($A$2)-1))</f>
        <v/>
      </c>
      <c r="D12" s="26" t="str">
        <f>IF(ISERROR(FIND($A$2,Lines!D12))=TRUE,"",MID(Lines!D12,FIND($A$2,Lines!D12)+LEN($A$2)+1,FIND(",",_xlfn.CONCAT(Lines!D12,","),FIND($A$2,Lines!D12))-FIND($A$2,Lines!D12)-LEN($A$2)-1))</f>
        <v/>
      </c>
      <c r="E12" s="26" t="str">
        <f>IF(ISERROR(FIND($A$2,Lines!E12))=TRUE,"",MID(Lines!E12,FIND($A$2,Lines!E12)+LEN($A$2)+1,FIND(",",_xlfn.CONCAT(Lines!E12,","),FIND($A$2,Lines!E12))-FIND($A$2,Lines!E12)-LEN($A$2)-1))</f>
        <v/>
      </c>
      <c r="F12" s="26" t="str">
        <f>IF(ISERROR(FIND($A$2,Lines!F12))=TRUE,"",MID(Lines!F12,FIND($A$2,Lines!F12)+LEN($A$2)+1,FIND(",",_xlfn.CONCAT(Lines!F12,","),FIND($A$2,Lines!F12))-FIND($A$2,Lines!F12)-LEN($A$2)-1))</f>
        <v/>
      </c>
      <c r="G12" s="26" t="str">
        <f>IF(ISERROR(FIND($A$2,Lines!G12))=TRUE,"",MID(Lines!G12,FIND($A$2,Lines!G12)+LEN($A$2)+1,FIND(",",_xlfn.CONCAT(Lines!G12,","),FIND($A$2,Lines!G12))-FIND($A$2,Lines!G12)-LEN($A$2)-1))</f>
        <v/>
      </c>
      <c r="H12" s="26" t="str">
        <f>IF(ISERROR(FIND($A$2,Lines!H12))=TRUE,"",MID(Lines!H12,FIND($A$2,Lines!H12)+LEN($A$2)+1,FIND(",",_xlfn.CONCAT(Lines!H12,","),FIND($A$2,Lines!H12))-FIND($A$2,Lines!H12)-LEN($A$2)-1))</f>
        <v/>
      </c>
      <c r="I12" s="26" t="str">
        <f>IF(ISERROR(FIND($A$2,Lines!I12))=TRUE,"",MID(Lines!I12,FIND($A$2,Lines!I12)+LEN($A$2)+1,FIND(",",_xlfn.CONCAT(Lines!I12,","),FIND($A$2,Lines!I12))-FIND($A$2,Lines!I12)-LEN($A$2)-1))</f>
        <v/>
      </c>
      <c r="J12" s="63" t="str">
        <f>IF(ISERROR(FIND($A$2,Lines!J12))=TRUE,"",MID(Lines!J12,FIND($A$2,Lines!J12)+LEN($A$2)+1,FIND(",",_xlfn.CONCAT(Lines!J12,","),FIND($A$2,Lines!J12))-FIND($A$2,Lines!J12)-LEN($A$2)-1))</f>
        <v/>
      </c>
      <c r="K12" s="26" t="str">
        <f>IF(ISERROR(FIND($A$2,Lines!K12))=TRUE,"",MID(Lines!K12,FIND($A$2,Lines!K12)+LEN($A$2)+1,FIND(",",_xlfn.CONCAT(Lines!K12,","),FIND($A$2,Lines!K12))-FIND($A$2,Lines!K12)-LEN($A$2)-1))</f>
        <v/>
      </c>
      <c r="L12" s="26" t="str">
        <f>IF(ISERROR(FIND($A$2,Lines!L12))=TRUE,"",MID(Lines!L12,FIND($A$2,Lines!L12)+LEN($A$2)+1,FIND(",",_xlfn.CONCAT(Lines!L12,","),FIND($A$2,Lines!L12))-FIND($A$2,Lines!L12)-LEN($A$2)-1))</f>
        <v/>
      </c>
      <c r="M12" s="69" t="str">
        <f>IF(ISERROR(FIND($A$2,Lines!M12))=TRUE,"",MID(Lines!M12,FIND($A$2,Lines!M12)+LEN($A$2)+1,FIND(",",_xlfn.CONCAT(Lines!M12,","),FIND($A$2,Lines!M12))-FIND($A$2,Lines!M12)-LEN($A$2)-1))</f>
        <v/>
      </c>
      <c r="N12" s="30" t="str">
        <f>IF(ISERROR(FIND($A$2,Lines!N12))=TRUE,"",MID(Lines!N12,FIND($A$2,Lines!N12)+LEN($A$2)+1,FIND(",",_xlfn.CONCAT(Lines!N12,","),FIND($A$2,Lines!N12))-FIND($A$2,Lines!N12)-LEN($A$2)-1))</f>
        <v/>
      </c>
      <c r="O12" s="30" t="str">
        <f>IF(ISERROR(FIND($A$2,Lines!O12))=TRUE,"",MID(Lines!O12,FIND($A$2,Lines!O12)+LEN($A$2)+1,FIND(",",_xlfn.CONCAT(Lines!O12,","),FIND($A$2,Lines!O12))-FIND($A$2,Lines!O12)-LEN($A$2)-1))</f>
        <v/>
      </c>
      <c r="P12" s="30" t="str">
        <f>IF(ISERROR(FIND($A$2,Lines!P12))=TRUE,"",MID(Lines!P12,FIND($A$2,Lines!P12)+LEN($A$2)+1,FIND(",",_xlfn.CONCAT(Lines!P12,","),FIND($A$2,Lines!P12))-FIND($A$2,Lines!P12)-LEN($A$2)-1))</f>
        <v/>
      </c>
      <c r="Q12" s="30" t="str">
        <f>IF(ISERROR(FIND($A$2,Lines!Q12))=TRUE,"",MID(Lines!Q12,FIND($A$2,Lines!Q12)+LEN($A$2)+1,FIND(",",_xlfn.CONCAT(Lines!Q12,","),FIND($A$2,Lines!Q12))-FIND($A$2,Lines!Q12)-LEN($A$2)-1))</f>
        <v/>
      </c>
      <c r="R12" s="30" t="str">
        <f>IF(ISERROR(FIND($A$2,Lines!R12))=TRUE,"",MID(Lines!R12,FIND($A$2,Lines!R12)+LEN($A$2)+1,FIND(",",_xlfn.CONCAT(Lines!R12,","),FIND($A$2,Lines!R12))-FIND($A$2,Lines!R12)-LEN($A$2)-1))</f>
        <v/>
      </c>
      <c r="S12" s="30" t="str">
        <f>IF(ISERROR(FIND($A$2,Lines!S12))=TRUE,"",MID(Lines!S12,FIND($A$2,Lines!S12)+LEN($A$2)+1,FIND(",",_xlfn.CONCAT(Lines!S12,","),FIND($A$2,Lines!S12))-FIND($A$2,Lines!S12)-LEN($A$2)-1))</f>
        <v/>
      </c>
      <c r="T12" s="30" t="str">
        <f>IF(ISERROR(FIND($A$2,Lines!T12))=TRUE,"",MID(Lines!T12,FIND($A$2,Lines!T12)+LEN($A$2)+1,FIND(",",_xlfn.CONCAT(Lines!T12,","),FIND($A$2,Lines!T12))-FIND($A$2,Lines!T12)-LEN($A$2)-1))</f>
        <v/>
      </c>
      <c r="U12" s="30" t="str">
        <f>IF(ISERROR(FIND($A$2,Lines!U12))=TRUE,"",MID(Lines!U12,FIND($A$2,Lines!U12)+LEN($A$2)+1,FIND(",",_xlfn.CONCAT(Lines!U12,","),FIND($A$2,Lines!U12))-FIND($A$2,Lines!U12)-LEN($A$2)-1))</f>
        <v/>
      </c>
      <c r="V12" s="30" t="str">
        <f>IF(ISERROR(FIND($A$2,Lines!V12))=TRUE,"",MID(Lines!V12,FIND($A$2,Lines!V12)+LEN($A$2)+1,FIND(",",_xlfn.CONCAT(Lines!V12,","),FIND($A$2,Lines!V12))-FIND($A$2,Lines!V12)-LEN($A$2)-1))</f>
        <v/>
      </c>
      <c r="W12" s="36" t="str">
        <f>IF(ISERROR(FIND($A$2,Lines!W12))=TRUE,"",MID(Lines!W12,FIND($A$2,Lines!W12)+LEN($A$2)+1,FIND(",",_xlfn.CONCAT(Lines!W12,","),FIND($A$2,Lines!W12))-FIND($A$2,Lines!W12)-LEN($A$2)-1))</f>
        <v/>
      </c>
      <c r="X12" s="30" t="str">
        <f>IF(ISERROR(FIND($A$2,Lines!X12))=TRUE,"",MID(Lines!X12,FIND($A$2,Lines!X12)+LEN($A$2)+1,FIND(",",_xlfn.CONCAT(Lines!X12,","),FIND($A$2,Lines!X12))-FIND($A$2,Lines!X12)-LEN($A$2)-1))</f>
        <v/>
      </c>
      <c r="Y12" s="30" t="str">
        <f>IF(ISERROR(FIND($A$2,Lines!Y12))=TRUE,"",MID(Lines!Y12,FIND($A$2,Lines!Y12)+LEN($A$2)+1,FIND(",",_xlfn.CONCAT(Lines!Y12,","),FIND($A$2,Lines!Y12))-FIND($A$2,Lines!Y12)-LEN($A$2)-1))</f>
        <v/>
      </c>
      <c r="Z12" s="30" t="str">
        <f>IF(ISERROR(FIND($A$2,Lines!Z12))=TRUE,"",MID(Lines!Z12,FIND($A$2,Lines!Z12)+LEN($A$2)+1,FIND(",",_xlfn.CONCAT(Lines!Z12,","),FIND($A$2,Lines!Z12))-FIND($A$2,Lines!Z12)-LEN($A$2)-1))</f>
        <v/>
      </c>
      <c r="AA12" s="30" t="str">
        <f>IF(ISERROR(FIND($A$2,Lines!AA12))=TRUE,"",MID(Lines!AA12,FIND($A$2,Lines!AA12)+LEN($A$2)+1,FIND(",",_xlfn.CONCAT(Lines!AA12,","),FIND($A$2,Lines!AA12))-FIND($A$2,Lines!AA12)-LEN($A$2)-1))</f>
        <v/>
      </c>
      <c r="AB12" s="30" t="str">
        <f>IF(ISERROR(FIND($A$2,Lines!AB12))=TRUE,"",MID(Lines!AB12,FIND($A$2,Lines!AB12)+LEN($A$2)+1,FIND(",",_xlfn.CONCAT(Lines!AB12,","),FIND($A$2,Lines!AB12))-FIND($A$2,Lines!AB12)-LEN($A$2)-1))</f>
        <v/>
      </c>
      <c r="AC12" s="30" t="str">
        <f>IF(ISERROR(FIND($A$2,Lines!AC12))=TRUE,"",MID(Lines!AC12,FIND($A$2,Lines!AC12)+LEN($A$2)+1,FIND(",",_xlfn.CONCAT(Lines!AC12,","),FIND($A$2,Lines!AC12))-FIND($A$2,Lines!AC12)-LEN($A$2)-1))</f>
        <v/>
      </c>
      <c r="AD12" s="30" t="str">
        <f>IF(ISERROR(FIND($A$2,Lines!AD12))=TRUE,"",MID(Lines!AD12,FIND($A$2,Lines!AD12)+LEN($A$2)+1,FIND(",",_xlfn.CONCAT(Lines!AD12,","),FIND($A$2,Lines!AD12))-FIND($A$2,Lines!AD12)-LEN($A$2)-1))</f>
        <v/>
      </c>
      <c r="AE12" s="30" t="str">
        <f>IF(ISERROR(FIND($A$2,Lines!AE12))=TRUE,"",MID(Lines!AE12,FIND($A$2,Lines!AE12)+LEN($A$2)+1,FIND(",",_xlfn.CONCAT(Lines!AE12,","),FIND($A$2,Lines!AE12))-FIND($A$2,Lines!AE12)-LEN($A$2)-1))</f>
        <v/>
      </c>
      <c r="AF12" s="30" t="str">
        <f>IF(ISERROR(FIND($A$2,Lines!AF12))=TRUE,"",MID(Lines!AF12,FIND($A$2,Lines!AF12)+LEN($A$2)+1,FIND(",",_xlfn.CONCAT(Lines!AF12,","),FIND($A$2,Lines!AF12))-FIND($A$2,Lines!AF12)-LEN($A$2)-1))</f>
        <v/>
      </c>
      <c r="AG12" s="30" t="str">
        <f>IF(ISERROR(FIND($A$2,Lines!AG12))=TRUE,"",MID(Lines!AG12,FIND($A$2,Lines!AG12)+LEN($A$2)+1,FIND(",",_xlfn.CONCAT(Lines!AG12,","),FIND($A$2,Lines!AG12))-FIND($A$2,Lines!AG12)-LEN($A$2)-1))</f>
        <v/>
      </c>
      <c r="AH12" s="30" t="str">
        <f>IF(ISERROR(FIND($A$2,Lines!AH12))=TRUE,"",MID(Lines!AH12,FIND($A$2,Lines!AH12)+LEN($A$2)+1,FIND(",",_xlfn.CONCAT(Lines!AH12,","),FIND($A$2,Lines!AH12))-FIND($A$2,Lines!AH12)-LEN($A$2)-1))</f>
        <v/>
      </c>
      <c r="AI12" s="30" t="str">
        <f>IF(ISERROR(FIND($A$2,Lines!AI12))=TRUE,"",MID(Lines!AI12,FIND($A$2,Lines!AI12)+LEN($A$2)+1,FIND(",",_xlfn.CONCAT(Lines!AI12,","),FIND($A$2,Lines!AI12))-FIND($A$2,Lines!AI12)-LEN($A$2)-1))</f>
        <v/>
      </c>
      <c r="AJ12" s="30" t="str">
        <f>IF(ISERROR(FIND($A$2,Lines!AJ12))=TRUE,"",MID(Lines!AJ12,FIND($A$2,Lines!AJ12)+LEN($A$2)+1,FIND(",",_xlfn.CONCAT(Lines!AJ12,","),FIND($A$2,Lines!AJ12))-FIND($A$2,Lines!AJ12)-LEN($A$2)-1))</f>
        <v/>
      </c>
      <c r="AK12" s="30" t="str">
        <f>IF(ISERROR(FIND($A$2,Lines!AK12))=TRUE,"",MID(Lines!AK12,FIND($A$2,Lines!AK12)+LEN($A$2)+1,FIND(",",_xlfn.CONCAT(Lines!AK12,","),FIND($A$2,Lines!AK12))-FIND($A$2,Lines!AK12)-LEN($A$2)-1))</f>
        <v/>
      </c>
      <c r="AL12" s="30" t="str">
        <f>IF(ISERROR(FIND($A$2,Lines!AL12))=TRUE,"",MID(Lines!AL12,FIND($A$2,Lines!AL12)+LEN($A$2)+1,FIND(",",_xlfn.CONCAT(Lines!AL12,","),FIND($A$2,Lines!AL12))-FIND($A$2,Lines!AL12)-LEN($A$2)-1))</f>
        <v/>
      </c>
      <c r="AM12" s="30" t="str">
        <f>IF(ISERROR(FIND($A$2,Lines!AM12))=TRUE,"",MID(Lines!AM12,FIND($A$2,Lines!AM12)+LEN($A$2)+1,FIND(",",_xlfn.CONCAT(Lines!AM12,","),FIND($A$2,Lines!AM12))-FIND($A$2,Lines!AM12)-LEN($A$2)-1))</f>
        <v/>
      </c>
      <c r="AN12" s="30" t="str">
        <f>IF(ISERROR(FIND($A$2,Lines!AN12))=TRUE,"",MID(Lines!AN12,FIND($A$2,Lines!AN12)+LEN($A$2)+1,FIND(",",_xlfn.CONCAT(Lines!AN12,","),FIND($A$2,Lines!AN12))-FIND($A$2,Lines!AN12)-LEN($A$2)-1))</f>
        <v/>
      </c>
      <c r="AO12" s="30" t="str">
        <f>IF(ISERROR(FIND($A$2,Lines!AO12))=TRUE,"",MID(Lines!AO12,FIND($A$2,Lines!AO12)+LEN($A$2)+1,FIND(",",_xlfn.CONCAT(Lines!AO12,","),FIND($A$2,Lines!AO12))-FIND($A$2,Lines!AO12)-LEN($A$2)-1))</f>
        <v/>
      </c>
      <c r="AP12" s="30" t="str">
        <f>IF(ISERROR(FIND($A$2,Lines!AP12))=TRUE,"",MID(Lines!AP12,FIND($A$2,Lines!AP12)+LEN($A$2)+1,FIND(",",_xlfn.CONCAT(Lines!AP12,","),FIND($A$2,Lines!AP12))-FIND($A$2,Lines!AP12)-LEN($A$2)-1))</f>
        <v/>
      </c>
      <c r="AQ12" s="30" t="str">
        <f>IF(ISERROR(FIND($A$2,Lines!AQ12))=TRUE,"",MID(Lines!AQ12,FIND($A$2,Lines!AQ12)+LEN($A$2)+1,FIND(",",_xlfn.CONCAT(Lines!AQ12,","),FIND($A$2,Lines!AQ12))-FIND($A$2,Lines!AQ12)-LEN($A$2)-1))</f>
        <v/>
      </c>
      <c r="AR12" s="30" t="str">
        <f>IF(ISERROR(FIND($A$2,Lines!AR12))=TRUE,"",MID(Lines!AR12,FIND($A$2,Lines!AR12)+LEN($A$2)+1,FIND(",",_xlfn.CONCAT(Lines!AR12,","),FIND($A$2,Lines!AR12))-FIND($A$2,Lines!AR12)-LEN($A$2)-1))</f>
        <v/>
      </c>
      <c r="AS12" s="30" t="str">
        <f>IF(ISERROR(FIND($A$2,Lines!AS12))=TRUE,"",MID(Lines!AS12,FIND($A$2,Lines!AS12)+LEN($A$2)+1,FIND(",",_xlfn.CONCAT(Lines!AS12,","),FIND($A$2,Lines!AS12))-FIND($A$2,Lines!AS12)-LEN($A$2)-1))</f>
        <v/>
      </c>
      <c r="AT12" s="30" t="str">
        <f>IF(ISERROR(FIND($A$2,Lines!AT12))=TRUE,"",MID(Lines!AT12,FIND($A$2,Lines!AT12)+LEN($A$2)+1,FIND(",",_xlfn.CONCAT(Lines!AT12,","),FIND($A$2,Lines!AT12))-FIND($A$2,Lines!AT12)-LEN($A$2)-1))</f>
        <v/>
      </c>
    </row>
    <row r="13" spans="1:46" ht="20.25" customHeight="1">
      <c r="A13" s="2" t="s">
        <v>63</v>
      </c>
      <c r="B13" s="26" t="str">
        <f>IF(ISERROR(FIND($A$2,Lines!B13))=TRUE,"",MID(Lines!B13,FIND($A$2,Lines!B13)+LEN($A$2)+1,FIND(",",_xlfn.CONCAT(Lines!B13,","),FIND($A$2,Lines!B13))-FIND($A$2,Lines!B13)-LEN($A$2)-1))</f>
        <v/>
      </c>
      <c r="C13" s="26" t="str">
        <f>IF(ISERROR(FIND($A$2,Lines!C13))=TRUE,"",MID(Lines!C13,FIND($A$2,Lines!C13)+LEN($A$2)+1,FIND(",",_xlfn.CONCAT(Lines!C13,","),FIND($A$2,Lines!C13))-FIND($A$2,Lines!C13)-LEN($A$2)-1))</f>
        <v/>
      </c>
      <c r="D13" s="26" t="str">
        <f>IF(ISERROR(FIND($A$2,Lines!D13))=TRUE,"",MID(Lines!D13,FIND($A$2,Lines!D13)+LEN($A$2)+1,FIND(",",_xlfn.CONCAT(Lines!D13,","),FIND($A$2,Lines!D13))-FIND($A$2,Lines!D13)-LEN($A$2)-1))</f>
        <v/>
      </c>
      <c r="E13" s="26" t="str">
        <f>IF(ISERROR(FIND($A$2,Lines!E13))=TRUE,"",MID(Lines!E13,FIND($A$2,Lines!E13)+LEN($A$2)+1,FIND(",",_xlfn.CONCAT(Lines!E13,","),FIND($A$2,Lines!E13))-FIND($A$2,Lines!E13)-LEN($A$2)-1))</f>
        <v/>
      </c>
      <c r="F13" s="26" t="str">
        <f>IF(ISERROR(FIND($A$2,Lines!F13))=TRUE,"",MID(Lines!F13,FIND($A$2,Lines!F13)+LEN($A$2)+1,FIND(",",_xlfn.CONCAT(Lines!F13,","),FIND($A$2,Lines!F13))-FIND($A$2,Lines!F13)-LEN($A$2)-1))</f>
        <v/>
      </c>
      <c r="G13" s="26" t="str">
        <f>IF(ISERROR(FIND($A$2,Lines!G13))=TRUE,"",MID(Lines!G13,FIND($A$2,Lines!G13)+LEN($A$2)+1,FIND(",",_xlfn.CONCAT(Lines!G13,","),FIND($A$2,Lines!G13))-FIND($A$2,Lines!G13)-LEN($A$2)-1))</f>
        <v/>
      </c>
      <c r="H13" s="26" t="str">
        <f>IF(ISERROR(FIND($A$2,Lines!H13))=TRUE,"",MID(Lines!H13,FIND($A$2,Lines!H13)+LEN($A$2)+1,FIND(",",_xlfn.CONCAT(Lines!H13,","),FIND($A$2,Lines!H13))-FIND($A$2,Lines!H13)-LEN($A$2)-1))</f>
        <v/>
      </c>
      <c r="I13" s="26" t="str">
        <f>IF(ISERROR(FIND($A$2,Lines!I13))=TRUE,"",MID(Lines!I13,FIND($A$2,Lines!I13)+LEN($A$2)+1,FIND(",",_xlfn.CONCAT(Lines!I13,","),FIND($A$2,Lines!I13))-FIND($A$2,Lines!I13)-LEN($A$2)-1))</f>
        <v/>
      </c>
      <c r="J13" s="26" t="str">
        <f>IF(ISERROR(FIND($A$2,Lines!J13))=TRUE,"",MID(Lines!J13,FIND($A$2,Lines!J13)+LEN($A$2)+1,FIND(",",_xlfn.CONCAT(Lines!J13,","),FIND($A$2,Lines!J13))-FIND($A$2,Lines!J13)-LEN($A$2)-1))</f>
        <v/>
      </c>
      <c r="K13" s="63" t="str">
        <f>IF(ISERROR(FIND($A$2,Lines!K13))=TRUE,"",MID(Lines!K13,FIND($A$2,Lines!K13)+LEN($A$2)+1,FIND(",",_xlfn.CONCAT(Lines!K13,","),FIND($A$2,Lines!K13))-FIND($A$2,Lines!K13)-LEN($A$2)-1))</f>
        <v/>
      </c>
      <c r="L13" s="26" t="str">
        <f>IF(ISERROR(FIND($A$2,Lines!L13))=TRUE,"",MID(Lines!L13,FIND($A$2,Lines!L13)+LEN($A$2)+1,FIND(",",_xlfn.CONCAT(Lines!L13,","),FIND($A$2,Lines!L13))-FIND($A$2,Lines!L13)-LEN($A$2)-1))</f>
        <v/>
      </c>
      <c r="M13" s="27" t="str">
        <f>IF(ISERROR(FIND($A$2,Lines!M13))=TRUE,"",MID(Lines!M13,FIND($A$2,Lines!M13)+LEN($A$2)+1,FIND(",",_xlfn.CONCAT(Lines!M13,","),FIND($A$2,Lines!M13))-FIND($A$2,Lines!M13)-LEN($A$2)-1))</f>
        <v/>
      </c>
      <c r="N13" s="30" t="str">
        <f>IF(ISERROR(FIND($A$2,Lines!N13))=TRUE,"",MID(Lines!N13,FIND($A$2,Lines!N13)+LEN($A$2)+1,FIND(",",_xlfn.CONCAT(Lines!N13,","),FIND($A$2,Lines!N13))-FIND($A$2,Lines!N13)-LEN($A$2)-1))</f>
        <v/>
      </c>
      <c r="O13" s="30" t="str">
        <f>IF(ISERROR(FIND($A$2,Lines!O13))=TRUE,"",MID(Lines!O13,FIND($A$2,Lines!O13)+LEN($A$2)+1,FIND(",",_xlfn.CONCAT(Lines!O13,","),FIND($A$2,Lines!O13))-FIND($A$2,Lines!O13)-LEN($A$2)-1))</f>
        <v/>
      </c>
      <c r="P13" s="30" t="str">
        <f>IF(ISERROR(FIND($A$2,Lines!P13))=TRUE,"",MID(Lines!P13,FIND($A$2,Lines!P13)+LEN($A$2)+1,FIND(",",_xlfn.CONCAT(Lines!P13,","),FIND($A$2,Lines!P13))-FIND($A$2,Lines!P13)-LEN($A$2)-1))</f>
        <v/>
      </c>
      <c r="Q13" s="30" t="str">
        <f>IF(ISERROR(FIND($A$2,Lines!Q13))=TRUE,"",MID(Lines!Q13,FIND($A$2,Lines!Q13)+LEN($A$2)+1,FIND(",",_xlfn.CONCAT(Lines!Q13,","),FIND($A$2,Lines!Q13))-FIND($A$2,Lines!Q13)-LEN($A$2)-1))</f>
        <v/>
      </c>
      <c r="R13" s="30" t="str">
        <f>IF(ISERROR(FIND($A$2,Lines!R13))=TRUE,"",MID(Lines!R13,FIND($A$2,Lines!R13)+LEN($A$2)+1,FIND(",",_xlfn.CONCAT(Lines!R13,","),FIND($A$2,Lines!R13))-FIND($A$2,Lines!R13)-LEN($A$2)-1))</f>
        <v/>
      </c>
      <c r="S13" s="30" t="str">
        <f>IF(ISERROR(FIND($A$2,Lines!S13))=TRUE,"",MID(Lines!S13,FIND($A$2,Lines!S13)+LEN($A$2)+1,FIND(",",_xlfn.CONCAT(Lines!S13,","),FIND($A$2,Lines!S13))-FIND($A$2,Lines!S13)-LEN($A$2)-1))</f>
        <v/>
      </c>
      <c r="T13" s="30" t="str">
        <f>IF(ISERROR(FIND($A$2,Lines!T13))=TRUE,"",MID(Lines!T13,FIND($A$2,Lines!T13)+LEN($A$2)+1,FIND(",",_xlfn.CONCAT(Lines!T13,","),FIND($A$2,Lines!T13))-FIND($A$2,Lines!T13)-LEN($A$2)-1))</f>
        <v/>
      </c>
      <c r="U13" s="30" t="str">
        <f>IF(ISERROR(FIND($A$2,Lines!U13))=TRUE,"",MID(Lines!U13,FIND($A$2,Lines!U13)+LEN($A$2)+1,FIND(",",_xlfn.CONCAT(Lines!U13,","),FIND($A$2,Lines!U13))-FIND($A$2,Lines!U13)-LEN($A$2)-1))</f>
        <v/>
      </c>
      <c r="V13" s="30" t="str">
        <f>IF(ISERROR(FIND($A$2,Lines!V13))=TRUE,"",MID(Lines!V13,FIND($A$2,Lines!V13)+LEN($A$2)+1,FIND(",",_xlfn.CONCAT(Lines!V13,","),FIND($A$2,Lines!V13))-FIND($A$2,Lines!V13)-LEN($A$2)-1))</f>
        <v/>
      </c>
      <c r="W13" s="36" t="str">
        <f>IF(ISERROR(FIND($A$2,Lines!W13))=TRUE,"",MID(Lines!W13,FIND($A$2,Lines!W13)+LEN($A$2)+1,FIND(",",_xlfn.CONCAT(Lines!W13,","),FIND($A$2,Lines!W13))-FIND($A$2,Lines!W13)-LEN($A$2)-1))</f>
        <v/>
      </c>
      <c r="X13" s="30" t="str">
        <f>IF(ISERROR(FIND($A$2,Lines!X13))=TRUE,"",MID(Lines!X13,FIND($A$2,Lines!X13)+LEN($A$2)+1,FIND(",",_xlfn.CONCAT(Lines!X13,","),FIND($A$2,Lines!X13))-FIND($A$2,Lines!X13)-LEN($A$2)-1))</f>
        <v/>
      </c>
      <c r="Y13" s="30" t="str">
        <f>IF(ISERROR(FIND($A$2,Lines!Y13))=TRUE,"",MID(Lines!Y13,FIND($A$2,Lines!Y13)+LEN($A$2)+1,FIND(",",_xlfn.CONCAT(Lines!Y13,","),FIND($A$2,Lines!Y13))-FIND($A$2,Lines!Y13)-LEN($A$2)-1))</f>
        <v/>
      </c>
      <c r="Z13" s="30" t="str">
        <f>IF(ISERROR(FIND($A$2,Lines!Z13))=TRUE,"",MID(Lines!Z13,FIND($A$2,Lines!Z13)+LEN($A$2)+1,FIND(",",_xlfn.CONCAT(Lines!Z13,","),FIND($A$2,Lines!Z13))-FIND($A$2,Lines!Z13)-LEN($A$2)-1))</f>
        <v/>
      </c>
      <c r="AA13" s="30" t="str">
        <f>IF(ISERROR(FIND($A$2,Lines!AA13))=TRUE,"",MID(Lines!AA13,FIND($A$2,Lines!AA13)+LEN($A$2)+1,FIND(",",_xlfn.CONCAT(Lines!AA13,","),FIND($A$2,Lines!AA13))-FIND($A$2,Lines!AA13)-LEN($A$2)-1))</f>
        <v/>
      </c>
      <c r="AB13" s="30" t="str">
        <f>IF(ISERROR(FIND($A$2,Lines!AB13))=TRUE,"",MID(Lines!AB13,FIND($A$2,Lines!AB13)+LEN($A$2)+1,FIND(",",_xlfn.CONCAT(Lines!AB13,","),FIND($A$2,Lines!AB13))-FIND($A$2,Lines!AB13)-LEN($A$2)-1))</f>
        <v/>
      </c>
      <c r="AC13" s="30" t="str">
        <f>IF(ISERROR(FIND($A$2,Lines!AC13))=TRUE,"",MID(Lines!AC13,FIND($A$2,Lines!AC13)+LEN($A$2)+1,FIND(",",_xlfn.CONCAT(Lines!AC13,","),FIND($A$2,Lines!AC13))-FIND($A$2,Lines!AC13)-LEN($A$2)-1))</f>
        <v/>
      </c>
      <c r="AD13" s="30" t="str">
        <f>IF(ISERROR(FIND($A$2,Lines!AD13))=TRUE,"",MID(Lines!AD13,FIND($A$2,Lines!AD13)+LEN($A$2)+1,FIND(",",_xlfn.CONCAT(Lines!AD13,","),FIND($A$2,Lines!AD13))-FIND($A$2,Lines!AD13)-LEN($A$2)-1))</f>
        <v/>
      </c>
      <c r="AE13" s="30" t="str">
        <f>IF(ISERROR(FIND($A$2,Lines!AE13))=TRUE,"",MID(Lines!AE13,FIND($A$2,Lines!AE13)+LEN($A$2)+1,FIND(",",_xlfn.CONCAT(Lines!AE13,","),FIND($A$2,Lines!AE13))-FIND($A$2,Lines!AE13)-LEN($A$2)-1))</f>
        <v/>
      </c>
      <c r="AF13" s="30" t="str">
        <f>IF(ISERROR(FIND($A$2,Lines!AF13))=TRUE,"",MID(Lines!AF13,FIND($A$2,Lines!AF13)+LEN($A$2)+1,FIND(",",_xlfn.CONCAT(Lines!AF13,","),FIND($A$2,Lines!AF13))-FIND($A$2,Lines!AF13)-LEN($A$2)-1))</f>
        <v/>
      </c>
      <c r="AG13" s="30" t="str">
        <f>IF(ISERROR(FIND($A$2,Lines!AG13))=TRUE,"",MID(Lines!AG13,FIND($A$2,Lines!AG13)+LEN($A$2)+1,FIND(",",_xlfn.CONCAT(Lines!AG13,","),FIND($A$2,Lines!AG13))-FIND($A$2,Lines!AG13)-LEN($A$2)-1))</f>
        <v/>
      </c>
      <c r="AH13" s="30" t="str">
        <f>IF(ISERROR(FIND($A$2,Lines!AH13))=TRUE,"",MID(Lines!AH13,FIND($A$2,Lines!AH13)+LEN($A$2)+1,FIND(",",_xlfn.CONCAT(Lines!AH13,","),FIND($A$2,Lines!AH13))-FIND($A$2,Lines!AH13)-LEN($A$2)-1))</f>
        <v/>
      </c>
      <c r="AI13" s="30" t="str">
        <f>IF(ISERROR(FIND($A$2,Lines!AI13))=TRUE,"",MID(Lines!AI13,FIND($A$2,Lines!AI13)+LEN($A$2)+1,FIND(",",_xlfn.CONCAT(Lines!AI13,","),FIND($A$2,Lines!AI13))-FIND($A$2,Lines!AI13)-LEN($A$2)-1))</f>
        <v/>
      </c>
      <c r="AJ13" s="30" t="str">
        <f>IF(ISERROR(FIND($A$2,Lines!AJ13))=TRUE,"",MID(Lines!AJ13,FIND($A$2,Lines!AJ13)+LEN($A$2)+1,FIND(",",_xlfn.CONCAT(Lines!AJ13,","),FIND($A$2,Lines!AJ13))-FIND($A$2,Lines!AJ13)-LEN($A$2)-1))</f>
        <v/>
      </c>
      <c r="AK13" s="30" t="str">
        <f>IF(ISERROR(FIND($A$2,Lines!AK13))=TRUE,"",MID(Lines!AK13,FIND($A$2,Lines!AK13)+LEN($A$2)+1,FIND(",",_xlfn.CONCAT(Lines!AK13,","),FIND($A$2,Lines!AK13))-FIND($A$2,Lines!AK13)-LEN($A$2)-1))</f>
        <v/>
      </c>
      <c r="AL13" s="30" t="str">
        <f>IF(ISERROR(FIND($A$2,Lines!AL13))=TRUE,"",MID(Lines!AL13,FIND($A$2,Lines!AL13)+LEN($A$2)+1,FIND(",",_xlfn.CONCAT(Lines!AL13,","),FIND($A$2,Lines!AL13))-FIND($A$2,Lines!AL13)-LEN($A$2)-1))</f>
        <v/>
      </c>
      <c r="AM13" s="30" t="str">
        <f>IF(ISERROR(FIND($A$2,Lines!AM13))=TRUE,"",MID(Lines!AM13,FIND($A$2,Lines!AM13)+LEN($A$2)+1,FIND(",",_xlfn.CONCAT(Lines!AM13,","),FIND($A$2,Lines!AM13))-FIND($A$2,Lines!AM13)-LEN($A$2)-1))</f>
        <v/>
      </c>
      <c r="AN13" s="30" t="str">
        <f>IF(ISERROR(FIND($A$2,Lines!AN13))=TRUE,"",MID(Lines!AN13,FIND($A$2,Lines!AN13)+LEN($A$2)+1,FIND(",",_xlfn.CONCAT(Lines!AN13,","),FIND($A$2,Lines!AN13))-FIND($A$2,Lines!AN13)-LEN($A$2)-1))</f>
        <v/>
      </c>
      <c r="AO13" s="30" t="str">
        <f>IF(ISERROR(FIND($A$2,Lines!AO13))=TRUE,"",MID(Lines!AO13,FIND($A$2,Lines!AO13)+LEN($A$2)+1,FIND(",",_xlfn.CONCAT(Lines!AO13,","),FIND($A$2,Lines!AO13))-FIND($A$2,Lines!AO13)-LEN($A$2)-1))</f>
        <v/>
      </c>
      <c r="AP13" s="30" t="str">
        <f>IF(ISERROR(FIND($A$2,Lines!AP13))=TRUE,"",MID(Lines!AP13,FIND($A$2,Lines!AP13)+LEN($A$2)+1,FIND(",",_xlfn.CONCAT(Lines!AP13,","),FIND($A$2,Lines!AP13))-FIND($A$2,Lines!AP13)-LEN($A$2)-1))</f>
        <v/>
      </c>
      <c r="AQ13" s="30" t="str">
        <f>IF(ISERROR(FIND($A$2,Lines!AQ13))=TRUE,"",MID(Lines!AQ13,FIND($A$2,Lines!AQ13)+LEN($A$2)+1,FIND(",",_xlfn.CONCAT(Lines!AQ13,","),FIND($A$2,Lines!AQ13))-FIND($A$2,Lines!AQ13)-LEN($A$2)-1))</f>
        <v/>
      </c>
      <c r="AR13" s="30" t="str">
        <f>IF(ISERROR(FIND($A$2,Lines!AR13))=TRUE,"",MID(Lines!AR13,FIND($A$2,Lines!AR13)+LEN($A$2)+1,FIND(",",_xlfn.CONCAT(Lines!AR13,","),FIND($A$2,Lines!AR13))-FIND($A$2,Lines!AR13)-LEN($A$2)-1))</f>
        <v/>
      </c>
      <c r="AS13" s="30" t="str">
        <f>IF(ISERROR(FIND($A$2,Lines!AS13))=TRUE,"",MID(Lines!AS13,FIND($A$2,Lines!AS13)+LEN($A$2)+1,FIND(",",_xlfn.CONCAT(Lines!AS13,","),FIND($A$2,Lines!AS13))-FIND($A$2,Lines!AS13)-LEN($A$2)-1))</f>
        <v/>
      </c>
      <c r="AT13" s="30" t="str">
        <f>IF(ISERROR(FIND($A$2,Lines!AT13))=TRUE,"",MID(Lines!AT13,FIND($A$2,Lines!AT13)+LEN($A$2)+1,FIND(",",_xlfn.CONCAT(Lines!AT13,","),FIND($A$2,Lines!AT13))-FIND($A$2,Lines!AT13)-LEN($A$2)-1))</f>
        <v/>
      </c>
    </row>
    <row r="14" spans="1:46" ht="20.25" customHeight="1">
      <c r="A14" s="2" t="s">
        <v>64</v>
      </c>
      <c r="B14" s="26" t="str">
        <f>IF(ISERROR(FIND($A$2,Lines!B14))=TRUE,"",MID(Lines!B14,FIND($A$2,Lines!B14)+LEN($A$2)+1,FIND(",",_xlfn.CONCAT(Lines!B14,","),FIND($A$2,Lines!B14))-FIND($A$2,Lines!B14)-LEN($A$2)-1))</f>
        <v/>
      </c>
      <c r="C14" s="26" t="str">
        <f>IF(ISERROR(FIND($A$2,Lines!C14))=TRUE,"",MID(Lines!C14,FIND($A$2,Lines!C14)+LEN($A$2)+1,FIND(",",_xlfn.CONCAT(Lines!C14,","),FIND($A$2,Lines!C14))-FIND($A$2,Lines!C14)-LEN($A$2)-1))</f>
        <v/>
      </c>
      <c r="D14" s="26" t="str">
        <f>IF(ISERROR(FIND($A$2,Lines!D14))=TRUE,"",MID(Lines!D14,FIND($A$2,Lines!D14)+LEN($A$2)+1,FIND(",",_xlfn.CONCAT(Lines!D14,","),FIND($A$2,Lines!D14))-FIND($A$2,Lines!D14)-LEN($A$2)-1))</f>
        <v/>
      </c>
      <c r="E14" s="26" t="str">
        <f>IF(ISERROR(FIND($A$2,Lines!E14))=TRUE,"",MID(Lines!E14,FIND($A$2,Lines!E14)+LEN($A$2)+1,FIND(",",_xlfn.CONCAT(Lines!E14,","),FIND($A$2,Lines!E14))-FIND($A$2,Lines!E14)-LEN($A$2)-1))</f>
        <v/>
      </c>
      <c r="F14" s="26" t="str">
        <f>IF(ISERROR(FIND($A$2,Lines!F14))=TRUE,"",MID(Lines!F14,FIND($A$2,Lines!F14)+LEN($A$2)+1,FIND(",",_xlfn.CONCAT(Lines!F14,","),FIND($A$2,Lines!F14))-FIND($A$2,Lines!F14)-LEN($A$2)-1))</f>
        <v/>
      </c>
      <c r="G14" s="26" t="str">
        <f>IF(ISERROR(FIND($A$2,Lines!G14))=TRUE,"",MID(Lines!G14,FIND($A$2,Lines!G14)+LEN($A$2)+1,FIND(",",_xlfn.CONCAT(Lines!G14,","),FIND($A$2,Lines!G14))-FIND($A$2,Lines!G14)-LEN($A$2)-1))</f>
        <v>3</v>
      </c>
      <c r="H14" s="26" t="str">
        <f>IF(ISERROR(FIND($A$2,Lines!H14))=TRUE,"",MID(Lines!H14,FIND($A$2,Lines!H14)+LEN($A$2)+1,FIND(",",_xlfn.CONCAT(Lines!H14,","),FIND($A$2,Lines!H14))-FIND($A$2,Lines!H14)-LEN($A$2)-1))</f>
        <v/>
      </c>
      <c r="I14" s="26" t="str">
        <f>IF(ISERROR(FIND($A$2,Lines!I14))=TRUE,"",MID(Lines!I14,FIND($A$2,Lines!I14)+LEN($A$2)+1,FIND(",",_xlfn.CONCAT(Lines!I14,","),FIND($A$2,Lines!I14))-FIND($A$2,Lines!I14)-LEN($A$2)-1))</f>
        <v>1</v>
      </c>
      <c r="J14" s="26" t="str">
        <f>IF(ISERROR(FIND($A$2,Lines!J14))=TRUE,"",MID(Lines!J14,FIND($A$2,Lines!J14)+LEN($A$2)+1,FIND(",",_xlfn.CONCAT(Lines!J14,","),FIND($A$2,Lines!J14))-FIND($A$2,Lines!J14)-LEN($A$2)-1))</f>
        <v/>
      </c>
      <c r="K14" s="26" t="str">
        <f>IF(ISERROR(FIND($A$2,Lines!K14))=TRUE,"",MID(Lines!K14,FIND($A$2,Lines!K14)+LEN($A$2)+1,FIND(",",_xlfn.CONCAT(Lines!K14,","),FIND($A$2,Lines!K14))-FIND($A$2,Lines!K14)-LEN($A$2)-1))</f>
        <v/>
      </c>
      <c r="L14" s="63" t="str">
        <f>IF(ISERROR(FIND($A$2,Lines!L14))=TRUE,"",MID(Lines!L14,FIND($A$2,Lines!L14)+LEN($A$2)+1,FIND(",",_xlfn.CONCAT(Lines!L14,","),FIND($A$2,Lines!L14))-FIND($A$2,Lines!L14)-LEN($A$2)-1))</f>
        <v/>
      </c>
      <c r="M14" s="27" t="str">
        <f>IF(ISERROR(FIND($A$2,Lines!M14))=TRUE,"",MID(Lines!M14,FIND($A$2,Lines!M14)+LEN($A$2)+1,FIND(",",_xlfn.CONCAT(Lines!M14,","),FIND($A$2,Lines!M14))-FIND($A$2,Lines!M14)-LEN($A$2)-1))</f>
        <v/>
      </c>
      <c r="N14" s="30" t="str">
        <f>IF(ISERROR(FIND($A$2,Lines!N14))=TRUE,"",MID(Lines!N14,FIND($A$2,Lines!N14)+LEN($A$2)+1,FIND(",",_xlfn.CONCAT(Lines!N14,","),FIND($A$2,Lines!N14))-FIND($A$2,Lines!N14)-LEN($A$2)-1))</f>
        <v/>
      </c>
      <c r="O14" s="30" t="str">
        <f>IF(ISERROR(FIND($A$2,Lines!O14))=TRUE,"",MID(Lines!O14,FIND($A$2,Lines!O14)+LEN($A$2)+1,FIND(",",_xlfn.CONCAT(Lines!O14,","),FIND($A$2,Lines!O14))-FIND($A$2,Lines!O14)-LEN($A$2)-1))</f>
        <v/>
      </c>
      <c r="P14" s="30" t="str">
        <f>IF(ISERROR(FIND($A$2,Lines!P14))=TRUE,"",MID(Lines!P14,FIND($A$2,Lines!P14)+LEN($A$2)+1,FIND(",",_xlfn.CONCAT(Lines!P14,","),FIND($A$2,Lines!P14))-FIND($A$2,Lines!P14)-LEN($A$2)-1))</f>
        <v/>
      </c>
      <c r="Q14" s="30" t="str">
        <f>IF(ISERROR(FIND($A$2,Lines!Q14))=TRUE,"",MID(Lines!Q14,FIND($A$2,Lines!Q14)+LEN($A$2)+1,FIND(",",_xlfn.CONCAT(Lines!Q14,","),FIND($A$2,Lines!Q14))-FIND($A$2,Lines!Q14)-LEN($A$2)-1))</f>
        <v/>
      </c>
      <c r="R14" s="30" t="str">
        <f>IF(ISERROR(FIND($A$2,Lines!R14))=TRUE,"",MID(Lines!R14,FIND($A$2,Lines!R14)+LEN($A$2)+1,FIND(",",_xlfn.CONCAT(Lines!R14,","),FIND($A$2,Lines!R14))-FIND($A$2,Lines!R14)-LEN($A$2)-1))</f>
        <v/>
      </c>
      <c r="S14" s="30" t="str">
        <f>IF(ISERROR(FIND($A$2,Lines!S14))=TRUE,"",MID(Lines!S14,FIND($A$2,Lines!S14)+LEN($A$2)+1,FIND(",",_xlfn.CONCAT(Lines!S14,","),FIND($A$2,Lines!S14))-FIND($A$2,Lines!S14)-LEN($A$2)-1))</f>
        <v/>
      </c>
      <c r="T14" s="30" t="str">
        <f>IF(ISERROR(FIND($A$2,Lines!T14))=TRUE,"",MID(Lines!T14,FIND($A$2,Lines!T14)+LEN($A$2)+1,FIND(",",_xlfn.CONCAT(Lines!T14,","),FIND($A$2,Lines!T14))-FIND($A$2,Lines!T14)-LEN($A$2)-1))</f>
        <v/>
      </c>
      <c r="U14" s="30" t="str">
        <f>IF(ISERROR(FIND($A$2,Lines!U14))=TRUE,"",MID(Lines!U14,FIND($A$2,Lines!U14)+LEN($A$2)+1,FIND(",",_xlfn.CONCAT(Lines!U14,","),FIND($A$2,Lines!U14))-FIND($A$2,Lines!U14)-LEN($A$2)-1))</f>
        <v/>
      </c>
      <c r="V14" s="30" t="str">
        <f>IF(ISERROR(FIND($A$2,Lines!V14))=TRUE,"",MID(Lines!V14,FIND($A$2,Lines!V14)+LEN($A$2)+1,FIND(",",_xlfn.CONCAT(Lines!V14,","),FIND($A$2,Lines!V14))-FIND($A$2,Lines!V14)-LEN($A$2)-1))</f>
        <v/>
      </c>
      <c r="W14" s="36" t="str">
        <f>IF(ISERROR(FIND($A$2,Lines!W14))=TRUE,"",MID(Lines!W14,FIND($A$2,Lines!W14)+LEN($A$2)+1,FIND(",",_xlfn.CONCAT(Lines!W14,","),FIND($A$2,Lines!W14))-FIND($A$2,Lines!W14)-LEN($A$2)-1))</f>
        <v/>
      </c>
      <c r="X14" s="30" t="str">
        <f>IF(ISERROR(FIND($A$2,Lines!X14))=TRUE,"",MID(Lines!X14,FIND($A$2,Lines!X14)+LEN($A$2)+1,FIND(",",_xlfn.CONCAT(Lines!X14,","),FIND($A$2,Lines!X14))-FIND($A$2,Lines!X14)-LEN($A$2)-1))</f>
        <v/>
      </c>
      <c r="Y14" s="30" t="str">
        <f>IF(ISERROR(FIND($A$2,Lines!Y14))=TRUE,"",MID(Lines!Y14,FIND($A$2,Lines!Y14)+LEN($A$2)+1,FIND(",",_xlfn.CONCAT(Lines!Y14,","),FIND($A$2,Lines!Y14))-FIND($A$2,Lines!Y14)-LEN($A$2)-1))</f>
        <v/>
      </c>
      <c r="Z14" s="30" t="str">
        <f>IF(ISERROR(FIND($A$2,Lines!Z14))=TRUE,"",MID(Lines!Z14,FIND($A$2,Lines!Z14)+LEN($A$2)+1,FIND(",",_xlfn.CONCAT(Lines!Z14,","),FIND($A$2,Lines!Z14))-FIND($A$2,Lines!Z14)-LEN($A$2)-1))</f>
        <v/>
      </c>
      <c r="AA14" s="30" t="str">
        <f>IF(ISERROR(FIND($A$2,Lines!AA14))=TRUE,"",MID(Lines!AA14,FIND($A$2,Lines!AA14)+LEN($A$2)+1,FIND(",",_xlfn.CONCAT(Lines!AA14,","),FIND($A$2,Lines!AA14))-FIND($A$2,Lines!AA14)-LEN($A$2)-1))</f>
        <v/>
      </c>
      <c r="AB14" s="30" t="str">
        <f>IF(ISERROR(FIND($A$2,Lines!AB14))=TRUE,"",MID(Lines!AB14,FIND($A$2,Lines!AB14)+LEN($A$2)+1,FIND(",",_xlfn.CONCAT(Lines!AB14,","),FIND($A$2,Lines!AB14))-FIND($A$2,Lines!AB14)-LEN($A$2)-1))</f>
        <v/>
      </c>
      <c r="AC14" s="30" t="str">
        <f>IF(ISERROR(FIND($A$2,Lines!AC14))=TRUE,"",MID(Lines!AC14,FIND($A$2,Lines!AC14)+LEN($A$2)+1,FIND(",",_xlfn.CONCAT(Lines!AC14,","),FIND($A$2,Lines!AC14))-FIND($A$2,Lines!AC14)-LEN($A$2)-1))</f>
        <v/>
      </c>
      <c r="AD14" s="30" t="str">
        <f>IF(ISERROR(FIND($A$2,Lines!AD14))=TRUE,"",MID(Lines!AD14,FIND($A$2,Lines!AD14)+LEN($A$2)+1,FIND(",",_xlfn.CONCAT(Lines!AD14,","),FIND($A$2,Lines!AD14))-FIND($A$2,Lines!AD14)-LEN($A$2)-1))</f>
        <v/>
      </c>
      <c r="AE14" s="30" t="str">
        <f>IF(ISERROR(FIND($A$2,Lines!AE14))=TRUE,"",MID(Lines!AE14,FIND($A$2,Lines!AE14)+LEN($A$2)+1,FIND(",",_xlfn.CONCAT(Lines!AE14,","),FIND($A$2,Lines!AE14))-FIND($A$2,Lines!AE14)-LEN($A$2)-1))</f>
        <v/>
      </c>
      <c r="AF14" s="30" t="str">
        <f>IF(ISERROR(FIND($A$2,Lines!AF14))=TRUE,"",MID(Lines!AF14,FIND($A$2,Lines!AF14)+LEN($A$2)+1,FIND(",",_xlfn.CONCAT(Lines!AF14,","),FIND($A$2,Lines!AF14))-FIND($A$2,Lines!AF14)-LEN($A$2)-1))</f>
        <v/>
      </c>
      <c r="AG14" s="30" t="str">
        <f>IF(ISERROR(FIND($A$2,Lines!AG14))=TRUE,"",MID(Lines!AG14,FIND($A$2,Lines!AG14)+LEN($A$2)+1,FIND(",",_xlfn.CONCAT(Lines!AG14,","),FIND($A$2,Lines!AG14))-FIND($A$2,Lines!AG14)-LEN($A$2)-1))</f>
        <v/>
      </c>
      <c r="AH14" s="30" t="str">
        <f>IF(ISERROR(FIND($A$2,Lines!AH14))=TRUE,"",MID(Lines!AH14,FIND($A$2,Lines!AH14)+LEN($A$2)+1,FIND(",",_xlfn.CONCAT(Lines!AH14,","),FIND($A$2,Lines!AH14))-FIND($A$2,Lines!AH14)-LEN($A$2)-1))</f>
        <v/>
      </c>
      <c r="AI14" s="30" t="str">
        <f>IF(ISERROR(FIND($A$2,Lines!AI14))=TRUE,"",MID(Lines!AI14,FIND($A$2,Lines!AI14)+LEN($A$2)+1,FIND(",",_xlfn.CONCAT(Lines!AI14,","),FIND($A$2,Lines!AI14))-FIND($A$2,Lines!AI14)-LEN($A$2)-1))</f>
        <v/>
      </c>
      <c r="AJ14" s="30" t="str">
        <f>IF(ISERROR(FIND($A$2,Lines!AJ14))=TRUE,"",MID(Lines!AJ14,FIND($A$2,Lines!AJ14)+LEN($A$2)+1,FIND(",",_xlfn.CONCAT(Lines!AJ14,","),FIND($A$2,Lines!AJ14))-FIND($A$2,Lines!AJ14)-LEN($A$2)-1))</f>
        <v/>
      </c>
      <c r="AK14" s="30" t="str">
        <f>IF(ISERROR(FIND($A$2,Lines!AK14))=TRUE,"",MID(Lines!AK14,FIND($A$2,Lines!AK14)+LEN($A$2)+1,FIND(",",_xlfn.CONCAT(Lines!AK14,","),FIND($A$2,Lines!AK14))-FIND($A$2,Lines!AK14)-LEN($A$2)-1))</f>
        <v/>
      </c>
      <c r="AL14" s="30" t="str">
        <f>IF(ISERROR(FIND($A$2,Lines!AL14))=TRUE,"",MID(Lines!AL14,FIND($A$2,Lines!AL14)+LEN($A$2)+1,FIND(",",_xlfn.CONCAT(Lines!AL14,","),FIND($A$2,Lines!AL14))-FIND($A$2,Lines!AL14)-LEN($A$2)-1))</f>
        <v/>
      </c>
      <c r="AM14" s="30" t="str">
        <f>IF(ISERROR(FIND($A$2,Lines!AM14))=TRUE,"",MID(Lines!AM14,FIND($A$2,Lines!AM14)+LEN($A$2)+1,FIND(",",_xlfn.CONCAT(Lines!AM14,","),FIND($A$2,Lines!AM14))-FIND($A$2,Lines!AM14)-LEN($A$2)-1))</f>
        <v/>
      </c>
      <c r="AN14" s="30" t="str">
        <f>IF(ISERROR(FIND($A$2,Lines!AN14))=TRUE,"",MID(Lines!AN14,FIND($A$2,Lines!AN14)+LEN($A$2)+1,FIND(",",_xlfn.CONCAT(Lines!AN14,","),FIND($A$2,Lines!AN14))-FIND($A$2,Lines!AN14)-LEN($A$2)-1))</f>
        <v/>
      </c>
      <c r="AO14" s="30" t="str">
        <f>IF(ISERROR(FIND($A$2,Lines!AO14))=TRUE,"",MID(Lines!AO14,FIND($A$2,Lines!AO14)+LEN($A$2)+1,FIND(",",_xlfn.CONCAT(Lines!AO14,","),FIND($A$2,Lines!AO14))-FIND($A$2,Lines!AO14)-LEN($A$2)-1))</f>
        <v/>
      </c>
      <c r="AP14" s="30" t="str">
        <f>IF(ISERROR(FIND($A$2,Lines!AP14))=TRUE,"",MID(Lines!AP14,FIND($A$2,Lines!AP14)+LEN($A$2)+1,FIND(",",_xlfn.CONCAT(Lines!AP14,","),FIND($A$2,Lines!AP14))-FIND($A$2,Lines!AP14)-LEN($A$2)-1))</f>
        <v/>
      </c>
      <c r="AQ14" s="30" t="str">
        <f>IF(ISERROR(FIND($A$2,Lines!AQ14))=TRUE,"",MID(Lines!AQ14,FIND($A$2,Lines!AQ14)+LEN($A$2)+1,FIND(",",_xlfn.CONCAT(Lines!AQ14,","),FIND($A$2,Lines!AQ14))-FIND($A$2,Lines!AQ14)-LEN($A$2)-1))</f>
        <v/>
      </c>
      <c r="AR14" s="30" t="str">
        <f>IF(ISERROR(FIND($A$2,Lines!AR14))=TRUE,"",MID(Lines!AR14,FIND($A$2,Lines!AR14)+LEN($A$2)+1,FIND(",",_xlfn.CONCAT(Lines!AR14,","),FIND($A$2,Lines!AR14))-FIND($A$2,Lines!AR14)-LEN($A$2)-1))</f>
        <v/>
      </c>
      <c r="AS14" s="30" t="str">
        <f>IF(ISERROR(FIND($A$2,Lines!AS14))=TRUE,"",MID(Lines!AS14,FIND($A$2,Lines!AS14)+LEN($A$2)+1,FIND(",",_xlfn.CONCAT(Lines!AS14,","),FIND($A$2,Lines!AS14))-FIND($A$2,Lines!AS14)-LEN($A$2)-1))</f>
        <v/>
      </c>
      <c r="AT14" s="30" t="str">
        <f>IF(ISERROR(FIND($A$2,Lines!AT14))=TRUE,"",MID(Lines!AT14,FIND($A$2,Lines!AT14)+LEN($A$2)+1,FIND(",",_xlfn.CONCAT(Lines!AT14,","),FIND($A$2,Lines!AT14))-FIND($A$2,Lines!AT14)-LEN($A$2)-1))</f>
        <v/>
      </c>
    </row>
    <row r="15" spans="1:46" ht="20.25" customHeight="1">
      <c r="A15" s="2" t="s">
        <v>65</v>
      </c>
      <c r="B15" s="33" t="str">
        <f>IF(ISERROR(FIND($A$2,Lines!B15))=TRUE,"",MID(Lines!B15,FIND($A$2,Lines!B15)+LEN($A$2)+1,FIND(",",_xlfn.CONCAT(Lines!B15,","),FIND($A$2,Lines!B15))-FIND($A$2,Lines!B15)-LEN($A$2)-1))</f>
        <v/>
      </c>
      <c r="C15" s="33" t="str">
        <f>IF(ISERROR(FIND($A$2,Lines!C15))=TRUE,"",MID(Lines!C15,FIND($A$2,Lines!C15)+LEN($A$2)+1,FIND(",",_xlfn.CONCAT(Lines!C15,","),FIND($A$2,Lines!C15))-FIND($A$2,Lines!C15)-LEN($A$2)-1))</f>
        <v/>
      </c>
      <c r="D15" s="33" t="str">
        <f>IF(ISERROR(FIND($A$2,Lines!D15))=TRUE,"",MID(Lines!D15,FIND($A$2,Lines!D15)+LEN($A$2)+1,FIND(",",_xlfn.CONCAT(Lines!D15,","),FIND($A$2,Lines!D15))-FIND($A$2,Lines!D15)-LEN($A$2)-1))</f>
        <v/>
      </c>
      <c r="E15" s="33" t="str">
        <f>IF(ISERROR(FIND($A$2,Lines!E15))=TRUE,"",MID(Lines!E15,FIND($A$2,Lines!E15)+LEN($A$2)+1,FIND(",",_xlfn.CONCAT(Lines!E15,","),FIND($A$2,Lines!E15))-FIND($A$2,Lines!E15)-LEN($A$2)-1))</f>
        <v/>
      </c>
      <c r="F15" s="33" t="str">
        <f>IF(ISERROR(FIND($A$2,Lines!F15))=TRUE,"",MID(Lines!F15,FIND($A$2,Lines!F15)+LEN($A$2)+1,FIND(",",_xlfn.CONCAT(Lines!F15,","),FIND($A$2,Lines!F15))-FIND($A$2,Lines!F15)-LEN($A$2)-1))</f>
        <v>2</v>
      </c>
      <c r="G15" s="33" t="str">
        <f>IF(ISERROR(FIND($A$2,Lines!G15))=TRUE,"",MID(Lines!G15,FIND($A$2,Lines!G15)+LEN($A$2)+1,FIND(",",_xlfn.CONCAT(Lines!G15,","),FIND($A$2,Lines!G15))-FIND($A$2,Lines!G15)-LEN($A$2)-1))</f>
        <v/>
      </c>
      <c r="H15" s="33" t="str">
        <f>IF(ISERROR(FIND($A$2,Lines!H15))=TRUE,"",MID(Lines!H15,FIND($A$2,Lines!H15)+LEN($A$2)+1,FIND(",",_xlfn.CONCAT(Lines!H15,","),FIND($A$2,Lines!H15))-FIND($A$2,Lines!H15)-LEN($A$2)-1))</f>
        <v/>
      </c>
      <c r="I15" s="33" t="str">
        <f>IF(ISERROR(FIND($A$2,Lines!I15))=TRUE,"",MID(Lines!I15,FIND($A$2,Lines!I15)+LEN($A$2)+1,FIND(",",_xlfn.CONCAT(Lines!I15,","),FIND($A$2,Lines!I15))-FIND($A$2,Lines!I15)-LEN($A$2)-1))</f>
        <v/>
      </c>
      <c r="J15" s="68" t="str">
        <f>IF(ISERROR(FIND($A$2,Lines!J15))=TRUE,"",MID(Lines!J15,FIND($A$2,Lines!J15)+LEN($A$2)+1,FIND(",",_xlfn.CONCAT(Lines!J15,","),FIND($A$2,Lines!J15))-FIND($A$2,Lines!J15)-LEN($A$2)-1))</f>
        <v/>
      </c>
      <c r="K15" s="33" t="str">
        <f>IF(ISERROR(FIND($A$2,Lines!K15))=TRUE,"",MID(Lines!K15,FIND($A$2,Lines!K15)+LEN($A$2)+1,FIND(",",_xlfn.CONCAT(Lines!K15,","),FIND($A$2,Lines!K15))-FIND($A$2,Lines!K15)-LEN($A$2)-1))</f>
        <v/>
      </c>
      <c r="L15" s="33" t="str">
        <f>IF(ISERROR(FIND($A$2,Lines!L15))=TRUE,"",MID(Lines!L15,FIND($A$2,Lines!L15)+LEN($A$2)+1,FIND(",",_xlfn.CONCAT(Lines!L15,","),FIND($A$2,Lines!L15))-FIND($A$2,Lines!L15)-LEN($A$2)-1))</f>
        <v/>
      </c>
      <c r="M15" s="64" t="str">
        <f>IF(ISERROR(FIND($A$2,Lines!M15))=TRUE,"",MID(Lines!M15,FIND($A$2,Lines!M15)+LEN($A$2)+1,FIND(",",_xlfn.CONCAT(Lines!M15,","),FIND($A$2,Lines!M15))-FIND($A$2,Lines!M15)-LEN($A$2)-1))</f>
        <v/>
      </c>
      <c r="N15" s="30" t="str">
        <f>IF(ISERROR(FIND($A$2,Lines!N15))=TRUE,"",MID(Lines!N15,FIND($A$2,Lines!N15)+LEN($A$2)+1,FIND(",",_xlfn.CONCAT(Lines!N15,","),FIND($A$2,Lines!N15))-FIND($A$2,Lines!N15)-LEN($A$2)-1))</f>
        <v/>
      </c>
      <c r="O15" s="30" t="str">
        <f>IF(ISERROR(FIND($A$2,Lines!O15))=TRUE,"",MID(Lines!O15,FIND($A$2,Lines!O15)+LEN($A$2)+1,FIND(",",_xlfn.CONCAT(Lines!O15,","),FIND($A$2,Lines!O15))-FIND($A$2,Lines!O15)-LEN($A$2)-1))</f>
        <v/>
      </c>
      <c r="P15" s="30" t="str">
        <f>IF(ISERROR(FIND($A$2,Lines!P15))=TRUE,"",MID(Lines!P15,FIND($A$2,Lines!P15)+LEN($A$2)+1,FIND(",",_xlfn.CONCAT(Lines!P15,","),FIND($A$2,Lines!P15))-FIND($A$2,Lines!P15)-LEN($A$2)-1))</f>
        <v/>
      </c>
      <c r="Q15" s="30" t="str">
        <f>IF(ISERROR(FIND($A$2,Lines!Q15))=TRUE,"",MID(Lines!Q15,FIND($A$2,Lines!Q15)+LEN($A$2)+1,FIND(",",_xlfn.CONCAT(Lines!Q15,","),FIND($A$2,Lines!Q15))-FIND($A$2,Lines!Q15)-LEN($A$2)-1))</f>
        <v/>
      </c>
      <c r="R15" s="30" t="str">
        <f>IF(ISERROR(FIND($A$2,Lines!R15))=TRUE,"",MID(Lines!R15,FIND($A$2,Lines!R15)+LEN($A$2)+1,FIND(",",_xlfn.CONCAT(Lines!R15,","),FIND($A$2,Lines!R15))-FIND($A$2,Lines!R15)-LEN($A$2)-1))</f>
        <v/>
      </c>
      <c r="S15" s="30" t="str">
        <f>IF(ISERROR(FIND($A$2,Lines!S15))=TRUE,"",MID(Lines!S15,FIND($A$2,Lines!S15)+LEN($A$2)+1,FIND(",",_xlfn.CONCAT(Lines!S15,","),FIND($A$2,Lines!S15))-FIND($A$2,Lines!S15)-LEN($A$2)-1))</f>
        <v/>
      </c>
      <c r="T15" s="30" t="str">
        <f>IF(ISERROR(FIND($A$2,Lines!T15))=TRUE,"",MID(Lines!T15,FIND($A$2,Lines!T15)+LEN($A$2)+1,FIND(",",_xlfn.CONCAT(Lines!T15,","),FIND($A$2,Lines!T15))-FIND($A$2,Lines!T15)-LEN($A$2)-1))</f>
        <v/>
      </c>
      <c r="U15" s="30" t="str">
        <f>IF(ISERROR(FIND($A$2,Lines!U15))=TRUE,"",MID(Lines!U15,FIND($A$2,Lines!U15)+LEN($A$2)+1,FIND(",",_xlfn.CONCAT(Lines!U15,","),FIND($A$2,Lines!U15))-FIND($A$2,Lines!U15)-LEN($A$2)-1))</f>
        <v/>
      </c>
      <c r="V15" s="30" t="str">
        <f>IF(ISERROR(FIND($A$2,Lines!V15))=TRUE,"",MID(Lines!V15,FIND($A$2,Lines!V15)+LEN($A$2)+1,FIND(",",_xlfn.CONCAT(Lines!V15,","),FIND($A$2,Lines!V15))-FIND($A$2,Lines!V15)-LEN($A$2)-1))</f>
        <v/>
      </c>
      <c r="W15" s="36" t="str">
        <f>IF(ISERROR(FIND($A$2,Lines!W15))=TRUE,"",MID(Lines!W15,FIND($A$2,Lines!W15)+LEN($A$2)+1,FIND(",",_xlfn.CONCAT(Lines!W15,","),FIND($A$2,Lines!W15))-FIND($A$2,Lines!W15)-LEN($A$2)-1))</f>
        <v/>
      </c>
      <c r="X15" s="30" t="str">
        <f>IF(ISERROR(FIND($A$2,Lines!X15))=TRUE,"",MID(Lines!X15,FIND($A$2,Lines!X15)+LEN($A$2)+1,FIND(",",_xlfn.CONCAT(Lines!X15,","),FIND($A$2,Lines!X15))-FIND($A$2,Lines!X15)-LEN($A$2)-1))</f>
        <v/>
      </c>
      <c r="Y15" s="30" t="str">
        <f>IF(ISERROR(FIND($A$2,Lines!Y15))=TRUE,"",MID(Lines!Y15,FIND($A$2,Lines!Y15)+LEN($A$2)+1,FIND(",",_xlfn.CONCAT(Lines!Y15,","),FIND($A$2,Lines!Y15))-FIND($A$2,Lines!Y15)-LEN($A$2)-1))</f>
        <v/>
      </c>
      <c r="Z15" s="30" t="str">
        <f>IF(ISERROR(FIND($A$2,Lines!Z15))=TRUE,"",MID(Lines!Z15,FIND($A$2,Lines!Z15)+LEN($A$2)+1,FIND(",",_xlfn.CONCAT(Lines!Z15,","),FIND($A$2,Lines!Z15))-FIND($A$2,Lines!Z15)-LEN($A$2)-1))</f>
        <v/>
      </c>
      <c r="AA15" s="30" t="str">
        <f>IF(ISERROR(FIND($A$2,Lines!AA15))=TRUE,"",MID(Lines!AA15,FIND($A$2,Lines!AA15)+LEN($A$2)+1,FIND(",",_xlfn.CONCAT(Lines!AA15,","),FIND($A$2,Lines!AA15))-FIND($A$2,Lines!AA15)-LEN($A$2)-1))</f>
        <v/>
      </c>
      <c r="AB15" s="30" t="str">
        <f>IF(ISERROR(FIND($A$2,Lines!AB15))=TRUE,"",MID(Lines!AB15,FIND($A$2,Lines!AB15)+LEN($A$2)+1,FIND(",",_xlfn.CONCAT(Lines!AB15,","),FIND($A$2,Lines!AB15))-FIND($A$2,Lines!AB15)-LEN($A$2)-1))</f>
        <v/>
      </c>
      <c r="AC15" s="30" t="str">
        <f>IF(ISERROR(FIND($A$2,Lines!AC15))=TRUE,"",MID(Lines!AC15,FIND($A$2,Lines!AC15)+LEN($A$2)+1,FIND(",",_xlfn.CONCAT(Lines!AC15,","),FIND($A$2,Lines!AC15))-FIND($A$2,Lines!AC15)-LEN($A$2)-1))</f>
        <v/>
      </c>
      <c r="AD15" s="30" t="str">
        <f>IF(ISERROR(FIND($A$2,Lines!AD15))=TRUE,"",MID(Lines!AD15,FIND($A$2,Lines!AD15)+LEN($A$2)+1,FIND(",",_xlfn.CONCAT(Lines!AD15,","),FIND($A$2,Lines!AD15))-FIND($A$2,Lines!AD15)-LEN($A$2)-1))</f>
        <v/>
      </c>
      <c r="AE15" s="30" t="str">
        <f>IF(ISERROR(FIND($A$2,Lines!AE15))=TRUE,"",MID(Lines!AE15,FIND($A$2,Lines!AE15)+LEN($A$2)+1,FIND(",",_xlfn.CONCAT(Lines!AE15,","),FIND($A$2,Lines!AE15))-FIND($A$2,Lines!AE15)-LEN($A$2)-1))</f>
        <v/>
      </c>
      <c r="AF15" s="30" t="str">
        <f>IF(ISERROR(FIND($A$2,Lines!AF15))=TRUE,"",MID(Lines!AF15,FIND($A$2,Lines!AF15)+LEN($A$2)+1,FIND(",",_xlfn.CONCAT(Lines!AF15,","),FIND($A$2,Lines!AF15))-FIND($A$2,Lines!AF15)-LEN($A$2)-1))</f>
        <v/>
      </c>
      <c r="AG15" s="30" t="str">
        <f>IF(ISERROR(FIND($A$2,Lines!AG15))=TRUE,"",MID(Lines!AG15,FIND($A$2,Lines!AG15)+LEN($A$2)+1,FIND(",",_xlfn.CONCAT(Lines!AG15,","),FIND($A$2,Lines!AG15))-FIND($A$2,Lines!AG15)-LEN($A$2)-1))</f>
        <v/>
      </c>
      <c r="AH15" s="30" t="str">
        <f>IF(ISERROR(FIND($A$2,Lines!AH15))=TRUE,"",MID(Lines!AH15,FIND($A$2,Lines!AH15)+LEN($A$2)+1,FIND(",",_xlfn.CONCAT(Lines!AH15,","),FIND($A$2,Lines!AH15))-FIND($A$2,Lines!AH15)-LEN($A$2)-1))</f>
        <v/>
      </c>
      <c r="AI15" s="30" t="str">
        <f>IF(ISERROR(FIND($A$2,Lines!AI15))=TRUE,"",MID(Lines!AI15,FIND($A$2,Lines!AI15)+LEN($A$2)+1,FIND(",",_xlfn.CONCAT(Lines!AI15,","),FIND($A$2,Lines!AI15))-FIND($A$2,Lines!AI15)-LEN($A$2)-1))</f>
        <v/>
      </c>
      <c r="AJ15" s="30" t="str">
        <f>IF(ISERROR(FIND($A$2,Lines!AJ15))=TRUE,"",MID(Lines!AJ15,FIND($A$2,Lines!AJ15)+LEN($A$2)+1,FIND(",",_xlfn.CONCAT(Lines!AJ15,","),FIND($A$2,Lines!AJ15))-FIND($A$2,Lines!AJ15)-LEN($A$2)-1))</f>
        <v/>
      </c>
      <c r="AK15" s="30" t="str">
        <f>IF(ISERROR(FIND($A$2,Lines!AK15))=TRUE,"",MID(Lines!AK15,FIND($A$2,Lines!AK15)+LEN($A$2)+1,FIND(",",_xlfn.CONCAT(Lines!AK15,","),FIND($A$2,Lines!AK15))-FIND($A$2,Lines!AK15)-LEN($A$2)-1))</f>
        <v/>
      </c>
      <c r="AL15" s="30" t="str">
        <f>IF(ISERROR(FIND($A$2,Lines!AL15))=TRUE,"",MID(Lines!AL15,FIND($A$2,Lines!AL15)+LEN($A$2)+1,FIND(",",_xlfn.CONCAT(Lines!AL15,","),FIND($A$2,Lines!AL15))-FIND($A$2,Lines!AL15)-LEN($A$2)-1))</f>
        <v/>
      </c>
      <c r="AM15" s="30" t="str">
        <f>IF(ISERROR(FIND($A$2,Lines!AM15))=TRUE,"",MID(Lines!AM15,FIND($A$2,Lines!AM15)+LEN($A$2)+1,FIND(",",_xlfn.CONCAT(Lines!AM15,","),FIND($A$2,Lines!AM15))-FIND($A$2,Lines!AM15)-LEN($A$2)-1))</f>
        <v/>
      </c>
      <c r="AN15" s="30" t="str">
        <f>IF(ISERROR(FIND($A$2,Lines!AN15))=TRUE,"",MID(Lines!AN15,FIND($A$2,Lines!AN15)+LEN($A$2)+1,FIND(",",_xlfn.CONCAT(Lines!AN15,","),FIND($A$2,Lines!AN15))-FIND($A$2,Lines!AN15)-LEN($A$2)-1))</f>
        <v/>
      </c>
      <c r="AO15" s="30" t="str">
        <f>IF(ISERROR(FIND($A$2,Lines!AO15))=TRUE,"",MID(Lines!AO15,FIND($A$2,Lines!AO15)+LEN($A$2)+1,FIND(",",_xlfn.CONCAT(Lines!AO15,","),FIND($A$2,Lines!AO15))-FIND($A$2,Lines!AO15)-LEN($A$2)-1))</f>
        <v/>
      </c>
      <c r="AP15" s="30" t="str">
        <f>IF(ISERROR(FIND($A$2,Lines!AP15))=TRUE,"",MID(Lines!AP15,FIND($A$2,Lines!AP15)+LEN($A$2)+1,FIND(",",_xlfn.CONCAT(Lines!AP15,","),FIND($A$2,Lines!AP15))-FIND($A$2,Lines!AP15)-LEN($A$2)-1))</f>
        <v/>
      </c>
      <c r="AQ15" s="30" t="str">
        <f>IF(ISERROR(FIND($A$2,Lines!AQ15))=TRUE,"",MID(Lines!AQ15,FIND($A$2,Lines!AQ15)+LEN($A$2)+1,FIND(",",_xlfn.CONCAT(Lines!AQ15,","),FIND($A$2,Lines!AQ15))-FIND($A$2,Lines!AQ15)-LEN($A$2)-1))</f>
        <v/>
      </c>
      <c r="AR15" s="30" t="str">
        <f>IF(ISERROR(FIND($A$2,Lines!AR15))=TRUE,"",MID(Lines!AR15,FIND($A$2,Lines!AR15)+LEN($A$2)+1,FIND(",",_xlfn.CONCAT(Lines!AR15,","),FIND($A$2,Lines!AR15))-FIND($A$2,Lines!AR15)-LEN($A$2)-1))</f>
        <v/>
      </c>
      <c r="AS15" s="30" t="str">
        <f>IF(ISERROR(FIND($A$2,Lines!AS15))=TRUE,"",MID(Lines!AS15,FIND($A$2,Lines!AS15)+LEN($A$2)+1,FIND(",",_xlfn.CONCAT(Lines!AS15,","),FIND($A$2,Lines!AS15))-FIND($A$2,Lines!AS15)-LEN($A$2)-1))</f>
        <v/>
      </c>
      <c r="AT15" s="30" t="str">
        <f>IF(ISERROR(FIND($A$2,Lines!AT15))=TRUE,"",MID(Lines!AT15,FIND($A$2,Lines!AT15)+LEN($A$2)+1,FIND(",",_xlfn.CONCAT(Lines!AT15,","),FIND($A$2,Lines!AT15))-FIND($A$2,Lines!AT15)-LEN($A$2)-1))</f>
        <v/>
      </c>
    </row>
    <row r="16" spans="1:46" ht="20.25" customHeight="1">
      <c r="A16" s="2" t="s">
        <v>12</v>
      </c>
      <c r="B16" s="30" t="str">
        <f>IF(ISERROR(FIND($A$2,Lines!B16))=TRUE,"",MID(Lines!B16,FIND($A$2,Lines!B16)+LEN($A$2)+1,FIND(",",_xlfn.CONCAT(Lines!B16,","),FIND($A$2,Lines!B16))-FIND($A$2,Lines!B16)-LEN($A$2)-1))</f>
        <v/>
      </c>
      <c r="C16" s="30" t="str">
        <f>IF(ISERROR(FIND($A$2,Lines!C16))=TRUE,"",MID(Lines!C16,FIND($A$2,Lines!C16)+LEN($A$2)+1,FIND(",",_xlfn.CONCAT(Lines!C16,","),FIND($A$2,Lines!C16))-FIND($A$2,Lines!C16)-LEN($A$2)-1))</f>
        <v/>
      </c>
      <c r="D16" s="30" t="str">
        <f>IF(ISERROR(FIND($A$2,Lines!D16))=TRUE,"",MID(Lines!D16,FIND($A$2,Lines!D16)+LEN($A$2)+1,FIND(",",_xlfn.CONCAT(Lines!D16,","),FIND($A$2,Lines!D16))-FIND($A$2,Lines!D16)-LEN($A$2)-1))</f>
        <v/>
      </c>
      <c r="E16" s="30" t="str">
        <f>IF(ISERROR(FIND($A$2,Lines!E16))=TRUE,"",MID(Lines!E16,FIND($A$2,Lines!E16)+LEN($A$2)+1,FIND(",",_xlfn.CONCAT(Lines!E16,","),FIND($A$2,Lines!E16))-FIND($A$2,Lines!E16)-LEN($A$2)-1))</f>
        <v/>
      </c>
      <c r="F16" s="30" t="str">
        <f>IF(ISERROR(FIND($A$2,Lines!F16))=TRUE,"",MID(Lines!F16,FIND($A$2,Lines!F16)+LEN($A$2)+1,FIND(",",_xlfn.CONCAT(Lines!F16,","),FIND($A$2,Lines!F16))-FIND($A$2,Lines!F16)-LEN($A$2)-1))</f>
        <v/>
      </c>
      <c r="G16" s="30" t="str">
        <f>IF(ISERROR(FIND($A$2,Lines!G16))=TRUE,"",MID(Lines!G16,FIND($A$2,Lines!G16)+LEN($A$2)+1,FIND(",",_xlfn.CONCAT(Lines!G16,","),FIND($A$2,Lines!G16))-FIND($A$2,Lines!G16)-LEN($A$2)-1))</f>
        <v/>
      </c>
      <c r="H16" s="30" t="str">
        <f>IF(ISERROR(FIND($A$2,Lines!H16))=TRUE,"",MID(Lines!H16,FIND($A$2,Lines!H16)+LEN($A$2)+1,FIND(",",_xlfn.CONCAT(Lines!H16,","),FIND($A$2,Lines!H16))-FIND($A$2,Lines!H16)-LEN($A$2)-1))</f>
        <v/>
      </c>
      <c r="I16" s="30" t="str">
        <f>IF(ISERROR(FIND($A$2,Lines!I16))=TRUE,"",MID(Lines!I16,FIND($A$2,Lines!I16)+LEN($A$2)+1,FIND(",",_xlfn.CONCAT(Lines!I16,","),FIND($A$2,Lines!I16))-FIND($A$2,Lines!I16)-LEN($A$2)-1))</f>
        <v/>
      </c>
      <c r="J16" s="30" t="str">
        <f>IF(ISERROR(FIND($A$2,Lines!J16))=TRUE,"",MID(Lines!J16,FIND($A$2,Lines!J16)+LEN($A$2)+1,FIND(",",_xlfn.CONCAT(Lines!J16,","),FIND($A$2,Lines!J16))-FIND($A$2,Lines!J16)-LEN($A$2)-1))</f>
        <v/>
      </c>
      <c r="K16" s="30" t="str">
        <f>IF(ISERROR(FIND($A$2,Lines!K16))=TRUE,"",MID(Lines!K16,FIND($A$2,Lines!K16)+LEN($A$2)+1,FIND(",",_xlfn.CONCAT(Lines!K16,","),FIND($A$2,Lines!K16))-FIND($A$2,Lines!K16)-LEN($A$2)-1))</f>
        <v/>
      </c>
      <c r="L16" s="30" t="str">
        <f>IF(ISERROR(FIND($A$2,Lines!L16))=TRUE,"",MID(Lines!L16,FIND($A$2,Lines!L16)+LEN($A$2)+1,FIND(",",_xlfn.CONCAT(Lines!L16,","),FIND($A$2,Lines!L16))-FIND($A$2,Lines!L16)-LEN($A$2)-1))</f>
        <v/>
      </c>
      <c r="M16" s="30" t="str">
        <f>IF(ISERROR(FIND($A$2,Lines!M16))=TRUE,"",MID(Lines!M16,FIND($A$2,Lines!M16)+LEN($A$2)+1,FIND(",",_xlfn.CONCAT(Lines!M16,","),FIND($A$2,Lines!M16))-FIND($A$2,Lines!M16)-LEN($A$2)-1))</f>
        <v/>
      </c>
      <c r="N16" s="65" t="str">
        <f>IF(ISERROR(FIND($A$2,Lines!N16))=TRUE,"",MID(Lines!N16,FIND($A$2,Lines!N16)+LEN($A$2)+1,FIND(",",_xlfn.CONCAT(Lines!N16,","),FIND($A$2,Lines!N16))-FIND($A$2,Lines!N16)-LEN($A$2)-1))</f>
        <v/>
      </c>
      <c r="O16" s="32" t="str">
        <f>IF(ISERROR(FIND($A$2,Lines!O16))=TRUE,"",MID(Lines!O16,FIND($A$2,Lines!O16)+LEN($A$2)+1,FIND(",",_xlfn.CONCAT(Lines!O16,","),FIND($A$2,Lines!O16))-FIND($A$2,Lines!O16)-LEN($A$2)-1))</f>
        <v/>
      </c>
      <c r="P16" s="29" t="str">
        <f>IF(ISERROR(FIND($A$2,Lines!P16))=TRUE,"",MID(Lines!P16,FIND($A$2,Lines!P16)+LEN($A$2)+1,FIND(",",_xlfn.CONCAT(Lines!P16,","),FIND($A$2,Lines!P16))-FIND($A$2,Lines!P16)-LEN($A$2)-1))</f>
        <v/>
      </c>
      <c r="Q16" s="29" t="str">
        <f>IF(ISERROR(FIND($A$2,Lines!Q16))=TRUE,"",MID(Lines!Q16,FIND($A$2,Lines!Q16)+LEN($A$2)+1,FIND(",",_xlfn.CONCAT(Lines!Q16,","),FIND($A$2,Lines!Q16))-FIND($A$2,Lines!Q16)-LEN($A$2)-1))</f>
        <v/>
      </c>
      <c r="R16" s="29" t="str">
        <f>IF(ISERROR(FIND($A$2,Lines!R16))=TRUE,"",MID(Lines!R16,FIND($A$2,Lines!R16)+LEN($A$2)+1,FIND(",",_xlfn.CONCAT(Lines!R16,","),FIND($A$2,Lines!R16))-FIND($A$2,Lines!R16)-LEN($A$2)-1))</f>
        <v/>
      </c>
      <c r="S16" s="29" t="str">
        <f>IF(ISERROR(FIND($A$2,Lines!S16))=TRUE,"",MID(Lines!S16,FIND($A$2,Lines!S16)+LEN($A$2)+1,FIND(",",_xlfn.CONCAT(Lines!S16,","),FIND($A$2,Lines!S16))-FIND($A$2,Lines!S16)-LEN($A$2)-1))</f>
        <v/>
      </c>
      <c r="T16" s="29" t="str">
        <f>IF(ISERROR(FIND($A$2,Lines!T16))=TRUE,"",MID(Lines!T16,FIND($A$2,Lines!T16)+LEN($A$2)+1,FIND(",",_xlfn.CONCAT(Lines!T16,","),FIND($A$2,Lines!T16))-FIND($A$2,Lines!T16)-LEN($A$2)-1))</f>
        <v/>
      </c>
      <c r="U16" s="29" t="str">
        <f>IF(ISERROR(FIND($A$2,Lines!U16))=TRUE,"",MID(Lines!U16,FIND($A$2,Lines!U16)+LEN($A$2)+1,FIND(",",_xlfn.CONCAT(Lines!U16,","),FIND($A$2,Lines!U16))-FIND($A$2,Lines!U16)-LEN($A$2)-1))</f>
        <v/>
      </c>
      <c r="V16" s="34" t="str">
        <f>IF(ISERROR(FIND($A$2,Lines!V16))=TRUE,"",MID(Lines!V16,FIND($A$2,Lines!V16)+LEN($A$2)+1,FIND(",",_xlfn.CONCAT(Lines!V16,","),FIND($A$2,Lines!V16))-FIND($A$2,Lines!V16)-LEN($A$2)-1))</f>
        <v/>
      </c>
      <c r="W16" s="36" t="str">
        <f>IF(ISERROR(FIND($A$2,Lines!W16))=TRUE,"",MID(Lines!W16,FIND($A$2,Lines!W16)+LEN($A$2)+1,FIND(",",_xlfn.CONCAT(Lines!W16,","),FIND($A$2,Lines!W16))-FIND($A$2,Lines!W16)-LEN($A$2)-1))</f>
        <v/>
      </c>
      <c r="X16" s="30" t="str">
        <f>IF(ISERROR(FIND($A$2,Lines!X16))=TRUE,"",MID(Lines!X16,FIND($A$2,Lines!X16)+LEN($A$2)+1,FIND(",",_xlfn.CONCAT(Lines!X16,","),FIND($A$2,Lines!X16))-FIND($A$2,Lines!X16)-LEN($A$2)-1))</f>
        <v/>
      </c>
      <c r="Y16" s="30" t="str">
        <f>IF(ISERROR(FIND($A$2,Lines!Y16))=TRUE,"",MID(Lines!Y16,FIND($A$2,Lines!Y16)+LEN($A$2)+1,FIND(",",_xlfn.CONCAT(Lines!Y16,","),FIND($A$2,Lines!Y16))-FIND($A$2,Lines!Y16)-LEN($A$2)-1))</f>
        <v/>
      </c>
      <c r="Z16" s="30" t="str">
        <f>IF(ISERROR(FIND($A$2,Lines!Z16))=TRUE,"",MID(Lines!Z16,FIND($A$2,Lines!Z16)+LEN($A$2)+1,FIND(",",_xlfn.CONCAT(Lines!Z16,","),FIND($A$2,Lines!Z16))-FIND($A$2,Lines!Z16)-LEN($A$2)-1))</f>
        <v/>
      </c>
      <c r="AA16" s="30" t="str">
        <f>IF(ISERROR(FIND($A$2,Lines!AA16))=TRUE,"",MID(Lines!AA16,FIND($A$2,Lines!AA16)+LEN($A$2)+1,FIND(",",_xlfn.CONCAT(Lines!AA16,","),FIND($A$2,Lines!AA16))-FIND($A$2,Lines!AA16)-LEN($A$2)-1))</f>
        <v/>
      </c>
      <c r="AB16" s="30" t="str">
        <f>IF(ISERROR(FIND($A$2,Lines!#REF!))=TRUE,"",MID(Lines!#REF!,FIND($A$2,Lines!#REF!)+LEN($A$2)+1,FIND(",",_xlfn.CONCAT(Lines!#REF!,","),FIND($A$2,Lines!#REF!))-FIND($A$2,Lines!#REF!)-LEN($A$2)-1))</f>
        <v/>
      </c>
      <c r="AC16" s="30" t="str">
        <f>IF(ISERROR(FIND($A$2,Lines!AC16))=TRUE,"",MID(Lines!AC16,FIND($A$2,Lines!AC16)+LEN($A$2)+1,FIND(",",_xlfn.CONCAT(Lines!AC16,","),FIND($A$2,Lines!AC16))-FIND($A$2,Lines!AC16)-LEN($A$2)-1))</f>
        <v/>
      </c>
      <c r="AD16" s="30" t="str">
        <f>IF(ISERROR(FIND($A$2,Lines!AD16))=TRUE,"",MID(Lines!AD16,FIND($A$2,Lines!AD16)+LEN($A$2)+1,FIND(",",_xlfn.CONCAT(Lines!AD16,","),FIND($A$2,Lines!AD16))-FIND($A$2,Lines!AD16)-LEN($A$2)-1))</f>
        <v/>
      </c>
      <c r="AE16" s="30" t="str">
        <f>IF(ISERROR(FIND($A$2,Lines!AE16))=TRUE,"",MID(Lines!AE16,FIND($A$2,Lines!AE16)+LEN($A$2)+1,FIND(",",_xlfn.CONCAT(Lines!AE16,","),FIND($A$2,Lines!AE16))-FIND($A$2,Lines!AE16)-LEN($A$2)-1))</f>
        <v/>
      </c>
      <c r="AF16" s="30" t="str">
        <f>IF(ISERROR(FIND($A$2,Lines!AF16))=TRUE,"",MID(Lines!AF16,FIND($A$2,Lines!AF16)+LEN($A$2)+1,FIND(",",_xlfn.CONCAT(Lines!AF16,","),FIND($A$2,Lines!AF16))-FIND($A$2,Lines!AF16)-LEN($A$2)-1))</f>
        <v/>
      </c>
      <c r="AG16" s="30" t="str">
        <f>IF(ISERROR(FIND($A$2,Lines!AG16))=TRUE,"",MID(Lines!AG16,FIND($A$2,Lines!AG16)+LEN($A$2)+1,FIND(",",_xlfn.CONCAT(Lines!AG16,","),FIND($A$2,Lines!AG16))-FIND($A$2,Lines!AG16)-LEN($A$2)-1))</f>
        <v/>
      </c>
      <c r="AH16" s="30" t="str">
        <f>IF(ISERROR(FIND($A$2,Lines!AH16))=TRUE,"",MID(Lines!AH16,FIND($A$2,Lines!AH16)+LEN($A$2)+1,FIND(",",_xlfn.CONCAT(Lines!AH16,","),FIND($A$2,Lines!AH16))-FIND($A$2,Lines!AH16)-LEN($A$2)-1))</f>
        <v/>
      </c>
      <c r="AI16" s="30" t="str">
        <f>IF(ISERROR(FIND($A$2,Lines!AI16))=TRUE,"",MID(Lines!AI16,FIND($A$2,Lines!AI16)+LEN($A$2)+1,FIND(",",_xlfn.CONCAT(Lines!AI16,","),FIND($A$2,Lines!AI16))-FIND($A$2,Lines!AI16)-LEN($A$2)-1))</f>
        <v/>
      </c>
      <c r="AJ16" s="30" t="str">
        <f>IF(ISERROR(FIND($A$2,Lines!AJ16))=TRUE,"",MID(Lines!AJ16,FIND($A$2,Lines!AJ16)+LEN($A$2)+1,FIND(",",_xlfn.CONCAT(Lines!AJ16,","),FIND($A$2,Lines!AJ16))-FIND($A$2,Lines!AJ16)-LEN($A$2)-1))</f>
        <v/>
      </c>
      <c r="AK16" s="30" t="str">
        <f>IF(ISERROR(FIND($A$2,Lines!AK16))=TRUE,"",MID(Lines!AK16,FIND($A$2,Lines!AK16)+LEN($A$2)+1,FIND(",",_xlfn.CONCAT(Lines!AK16,","),FIND($A$2,Lines!AK16))-FIND($A$2,Lines!AK16)-LEN($A$2)-1))</f>
        <v/>
      </c>
      <c r="AL16" s="30" t="str">
        <f>IF(ISERROR(FIND($A$2,Lines!AL16))=TRUE,"",MID(Lines!AL16,FIND($A$2,Lines!AL16)+LEN($A$2)+1,FIND(",",_xlfn.CONCAT(Lines!AL16,","),FIND($A$2,Lines!AL16))-FIND($A$2,Lines!AL16)-LEN($A$2)-1))</f>
        <v/>
      </c>
      <c r="AM16" s="30" t="str">
        <f>IF(ISERROR(FIND($A$2,Lines!AM16))=TRUE,"",MID(Lines!AM16,FIND($A$2,Lines!AM16)+LEN($A$2)+1,FIND(",",_xlfn.CONCAT(Lines!AM16,","),FIND($A$2,Lines!AM16))-FIND($A$2,Lines!AM16)-LEN($A$2)-1))</f>
        <v/>
      </c>
      <c r="AN16" s="30" t="str">
        <f>IF(ISERROR(FIND($A$2,Lines!AN16))=TRUE,"",MID(Lines!AN16,FIND($A$2,Lines!AN16)+LEN($A$2)+1,FIND(",",_xlfn.CONCAT(Lines!AN16,","),FIND($A$2,Lines!AN16))-FIND($A$2,Lines!AN16)-LEN($A$2)-1))</f>
        <v/>
      </c>
      <c r="AO16" s="30" t="str">
        <f>IF(ISERROR(FIND($A$2,Lines!AO16))=TRUE,"",MID(Lines!AO16,FIND($A$2,Lines!AO16)+LEN($A$2)+1,FIND(",",_xlfn.CONCAT(Lines!AO16,","),FIND($A$2,Lines!AO16))-FIND($A$2,Lines!AO16)-LEN($A$2)-1))</f>
        <v/>
      </c>
      <c r="AP16" s="30" t="str">
        <f>IF(ISERROR(FIND($A$2,Lines!AP16))=TRUE,"",MID(Lines!AP16,FIND($A$2,Lines!AP16)+LEN($A$2)+1,FIND(",",_xlfn.CONCAT(Lines!AP16,","),FIND($A$2,Lines!AP16))-FIND($A$2,Lines!AP16)-LEN($A$2)-1))</f>
        <v/>
      </c>
      <c r="AQ16" s="30" t="str">
        <f>IF(ISERROR(FIND($A$2,Lines!AQ16))=TRUE,"",MID(Lines!AQ16,FIND($A$2,Lines!AQ16)+LEN($A$2)+1,FIND(",",_xlfn.CONCAT(Lines!AQ16,","),FIND($A$2,Lines!AQ16))-FIND($A$2,Lines!AQ16)-LEN($A$2)-1))</f>
        <v/>
      </c>
      <c r="AR16" s="30" t="str">
        <f>IF(ISERROR(FIND($A$2,Lines!AR16))=TRUE,"",MID(Lines!AR16,FIND($A$2,Lines!AR16)+LEN($A$2)+1,FIND(",",_xlfn.CONCAT(Lines!AR16,","),FIND($A$2,Lines!AR16))-FIND($A$2,Lines!AR16)-LEN($A$2)-1))</f>
        <v/>
      </c>
      <c r="AS16" s="30" t="str">
        <f>IF(ISERROR(FIND($A$2,Lines!AS16))=TRUE,"",MID(Lines!AS16,FIND($A$2,Lines!AS16)+LEN($A$2)+1,FIND(",",_xlfn.CONCAT(Lines!AS16,","),FIND($A$2,Lines!AS16))-FIND($A$2,Lines!AS16)-LEN($A$2)-1))</f>
        <v/>
      </c>
      <c r="AT16" s="30" t="str">
        <f>IF(ISERROR(FIND($A$2,Lines!AT16))=TRUE,"",MID(Lines!AT16,FIND($A$2,Lines!AT16)+LEN($A$2)+1,FIND(",",_xlfn.CONCAT(Lines!AT16,","),FIND($A$2,Lines!AT16))-FIND($A$2,Lines!AT16)-LEN($A$2)-1))</f>
        <v/>
      </c>
    </row>
    <row r="17" spans="1:46" ht="20.25" customHeight="1">
      <c r="A17" s="2" t="s">
        <v>13</v>
      </c>
      <c r="B17" s="30" t="str">
        <f>IF(ISERROR(FIND($A$2,Lines!B17))=TRUE,"",MID(Lines!B17,FIND($A$2,Lines!B17)+LEN($A$2)+1,FIND(",",_xlfn.CONCAT(Lines!B17,","),FIND($A$2,Lines!B17))-FIND($A$2,Lines!B17)-LEN($A$2)-1))</f>
        <v/>
      </c>
      <c r="C17" s="30" t="str">
        <f>IF(ISERROR(FIND($A$2,Lines!C17))=TRUE,"",MID(Lines!C17,FIND($A$2,Lines!C17)+LEN($A$2)+1,FIND(",",_xlfn.CONCAT(Lines!C17,","),FIND($A$2,Lines!C17))-FIND($A$2,Lines!C17)-LEN($A$2)-1))</f>
        <v/>
      </c>
      <c r="D17" s="30" t="str">
        <f>IF(ISERROR(FIND($A$2,Lines!D17))=TRUE,"",MID(Lines!D17,FIND($A$2,Lines!D17)+LEN($A$2)+1,FIND(",",_xlfn.CONCAT(Lines!D17,","),FIND($A$2,Lines!D17))-FIND($A$2,Lines!D17)-LEN($A$2)-1))</f>
        <v/>
      </c>
      <c r="E17" s="30" t="str">
        <f>IF(ISERROR(FIND($A$2,Lines!E17))=TRUE,"",MID(Lines!E17,FIND($A$2,Lines!E17)+LEN($A$2)+1,FIND(",",_xlfn.CONCAT(Lines!E17,","),FIND($A$2,Lines!E17))-FIND($A$2,Lines!E17)-LEN($A$2)-1))</f>
        <v/>
      </c>
      <c r="F17" s="30" t="str">
        <f>IF(ISERROR(FIND($A$2,Lines!F17))=TRUE,"",MID(Lines!F17,FIND($A$2,Lines!F17)+LEN($A$2)+1,FIND(",",_xlfn.CONCAT(Lines!F17,","),FIND($A$2,Lines!F17))-FIND($A$2,Lines!F17)-LEN($A$2)-1))</f>
        <v/>
      </c>
      <c r="G17" s="30" t="str">
        <f>IF(ISERROR(FIND($A$2,Lines!G17))=TRUE,"",MID(Lines!G17,FIND($A$2,Lines!G17)+LEN($A$2)+1,FIND(",",_xlfn.CONCAT(Lines!G17,","),FIND($A$2,Lines!G17))-FIND($A$2,Lines!G17)-LEN($A$2)-1))</f>
        <v/>
      </c>
      <c r="H17" s="30" t="str">
        <f>IF(ISERROR(FIND($A$2,Lines!H17))=TRUE,"",MID(Lines!H17,FIND($A$2,Lines!H17)+LEN($A$2)+1,FIND(",",_xlfn.CONCAT(Lines!H17,","),FIND($A$2,Lines!H17))-FIND($A$2,Lines!H17)-LEN($A$2)-1))</f>
        <v/>
      </c>
      <c r="I17" s="30" t="str">
        <f>IF(ISERROR(FIND($A$2,Lines!I17))=TRUE,"",MID(Lines!I17,FIND($A$2,Lines!I17)+LEN($A$2)+1,FIND(",",_xlfn.CONCAT(Lines!I17,","),FIND($A$2,Lines!I17))-FIND($A$2,Lines!I17)-LEN($A$2)-1))</f>
        <v/>
      </c>
      <c r="J17" s="30" t="str">
        <f>IF(ISERROR(FIND($A$2,Lines!J17))=TRUE,"",MID(Lines!J17,FIND($A$2,Lines!J17)+LEN($A$2)+1,FIND(",",_xlfn.CONCAT(Lines!J17,","),FIND($A$2,Lines!J17))-FIND($A$2,Lines!J17)-LEN($A$2)-1))</f>
        <v/>
      </c>
      <c r="K17" s="30" t="str">
        <f>IF(ISERROR(FIND($A$2,Lines!K17))=TRUE,"",MID(Lines!K17,FIND($A$2,Lines!K17)+LEN($A$2)+1,FIND(",",_xlfn.CONCAT(Lines!K17,","),FIND($A$2,Lines!K17))-FIND($A$2,Lines!K17)-LEN($A$2)-1))</f>
        <v/>
      </c>
      <c r="L17" s="30" t="str">
        <f>IF(ISERROR(FIND($A$2,Lines!L17))=TRUE,"",MID(Lines!L17,FIND($A$2,Lines!L17)+LEN($A$2)+1,FIND(",",_xlfn.CONCAT(Lines!L17,","),FIND($A$2,Lines!L17))-FIND($A$2,Lines!L17)-LEN($A$2)-1))</f>
        <v/>
      </c>
      <c r="M17" s="30" t="str">
        <f>IF(ISERROR(FIND($A$2,Lines!M17))=TRUE,"",MID(Lines!M17,FIND($A$2,Lines!M17)+LEN($A$2)+1,FIND(",",_xlfn.CONCAT(Lines!M17,","),FIND($A$2,Lines!M17))-FIND($A$2,Lines!M17)-LEN($A$2)-1))</f>
        <v/>
      </c>
      <c r="N17" s="32" t="str">
        <f>IF(ISERROR(FIND($A$2,Lines!N17))=TRUE,"",MID(Lines!N17,FIND($A$2,Lines!N17)+LEN($A$2)+1,FIND(",",_xlfn.CONCAT(Lines!N17,","),FIND($A$2,Lines!N17))-FIND($A$2,Lines!N17)-LEN($A$2)-1))</f>
        <v/>
      </c>
      <c r="O17" s="66" t="str">
        <f>IF(ISERROR(FIND($A$2,Lines!O17))=TRUE,"",MID(Lines!O17,FIND($A$2,Lines!O17)+LEN($A$2)+1,FIND(",",_xlfn.CONCAT(Lines!O17,","),FIND($A$2,Lines!O17))-FIND($A$2,Lines!O17)-LEN($A$2)-1))</f>
        <v/>
      </c>
      <c r="P17" s="25" t="str">
        <f>IF(ISERROR(FIND($A$2,Lines!P17))=TRUE,"",MID(Lines!P17,FIND($A$2,Lines!P17)+LEN($A$2)+1,FIND(",",_xlfn.CONCAT(Lines!P17,","),FIND($A$2,Lines!P17))-FIND($A$2,Lines!P17)-LEN($A$2)-1))</f>
        <v/>
      </c>
      <c r="Q17" s="25" t="str">
        <f>IF(ISERROR(FIND($A$2,Lines!Q17))=TRUE,"",MID(Lines!Q17,FIND($A$2,Lines!Q17)+LEN($A$2)+1,FIND(",",_xlfn.CONCAT(Lines!Q17,","),FIND($A$2,Lines!Q17))-FIND($A$2,Lines!Q17)-LEN($A$2)-1))</f>
        <v/>
      </c>
      <c r="R17" s="25" t="str">
        <f>IF(ISERROR(FIND($A$2,Lines!R17))=TRUE,"",MID(Lines!R17,FIND($A$2,Lines!R17)+LEN($A$2)+1,FIND(",",_xlfn.CONCAT(Lines!R17,","),FIND($A$2,Lines!R17))-FIND($A$2,Lines!R17)-LEN($A$2)-1))</f>
        <v/>
      </c>
      <c r="S17" s="25" t="str">
        <f>IF(ISERROR(FIND($A$2,Lines!S17))=TRUE,"",MID(Lines!S17,FIND($A$2,Lines!S17)+LEN($A$2)+1,FIND(",",_xlfn.CONCAT(Lines!S17,","),FIND($A$2,Lines!S17))-FIND($A$2,Lines!S17)-LEN($A$2)-1))</f>
        <v/>
      </c>
      <c r="T17" s="25" t="str">
        <f>IF(ISERROR(FIND($A$2,Lines!T17))=TRUE,"",MID(Lines!T17,FIND($A$2,Lines!T17)+LEN($A$2)+1,FIND(",",_xlfn.CONCAT(Lines!T17,","),FIND($A$2,Lines!T17))-FIND($A$2,Lines!T17)-LEN($A$2)-1))</f>
        <v/>
      </c>
      <c r="U17" s="25" t="str">
        <f>IF(ISERROR(FIND($A$2,Lines!U17))=TRUE,"",MID(Lines!U17,FIND($A$2,Lines!U17)+LEN($A$2)+1,FIND(",",_xlfn.CONCAT(Lines!U17,","),FIND($A$2,Lines!U17))-FIND($A$2,Lines!U17)-LEN($A$2)-1))</f>
        <v/>
      </c>
      <c r="V17" s="35" t="str">
        <f>IF(ISERROR(FIND($A$2,Lines!V17))=TRUE,"",MID(Lines!V17,FIND($A$2,Lines!V17)+LEN($A$2)+1,FIND(",",_xlfn.CONCAT(Lines!V17,","),FIND($A$2,Lines!V17))-FIND($A$2,Lines!V17)-LEN($A$2)-1))</f>
        <v/>
      </c>
      <c r="W17" s="36" t="str">
        <f>IF(ISERROR(FIND($A$2,Lines!W17))=TRUE,"",MID(Lines!W17,FIND($A$2,Lines!W17)+LEN($A$2)+1,FIND(",",_xlfn.CONCAT(Lines!W17,","),FIND($A$2,Lines!W17))-FIND($A$2,Lines!W17)-LEN($A$2)-1))</f>
        <v/>
      </c>
      <c r="X17" s="30" t="str">
        <f>IF(ISERROR(FIND($A$2,Lines!X17))=TRUE,"",MID(Lines!X17,FIND($A$2,Lines!X17)+LEN($A$2)+1,FIND(",",_xlfn.CONCAT(Lines!X17,","),FIND($A$2,Lines!X17))-FIND($A$2,Lines!X17)-LEN($A$2)-1))</f>
        <v/>
      </c>
      <c r="Y17" s="30" t="str">
        <f>IF(ISERROR(FIND($A$2,Lines!Y17))=TRUE,"",MID(Lines!Y17,FIND($A$2,Lines!Y17)+LEN($A$2)+1,FIND(",",_xlfn.CONCAT(Lines!Y17,","),FIND($A$2,Lines!Y17))-FIND($A$2,Lines!Y17)-LEN($A$2)-1))</f>
        <v/>
      </c>
      <c r="Z17" s="30" t="str">
        <f>IF(ISERROR(FIND($A$2,Lines!Z17))=TRUE,"",MID(Lines!Z17,FIND($A$2,Lines!Z17)+LEN($A$2)+1,FIND(",",_xlfn.CONCAT(Lines!Z17,","),FIND($A$2,Lines!Z17))-FIND($A$2,Lines!Z17)-LEN($A$2)-1))</f>
        <v/>
      </c>
      <c r="AA17" s="30" t="str">
        <f>IF(ISERROR(FIND($A$2,Lines!AB16))=TRUE,"",MID(Lines!AB16,FIND($A$2,Lines!AB16)+LEN($A$2)+1,FIND(",",_xlfn.CONCAT(Lines!AB16,","),FIND($A$2,Lines!AB16))-FIND($A$2,Lines!AB16)-LEN($A$2)-1))</f>
        <v/>
      </c>
      <c r="AB17" s="30" t="str">
        <f>IF(ISERROR(FIND($A$2,Lines!AB17))=TRUE,"",MID(Lines!AB17,FIND($A$2,Lines!AB17)+LEN($A$2)+1,FIND(",",_xlfn.CONCAT(Lines!AB17,","),FIND($A$2,Lines!AB17))-FIND($A$2,Lines!AB17)-LEN($A$2)-1))</f>
        <v/>
      </c>
      <c r="AC17" s="30" t="str">
        <f>IF(ISERROR(FIND($A$2,Lines!AC17))=TRUE,"",MID(Lines!AC17,FIND($A$2,Lines!AC17)+LEN($A$2)+1,FIND(",",_xlfn.CONCAT(Lines!AC17,","),FIND($A$2,Lines!AC17))-FIND($A$2,Lines!AC17)-LEN($A$2)-1))</f>
        <v/>
      </c>
      <c r="AD17" s="30" t="str">
        <f>IF(ISERROR(FIND($A$2,Lines!AD17))=TRUE,"",MID(Lines!AD17,FIND($A$2,Lines!AD17)+LEN($A$2)+1,FIND(",",_xlfn.CONCAT(Lines!AD17,","),FIND($A$2,Lines!AD17))-FIND($A$2,Lines!AD17)-LEN($A$2)-1))</f>
        <v/>
      </c>
      <c r="AE17" s="30" t="str">
        <f>IF(ISERROR(FIND($A$2,Lines!AE17))=TRUE,"",MID(Lines!AE17,FIND($A$2,Lines!AE17)+LEN($A$2)+1,FIND(",",_xlfn.CONCAT(Lines!AE17,","),FIND($A$2,Lines!AE17))-FIND($A$2,Lines!AE17)-LEN($A$2)-1))</f>
        <v/>
      </c>
      <c r="AF17" s="30" t="str">
        <f>IF(ISERROR(FIND($A$2,Lines!AF17))=TRUE,"",MID(Lines!AF17,FIND($A$2,Lines!AF17)+LEN($A$2)+1,FIND(",",_xlfn.CONCAT(Lines!AF17,","),FIND($A$2,Lines!AF17))-FIND($A$2,Lines!AF17)-LEN($A$2)-1))</f>
        <v/>
      </c>
      <c r="AG17" s="30" t="str">
        <f>IF(ISERROR(FIND($A$2,Lines!AG17))=TRUE,"",MID(Lines!AG17,FIND($A$2,Lines!AG17)+LEN($A$2)+1,FIND(",",_xlfn.CONCAT(Lines!AG17,","),FIND($A$2,Lines!AG17))-FIND($A$2,Lines!AG17)-LEN($A$2)-1))</f>
        <v/>
      </c>
      <c r="AH17" s="30" t="str">
        <f>IF(ISERROR(FIND($A$2,Lines!AH17))=TRUE,"",MID(Lines!AH17,FIND($A$2,Lines!AH17)+LEN($A$2)+1,FIND(",",_xlfn.CONCAT(Lines!AH17,","),FIND($A$2,Lines!AH17))-FIND($A$2,Lines!AH17)-LEN($A$2)-1))</f>
        <v/>
      </c>
      <c r="AI17" s="30" t="str">
        <f>IF(ISERROR(FIND($A$2,Lines!AI17))=TRUE,"",MID(Lines!AI17,FIND($A$2,Lines!AI17)+LEN($A$2)+1,FIND(",",_xlfn.CONCAT(Lines!AI17,","),FIND($A$2,Lines!AI17))-FIND($A$2,Lines!AI17)-LEN($A$2)-1))</f>
        <v/>
      </c>
      <c r="AJ17" s="45" t="str">
        <f>IF(ISERROR(FIND($A$2,Lines!AJ17))=TRUE,"",MID(Lines!AJ17,FIND($A$2,Lines!AJ17)+LEN($A$2)+1,FIND(",",_xlfn.CONCAT(Lines!AJ17,","),FIND($A$2,Lines!AJ17))-FIND($A$2,Lines!AJ17)-LEN($A$2)-1))</f>
        <v/>
      </c>
      <c r="AK17" s="30" t="str">
        <f>IF(ISERROR(FIND($A$2,Lines!AK17))=TRUE,"",MID(Lines!AK17,FIND($A$2,Lines!AK17)+LEN($A$2)+1,FIND(",",_xlfn.CONCAT(Lines!AK17,","),FIND($A$2,Lines!AK17))-FIND($A$2,Lines!AK17)-LEN($A$2)-1))</f>
        <v/>
      </c>
      <c r="AL17" s="30" t="str">
        <f>IF(ISERROR(FIND($A$2,Lines!AL17))=TRUE,"",MID(Lines!AL17,FIND($A$2,Lines!AL17)+LEN($A$2)+1,FIND(",",_xlfn.CONCAT(Lines!AL17,","),FIND($A$2,Lines!AL17))-FIND($A$2,Lines!AL17)-LEN($A$2)-1))</f>
        <v/>
      </c>
      <c r="AM17" s="30" t="str">
        <f>IF(ISERROR(FIND($A$2,Lines!AM17))=TRUE,"",MID(Lines!AM17,FIND($A$2,Lines!AM17)+LEN($A$2)+1,FIND(",",_xlfn.CONCAT(Lines!AM17,","),FIND($A$2,Lines!AM17))-FIND($A$2,Lines!AM17)-LEN($A$2)-1))</f>
        <v/>
      </c>
      <c r="AN17" s="30" t="str">
        <f>IF(ISERROR(FIND($A$2,Lines!AN17))=TRUE,"",MID(Lines!AN17,FIND($A$2,Lines!AN17)+LEN($A$2)+1,FIND(",",_xlfn.CONCAT(Lines!AN17,","),FIND($A$2,Lines!AN17))-FIND($A$2,Lines!AN17)-LEN($A$2)-1))</f>
        <v/>
      </c>
      <c r="AO17" s="30" t="str">
        <f>IF(ISERROR(FIND($A$2,Lines!AO17))=TRUE,"",MID(Lines!AO17,FIND($A$2,Lines!AO17)+LEN($A$2)+1,FIND(",",_xlfn.CONCAT(Lines!AO17,","),FIND($A$2,Lines!AO17))-FIND($A$2,Lines!AO17)-LEN($A$2)-1))</f>
        <v/>
      </c>
      <c r="AP17" s="30" t="str">
        <f>IF(ISERROR(FIND($A$2,Lines!AP17))=TRUE,"",MID(Lines!AP17,FIND($A$2,Lines!AP17)+LEN($A$2)+1,FIND(",",_xlfn.CONCAT(Lines!AP17,","),FIND($A$2,Lines!AP17))-FIND($A$2,Lines!AP17)-LEN($A$2)-1))</f>
        <v/>
      </c>
      <c r="AQ17" s="30" t="str">
        <f>IF(ISERROR(FIND($A$2,Lines!AQ17))=TRUE,"",MID(Lines!AQ17,FIND($A$2,Lines!AQ17)+LEN($A$2)+1,FIND(",",_xlfn.CONCAT(Lines!AQ17,","),FIND($A$2,Lines!AQ17))-FIND($A$2,Lines!AQ17)-LEN($A$2)-1))</f>
        <v/>
      </c>
      <c r="AR17" s="30" t="str">
        <f>IF(ISERROR(FIND($A$2,Lines!AR17))=TRUE,"",MID(Lines!AR17,FIND($A$2,Lines!AR17)+LEN($A$2)+1,FIND(",",_xlfn.CONCAT(Lines!AR17,","),FIND($A$2,Lines!AR17))-FIND($A$2,Lines!AR17)-LEN($A$2)-1))</f>
        <v/>
      </c>
      <c r="AS17" s="30" t="str">
        <f>IF(ISERROR(FIND($A$2,Lines!AS17))=TRUE,"",MID(Lines!AS17,FIND($A$2,Lines!AS17)+LEN($A$2)+1,FIND(",",_xlfn.CONCAT(Lines!AS17,","),FIND($A$2,Lines!AS17))-FIND($A$2,Lines!AS17)-LEN($A$2)-1))</f>
        <v/>
      </c>
      <c r="AT17" s="30" t="str">
        <f>IF(ISERROR(FIND($A$2,Lines!AT17))=TRUE,"",MID(Lines!AT17,FIND($A$2,Lines!AT17)+LEN($A$2)+1,FIND(",",_xlfn.CONCAT(Lines!AT17,","),FIND($A$2,Lines!AT17))-FIND($A$2,Lines!AT17)-LEN($A$2)-1))</f>
        <v/>
      </c>
    </row>
    <row r="18" spans="1:46" ht="20.25" customHeight="1">
      <c r="A18" s="2" t="s">
        <v>66</v>
      </c>
      <c r="B18" s="30" t="str">
        <f>IF(ISERROR(FIND($A$2,Lines!B18))=TRUE,"",MID(Lines!B18,FIND($A$2,Lines!B18)+LEN($A$2)+1,FIND(",",_xlfn.CONCAT(Lines!B18,","),FIND($A$2,Lines!B18))-FIND($A$2,Lines!B18)-LEN($A$2)-1))</f>
        <v/>
      </c>
      <c r="C18" s="30" t="str">
        <f>IF(ISERROR(FIND($A$2,Lines!C18))=TRUE,"",MID(Lines!C18,FIND($A$2,Lines!C18)+LEN($A$2)+1,FIND(",",_xlfn.CONCAT(Lines!C18,","),FIND($A$2,Lines!C18))-FIND($A$2,Lines!C18)-LEN($A$2)-1))</f>
        <v/>
      </c>
      <c r="D18" s="30" t="str">
        <f>IF(ISERROR(FIND($A$2,Lines!D18))=TRUE,"",MID(Lines!D18,FIND($A$2,Lines!D18)+LEN($A$2)+1,FIND(",",_xlfn.CONCAT(Lines!D18,","),FIND($A$2,Lines!D18))-FIND($A$2,Lines!D18)-LEN($A$2)-1))</f>
        <v/>
      </c>
      <c r="E18" s="30" t="str">
        <f>IF(ISERROR(FIND($A$2,Lines!E18))=TRUE,"",MID(Lines!E18,FIND($A$2,Lines!E18)+LEN($A$2)+1,FIND(",",_xlfn.CONCAT(Lines!E18,","),FIND($A$2,Lines!E18))-FIND($A$2,Lines!E18)-LEN($A$2)-1))</f>
        <v/>
      </c>
      <c r="F18" s="30" t="str">
        <f>IF(ISERROR(FIND($A$2,Lines!F18))=TRUE,"",MID(Lines!F18,FIND($A$2,Lines!F18)+LEN($A$2)+1,FIND(",",_xlfn.CONCAT(Lines!F18,","),FIND($A$2,Lines!F18))-FIND($A$2,Lines!F18)-LEN($A$2)-1))</f>
        <v/>
      </c>
      <c r="G18" s="30" t="str">
        <f>IF(ISERROR(FIND($A$2,Lines!G18))=TRUE,"",MID(Lines!G18,FIND($A$2,Lines!G18)+LEN($A$2)+1,FIND(",",_xlfn.CONCAT(Lines!G18,","),FIND($A$2,Lines!G18))-FIND($A$2,Lines!G18)-LEN($A$2)-1))</f>
        <v/>
      </c>
      <c r="H18" s="30" t="str">
        <f>IF(ISERROR(FIND($A$2,Lines!H18))=TRUE,"",MID(Lines!H18,FIND($A$2,Lines!H18)+LEN($A$2)+1,FIND(",",_xlfn.CONCAT(Lines!H18,","),FIND($A$2,Lines!H18))-FIND($A$2,Lines!H18)-LEN($A$2)-1))</f>
        <v/>
      </c>
      <c r="I18" s="30" t="str">
        <f>IF(ISERROR(FIND($A$2,Lines!I18))=TRUE,"",MID(Lines!I18,FIND($A$2,Lines!I18)+LEN($A$2)+1,FIND(",",_xlfn.CONCAT(Lines!I18,","),FIND($A$2,Lines!I18))-FIND($A$2,Lines!I18)-LEN($A$2)-1))</f>
        <v/>
      </c>
      <c r="J18" s="30" t="str">
        <f>IF(ISERROR(FIND($A$2,Lines!J18))=TRUE,"",MID(Lines!J18,FIND($A$2,Lines!J18)+LEN($A$2)+1,FIND(",",_xlfn.CONCAT(Lines!J18,","),FIND($A$2,Lines!J18))-FIND($A$2,Lines!J18)-LEN($A$2)-1))</f>
        <v/>
      </c>
      <c r="K18" s="30" t="str">
        <f>IF(ISERROR(FIND($A$2,Lines!K18))=TRUE,"",MID(Lines!K18,FIND($A$2,Lines!K18)+LEN($A$2)+1,FIND(",",_xlfn.CONCAT(Lines!K18,","),FIND($A$2,Lines!K18))-FIND($A$2,Lines!K18)-LEN($A$2)-1))</f>
        <v/>
      </c>
      <c r="L18" s="30" t="str">
        <f>IF(ISERROR(FIND($A$2,Lines!L18))=TRUE,"",MID(Lines!L18,FIND($A$2,Lines!L18)+LEN($A$2)+1,FIND(",",_xlfn.CONCAT(Lines!L18,","),FIND($A$2,Lines!L18))-FIND($A$2,Lines!L18)-LEN($A$2)-1))</f>
        <v/>
      </c>
      <c r="M18" s="30" t="str">
        <f>IF(ISERROR(FIND($A$2,Lines!M18))=TRUE,"",MID(Lines!M18,FIND($A$2,Lines!M18)+LEN($A$2)+1,FIND(",",_xlfn.CONCAT(Lines!M18,","),FIND($A$2,Lines!M18))-FIND($A$2,Lines!M18)-LEN($A$2)-1))</f>
        <v/>
      </c>
      <c r="N18" s="32" t="str">
        <f>IF(ISERROR(FIND($A$2,Lines!N18))=TRUE,"",MID(Lines!N18,FIND($A$2,Lines!N18)+LEN($A$2)+1,FIND(",",_xlfn.CONCAT(Lines!N18,","),FIND($A$2,Lines!N18))-FIND($A$2,Lines!N18)-LEN($A$2)-1))</f>
        <v/>
      </c>
      <c r="O18" s="25" t="str">
        <f>IF(ISERROR(FIND($A$2,Lines!O18))=TRUE,"",MID(Lines!O18,FIND($A$2,Lines!O18)+LEN($A$2)+1,FIND(",",_xlfn.CONCAT(Lines!O18,","),FIND($A$2,Lines!O18))-FIND($A$2,Lines!O18)-LEN($A$2)-1))</f>
        <v/>
      </c>
      <c r="P18" s="66" t="str">
        <f>IF(ISERROR(FIND($A$2,Lines!P18))=TRUE,"",MID(Lines!P18,FIND($A$2,Lines!P18)+LEN($A$2)+1,FIND(",",_xlfn.CONCAT(Lines!P18,","),FIND($A$2,Lines!P18))-FIND($A$2,Lines!P18)-LEN($A$2)-1))</f>
        <v/>
      </c>
      <c r="Q18" s="25" t="str">
        <f>IF(ISERROR(FIND($A$2,Lines!Q18))=TRUE,"",MID(Lines!Q18,FIND($A$2,Lines!Q18)+LEN($A$2)+1,FIND(",",_xlfn.CONCAT(Lines!Q18,","),FIND($A$2,Lines!Q18))-FIND($A$2,Lines!Q18)-LEN($A$2)-1))</f>
        <v/>
      </c>
      <c r="R18" s="25" t="str">
        <f>IF(ISERROR(FIND($A$2,Lines!R18))=TRUE,"",MID(Lines!R18,FIND($A$2,Lines!R18)+LEN($A$2)+1,FIND(",",_xlfn.CONCAT(Lines!R18,","),FIND($A$2,Lines!R18))-FIND($A$2,Lines!R18)-LEN($A$2)-1))</f>
        <v/>
      </c>
      <c r="S18" s="25" t="str">
        <f>IF(ISERROR(FIND($A$2,Lines!S18))=TRUE,"",MID(Lines!S18,FIND($A$2,Lines!S18)+LEN($A$2)+1,FIND(",",_xlfn.CONCAT(Lines!S18,","),FIND($A$2,Lines!S18))-FIND($A$2,Lines!S18)-LEN($A$2)-1))</f>
        <v/>
      </c>
      <c r="T18" s="25" t="str">
        <f>IF(ISERROR(FIND($A$2,Lines!T18))=TRUE,"",MID(Lines!T18,FIND($A$2,Lines!T18)+LEN($A$2)+1,FIND(",",_xlfn.CONCAT(Lines!T18,","),FIND($A$2,Lines!T18))-FIND($A$2,Lines!T18)-LEN($A$2)-1))</f>
        <v/>
      </c>
      <c r="U18" s="25" t="str">
        <f>IF(ISERROR(FIND($A$2,Lines!U18))=TRUE,"",MID(Lines!U18,FIND($A$2,Lines!U18)+LEN($A$2)+1,FIND(",",_xlfn.CONCAT(Lines!U18,","),FIND($A$2,Lines!U18))-FIND($A$2,Lines!U18)-LEN($A$2)-1))</f>
        <v/>
      </c>
      <c r="V18" s="35" t="str">
        <f>IF(ISERROR(FIND($A$2,Lines!V18))=TRUE,"",MID(Lines!V18,FIND($A$2,Lines!V18)+LEN($A$2)+1,FIND(",",_xlfn.CONCAT(Lines!V18,","),FIND($A$2,Lines!V18))-FIND($A$2,Lines!V18)-LEN($A$2)-1))</f>
        <v/>
      </c>
      <c r="W18" s="36" t="str">
        <f>IF(ISERROR(FIND($A$2,Lines!W18))=TRUE,"",MID(Lines!W18,FIND($A$2,Lines!W18)+LEN($A$2)+1,FIND(",",_xlfn.CONCAT(Lines!W18,","),FIND($A$2,Lines!W18))-FIND($A$2,Lines!W18)-LEN($A$2)-1))</f>
        <v/>
      </c>
      <c r="X18" s="30" t="str">
        <f>IF(ISERROR(FIND($A$2,Lines!X18))=TRUE,"",MID(Lines!X18,FIND($A$2,Lines!X18)+LEN($A$2)+1,FIND(",",_xlfn.CONCAT(Lines!X18,","),FIND($A$2,Lines!X18))-FIND($A$2,Lines!X18)-LEN($A$2)-1))</f>
        <v/>
      </c>
      <c r="Y18" s="30" t="str">
        <f>IF(ISERROR(FIND($A$2,Lines!Y18))=TRUE,"",MID(Lines!Y18,FIND($A$2,Lines!Y18)+LEN($A$2)+1,FIND(",",_xlfn.CONCAT(Lines!Y18,","),FIND($A$2,Lines!Y18))-FIND($A$2,Lines!Y18)-LEN($A$2)-1))</f>
        <v/>
      </c>
      <c r="Z18" s="30" t="str">
        <f>IF(ISERROR(FIND($A$2,Lines!Z18))=TRUE,"",MID(Lines!Z18,FIND($A$2,Lines!Z18)+LEN($A$2)+1,FIND(",",_xlfn.CONCAT(Lines!Z18,","),FIND($A$2,Lines!Z18))-FIND($A$2,Lines!Z18)-LEN($A$2)-1))</f>
        <v/>
      </c>
      <c r="AA18" s="30" t="str">
        <f>IF(ISERROR(FIND($A$2,Lines!AA18))=TRUE,"",MID(Lines!AA18,FIND($A$2,Lines!AA18)+LEN($A$2)+1,FIND(",",_xlfn.CONCAT(Lines!AA18,","),FIND($A$2,Lines!AA18))-FIND($A$2,Lines!AA18)-LEN($A$2)-1))</f>
        <v/>
      </c>
      <c r="AB18" s="30" t="str">
        <f>IF(ISERROR(FIND($A$2,Lines!AB18))=TRUE,"",MID(Lines!AB18,FIND($A$2,Lines!AB18)+LEN($A$2)+1,FIND(",",_xlfn.CONCAT(Lines!AB18,","),FIND($A$2,Lines!AB18))-FIND($A$2,Lines!AB18)-LEN($A$2)-1))</f>
        <v/>
      </c>
      <c r="AC18" s="30" t="str">
        <f>IF(ISERROR(FIND($A$2,Lines!AC18))=TRUE,"",MID(Lines!AC18,FIND($A$2,Lines!AC18)+LEN($A$2)+1,FIND(",",_xlfn.CONCAT(Lines!AC18,","),FIND($A$2,Lines!AC18))-FIND($A$2,Lines!AC18)-LEN($A$2)-1))</f>
        <v/>
      </c>
      <c r="AD18" s="30" t="str">
        <f>IF(ISERROR(FIND($A$2,Lines!AD18))=TRUE,"",MID(Lines!AD18,FIND($A$2,Lines!AD18)+LEN($A$2)+1,FIND(",",_xlfn.CONCAT(Lines!AD18,","),FIND($A$2,Lines!AD18))-FIND($A$2,Lines!AD18)-LEN($A$2)-1))</f>
        <v/>
      </c>
      <c r="AE18" s="30" t="str">
        <f>IF(ISERROR(FIND($A$2,Lines!AE18))=TRUE,"",MID(Lines!AE18,FIND($A$2,Lines!AE18)+LEN($A$2)+1,FIND(",",_xlfn.CONCAT(Lines!AE18,","),FIND($A$2,Lines!AE18))-FIND($A$2,Lines!AE18)-LEN($A$2)-1))</f>
        <v/>
      </c>
      <c r="AF18" s="30" t="str">
        <f>IF(ISERROR(FIND($A$2,Lines!AF18))=TRUE,"",MID(Lines!AF18,FIND($A$2,Lines!AF18)+LEN($A$2)+1,FIND(",",_xlfn.CONCAT(Lines!AF18,","),FIND($A$2,Lines!AF18))-FIND($A$2,Lines!AF18)-LEN($A$2)-1))</f>
        <v/>
      </c>
      <c r="AG18" s="30" t="str">
        <f>IF(ISERROR(FIND($A$2,Lines!AG18))=TRUE,"",MID(Lines!AG18,FIND($A$2,Lines!AG18)+LEN($A$2)+1,FIND(",",_xlfn.CONCAT(Lines!AG18,","),FIND($A$2,Lines!AG18))-FIND($A$2,Lines!AG18)-LEN($A$2)-1))</f>
        <v/>
      </c>
      <c r="AH18" s="30" t="str">
        <f>IF(ISERROR(FIND($A$2,Lines!AH18))=TRUE,"",MID(Lines!AH18,FIND($A$2,Lines!AH18)+LEN($A$2)+1,FIND(",",_xlfn.CONCAT(Lines!AH18,","),FIND($A$2,Lines!AH18))-FIND($A$2,Lines!AH18)-LEN($A$2)-1))</f>
        <v/>
      </c>
      <c r="AI18" s="30" t="str">
        <f>IF(ISERROR(FIND($A$2,Lines!AI18))=TRUE,"",MID(Lines!AI18,FIND($A$2,Lines!AI18)+LEN($A$2)+1,FIND(",",_xlfn.CONCAT(Lines!AI18,","),FIND($A$2,Lines!AI18))-FIND($A$2,Lines!AI18)-LEN($A$2)-1))</f>
        <v/>
      </c>
      <c r="AJ18" s="30" t="str">
        <f>IF(ISERROR(FIND($A$2,Lines!AJ18))=TRUE,"",MID(Lines!AJ18,FIND($A$2,Lines!AJ18)+LEN($A$2)+1,FIND(",",_xlfn.CONCAT(Lines!AJ18,","),FIND($A$2,Lines!AJ18))-FIND($A$2,Lines!AJ18)-LEN($A$2)-1))</f>
        <v/>
      </c>
      <c r="AK18" s="30" t="str">
        <f>IF(ISERROR(FIND($A$2,Lines!AK18))=TRUE,"",MID(Lines!AK18,FIND($A$2,Lines!AK18)+LEN($A$2)+1,FIND(",",_xlfn.CONCAT(Lines!AK18,","),FIND($A$2,Lines!AK18))-FIND($A$2,Lines!AK18)-LEN($A$2)-1))</f>
        <v/>
      </c>
      <c r="AL18" s="30" t="str">
        <f>IF(ISERROR(FIND($A$2,Lines!AL18))=TRUE,"",MID(Lines!AL18,FIND($A$2,Lines!AL18)+LEN($A$2)+1,FIND(",",_xlfn.CONCAT(Lines!AL18,","),FIND($A$2,Lines!AL18))-FIND($A$2,Lines!AL18)-LEN($A$2)-1))</f>
        <v/>
      </c>
      <c r="AM18" s="30" t="str">
        <f>IF(ISERROR(FIND($A$2,Lines!AM18))=TRUE,"",MID(Lines!AM18,FIND($A$2,Lines!AM18)+LEN($A$2)+1,FIND(",",_xlfn.CONCAT(Lines!AM18,","),FIND($A$2,Lines!AM18))-FIND($A$2,Lines!AM18)-LEN($A$2)-1))</f>
        <v/>
      </c>
      <c r="AN18" s="30" t="str">
        <f>IF(ISERROR(FIND($A$2,Lines!AN18))=TRUE,"",MID(Lines!AN18,FIND($A$2,Lines!AN18)+LEN($A$2)+1,FIND(",",_xlfn.CONCAT(Lines!AN18,","),FIND($A$2,Lines!AN18))-FIND($A$2,Lines!AN18)-LEN($A$2)-1))</f>
        <v/>
      </c>
      <c r="AO18" s="30" t="str">
        <f>IF(ISERROR(FIND($A$2,Lines!AO18))=TRUE,"",MID(Lines!AO18,FIND($A$2,Lines!AO18)+LEN($A$2)+1,FIND(",",_xlfn.CONCAT(Lines!AO18,","),FIND($A$2,Lines!AO18))-FIND($A$2,Lines!AO18)-LEN($A$2)-1))</f>
        <v/>
      </c>
      <c r="AP18" s="30" t="str">
        <f>IF(ISERROR(FIND($A$2,Lines!AP18))=TRUE,"",MID(Lines!AP18,FIND($A$2,Lines!AP18)+LEN($A$2)+1,FIND(",",_xlfn.CONCAT(Lines!AP18,","),FIND($A$2,Lines!AP18))-FIND($A$2,Lines!AP18)-LEN($A$2)-1))</f>
        <v/>
      </c>
      <c r="AQ18" s="30" t="str">
        <f>IF(ISERROR(FIND($A$2,Lines!AQ18))=TRUE,"",MID(Lines!AQ18,FIND($A$2,Lines!AQ18)+LEN($A$2)+1,FIND(",",_xlfn.CONCAT(Lines!AQ18,","),FIND($A$2,Lines!AQ18))-FIND($A$2,Lines!AQ18)-LEN($A$2)-1))</f>
        <v/>
      </c>
      <c r="AR18" s="30" t="str">
        <f>IF(ISERROR(FIND($A$2,Lines!AR18))=TRUE,"",MID(Lines!AR18,FIND($A$2,Lines!AR18)+LEN($A$2)+1,FIND(",",_xlfn.CONCAT(Lines!AR18,","),FIND($A$2,Lines!AR18))-FIND($A$2,Lines!AR18)-LEN($A$2)-1))</f>
        <v/>
      </c>
      <c r="AS18" s="30" t="str">
        <f>IF(ISERROR(FIND($A$2,Lines!AS18))=TRUE,"",MID(Lines!AS18,FIND($A$2,Lines!AS18)+LEN($A$2)+1,FIND(",",_xlfn.CONCAT(Lines!AS18,","),FIND($A$2,Lines!AS18))-FIND($A$2,Lines!AS18)-LEN($A$2)-1))</f>
        <v/>
      </c>
      <c r="AT18" s="30" t="str">
        <f>IF(ISERROR(FIND($A$2,Lines!AT18))=TRUE,"",MID(Lines!AT18,FIND($A$2,Lines!AT18)+LEN($A$2)+1,FIND(",",_xlfn.CONCAT(Lines!AT18,","),FIND($A$2,Lines!AT18))-FIND($A$2,Lines!AT18)-LEN($A$2)-1))</f>
        <v/>
      </c>
    </row>
    <row r="19" spans="1:46" ht="20.25" customHeight="1">
      <c r="A19" s="2" t="s">
        <v>67</v>
      </c>
      <c r="B19" s="30" t="str">
        <f>IF(ISERROR(FIND($A$2,Lines!B19))=TRUE,"",MID(Lines!B19,FIND($A$2,Lines!B19)+LEN($A$2)+1,FIND(",",_xlfn.CONCAT(Lines!B19,","),FIND($A$2,Lines!B19))-FIND($A$2,Lines!B19)-LEN($A$2)-1))</f>
        <v/>
      </c>
      <c r="C19" s="30" t="str">
        <f>IF(ISERROR(FIND($A$2,Lines!C19))=TRUE,"",MID(Lines!C19,FIND($A$2,Lines!C19)+LEN($A$2)+1,FIND(",",_xlfn.CONCAT(Lines!C19,","),FIND($A$2,Lines!C19))-FIND($A$2,Lines!C19)-LEN($A$2)-1))</f>
        <v/>
      </c>
      <c r="D19" s="30" t="str">
        <f>IF(ISERROR(FIND($A$2,Lines!D19))=TRUE,"",MID(Lines!D19,FIND($A$2,Lines!D19)+LEN($A$2)+1,FIND(",",_xlfn.CONCAT(Lines!D19,","),FIND($A$2,Lines!D19))-FIND($A$2,Lines!D19)-LEN($A$2)-1))</f>
        <v/>
      </c>
      <c r="E19" s="30" t="str">
        <f>IF(ISERROR(FIND($A$2,Lines!E19))=TRUE,"",MID(Lines!E19,FIND($A$2,Lines!E19)+LEN($A$2)+1,FIND(",",_xlfn.CONCAT(Lines!E19,","),FIND($A$2,Lines!E19))-FIND($A$2,Lines!E19)-LEN($A$2)-1))</f>
        <v/>
      </c>
      <c r="F19" s="30" t="str">
        <f>IF(ISERROR(FIND($A$2,Lines!F19))=TRUE,"",MID(Lines!F19,FIND($A$2,Lines!F19)+LEN($A$2)+1,FIND(",",_xlfn.CONCAT(Lines!F19,","),FIND($A$2,Lines!F19))-FIND($A$2,Lines!F19)-LEN($A$2)-1))</f>
        <v/>
      </c>
      <c r="G19" s="30" t="str">
        <f>IF(ISERROR(FIND($A$2,Lines!G19))=TRUE,"",MID(Lines!G19,FIND($A$2,Lines!G19)+LEN($A$2)+1,FIND(",",_xlfn.CONCAT(Lines!G19,","),FIND($A$2,Lines!G19))-FIND($A$2,Lines!G19)-LEN($A$2)-1))</f>
        <v/>
      </c>
      <c r="H19" s="30" t="str">
        <f>IF(ISERROR(FIND($A$2,Lines!H19))=TRUE,"",MID(Lines!H19,FIND($A$2,Lines!H19)+LEN($A$2)+1,FIND(",",_xlfn.CONCAT(Lines!H19,","),FIND($A$2,Lines!H19))-FIND($A$2,Lines!H19)-LEN($A$2)-1))</f>
        <v/>
      </c>
      <c r="I19" s="30" t="str">
        <f>IF(ISERROR(FIND($A$2,Lines!I19))=TRUE,"",MID(Lines!I19,FIND($A$2,Lines!I19)+LEN($A$2)+1,FIND(",",_xlfn.CONCAT(Lines!I19,","),FIND($A$2,Lines!I19))-FIND($A$2,Lines!I19)-LEN($A$2)-1))</f>
        <v/>
      </c>
      <c r="J19" s="30" t="str">
        <f>IF(ISERROR(FIND($A$2,Lines!J19))=TRUE,"",MID(Lines!J19,FIND($A$2,Lines!J19)+LEN($A$2)+1,FIND(",",_xlfn.CONCAT(Lines!J19,","),FIND($A$2,Lines!J19))-FIND($A$2,Lines!J19)-LEN($A$2)-1))</f>
        <v/>
      </c>
      <c r="K19" s="30" t="str">
        <f>IF(ISERROR(FIND($A$2,Lines!K19))=TRUE,"",MID(Lines!K19,FIND($A$2,Lines!K19)+LEN($A$2)+1,FIND(",",_xlfn.CONCAT(Lines!K19,","),FIND($A$2,Lines!K19))-FIND($A$2,Lines!K19)-LEN($A$2)-1))</f>
        <v/>
      </c>
      <c r="L19" s="30" t="str">
        <f>IF(ISERROR(FIND($A$2,Lines!L19))=TRUE,"",MID(Lines!L19,FIND($A$2,Lines!L19)+LEN($A$2)+1,FIND(",",_xlfn.CONCAT(Lines!L19,","),FIND($A$2,Lines!L19))-FIND($A$2,Lines!L19)-LEN($A$2)-1))</f>
        <v/>
      </c>
      <c r="M19" s="30" t="str">
        <f>IF(ISERROR(FIND($A$2,Lines!M19))=TRUE,"",MID(Lines!M19,FIND($A$2,Lines!M19)+LEN($A$2)+1,FIND(",",_xlfn.CONCAT(Lines!M19,","),FIND($A$2,Lines!M19))-FIND($A$2,Lines!M19)-LEN($A$2)-1))</f>
        <v/>
      </c>
      <c r="N19" s="32" t="str">
        <f>IF(ISERROR(FIND($A$2,Lines!N19))=TRUE,"",MID(Lines!N19,FIND($A$2,Lines!N19)+LEN($A$2)+1,FIND(",",_xlfn.CONCAT(Lines!N19,","),FIND($A$2,Lines!N19))-FIND($A$2,Lines!N19)-LEN($A$2)-1))</f>
        <v/>
      </c>
      <c r="O19" s="25" t="str">
        <f>IF(ISERROR(FIND($A$2,Lines!O19))=TRUE,"",MID(Lines!O19,FIND($A$2,Lines!O19)+LEN($A$2)+1,FIND(",",_xlfn.CONCAT(Lines!O19,","),FIND($A$2,Lines!O19))-FIND($A$2,Lines!O19)-LEN($A$2)-1))</f>
        <v/>
      </c>
      <c r="P19" s="25" t="str">
        <f>IF(ISERROR(FIND($A$2,Lines!P19))=TRUE,"",MID(Lines!P19,FIND($A$2,Lines!P19)+LEN($A$2)+1,FIND(",",_xlfn.CONCAT(Lines!P19,","),FIND($A$2,Lines!P19))-FIND($A$2,Lines!P19)-LEN($A$2)-1))</f>
        <v/>
      </c>
      <c r="Q19" s="66" t="str">
        <f>IF(ISERROR(FIND($A$2,Lines!Q19))=TRUE,"",MID(Lines!Q19,FIND($A$2,Lines!Q19)+LEN($A$2)+1,FIND(",",_xlfn.CONCAT(Lines!Q19,","),FIND($A$2,Lines!Q19))-FIND($A$2,Lines!Q19)-LEN($A$2)-1))</f>
        <v/>
      </c>
      <c r="R19" s="25" t="str">
        <f>IF(ISERROR(FIND($A$2,Lines!R19))=TRUE,"",MID(Lines!R19,FIND($A$2,Lines!R19)+LEN($A$2)+1,FIND(",",_xlfn.CONCAT(Lines!R19,","),FIND($A$2,Lines!R19))-FIND($A$2,Lines!R19)-LEN($A$2)-1))</f>
        <v/>
      </c>
      <c r="S19" s="25" t="str">
        <f>IF(ISERROR(FIND($A$2,Lines!S19))=TRUE,"",MID(Lines!S19,FIND($A$2,Lines!S19)+LEN($A$2)+1,FIND(",",_xlfn.CONCAT(Lines!S19,","),FIND($A$2,Lines!S19))-FIND($A$2,Lines!S19)-LEN($A$2)-1))</f>
        <v/>
      </c>
      <c r="T19" s="25" t="str">
        <f>IF(ISERROR(FIND($A$2,Lines!T19))=TRUE,"",MID(Lines!T19,FIND($A$2,Lines!T19)+LEN($A$2)+1,FIND(",",_xlfn.CONCAT(Lines!T19,","),FIND($A$2,Lines!T19))-FIND($A$2,Lines!T19)-LEN($A$2)-1))</f>
        <v/>
      </c>
      <c r="U19" s="25" t="str">
        <f>IF(ISERROR(FIND($A$2,Lines!U19))=TRUE,"",MID(Lines!U19,FIND($A$2,Lines!U19)+LEN($A$2)+1,FIND(",",_xlfn.CONCAT(Lines!U19,","),FIND($A$2,Lines!U19))-FIND($A$2,Lines!U19)-LEN($A$2)-1))</f>
        <v/>
      </c>
      <c r="V19" s="35" t="str">
        <f>IF(ISERROR(FIND($A$2,Lines!V19))=TRUE,"",MID(Lines!V19,FIND($A$2,Lines!V19)+LEN($A$2)+1,FIND(",",_xlfn.CONCAT(Lines!V19,","),FIND($A$2,Lines!V19))-FIND($A$2,Lines!V19)-LEN($A$2)-1))</f>
        <v/>
      </c>
      <c r="W19" s="36" t="str">
        <f>IF(ISERROR(FIND($A$2,Lines!W19))=TRUE,"",MID(Lines!W19,FIND($A$2,Lines!W19)+LEN($A$2)+1,FIND(",",_xlfn.CONCAT(Lines!W19,","),FIND($A$2,Lines!W19))-FIND($A$2,Lines!W19)-LEN($A$2)-1))</f>
        <v/>
      </c>
      <c r="X19" s="30" t="str">
        <f>IF(ISERROR(FIND($A$2,Lines!X19))=TRUE,"",MID(Lines!X19,FIND($A$2,Lines!X19)+LEN($A$2)+1,FIND(",",_xlfn.CONCAT(Lines!X19,","),FIND($A$2,Lines!X19))-FIND($A$2,Lines!X19)-LEN($A$2)-1))</f>
        <v/>
      </c>
      <c r="Y19" s="30" t="str">
        <f>IF(ISERROR(FIND($A$2,Lines!Y19))=TRUE,"",MID(Lines!Y19,FIND($A$2,Lines!Y19)+LEN($A$2)+1,FIND(",",_xlfn.CONCAT(Lines!Y19,","),FIND($A$2,Lines!Y19))-FIND($A$2,Lines!Y19)-LEN($A$2)-1))</f>
        <v/>
      </c>
      <c r="Z19" s="30" t="str">
        <f>IF(ISERROR(FIND($A$2,Lines!Z19))=TRUE,"",MID(Lines!Z19,FIND($A$2,Lines!Z19)+LEN($A$2)+1,FIND(",",_xlfn.CONCAT(Lines!Z19,","),FIND($A$2,Lines!Z19))-FIND($A$2,Lines!Z19)-LEN($A$2)-1))</f>
        <v/>
      </c>
      <c r="AA19" s="30" t="str">
        <f>IF(ISERROR(FIND($A$2,Lines!AA19))=TRUE,"",MID(Lines!AA19,FIND($A$2,Lines!AA19)+LEN($A$2)+1,FIND(",",_xlfn.CONCAT(Lines!AA19,","),FIND($A$2,Lines!AA19))-FIND($A$2,Lines!AA19)-LEN($A$2)-1))</f>
        <v/>
      </c>
      <c r="AB19" s="30" t="str">
        <f>IF(ISERROR(FIND($A$2,Lines!AB19))=TRUE,"",MID(Lines!AB19,FIND($A$2,Lines!AB19)+LEN($A$2)+1,FIND(",",_xlfn.CONCAT(Lines!AB19,","),FIND($A$2,Lines!AB19))-FIND($A$2,Lines!AB19)-LEN($A$2)-1))</f>
        <v/>
      </c>
      <c r="AC19" s="30" t="str">
        <f>IF(ISERROR(FIND($A$2,Lines!AC19))=TRUE,"",MID(Lines!AC19,FIND($A$2,Lines!AC19)+LEN($A$2)+1,FIND(",",_xlfn.CONCAT(Lines!AC19,","),FIND($A$2,Lines!AC19))-FIND($A$2,Lines!AC19)-LEN($A$2)-1))</f>
        <v/>
      </c>
      <c r="AD19" s="30" t="str">
        <f>IF(ISERROR(FIND($A$2,Lines!AD19))=TRUE,"",MID(Lines!AD19,FIND($A$2,Lines!AD19)+LEN($A$2)+1,FIND(",",_xlfn.CONCAT(Lines!AD19,","),FIND($A$2,Lines!AD19))-FIND($A$2,Lines!AD19)-LEN($A$2)-1))</f>
        <v/>
      </c>
      <c r="AE19" s="30" t="str">
        <f>IF(ISERROR(FIND($A$2,Lines!AE19))=TRUE,"",MID(Lines!AE19,FIND($A$2,Lines!AE19)+LEN($A$2)+1,FIND(",",_xlfn.CONCAT(Lines!AE19,","),FIND($A$2,Lines!AE19))-FIND($A$2,Lines!AE19)-LEN($A$2)-1))</f>
        <v/>
      </c>
      <c r="AF19" s="30" t="str">
        <f>IF(ISERROR(FIND($A$2,Lines!AF19))=TRUE,"",MID(Lines!AF19,FIND($A$2,Lines!AF19)+LEN($A$2)+1,FIND(",",_xlfn.CONCAT(Lines!AF19,","),FIND($A$2,Lines!AF19))-FIND($A$2,Lines!AF19)-LEN($A$2)-1))</f>
        <v/>
      </c>
      <c r="AG19" s="30" t="str">
        <f>IF(ISERROR(FIND($A$2,Lines!AG19))=TRUE,"",MID(Lines!AG19,FIND($A$2,Lines!AG19)+LEN($A$2)+1,FIND(",",_xlfn.CONCAT(Lines!AG19,","),FIND($A$2,Lines!AG19))-FIND($A$2,Lines!AG19)-LEN($A$2)-1))</f>
        <v/>
      </c>
      <c r="AH19" s="30" t="str">
        <f>IF(ISERROR(FIND($A$2,Lines!AH19))=TRUE,"",MID(Lines!AH19,FIND($A$2,Lines!AH19)+LEN($A$2)+1,FIND(",",_xlfn.CONCAT(Lines!AH19,","),FIND($A$2,Lines!AH19))-FIND($A$2,Lines!AH19)-LEN($A$2)-1))</f>
        <v/>
      </c>
      <c r="AI19" s="30" t="str">
        <f>IF(ISERROR(FIND($A$2,Lines!AI19))=TRUE,"",MID(Lines!AI19,FIND($A$2,Lines!AI19)+LEN($A$2)+1,FIND(",",_xlfn.CONCAT(Lines!AI19,","),FIND($A$2,Lines!AI19))-FIND($A$2,Lines!AI19)-LEN($A$2)-1))</f>
        <v/>
      </c>
      <c r="AJ19" s="30" t="str">
        <f>IF(ISERROR(FIND($A$2,Lines!AJ19))=TRUE,"",MID(Lines!AJ19,FIND($A$2,Lines!AJ19)+LEN($A$2)+1,FIND(",",_xlfn.CONCAT(Lines!AJ19,","),FIND($A$2,Lines!AJ19))-FIND($A$2,Lines!AJ19)-LEN($A$2)-1))</f>
        <v/>
      </c>
      <c r="AK19" s="30" t="str">
        <f>IF(ISERROR(FIND($A$2,Lines!AK19))=TRUE,"",MID(Lines!AK19,FIND($A$2,Lines!AK19)+LEN($A$2)+1,FIND(",",_xlfn.CONCAT(Lines!AK19,","),FIND($A$2,Lines!AK19))-FIND($A$2,Lines!AK19)-LEN($A$2)-1))</f>
        <v/>
      </c>
      <c r="AL19" s="30" t="str">
        <f>IF(ISERROR(FIND($A$2,Lines!AL19))=TRUE,"",MID(Lines!AL19,FIND($A$2,Lines!AL19)+LEN($A$2)+1,FIND(",",_xlfn.CONCAT(Lines!AL19,","),FIND($A$2,Lines!AL19))-FIND($A$2,Lines!AL19)-LEN($A$2)-1))</f>
        <v/>
      </c>
      <c r="AM19" s="30" t="str">
        <f>IF(ISERROR(FIND($A$2,Lines!AM19))=TRUE,"",MID(Lines!AM19,FIND($A$2,Lines!AM19)+LEN($A$2)+1,FIND(",",_xlfn.CONCAT(Lines!AM19,","),FIND($A$2,Lines!AM19))-FIND($A$2,Lines!AM19)-LEN($A$2)-1))</f>
        <v/>
      </c>
      <c r="AN19" s="30" t="str">
        <f>IF(ISERROR(FIND($A$2,Lines!AN19))=TRUE,"",MID(Lines!AN19,FIND($A$2,Lines!AN19)+LEN($A$2)+1,FIND(",",_xlfn.CONCAT(Lines!AN19,","),FIND($A$2,Lines!AN19))-FIND($A$2,Lines!AN19)-LEN($A$2)-1))</f>
        <v/>
      </c>
      <c r="AO19" s="30" t="str">
        <f>IF(ISERROR(FIND($A$2,Lines!AO19))=TRUE,"",MID(Lines!AO19,FIND($A$2,Lines!AO19)+LEN($A$2)+1,FIND(",",_xlfn.CONCAT(Lines!AO19,","),FIND($A$2,Lines!AO19))-FIND($A$2,Lines!AO19)-LEN($A$2)-1))</f>
        <v/>
      </c>
      <c r="AP19" s="30" t="str">
        <f>IF(ISERROR(FIND($A$2,Lines!AP19))=TRUE,"",MID(Lines!AP19,FIND($A$2,Lines!AP19)+LEN($A$2)+1,FIND(",",_xlfn.CONCAT(Lines!AP19,","),FIND($A$2,Lines!AP19))-FIND($A$2,Lines!AP19)-LEN($A$2)-1))</f>
        <v/>
      </c>
      <c r="AQ19" s="30" t="str">
        <f>IF(ISERROR(FIND($A$2,Lines!AQ19))=TRUE,"",MID(Lines!AQ19,FIND($A$2,Lines!AQ19)+LEN($A$2)+1,FIND(",",_xlfn.CONCAT(Lines!AQ19,","),FIND($A$2,Lines!AQ19))-FIND($A$2,Lines!AQ19)-LEN($A$2)-1))</f>
        <v/>
      </c>
      <c r="AR19" s="30" t="str">
        <f>IF(ISERROR(FIND($A$2,Lines!AR19))=TRUE,"",MID(Lines!AR19,FIND($A$2,Lines!AR19)+LEN($A$2)+1,FIND(",",_xlfn.CONCAT(Lines!AR19,","),FIND($A$2,Lines!AR19))-FIND($A$2,Lines!AR19)-LEN($A$2)-1))</f>
        <v/>
      </c>
      <c r="AS19" s="30" t="str">
        <f>IF(ISERROR(FIND($A$2,Lines!AS19))=TRUE,"",MID(Lines!AS19,FIND($A$2,Lines!AS19)+LEN($A$2)+1,FIND(",",_xlfn.CONCAT(Lines!AS19,","),FIND($A$2,Lines!AS19))-FIND($A$2,Lines!AS19)-LEN($A$2)-1))</f>
        <v/>
      </c>
      <c r="AT19" s="30" t="str">
        <f>IF(ISERROR(FIND($A$2,Lines!AT19))=TRUE,"",MID(Lines!AT19,FIND($A$2,Lines!AT19)+LEN($A$2)+1,FIND(",",_xlfn.CONCAT(Lines!AT19,","),FIND($A$2,Lines!AT19))-FIND($A$2,Lines!AT19)-LEN($A$2)-1))</f>
        <v/>
      </c>
    </row>
    <row r="20" spans="1:46" ht="20.25" customHeight="1">
      <c r="A20" s="2" t="s">
        <v>68</v>
      </c>
      <c r="B20" s="30" t="str">
        <f>IF(ISERROR(FIND($A$2,Lines!B20))=TRUE,"",MID(Lines!B20,FIND($A$2,Lines!B20)+LEN($A$2)+1,FIND(",",_xlfn.CONCAT(Lines!B20,","),FIND($A$2,Lines!B20))-FIND($A$2,Lines!B20)-LEN($A$2)-1))</f>
        <v/>
      </c>
      <c r="C20" s="30" t="str">
        <f>IF(ISERROR(FIND($A$2,Lines!C20))=TRUE,"",MID(Lines!C20,FIND($A$2,Lines!C20)+LEN($A$2)+1,FIND(",",_xlfn.CONCAT(Lines!C20,","),FIND($A$2,Lines!C20))-FIND($A$2,Lines!C20)-LEN($A$2)-1))</f>
        <v/>
      </c>
      <c r="D20" s="30" t="str">
        <f>IF(ISERROR(FIND($A$2,Lines!D20))=TRUE,"",MID(Lines!D20,FIND($A$2,Lines!D20)+LEN($A$2)+1,FIND(",",_xlfn.CONCAT(Lines!D20,","),FIND($A$2,Lines!D20))-FIND($A$2,Lines!D20)-LEN($A$2)-1))</f>
        <v/>
      </c>
      <c r="E20" s="30" t="str">
        <f>IF(ISERROR(FIND($A$2,Lines!E20))=TRUE,"",MID(Lines!E20,FIND($A$2,Lines!E20)+LEN($A$2)+1,FIND(",",_xlfn.CONCAT(Lines!E20,","),FIND($A$2,Lines!E20))-FIND($A$2,Lines!E20)-LEN($A$2)-1))</f>
        <v/>
      </c>
      <c r="F20" s="30" t="str">
        <f>IF(ISERROR(FIND($A$2,Lines!F20))=TRUE,"",MID(Lines!F20,FIND($A$2,Lines!F20)+LEN($A$2)+1,FIND(",",_xlfn.CONCAT(Lines!F20,","),FIND($A$2,Lines!F20))-FIND($A$2,Lines!F20)-LEN($A$2)-1))</f>
        <v/>
      </c>
      <c r="G20" s="30" t="str">
        <f>IF(ISERROR(FIND($A$2,Lines!G20))=TRUE,"",MID(Lines!G20,FIND($A$2,Lines!G20)+LEN($A$2)+1,FIND(",",_xlfn.CONCAT(Lines!G20,","),FIND($A$2,Lines!G20))-FIND($A$2,Lines!G20)-LEN($A$2)-1))</f>
        <v/>
      </c>
      <c r="H20" s="30" t="str">
        <f>IF(ISERROR(FIND($A$2,Lines!H20))=TRUE,"",MID(Lines!H20,FIND($A$2,Lines!H20)+LEN($A$2)+1,FIND(",",_xlfn.CONCAT(Lines!H20,","),FIND($A$2,Lines!H20))-FIND($A$2,Lines!H20)-LEN($A$2)-1))</f>
        <v/>
      </c>
      <c r="I20" s="30" t="str">
        <f>IF(ISERROR(FIND($A$2,Lines!I20))=TRUE,"",MID(Lines!I20,FIND($A$2,Lines!I20)+LEN($A$2)+1,FIND(",",_xlfn.CONCAT(Lines!I20,","),FIND($A$2,Lines!I20))-FIND($A$2,Lines!I20)-LEN($A$2)-1))</f>
        <v/>
      </c>
      <c r="J20" s="30" t="str">
        <f>IF(ISERROR(FIND($A$2,Lines!J20))=TRUE,"",MID(Lines!J20,FIND($A$2,Lines!J20)+LEN($A$2)+1,FIND(",",_xlfn.CONCAT(Lines!J20,","),FIND($A$2,Lines!J20))-FIND($A$2,Lines!J20)-LEN($A$2)-1))</f>
        <v/>
      </c>
      <c r="K20" s="30" t="str">
        <f>IF(ISERROR(FIND($A$2,Lines!K20))=TRUE,"",MID(Lines!K20,FIND($A$2,Lines!K20)+LEN($A$2)+1,FIND(",",_xlfn.CONCAT(Lines!K20,","),FIND($A$2,Lines!K20))-FIND($A$2,Lines!K20)-LEN($A$2)-1))</f>
        <v/>
      </c>
      <c r="L20" s="30" t="str">
        <f>IF(ISERROR(FIND($A$2,Lines!L20))=TRUE,"",MID(Lines!L20,FIND($A$2,Lines!L20)+LEN($A$2)+1,FIND(",",_xlfn.CONCAT(Lines!L20,","),FIND($A$2,Lines!L20))-FIND($A$2,Lines!L20)-LEN($A$2)-1))</f>
        <v/>
      </c>
      <c r="M20" s="30" t="str">
        <f>IF(ISERROR(FIND($A$2,Lines!M20))=TRUE,"",MID(Lines!M20,FIND($A$2,Lines!M20)+LEN($A$2)+1,FIND(",",_xlfn.CONCAT(Lines!M20,","),FIND($A$2,Lines!M20))-FIND($A$2,Lines!M20)-LEN($A$2)-1))</f>
        <v/>
      </c>
      <c r="N20" s="32" t="str">
        <f>IF(ISERROR(FIND($A$2,Lines!N20))=TRUE,"",MID(Lines!N20,FIND($A$2,Lines!N20)+LEN($A$2)+1,FIND(",",_xlfn.CONCAT(Lines!N20,","),FIND($A$2,Lines!N20))-FIND($A$2,Lines!N20)-LEN($A$2)-1))</f>
        <v/>
      </c>
      <c r="O20" s="25" t="str">
        <f>IF(ISERROR(FIND($A$2,Lines!O20))=TRUE,"",MID(Lines!O20,FIND($A$2,Lines!O20)+LEN($A$2)+1,FIND(",",_xlfn.CONCAT(Lines!O20,","),FIND($A$2,Lines!O20))-FIND($A$2,Lines!O20)-LEN($A$2)-1))</f>
        <v/>
      </c>
      <c r="P20" s="25" t="str">
        <f>IF(ISERROR(FIND($A$2,Lines!P20))=TRUE,"",MID(Lines!P20,FIND($A$2,Lines!P20)+LEN($A$2)+1,FIND(",",_xlfn.CONCAT(Lines!P20,","),FIND($A$2,Lines!P20))-FIND($A$2,Lines!P20)-LEN($A$2)-1))</f>
        <v/>
      </c>
      <c r="Q20" s="25" t="str">
        <f>IF(ISERROR(FIND($A$2,Lines!Q20))=TRUE,"",MID(Lines!Q20,FIND($A$2,Lines!Q20)+LEN($A$2)+1,FIND(",",_xlfn.CONCAT(Lines!Q20,","),FIND($A$2,Lines!Q20))-FIND($A$2,Lines!Q20)-LEN($A$2)-1))</f>
        <v/>
      </c>
      <c r="R20" s="66" t="str">
        <f>IF(ISERROR(FIND($A$2,Lines!R20))=TRUE,"",MID(Lines!R20,FIND($A$2,Lines!R20)+LEN($A$2)+1,FIND(",",_xlfn.CONCAT(Lines!R20,","),FIND($A$2,Lines!R20))-FIND($A$2,Lines!R20)-LEN($A$2)-1))</f>
        <v/>
      </c>
      <c r="S20" s="25" t="str">
        <f>IF(ISERROR(FIND($A$2,Lines!S20))=TRUE,"",MID(Lines!S20,FIND($A$2,Lines!S20)+LEN($A$2)+1,FIND(",",_xlfn.CONCAT(Lines!S20,","),FIND($A$2,Lines!S20))-FIND($A$2,Lines!S20)-LEN($A$2)-1))</f>
        <v/>
      </c>
      <c r="T20" s="25" t="str">
        <f>IF(ISERROR(FIND($A$2,Lines!T20))=TRUE,"",MID(Lines!T20,FIND($A$2,Lines!T20)+LEN($A$2)+1,FIND(",",_xlfn.CONCAT(Lines!T20,","),FIND($A$2,Lines!T20))-FIND($A$2,Lines!T20)-LEN($A$2)-1))</f>
        <v/>
      </c>
      <c r="U20" s="25" t="str">
        <f>IF(ISERROR(FIND($A$2,Lines!U20))=TRUE,"",MID(Lines!U20,FIND($A$2,Lines!U20)+LEN($A$2)+1,FIND(",",_xlfn.CONCAT(Lines!U20,","),FIND($A$2,Lines!U20))-FIND($A$2,Lines!U20)-LEN($A$2)-1))</f>
        <v/>
      </c>
      <c r="V20" s="35" t="str">
        <f>IF(ISERROR(FIND($A$2,Lines!V20))=TRUE,"",MID(Lines!V20,FIND($A$2,Lines!V20)+LEN($A$2)+1,FIND(",",_xlfn.CONCAT(Lines!V20,","),FIND($A$2,Lines!V20))-FIND($A$2,Lines!V20)-LEN($A$2)-1))</f>
        <v/>
      </c>
      <c r="W20" s="36" t="str">
        <f>IF(ISERROR(FIND($A$2,Lines!W20))=TRUE,"",MID(Lines!W20,FIND($A$2,Lines!W20)+LEN($A$2)+1,FIND(",",_xlfn.CONCAT(Lines!W20,","),FIND($A$2,Lines!W20))-FIND($A$2,Lines!W20)-LEN($A$2)-1))</f>
        <v/>
      </c>
      <c r="X20" s="30" t="str">
        <f>IF(ISERROR(FIND($A$2,Lines!X20))=TRUE,"",MID(Lines!X20,FIND($A$2,Lines!X20)+LEN($A$2)+1,FIND(",",_xlfn.CONCAT(Lines!X20,","),FIND($A$2,Lines!X20))-FIND($A$2,Lines!X20)-LEN($A$2)-1))</f>
        <v/>
      </c>
      <c r="Y20" s="30" t="str">
        <f>IF(ISERROR(FIND($A$2,Lines!Y20))=TRUE,"",MID(Lines!Y20,FIND($A$2,Lines!Y20)+LEN($A$2)+1,FIND(",",_xlfn.CONCAT(Lines!Y20,","),FIND($A$2,Lines!Y20))-FIND($A$2,Lines!Y20)-LEN($A$2)-1))</f>
        <v/>
      </c>
      <c r="Z20" s="30" t="str">
        <f>IF(ISERROR(FIND($A$2,Lines!Z20))=TRUE,"",MID(Lines!Z20,FIND($A$2,Lines!Z20)+LEN($A$2)+1,FIND(",",_xlfn.CONCAT(Lines!Z20,","),FIND($A$2,Lines!Z20))-FIND($A$2,Lines!Z20)-LEN($A$2)-1))</f>
        <v/>
      </c>
      <c r="AA20" s="30" t="str">
        <f>IF(ISERROR(FIND($A$2,Lines!AA20))=TRUE,"",MID(Lines!AA20,FIND($A$2,Lines!AA20)+LEN($A$2)+1,FIND(",",_xlfn.CONCAT(Lines!AA20,","),FIND($A$2,Lines!AA20))-FIND($A$2,Lines!AA20)-LEN($A$2)-1))</f>
        <v/>
      </c>
      <c r="AB20" s="30" t="str">
        <f>IF(ISERROR(FIND($A$2,Lines!AB20))=TRUE,"",MID(Lines!AB20,FIND($A$2,Lines!AB20)+LEN($A$2)+1,FIND(",",_xlfn.CONCAT(Lines!AB20,","),FIND($A$2,Lines!AB20))-FIND($A$2,Lines!AB20)-LEN($A$2)-1))</f>
        <v/>
      </c>
      <c r="AC20" s="30" t="str">
        <f>IF(ISERROR(FIND($A$2,Lines!AC20))=TRUE,"",MID(Lines!AC20,FIND($A$2,Lines!AC20)+LEN($A$2)+1,FIND(",",_xlfn.CONCAT(Lines!AC20,","),FIND($A$2,Lines!AC20))-FIND($A$2,Lines!AC20)-LEN($A$2)-1))</f>
        <v/>
      </c>
      <c r="AD20" s="30" t="str">
        <f>IF(ISERROR(FIND($A$2,Lines!AD20))=TRUE,"",MID(Lines!AD20,FIND($A$2,Lines!AD20)+LEN($A$2)+1,FIND(",",_xlfn.CONCAT(Lines!AD20,","),FIND($A$2,Lines!AD20))-FIND($A$2,Lines!AD20)-LEN($A$2)-1))</f>
        <v/>
      </c>
      <c r="AE20" s="30" t="str">
        <f>IF(ISERROR(FIND($A$2,Lines!AE20))=TRUE,"",MID(Lines!AE20,FIND($A$2,Lines!AE20)+LEN($A$2)+1,FIND(",",_xlfn.CONCAT(Lines!AE20,","),FIND($A$2,Lines!AE20))-FIND($A$2,Lines!AE20)-LEN($A$2)-1))</f>
        <v/>
      </c>
      <c r="AF20" s="30" t="str">
        <f>IF(ISERROR(FIND($A$2,Lines!AF20))=TRUE,"",MID(Lines!AF20,FIND($A$2,Lines!AF20)+LEN($A$2)+1,FIND(",",_xlfn.CONCAT(Lines!AF20,","),FIND($A$2,Lines!AF20))-FIND($A$2,Lines!AF20)-LEN($A$2)-1))</f>
        <v/>
      </c>
      <c r="AG20" s="30" t="str">
        <f>IF(ISERROR(FIND($A$2,Lines!AG20))=TRUE,"",MID(Lines!AG20,FIND($A$2,Lines!AG20)+LEN($A$2)+1,FIND(",",_xlfn.CONCAT(Lines!AG20,","),FIND($A$2,Lines!AG20))-FIND($A$2,Lines!AG20)-LEN($A$2)-1))</f>
        <v/>
      </c>
      <c r="AH20" s="30" t="str">
        <f>IF(ISERROR(FIND($A$2,Lines!AH20))=TRUE,"",MID(Lines!AH20,FIND($A$2,Lines!AH20)+LEN($A$2)+1,FIND(",",_xlfn.CONCAT(Lines!AH20,","),FIND($A$2,Lines!AH20))-FIND($A$2,Lines!AH20)-LEN($A$2)-1))</f>
        <v/>
      </c>
      <c r="AI20" s="30" t="str">
        <f>IF(ISERROR(FIND($A$2,Lines!AI20))=TRUE,"",MID(Lines!AI20,FIND($A$2,Lines!AI20)+LEN($A$2)+1,FIND(",",_xlfn.CONCAT(Lines!AI20,","),FIND($A$2,Lines!AI20))-FIND($A$2,Lines!AI20)-LEN($A$2)-1))</f>
        <v/>
      </c>
      <c r="AJ20" s="30" t="str">
        <f>IF(ISERROR(FIND($A$2,Lines!AJ20))=TRUE,"",MID(Lines!AJ20,FIND($A$2,Lines!AJ20)+LEN($A$2)+1,FIND(",",_xlfn.CONCAT(Lines!AJ20,","),FIND($A$2,Lines!AJ20))-FIND($A$2,Lines!AJ20)-LEN($A$2)-1))</f>
        <v/>
      </c>
      <c r="AK20" s="30" t="str">
        <f>IF(ISERROR(FIND($A$2,Lines!AK20))=TRUE,"",MID(Lines!AK20,FIND($A$2,Lines!AK20)+LEN($A$2)+1,FIND(",",_xlfn.CONCAT(Lines!AK20,","),FIND($A$2,Lines!AK20))-FIND($A$2,Lines!AK20)-LEN($A$2)-1))</f>
        <v/>
      </c>
      <c r="AL20" s="30" t="str">
        <f>IF(ISERROR(FIND($A$2,Lines!AL20))=TRUE,"",MID(Lines!AL20,FIND($A$2,Lines!AL20)+LEN($A$2)+1,FIND(",",_xlfn.CONCAT(Lines!AL20,","),FIND($A$2,Lines!AL20))-FIND($A$2,Lines!AL20)-LEN($A$2)-1))</f>
        <v/>
      </c>
      <c r="AM20" s="30" t="str">
        <f>IF(ISERROR(FIND($A$2,Lines!AM20))=TRUE,"",MID(Lines!AM20,FIND($A$2,Lines!AM20)+LEN($A$2)+1,FIND(",",_xlfn.CONCAT(Lines!AM20,","),FIND($A$2,Lines!AM20))-FIND($A$2,Lines!AM20)-LEN($A$2)-1))</f>
        <v/>
      </c>
      <c r="AN20" s="30" t="str">
        <f>IF(ISERROR(FIND($A$2,Lines!AN20))=TRUE,"",MID(Lines!AN20,FIND($A$2,Lines!AN20)+LEN($A$2)+1,FIND(",",_xlfn.CONCAT(Lines!AN20,","),FIND($A$2,Lines!AN20))-FIND($A$2,Lines!AN20)-LEN($A$2)-1))</f>
        <v/>
      </c>
      <c r="AO20" s="30" t="str">
        <f>IF(ISERROR(FIND($A$2,Lines!AO20))=TRUE,"",MID(Lines!AO20,FIND($A$2,Lines!AO20)+LEN($A$2)+1,FIND(",",_xlfn.CONCAT(Lines!AO20,","),FIND($A$2,Lines!AO20))-FIND($A$2,Lines!AO20)-LEN($A$2)-1))</f>
        <v/>
      </c>
      <c r="AP20" s="30" t="str">
        <f>IF(ISERROR(FIND($A$2,Lines!AP20))=TRUE,"",MID(Lines!AP20,FIND($A$2,Lines!AP20)+LEN($A$2)+1,FIND(",",_xlfn.CONCAT(Lines!AP20,","),FIND($A$2,Lines!AP20))-FIND($A$2,Lines!AP20)-LEN($A$2)-1))</f>
        <v/>
      </c>
      <c r="AQ20" s="30" t="str">
        <f>IF(ISERROR(FIND($A$2,Lines!AQ20))=TRUE,"",MID(Lines!AQ20,FIND($A$2,Lines!AQ20)+LEN($A$2)+1,FIND(",",_xlfn.CONCAT(Lines!AQ20,","),FIND($A$2,Lines!AQ20))-FIND($A$2,Lines!AQ20)-LEN($A$2)-1))</f>
        <v/>
      </c>
      <c r="AR20" s="30" t="str">
        <f>IF(ISERROR(FIND($A$2,Lines!AR20))=TRUE,"",MID(Lines!AR20,FIND($A$2,Lines!AR20)+LEN($A$2)+1,FIND(",",_xlfn.CONCAT(Lines!AR20,","),FIND($A$2,Lines!AR20))-FIND($A$2,Lines!AR20)-LEN($A$2)-1))</f>
        <v/>
      </c>
      <c r="AS20" s="30" t="str">
        <f>IF(ISERROR(FIND($A$2,Lines!AS20))=TRUE,"",MID(Lines!AS20,FIND($A$2,Lines!AS20)+LEN($A$2)+1,FIND(",",_xlfn.CONCAT(Lines!AS20,","),FIND($A$2,Lines!AS20))-FIND($A$2,Lines!AS20)-LEN($A$2)-1))</f>
        <v/>
      </c>
      <c r="AT20" s="30" t="str">
        <f>IF(ISERROR(FIND($A$2,Lines!AT20))=TRUE,"",MID(Lines!AT20,FIND($A$2,Lines!AT20)+LEN($A$2)+1,FIND(",",_xlfn.CONCAT(Lines!AT20,","),FIND($A$2,Lines!AT20))-FIND($A$2,Lines!AT20)-LEN($A$2)-1))</f>
        <v/>
      </c>
    </row>
    <row r="21" spans="1:46" ht="20.25" customHeight="1">
      <c r="A21" s="2" t="s">
        <v>69</v>
      </c>
      <c r="B21" s="30" t="str">
        <f>IF(ISERROR(FIND($A$2,Lines!B21))=TRUE,"",MID(Lines!B21,FIND($A$2,Lines!B21)+LEN($A$2)+1,FIND(",",_xlfn.CONCAT(Lines!B21,","),FIND($A$2,Lines!B21))-FIND($A$2,Lines!B21)-LEN($A$2)-1))</f>
        <v/>
      </c>
      <c r="C21" s="30" t="str">
        <f>IF(ISERROR(FIND($A$2,Lines!C21))=TRUE,"",MID(Lines!C21,FIND($A$2,Lines!C21)+LEN($A$2)+1,FIND(",",_xlfn.CONCAT(Lines!C21,","),FIND($A$2,Lines!C21))-FIND($A$2,Lines!C21)-LEN($A$2)-1))</f>
        <v/>
      </c>
      <c r="D21" s="30" t="str">
        <f>IF(ISERROR(FIND($A$2,Lines!D21))=TRUE,"",MID(Lines!D21,FIND($A$2,Lines!D21)+LEN($A$2)+1,FIND(",",_xlfn.CONCAT(Lines!D21,","),FIND($A$2,Lines!D21))-FIND($A$2,Lines!D21)-LEN($A$2)-1))</f>
        <v/>
      </c>
      <c r="E21" s="30" t="str">
        <f>IF(ISERROR(FIND($A$2,Lines!E21))=TRUE,"",MID(Lines!E21,FIND($A$2,Lines!E21)+LEN($A$2)+1,FIND(",",_xlfn.CONCAT(Lines!E21,","),FIND($A$2,Lines!E21))-FIND($A$2,Lines!E21)-LEN($A$2)-1))</f>
        <v/>
      </c>
      <c r="F21" s="30" t="str">
        <f>IF(ISERROR(FIND($A$2,Lines!F21))=TRUE,"",MID(Lines!F21,FIND($A$2,Lines!F21)+LEN($A$2)+1,FIND(",",_xlfn.CONCAT(Lines!F21,","),FIND($A$2,Lines!F21))-FIND($A$2,Lines!F21)-LEN($A$2)-1))</f>
        <v/>
      </c>
      <c r="G21" s="30" t="str">
        <f>IF(ISERROR(FIND($A$2,Lines!G21))=TRUE,"",MID(Lines!G21,FIND($A$2,Lines!G21)+LEN($A$2)+1,FIND(",",_xlfn.CONCAT(Lines!G21,","),FIND($A$2,Lines!G21))-FIND($A$2,Lines!G21)-LEN($A$2)-1))</f>
        <v/>
      </c>
      <c r="H21" s="30" t="str">
        <f>IF(ISERROR(FIND($A$2,Lines!H21))=TRUE,"",MID(Lines!H21,FIND($A$2,Lines!H21)+LEN($A$2)+1,FIND(",",_xlfn.CONCAT(Lines!H21,","),FIND($A$2,Lines!H21))-FIND($A$2,Lines!H21)-LEN($A$2)-1))</f>
        <v/>
      </c>
      <c r="I21" s="30" t="str">
        <f>IF(ISERROR(FIND($A$2,Lines!I21))=TRUE,"",MID(Lines!I21,FIND($A$2,Lines!I21)+LEN($A$2)+1,FIND(",",_xlfn.CONCAT(Lines!I21,","),FIND($A$2,Lines!I21))-FIND($A$2,Lines!I21)-LEN($A$2)-1))</f>
        <v/>
      </c>
      <c r="J21" s="30" t="str">
        <f>IF(ISERROR(FIND($A$2,Lines!J21))=TRUE,"",MID(Lines!J21,FIND($A$2,Lines!J21)+LEN($A$2)+1,FIND(",",_xlfn.CONCAT(Lines!J21,","),FIND($A$2,Lines!J21))-FIND($A$2,Lines!J21)-LEN($A$2)-1))</f>
        <v/>
      </c>
      <c r="K21" s="30" t="str">
        <f>IF(ISERROR(FIND($A$2,Lines!K21))=TRUE,"",MID(Lines!K21,FIND($A$2,Lines!K21)+LEN($A$2)+1,FIND(",",_xlfn.CONCAT(Lines!K21,","),FIND($A$2,Lines!K21))-FIND($A$2,Lines!K21)-LEN($A$2)-1))</f>
        <v/>
      </c>
      <c r="L21" s="30" t="str">
        <f>IF(ISERROR(FIND($A$2,Lines!L21))=TRUE,"",MID(Lines!L21,FIND($A$2,Lines!L21)+LEN($A$2)+1,FIND(",",_xlfn.CONCAT(Lines!L21,","),FIND($A$2,Lines!L21))-FIND($A$2,Lines!L21)-LEN($A$2)-1))</f>
        <v/>
      </c>
      <c r="M21" s="30" t="str">
        <f>IF(ISERROR(FIND($A$2,Lines!M21))=TRUE,"",MID(Lines!M21,FIND($A$2,Lines!M21)+LEN($A$2)+1,FIND(",",_xlfn.CONCAT(Lines!M21,","),FIND($A$2,Lines!M21))-FIND($A$2,Lines!M21)-LEN($A$2)-1))</f>
        <v/>
      </c>
      <c r="N21" s="32" t="str">
        <f>IF(ISERROR(FIND($A$2,Lines!N21))=TRUE,"",MID(Lines!N21,FIND($A$2,Lines!N21)+LEN($A$2)+1,FIND(",",_xlfn.CONCAT(Lines!N21,","),FIND($A$2,Lines!N21))-FIND($A$2,Lines!N21)-LEN($A$2)-1))</f>
        <v/>
      </c>
      <c r="O21" s="25" t="str">
        <f>IF(ISERROR(FIND($A$2,Lines!O21))=TRUE,"",MID(Lines!O21,FIND($A$2,Lines!O21)+LEN($A$2)+1,FIND(",",_xlfn.CONCAT(Lines!O21,","),FIND($A$2,Lines!O21))-FIND($A$2,Lines!O21)-LEN($A$2)-1))</f>
        <v/>
      </c>
      <c r="P21" s="25" t="str">
        <f>IF(ISERROR(FIND($A$2,Lines!P21))=TRUE,"",MID(Lines!P21,FIND($A$2,Lines!P21)+LEN($A$2)+1,FIND(",",_xlfn.CONCAT(Lines!P21,","),FIND($A$2,Lines!P21))-FIND($A$2,Lines!P21)-LEN($A$2)-1))</f>
        <v/>
      </c>
      <c r="Q21" s="25" t="str">
        <f>IF(ISERROR(FIND($A$2,Lines!Q21))=TRUE,"",MID(Lines!Q21,FIND($A$2,Lines!Q21)+LEN($A$2)+1,FIND(",",_xlfn.CONCAT(Lines!Q21,","),FIND($A$2,Lines!Q21))-FIND($A$2,Lines!Q21)-LEN($A$2)-1))</f>
        <v/>
      </c>
      <c r="R21" s="25" t="str">
        <f>IF(ISERROR(FIND($A$2,Lines!R21))=TRUE,"",MID(Lines!R21,FIND($A$2,Lines!R21)+LEN($A$2)+1,FIND(",",_xlfn.CONCAT(Lines!R21,","),FIND($A$2,Lines!R21))-FIND($A$2,Lines!R21)-LEN($A$2)-1))</f>
        <v/>
      </c>
      <c r="S21" s="66" t="str">
        <f>IF(ISERROR(FIND($A$2,Lines!S21))=TRUE,"",MID(Lines!S21,FIND($A$2,Lines!S21)+LEN($A$2)+1,FIND(",",_xlfn.CONCAT(Lines!S21,","),FIND($A$2,Lines!S21))-FIND($A$2,Lines!S21)-LEN($A$2)-1))</f>
        <v/>
      </c>
      <c r="T21" s="25" t="str">
        <f>IF(ISERROR(FIND($A$2,Lines!T21))=TRUE,"",MID(Lines!T21,FIND($A$2,Lines!T21)+LEN($A$2)+1,FIND(",",_xlfn.CONCAT(Lines!T21,","),FIND($A$2,Lines!T21))-FIND($A$2,Lines!T21)-LEN($A$2)-1))</f>
        <v/>
      </c>
      <c r="U21" s="25" t="str">
        <f>IF(ISERROR(FIND($A$2,Lines!U21))=TRUE,"",MID(Lines!U21,FIND($A$2,Lines!U21)+LEN($A$2)+1,FIND(",",_xlfn.CONCAT(Lines!U21,","),FIND($A$2,Lines!U21))-FIND($A$2,Lines!U21)-LEN($A$2)-1))</f>
        <v/>
      </c>
      <c r="V21" s="35" t="str">
        <f>IF(ISERROR(FIND($A$2,Lines!V21))=TRUE,"",MID(Lines!V21,FIND($A$2,Lines!V21)+LEN($A$2)+1,FIND(",",_xlfn.CONCAT(Lines!V21,","),FIND($A$2,Lines!V21))-FIND($A$2,Lines!V21)-LEN($A$2)-1))</f>
        <v/>
      </c>
      <c r="W21" s="36" t="str">
        <f>IF(ISERROR(FIND($A$2,Lines!W21))=TRUE,"",MID(Lines!W21,FIND($A$2,Lines!W21)+LEN($A$2)+1,FIND(",",_xlfn.CONCAT(Lines!W21,","),FIND($A$2,Lines!W21))-FIND($A$2,Lines!W21)-LEN($A$2)-1))</f>
        <v/>
      </c>
      <c r="X21" s="30" t="str">
        <f>IF(ISERROR(FIND($A$2,Lines!X21))=TRUE,"",MID(Lines!X21,FIND($A$2,Lines!X21)+LEN($A$2)+1,FIND(",",_xlfn.CONCAT(Lines!X21,","),FIND($A$2,Lines!X21))-FIND($A$2,Lines!X21)-LEN($A$2)-1))</f>
        <v/>
      </c>
      <c r="Y21" s="30" t="str">
        <f>IF(ISERROR(FIND($A$2,Lines!Y21))=TRUE,"",MID(Lines!Y21,FIND($A$2,Lines!Y21)+LEN($A$2)+1,FIND(",",_xlfn.CONCAT(Lines!Y21,","),FIND($A$2,Lines!Y21))-FIND($A$2,Lines!Y21)-LEN($A$2)-1))</f>
        <v/>
      </c>
      <c r="Z21" s="30" t="str">
        <f>IF(ISERROR(FIND($A$2,Lines!Z21))=TRUE,"",MID(Lines!Z21,FIND($A$2,Lines!Z21)+LEN($A$2)+1,FIND(",",_xlfn.CONCAT(Lines!Z21,","),FIND($A$2,Lines!Z21))-FIND($A$2,Lines!Z21)-LEN($A$2)-1))</f>
        <v/>
      </c>
      <c r="AA21" s="30" t="str">
        <f>IF(ISERROR(FIND($A$2,Lines!AA21))=TRUE,"",MID(Lines!AA21,FIND($A$2,Lines!AA21)+LEN($A$2)+1,FIND(",",_xlfn.CONCAT(Lines!AA21,","),FIND($A$2,Lines!AA21))-FIND($A$2,Lines!AA21)-LEN($A$2)-1))</f>
        <v/>
      </c>
      <c r="AB21" s="30" t="str">
        <f>IF(ISERROR(FIND($A$2,Lines!AB21))=TRUE,"",MID(Lines!AB21,FIND($A$2,Lines!AB21)+LEN($A$2)+1,FIND(",",_xlfn.CONCAT(Lines!AB21,","),FIND($A$2,Lines!AB21))-FIND($A$2,Lines!AB21)-LEN($A$2)-1))</f>
        <v/>
      </c>
      <c r="AC21" s="30" t="str">
        <f>IF(ISERROR(FIND($A$2,Lines!AC21))=TRUE,"",MID(Lines!AC21,FIND($A$2,Lines!AC21)+LEN($A$2)+1,FIND(",",_xlfn.CONCAT(Lines!AC21,","),FIND($A$2,Lines!AC21))-FIND($A$2,Lines!AC21)-LEN($A$2)-1))</f>
        <v/>
      </c>
      <c r="AD21" s="30" t="str">
        <f>IF(ISERROR(FIND($A$2,Lines!AD21))=TRUE,"",MID(Lines!AD21,FIND($A$2,Lines!AD21)+LEN($A$2)+1,FIND(",",_xlfn.CONCAT(Lines!AD21,","),FIND($A$2,Lines!AD21))-FIND($A$2,Lines!AD21)-LEN($A$2)-1))</f>
        <v/>
      </c>
      <c r="AE21" s="30" t="str">
        <f>IF(ISERROR(FIND($A$2,Lines!AE21))=TRUE,"",MID(Lines!AE21,FIND($A$2,Lines!AE21)+LEN($A$2)+1,FIND(",",_xlfn.CONCAT(Lines!AE21,","),FIND($A$2,Lines!AE21))-FIND($A$2,Lines!AE21)-LEN($A$2)-1))</f>
        <v/>
      </c>
      <c r="AF21" s="30" t="str">
        <f>IF(ISERROR(FIND($A$2,Lines!AF21))=TRUE,"",MID(Lines!AF21,FIND($A$2,Lines!AF21)+LEN($A$2)+1,FIND(",",_xlfn.CONCAT(Lines!AF21,","),FIND($A$2,Lines!AF21))-FIND($A$2,Lines!AF21)-LEN($A$2)-1))</f>
        <v/>
      </c>
      <c r="AG21" s="30" t="str">
        <f>IF(ISERROR(FIND($A$2,Lines!AG21))=TRUE,"",MID(Lines!AG21,FIND($A$2,Lines!AG21)+LEN($A$2)+1,FIND(",",_xlfn.CONCAT(Lines!AG21,","),FIND($A$2,Lines!AG21))-FIND($A$2,Lines!AG21)-LEN($A$2)-1))</f>
        <v/>
      </c>
      <c r="AH21" s="30" t="str">
        <f>IF(ISERROR(FIND($A$2,Lines!AH21))=TRUE,"",MID(Lines!AH21,FIND($A$2,Lines!AH21)+LEN($A$2)+1,FIND(",",_xlfn.CONCAT(Lines!AH21,","),FIND($A$2,Lines!AH21))-FIND($A$2,Lines!AH21)-LEN($A$2)-1))</f>
        <v/>
      </c>
      <c r="AI21" s="30" t="str">
        <f>IF(ISERROR(FIND($A$2,Lines!AI21))=TRUE,"",MID(Lines!AI21,FIND($A$2,Lines!AI21)+LEN($A$2)+1,FIND(",",_xlfn.CONCAT(Lines!AI21,","),FIND($A$2,Lines!AI21))-FIND($A$2,Lines!AI21)-LEN($A$2)-1))</f>
        <v/>
      </c>
      <c r="AJ21" s="30" t="str">
        <f>IF(ISERROR(FIND($A$2,Lines!AJ21))=TRUE,"",MID(Lines!AJ21,FIND($A$2,Lines!AJ21)+LEN($A$2)+1,FIND(",",_xlfn.CONCAT(Lines!AJ21,","),FIND($A$2,Lines!AJ21))-FIND($A$2,Lines!AJ21)-LEN($A$2)-1))</f>
        <v/>
      </c>
      <c r="AK21" s="30" t="str">
        <f>IF(ISERROR(FIND($A$2,Lines!AK21))=TRUE,"",MID(Lines!AK21,FIND($A$2,Lines!AK21)+LEN($A$2)+1,FIND(",",_xlfn.CONCAT(Lines!AK21,","),FIND($A$2,Lines!AK21))-FIND($A$2,Lines!AK21)-LEN($A$2)-1))</f>
        <v/>
      </c>
      <c r="AL21" s="30" t="str">
        <f>IF(ISERROR(FIND($A$2,Lines!AL21))=TRUE,"",MID(Lines!AL21,FIND($A$2,Lines!AL21)+LEN($A$2)+1,FIND(",",_xlfn.CONCAT(Lines!AL21,","),FIND($A$2,Lines!AL21))-FIND($A$2,Lines!AL21)-LEN($A$2)-1))</f>
        <v/>
      </c>
      <c r="AM21" s="30" t="str">
        <f>IF(ISERROR(FIND($A$2,Lines!AM21))=TRUE,"",MID(Lines!AM21,FIND($A$2,Lines!AM21)+LEN($A$2)+1,FIND(",",_xlfn.CONCAT(Lines!AM21,","),FIND($A$2,Lines!AM21))-FIND($A$2,Lines!AM21)-LEN($A$2)-1))</f>
        <v/>
      </c>
      <c r="AN21" s="30" t="str">
        <f>IF(ISERROR(FIND($A$2,Lines!AN21))=TRUE,"",MID(Lines!AN21,FIND($A$2,Lines!AN21)+LEN($A$2)+1,FIND(",",_xlfn.CONCAT(Lines!AN21,","),FIND($A$2,Lines!AN21))-FIND($A$2,Lines!AN21)-LEN($A$2)-1))</f>
        <v/>
      </c>
      <c r="AO21" s="30" t="str">
        <f>IF(ISERROR(FIND($A$2,Lines!AO21))=TRUE,"",MID(Lines!AO21,FIND($A$2,Lines!AO21)+LEN($A$2)+1,FIND(",",_xlfn.CONCAT(Lines!AO21,","),FIND($A$2,Lines!AO21))-FIND($A$2,Lines!AO21)-LEN($A$2)-1))</f>
        <v/>
      </c>
      <c r="AP21" s="30" t="str">
        <f>IF(ISERROR(FIND($A$2,Lines!AP21))=TRUE,"",MID(Lines!AP21,FIND($A$2,Lines!AP21)+LEN($A$2)+1,FIND(",",_xlfn.CONCAT(Lines!AP21,","),FIND($A$2,Lines!AP21))-FIND($A$2,Lines!AP21)-LEN($A$2)-1))</f>
        <v/>
      </c>
      <c r="AQ21" s="30" t="str">
        <f>IF(ISERROR(FIND($A$2,Lines!AQ21))=TRUE,"",MID(Lines!AQ21,FIND($A$2,Lines!AQ21)+LEN($A$2)+1,FIND(",",_xlfn.CONCAT(Lines!AQ21,","),FIND($A$2,Lines!AQ21))-FIND($A$2,Lines!AQ21)-LEN($A$2)-1))</f>
        <v/>
      </c>
      <c r="AR21" s="30" t="str">
        <f>IF(ISERROR(FIND($A$2,Lines!AR21))=TRUE,"",MID(Lines!AR21,FIND($A$2,Lines!AR21)+LEN($A$2)+1,FIND(",",_xlfn.CONCAT(Lines!AR21,","),FIND($A$2,Lines!AR21))-FIND($A$2,Lines!AR21)-LEN($A$2)-1))</f>
        <v/>
      </c>
      <c r="AS21" s="30" t="str">
        <f>IF(ISERROR(FIND($A$2,Lines!AS21))=TRUE,"",MID(Lines!AS21,FIND($A$2,Lines!AS21)+LEN($A$2)+1,FIND(",",_xlfn.CONCAT(Lines!AS21,","),FIND($A$2,Lines!AS21))-FIND($A$2,Lines!AS21)-LEN($A$2)-1))</f>
        <v/>
      </c>
      <c r="AT21" s="30" t="str">
        <f>IF(ISERROR(FIND($A$2,Lines!AT21))=TRUE,"",MID(Lines!AT21,FIND($A$2,Lines!AT21)+LEN($A$2)+1,FIND(",",_xlfn.CONCAT(Lines!AT21,","),FIND($A$2,Lines!AT21))-FIND($A$2,Lines!AT21)-LEN($A$2)-1))</f>
        <v/>
      </c>
    </row>
    <row r="22" spans="1:46" ht="20.25" customHeight="1">
      <c r="A22" s="2" t="s">
        <v>70</v>
      </c>
      <c r="B22" s="30" t="str">
        <f>IF(ISERROR(FIND($A$2,Lines!B22))=TRUE,"",MID(Lines!B22,FIND($A$2,Lines!B22)+LEN($A$2)+1,FIND(",",_xlfn.CONCAT(Lines!B22,","),FIND($A$2,Lines!B22))-FIND($A$2,Lines!B22)-LEN($A$2)-1))</f>
        <v/>
      </c>
      <c r="C22" s="30" t="str">
        <f>IF(ISERROR(FIND($A$2,Lines!C22))=TRUE,"",MID(Lines!C22,FIND($A$2,Lines!C22)+LEN($A$2)+1,FIND(",",_xlfn.CONCAT(Lines!C22,","),FIND($A$2,Lines!C22))-FIND($A$2,Lines!C22)-LEN($A$2)-1))</f>
        <v/>
      </c>
      <c r="D22" s="30" t="str">
        <f>IF(ISERROR(FIND($A$2,Lines!D22))=TRUE,"",MID(Lines!D22,FIND($A$2,Lines!D22)+LEN($A$2)+1,FIND(",",_xlfn.CONCAT(Lines!D22,","),FIND($A$2,Lines!D22))-FIND($A$2,Lines!D22)-LEN($A$2)-1))</f>
        <v/>
      </c>
      <c r="E22" s="30" t="str">
        <f>IF(ISERROR(FIND($A$2,Lines!E22))=TRUE,"",MID(Lines!E22,FIND($A$2,Lines!E22)+LEN($A$2)+1,FIND(",",_xlfn.CONCAT(Lines!E22,","),FIND($A$2,Lines!E22))-FIND($A$2,Lines!E22)-LEN($A$2)-1))</f>
        <v/>
      </c>
      <c r="F22" s="30" t="str">
        <f>IF(ISERROR(FIND($A$2,Lines!F22))=TRUE,"",MID(Lines!F22,FIND($A$2,Lines!F22)+LEN($A$2)+1,FIND(",",_xlfn.CONCAT(Lines!F22,","),FIND($A$2,Lines!F22))-FIND($A$2,Lines!F22)-LEN($A$2)-1))</f>
        <v/>
      </c>
      <c r="G22" s="30" t="str">
        <f>IF(ISERROR(FIND($A$2,Lines!G22))=TRUE,"",MID(Lines!G22,FIND($A$2,Lines!G22)+LEN($A$2)+1,FIND(",",_xlfn.CONCAT(Lines!G22,","),FIND($A$2,Lines!G22))-FIND($A$2,Lines!G22)-LEN($A$2)-1))</f>
        <v/>
      </c>
      <c r="H22" s="30" t="str">
        <f>IF(ISERROR(FIND($A$2,Lines!H22))=TRUE,"",MID(Lines!H22,FIND($A$2,Lines!H22)+LEN($A$2)+1,FIND(",",_xlfn.CONCAT(Lines!H22,","),FIND($A$2,Lines!H22))-FIND($A$2,Lines!H22)-LEN($A$2)-1))</f>
        <v/>
      </c>
      <c r="I22" s="30" t="str">
        <f>IF(ISERROR(FIND($A$2,Lines!I22))=TRUE,"",MID(Lines!I22,FIND($A$2,Lines!I22)+LEN($A$2)+1,FIND(",",_xlfn.CONCAT(Lines!I22,","),FIND($A$2,Lines!I22))-FIND($A$2,Lines!I22)-LEN($A$2)-1))</f>
        <v/>
      </c>
      <c r="J22" s="30" t="str">
        <f>IF(ISERROR(FIND($A$2,Lines!J22))=TRUE,"",MID(Lines!J22,FIND($A$2,Lines!J22)+LEN($A$2)+1,FIND(",",_xlfn.CONCAT(Lines!J22,","),FIND($A$2,Lines!J22))-FIND($A$2,Lines!J22)-LEN($A$2)-1))</f>
        <v/>
      </c>
      <c r="K22" s="30" t="str">
        <f>IF(ISERROR(FIND($A$2,Lines!K22))=TRUE,"",MID(Lines!K22,FIND($A$2,Lines!K22)+LEN($A$2)+1,FIND(",",_xlfn.CONCAT(Lines!K22,","),FIND($A$2,Lines!K22))-FIND($A$2,Lines!K22)-LEN($A$2)-1))</f>
        <v/>
      </c>
      <c r="L22" s="30" t="str">
        <f>IF(ISERROR(FIND($A$2,Lines!L22))=TRUE,"",MID(Lines!L22,FIND($A$2,Lines!L22)+LEN($A$2)+1,FIND(",",_xlfn.CONCAT(Lines!L22,","),FIND($A$2,Lines!L22))-FIND($A$2,Lines!L22)-LEN($A$2)-1))</f>
        <v/>
      </c>
      <c r="M22" s="30" t="str">
        <f>IF(ISERROR(FIND($A$2,Lines!M22))=TRUE,"",MID(Lines!M22,FIND($A$2,Lines!M22)+LEN($A$2)+1,FIND(",",_xlfn.CONCAT(Lines!M22,","),FIND($A$2,Lines!M22))-FIND($A$2,Lines!M22)-LEN($A$2)-1))</f>
        <v/>
      </c>
      <c r="N22" s="32" t="str">
        <f>IF(ISERROR(FIND($A$2,Lines!N22))=TRUE,"",MID(Lines!N22,FIND($A$2,Lines!N22)+LEN($A$2)+1,FIND(",",_xlfn.CONCAT(Lines!N22,","),FIND($A$2,Lines!N22))-FIND($A$2,Lines!N22)-LEN($A$2)-1))</f>
        <v/>
      </c>
      <c r="O22" s="25" t="str">
        <f>IF(ISERROR(FIND($A$2,Lines!O22))=TRUE,"",MID(Lines!O22,FIND($A$2,Lines!O22)+LEN($A$2)+1,FIND(",",_xlfn.CONCAT(Lines!O22,","),FIND($A$2,Lines!O22))-FIND($A$2,Lines!O22)-LEN($A$2)-1))</f>
        <v/>
      </c>
      <c r="P22" s="25" t="str">
        <f>IF(ISERROR(FIND($A$2,Lines!P22))=TRUE,"",MID(Lines!P22,FIND($A$2,Lines!P22)+LEN($A$2)+1,FIND(",",_xlfn.CONCAT(Lines!P22,","),FIND($A$2,Lines!P22))-FIND($A$2,Lines!P22)-LEN($A$2)-1))</f>
        <v/>
      </c>
      <c r="Q22" s="25" t="str">
        <f>IF(ISERROR(FIND($A$2,Lines!Q22))=TRUE,"",MID(Lines!Q22,FIND($A$2,Lines!Q22)+LEN($A$2)+1,FIND(",",_xlfn.CONCAT(Lines!Q22,","),FIND($A$2,Lines!Q22))-FIND($A$2,Lines!Q22)-LEN($A$2)-1))</f>
        <v/>
      </c>
      <c r="R22" s="25" t="str">
        <f>IF(ISERROR(FIND($A$2,Lines!R22))=TRUE,"",MID(Lines!R22,FIND($A$2,Lines!R22)+LEN($A$2)+1,FIND(",",_xlfn.CONCAT(Lines!R22,","),FIND($A$2,Lines!R22))-FIND($A$2,Lines!R22)-LEN($A$2)-1))</f>
        <v/>
      </c>
      <c r="S22" s="25" t="str">
        <f>IF(ISERROR(FIND($A$2,Lines!S22))=TRUE,"",MID(Lines!S22,FIND($A$2,Lines!S22)+LEN($A$2)+1,FIND(",",_xlfn.CONCAT(Lines!S22,","),FIND($A$2,Lines!S22))-FIND($A$2,Lines!S22)-LEN($A$2)-1))</f>
        <v/>
      </c>
      <c r="T22" s="66" t="str">
        <f>IF(ISERROR(FIND($A$2,Lines!T22))=TRUE,"",MID(Lines!T22,FIND($A$2,Lines!T22)+LEN($A$2)+1,FIND(",",_xlfn.CONCAT(Lines!T22,","),FIND($A$2,Lines!T22))-FIND($A$2,Lines!T22)-LEN($A$2)-1))</f>
        <v/>
      </c>
      <c r="U22" s="25" t="str">
        <f>IF(ISERROR(FIND($A$2,Lines!U22))=TRUE,"",MID(Lines!U22,FIND($A$2,Lines!U22)+LEN($A$2)+1,FIND(",",_xlfn.CONCAT(Lines!U22,","),FIND($A$2,Lines!U22))-FIND($A$2,Lines!U22)-LEN($A$2)-1))</f>
        <v/>
      </c>
      <c r="V22" s="35" t="str">
        <f>IF(ISERROR(FIND($A$2,Lines!V22))=TRUE,"",MID(Lines!V22,FIND($A$2,Lines!V22)+LEN($A$2)+1,FIND(",",_xlfn.CONCAT(Lines!V22,","),FIND($A$2,Lines!V22))-FIND($A$2,Lines!V22)-LEN($A$2)-1))</f>
        <v/>
      </c>
      <c r="W22" s="36" t="str">
        <f>IF(ISERROR(FIND($A$2,Lines!W22))=TRUE,"",MID(Lines!W22,FIND($A$2,Lines!W22)+LEN($A$2)+1,FIND(",",_xlfn.CONCAT(Lines!W22,","),FIND($A$2,Lines!W22))-FIND($A$2,Lines!W22)-LEN($A$2)-1))</f>
        <v/>
      </c>
      <c r="X22" s="30" t="str">
        <f>IF(ISERROR(FIND($A$2,Lines!X22))=TRUE,"",MID(Lines!X22,FIND($A$2,Lines!X22)+LEN($A$2)+1,FIND(",",_xlfn.CONCAT(Lines!X22,","),FIND($A$2,Lines!X22))-FIND($A$2,Lines!X22)-LEN($A$2)-1))</f>
        <v/>
      </c>
      <c r="Y22" s="30" t="str">
        <f>IF(ISERROR(FIND($A$2,Lines!Y22))=TRUE,"",MID(Lines!Y22,FIND($A$2,Lines!Y22)+LEN($A$2)+1,FIND(",",_xlfn.CONCAT(Lines!Y22,","),FIND($A$2,Lines!Y22))-FIND($A$2,Lines!Y22)-LEN($A$2)-1))</f>
        <v/>
      </c>
      <c r="Z22" s="30" t="str">
        <f>IF(ISERROR(FIND($A$2,Lines!Z22))=TRUE,"",MID(Lines!Z22,FIND($A$2,Lines!Z22)+LEN($A$2)+1,FIND(",",_xlfn.CONCAT(Lines!Z22,","),FIND($A$2,Lines!Z22))-FIND($A$2,Lines!Z22)-LEN($A$2)-1))</f>
        <v/>
      </c>
      <c r="AA22" s="30" t="str">
        <f>IF(ISERROR(FIND($A$2,Lines!AA22))=TRUE,"",MID(Lines!AA22,FIND($A$2,Lines!AA22)+LEN($A$2)+1,FIND(",",_xlfn.CONCAT(Lines!AA22,","),FIND($A$2,Lines!AA22))-FIND($A$2,Lines!AA22)-LEN($A$2)-1))</f>
        <v/>
      </c>
      <c r="AB22" s="30" t="str">
        <f>IF(ISERROR(FIND($A$2,Lines!AB22))=TRUE,"",MID(Lines!AB22,FIND($A$2,Lines!AB22)+LEN($A$2)+1,FIND(",",_xlfn.CONCAT(Lines!AB22,","),FIND($A$2,Lines!AB22))-FIND($A$2,Lines!AB22)-LEN($A$2)-1))</f>
        <v/>
      </c>
      <c r="AC22" s="30" t="str">
        <f>IF(ISERROR(FIND($A$2,Lines!AC22))=TRUE,"",MID(Lines!AC22,FIND($A$2,Lines!AC22)+LEN($A$2)+1,FIND(",",_xlfn.CONCAT(Lines!AC22,","),FIND($A$2,Lines!AC22))-FIND($A$2,Lines!AC22)-LEN($A$2)-1))</f>
        <v/>
      </c>
      <c r="AD22" s="30" t="str">
        <f>IF(ISERROR(FIND($A$2,Lines!AD22))=TRUE,"",MID(Lines!AD22,FIND($A$2,Lines!AD22)+LEN($A$2)+1,FIND(",",_xlfn.CONCAT(Lines!AD22,","),FIND($A$2,Lines!AD22))-FIND($A$2,Lines!AD22)-LEN($A$2)-1))</f>
        <v/>
      </c>
      <c r="AE22" s="30" t="str">
        <f>IF(ISERROR(FIND($A$2,Lines!AE22))=TRUE,"",MID(Lines!AE22,FIND($A$2,Lines!AE22)+LEN($A$2)+1,FIND(",",_xlfn.CONCAT(Lines!AE22,","),FIND($A$2,Lines!AE22))-FIND($A$2,Lines!AE22)-LEN($A$2)-1))</f>
        <v/>
      </c>
      <c r="AF22" s="30" t="str">
        <f>IF(ISERROR(FIND($A$2,Lines!AF22))=TRUE,"",MID(Lines!AF22,FIND($A$2,Lines!AF22)+LEN($A$2)+1,FIND(",",_xlfn.CONCAT(Lines!AF22,","),FIND($A$2,Lines!AF22))-FIND($A$2,Lines!AF22)-LEN($A$2)-1))</f>
        <v/>
      </c>
      <c r="AG22" s="30" t="str">
        <f>IF(ISERROR(FIND($A$2,Lines!AG22))=TRUE,"",MID(Lines!AG22,FIND($A$2,Lines!AG22)+LEN($A$2)+1,FIND(",",_xlfn.CONCAT(Lines!AG22,","),FIND($A$2,Lines!AG22))-FIND($A$2,Lines!AG22)-LEN($A$2)-1))</f>
        <v/>
      </c>
      <c r="AH22" s="30" t="str">
        <f>IF(ISERROR(FIND($A$2,Lines!AH22))=TRUE,"",MID(Lines!AH22,FIND($A$2,Lines!AH22)+LEN($A$2)+1,FIND(",",_xlfn.CONCAT(Lines!AH22,","),FIND($A$2,Lines!AH22))-FIND($A$2,Lines!AH22)-LEN($A$2)-1))</f>
        <v/>
      </c>
      <c r="AI22" s="30" t="str">
        <f>IF(ISERROR(FIND($A$2,Lines!AI22))=TRUE,"",MID(Lines!AI22,FIND($A$2,Lines!AI22)+LEN($A$2)+1,FIND(",",_xlfn.CONCAT(Lines!AI22,","),FIND($A$2,Lines!AI22))-FIND($A$2,Lines!AI22)-LEN($A$2)-1))</f>
        <v/>
      </c>
      <c r="AJ22" s="30" t="str">
        <f>IF(ISERROR(FIND($A$2,Lines!AJ22))=TRUE,"",MID(Lines!AJ22,FIND($A$2,Lines!AJ22)+LEN($A$2)+1,FIND(",",_xlfn.CONCAT(Lines!AJ22,","),FIND($A$2,Lines!AJ22))-FIND($A$2,Lines!AJ22)-LEN($A$2)-1))</f>
        <v/>
      </c>
      <c r="AK22" s="30" t="str">
        <f>IF(ISERROR(FIND($A$2,Lines!AK22))=TRUE,"",MID(Lines!AK22,FIND($A$2,Lines!AK22)+LEN($A$2)+1,FIND(",",_xlfn.CONCAT(Lines!AK22,","),FIND($A$2,Lines!AK22))-FIND($A$2,Lines!AK22)-LEN($A$2)-1))</f>
        <v/>
      </c>
      <c r="AL22" s="30" t="str">
        <f>IF(ISERROR(FIND($A$2,Lines!AL22))=TRUE,"",MID(Lines!AL22,FIND($A$2,Lines!AL22)+LEN($A$2)+1,FIND(",",_xlfn.CONCAT(Lines!AL22,","),FIND($A$2,Lines!AL22))-FIND($A$2,Lines!AL22)-LEN($A$2)-1))</f>
        <v/>
      </c>
      <c r="AM22" s="30" t="str">
        <f>IF(ISERROR(FIND($A$2,Lines!AM22))=TRUE,"",MID(Lines!AM22,FIND($A$2,Lines!AM22)+LEN($A$2)+1,FIND(",",_xlfn.CONCAT(Lines!AM22,","),FIND($A$2,Lines!AM22))-FIND($A$2,Lines!AM22)-LEN($A$2)-1))</f>
        <v/>
      </c>
      <c r="AN22" s="30" t="str">
        <f>IF(ISERROR(FIND($A$2,Lines!AN22))=TRUE,"",MID(Lines!AN22,FIND($A$2,Lines!AN22)+LEN($A$2)+1,FIND(",",_xlfn.CONCAT(Lines!AN22,","),FIND($A$2,Lines!AN22))-FIND($A$2,Lines!AN22)-LEN($A$2)-1))</f>
        <v/>
      </c>
      <c r="AO22" s="30" t="str">
        <f>IF(ISERROR(FIND($A$2,Lines!AO22))=TRUE,"",MID(Lines!AO22,FIND($A$2,Lines!AO22)+LEN($A$2)+1,FIND(",",_xlfn.CONCAT(Lines!AO22,","),FIND($A$2,Lines!AO22))-FIND($A$2,Lines!AO22)-LEN($A$2)-1))</f>
        <v/>
      </c>
      <c r="AP22" s="30" t="str">
        <f>IF(ISERROR(FIND($A$2,Lines!AP22))=TRUE,"",MID(Lines!AP22,FIND($A$2,Lines!AP22)+LEN($A$2)+1,FIND(",",_xlfn.CONCAT(Lines!AP22,","),FIND($A$2,Lines!AP22))-FIND($A$2,Lines!AP22)-LEN($A$2)-1))</f>
        <v/>
      </c>
      <c r="AQ22" s="30" t="str">
        <f>IF(ISERROR(FIND($A$2,Lines!AQ22))=TRUE,"",MID(Lines!AQ22,FIND($A$2,Lines!AQ22)+LEN($A$2)+1,FIND(",",_xlfn.CONCAT(Lines!AQ22,","),FIND($A$2,Lines!AQ22))-FIND($A$2,Lines!AQ22)-LEN($A$2)-1))</f>
        <v/>
      </c>
      <c r="AR22" s="30" t="str">
        <f>IF(ISERROR(FIND($A$2,Lines!AR22))=TRUE,"",MID(Lines!AR22,FIND($A$2,Lines!AR22)+LEN($A$2)+1,FIND(",",_xlfn.CONCAT(Lines!AR22,","),FIND($A$2,Lines!AR22))-FIND($A$2,Lines!AR22)-LEN($A$2)-1))</f>
        <v/>
      </c>
      <c r="AS22" s="30" t="str">
        <f>IF(ISERROR(FIND($A$2,Lines!AS22))=TRUE,"",MID(Lines!AS22,FIND($A$2,Lines!AS22)+LEN($A$2)+1,FIND(",",_xlfn.CONCAT(Lines!AS22,","),FIND($A$2,Lines!AS22))-FIND($A$2,Lines!AS22)-LEN($A$2)-1))</f>
        <v/>
      </c>
      <c r="AT22" s="30" t="str">
        <f>IF(ISERROR(FIND($A$2,Lines!AT22))=TRUE,"",MID(Lines!AT22,FIND($A$2,Lines!AT22)+LEN($A$2)+1,FIND(",",_xlfn.CONCAT(Lines!AT22,","),FIND($A$2,Lines!AT22))-FIND($A$2,Lines!AT22)-LEN($A$2)-1))</f>
        <v/>
      </c>
    </row>
    <row r="23" spans="1:46" ht="20.25" customHeight="1">
      <c r="A23" s="2" t="s">
        <v>71</v>
      </c>
      <c r="B23" s="30" t="str">
        <f>IF(ISERROR(FIND($A$2,Lines!B23))=TRUE,"",MID(Lines!B23,FIND($A$2,Lines!B23)+LEN($A$2)+1,FIND(",",_xlfn.CONCAT(Lines!B23,","),FIND($A$2,Lines!B23))-FIND($A$2,Lines!B23)-LEN($A$2)-1))</f>
        <v/>
      </c>
      <c r="C23" s="30" t="str">
        <f>IF(ISERROR(FIND($A$2,Lines!C23))=TRUE,"",MID(Lines!C23,FIND($A$2,Lines!C23)+LEN($A$2)+1,FIND(",",_xlfn.CONCAT(Lines!C23,","),FIND($A$2,Lines!C23))-FIND($A$2,Lines!C23)-LEN($A$2)-1))</f>
        <v/>
      </c>
      <c r="D23" s="30" t="str">
        <f>IF(ISERROR(FIND($A$2,Lines!D23))=TRUE,"",MID(Lines!D23,FIND($A$2,Lines!D23)+LEN($A$2)+1,FIND(",",_xlfn.CONCAT(Lines!D23,","),FIND($A$2,Lines!D23))-FIND($A$2,Lines!D23)-LEN($A$2)-1))</f>
        <v/>
      </c>
      <c r="E23" s="30" t="str">
        <f>IF(ISERROR(FIND($A$2,Lines!E23))=TRUE,"",MID(Lines!E23,FIND($A$2,Lines!E23)+LEN($A$2)+1,FIND(",",_xlfn.CONCAT(Lines!E23,","),FIND($A$2,Lines!E23))-FIND($A$2,Lines!E23)-LEN($A$2)-1))</f>
        <v/>
      </c>
      <c r="F23" s="30" t="str">
        <f>IF(ISERROR(FIND($A$2,Lines!F23))=TRUE,"",MID(Lines!F23,FIND($A$2,Lines!F23)+LEN($A$2)+1,FIND(",",_xlfn.CONCAT(Lines!F23,","),FIND($A$2,Lines!F23))-FIND($A$2,Lines!F23)-LEN($A$2)-1))</f>
        <v/>
      </c>
      <c r="G23" s="30" t="str">
        <f>IF(ISERROR(FIND($A$2,Lines!G23))=TRUE,"",MID(Lines!G23,FIND($A$2,Lines!G23)+LEN($A$2)+1,FIND(",",_xlfn.CONCAT(Lines!G23,","),FIND($A$2,Lines!G23))-FIND($A$2,Lines!G23)-LEN($A$2)-1))</f>
        <v/>
      </c>
      <c r="H23" s="30" t="str">
        <f>IF(ISERROR(FIND($A$2,Lines!H23))=TRUE,"",MID(Lines!H23,FIND($A$2,Lines!H23)+LEN($A$2)+1,FIND(",",_xlfn.CONCAT(Lines!H23,","),FIND($A$2,Lines!H23))-FIND($A$2,Lines!H23)-LEN($A$2)-1))</f>
        <v/>
      </c>
      <c r="I23" s="30" t="str">
        <f>IF(ISERROR(FIND($A$2,Lines!I23))=TRUE,"",MID(Lines!I23,FIND($A$2,Lines!I23)+LEN($A$2)+1,FIND(",",_xlfn.CONCAT(Lines!I23,","),FIND($A$2,Lines!I23))-FIND($A$2,Lines!I23)-LEN($A$2)-1))</f>
        <v/>
      </c>
      <c r="J23" s="30" t="str">
        <f>IF(ISERROR(FIND($A$2,Lines!J23))=TRUE,"",MID(Lines!J23,FIND($A$2,Lines!J23)+LEN($A$2)+1,FIND(",",_xlfn.CONCAT(Lines!J23,","),FIND($A$2,Lines!J23))-FIND($A$2,Lines!J23)-LEN($A$2)-1))</f>
        <v/>
      </c>
      <c r="K23" s="30" t="str">
        <f>IF(ISERROR(FIND($A$2,Lines!K23))=TRUE,"",MID(Lines!K23,FIND($A$2,Lines!K23)+LEN($A$2)+1,FIND(",",_xlfn.CONCAT(Lines!K23,","),FIND($A$2,Lines!K23))-FIND($A$2,Lines!K23)-LEN($A$2)-1))</f>
        <v/>
      </c>
      <c r="L23" s="30" t="str">
        <f>IF(ISERROR(FIND($A$2,Lines!L23))=TRUE,"",MID(Lines!L23,FIND($A$2,Lines!L23)+LEN($A$2)+1,FIND(",",_xlfn.CONCAT(Lines!L23,","),FIND($A$2,Lines!L23))-FIND($A$2,Lines!L23)-LEN($A$2)-1))</f>
        <v/>
      </c>
      <c r="M23" s="30" t="str">
        <f>IF(ISERROR(FIND($A$2,Lines!M23))=TRUE,"",MID(Lines!M23,FIND($A$2,Lines!M23)+LEN($A$2)+1,FIND(",",_xlfn.CONCAT(Lines!M23,","),FIND($A$2,Lines!M23))-FIND($A$2,Lines!M23)-LEN($A$2)-1))</f>
        <v/>
      </c>
      <c r="N23" s="32" t="str">
        <f>IF(ISERROR(FIND($A$2,Lines!N23))=TRUE,"",MID(Lines!N23,FIND($A$2,Lines!N23)+LEN($A$2)+1,FIND(",",_xlfn.CONCAT(Lines!N23,","),FIND($A$2,Lines!N23))-FIND($A$2,Lines!N23)-LEN($A$2)-1))</f>
        <v/>
      </c>
      <c r="O23" s="25" t="str">
        <f>IF(ISERROR(FIND($A$2,Lines!O23))=TRUE,"",MID(Lines!O23,FIND($A$2,Lines!O23)+LEN($A$2)+1,FIND(",",_xlfn.CONCAT(Lines!O23,","),FIND($A$2,Lines!O23))-FIND($A$2,Lines!O23)-LEN($A$2)-1))</f>
        <v/>
      </c>
      <c r="P23" s="25" t="str">
        <f>IF(ISERROR(FIND($A$2,Lines!P23))=TRUE,"",MID(Lines!P23,FIND($A$2,Lines!P23)+LEN($A$2)+1,FIND(",",_xlfn.CONCAT(Lines!P23,","),FIND($A$2,Lines!P23))-FIND($A$2,Lines!P23)-LEN($A$2)-1))</f>
        <v/>
      </c>
      <c r="Q23" s="25" t="str">
        <f>IF(ISERROR(FIND($A$2,Lines!Q23))=TRUE,"",MID(Lines!Q23,FIND($A$2,Lines!Q23)+LEN($A$2)+1,FIND(",",_xlfn.CONCAT(Lines!Q23,","),FIND($A$2,Lines!Q23))-FIND($A$2,Lines!Q23)-LEN($A$2)-1))</f>
        <v/>
      </c>
      <c r="R23" s="25" t="str">
        <f>IF(ISERROR(FIND($A$2,Lines!R23))=TRUE,"",MID(Lines!R23,FIND($A$2,Lines!R23)+LEN($A$2)+1,FIND(",",_xlfn.CONCAT(Lines!R23,","),FIND($A$2,Lines!R23))-FIND($A$2,Lines!R23)-LEN($A$2)-1))</f>
        <v/>
      </c>
      <c r="S23" s="25" t="str">
        <f>IF(ISERROR(FIND($A$2,Lines!S23))=TRUE,"",MID(Lines!S23,FIND($A$2,Lines!S23)+LEN($A$2)+1,FIND(",",_xlfn.CONCAT(Lines!S23,","),FIND($A$2,Lines!S23))-FIND($A$2,Lines!S23)-LEN($A$2)-1))</f>
        <v/>
      </c>
      <c r="T23" s="25" t="str">
        <f>IF(ISERROR(FIND($A$2,Lines!T23))=TRUE,"",MID(Lines!T23,FIND($A$2,Lines!T23)+LEN($A$2)+1,FIND(",",_xlfn.CONCAT(Lines!T23,","),FIND($A$2,Lines!T23))-FIND($A$2,Lines!T23)-LEN($A$2)-1))</f>
        <v/>
      </c>
      <c r="U23" s="66" t="str">
        <f>IF(ISERROR(FIND($A$2,Lines!U23))=TRUE,"",MID(Lines!U23,FIND($A$2,Lines!U23)+LEN($A$2)+1,FIND(",",_xlfn.CONCAT(Lines!U23,","),FIND($A$2,Lines!U23))-FIND($A$2,Lines!U23)-LEN($A$2)-1))</f>
        <v/>
      </c>
      <c r="V23" s="35" t="str">
        <f>IF(ISERROR(FIND($A$2,Lines!V23))=TRUE,"",MID(Lines!V23,FIND($A$2,Lines!V23)+LEN($A$2)+1,FIND(",",_xlfn.CONCAT(Lines!V23,","),FIND($A$2,Lines!V23))-FIND($A$2,Lines!V23)-LEN($A$2)-1))</f>
        <v>1</v>
      </c>
      <c r="W23" s="36" t="str">
        <f>IF(ISERROR(FIND($A$2,Lines!W23))=TRUE,"",MID(Lines!W23,FIND($A$2,Lines!W23)+LEN($A$2)+1,FIND(",",_xlfn.CONCAT(Lines!W23,","),FIND($A$2,Lines!W23))-FIND($A$2,Lines!W23)-LEN($A$2)-1))</f>
        <v/>
      </c>
      <c r="X23" s="30" t="str">
        <f>IF(ISERROR(FIND($A$2,Lines!X23))=TRUE,"",MID(Lines!X23,FIND($A$2,Lines!X23)+LEN($A$2)+1,FIND(",",_xlfn.CONCAT(Lines!X23,","),FIND($A$2,Lines!X23))-FIND($A$2,Lines!X23)-LEN($A$2)-1))</f>
        <v/>
      </c>
      <c r="Y23" s="30" t="str">
        <f>IF(ISERROR(FIND($A$2,Lines!Y23))=TRUE,"",MID(Lines!Y23,FIND($A$2,Lines!Y23)+LEN($A$2)+1,FIND(",",_xlfn.CONCAT(Lines!Y23,","),FIND($A$2,Lines!Y23))-FIND($A$2,Lines!Y23)-LEN($A$2)-1))</f>
        <v/>
      </c>
      <c r="Z23" s="30" t="str">
        <f>IF(ISERROR(FIND($A$2,Lines!Z23))=TRUE,"",MID(Lines!Z23,FIND($A$2,Lines!Z23)+LEN($A$2)+1,FIND(",",_xlfn.CONCAT(Lines!Z23,","),FIND($A$2,Lines!Z23))-FIND($A$2,Lines!Z23)-LEN($A$2)-1))</f>
        <v/>
      </c>
      <c r="AA23" s="30" t="str">
        <f>IF(ISERROR(FIND($A$2,Lines!AA23))=TRUE,"",MID(Lines!AA23,FIND($A$2,Lines!AA23)+LEN($A$2)+1,FIND(",",_xlfn.CONCAT(Lines!AA23,","),FIND($A$2,Lines!AA23))-FIND($A$2,Lines!AA23)-LEN($A$2)-1))</f>
        <v/>
      </c>
      <c r="AB23" s="30" t="str">
        <f>IF(ISERROR(FIND($A$2,Lines!AB23))=TRUE,"",MID(Lines!AB23,FIND($A$2,Lines!AB23)+LEN($A$2)+1,FIND(",",_xlfn.CONCAT(Lines!AB23,","),FIND($A$2,Lines!AB23))-FIND($A$2,Lines!AB23)-LEN($A$2)-1))</f>
        <v/>
      </c>
      <c r="AC23" s="30" t="str">
        <f>IF(ISERROR(FIND($A$2,Lines!AC23))=TRUE,"",MID(Lines!AC23,FIND($A$2,Lines!AC23)+LEN($A$2)+1,FIND(",",_xlfn.CONCAT(Lines!AC23,","),FIND($A$2,Lines!AC23))-FIND($A$2,Lines!AC23)-LEN($A$2)-1))</f>
        <v/>
      </c>
      <c r="AD23" s="30" t="str">
        <f>IF(ISERROR(FIND($A$2,Lines!AD23))=TRUE,"",MID(Lines!AD23,FIND($A$2,Lines!AD23)+LEN($A$2)+1,FIND(",",_xlfn.CONCAT(Lines!AD23,","),FIND($A$2,Lines!AD23))-FIND($A$2,Lines!AD23)-LEN($A$2)-1))</f>
        <v/>
      </c>
      <c r="AE23" s="30" t="str">
        <f>IF(ISERROR(FIND($A$2,Lines!AE23))=TRUE,"",MID(Lines!AE23,FIND($A$2,Lines!AE23)+LEN($A$2)+1,FIND(",",_xlfn.CONCAT(Lines!AE23,","),FIND($A$2,Lines!AE23))-FIND($A$2,Lines!AE23)-LEN($A$2)-1))</f>
        <v/>
      </c>
      <c r="AF23" s="30" t="str">
        <f>IF(ISERROR(FIND($A$2,Lines!AF23))=TRUE,"",MID(Lines!AF23,FIND($A$2,Lines!AF23)+LEN($A$2)+1,FIND(",",_xlfn.CONCAT(Lines!AF23,","),FIND($A$2,Lines!AF23))-FIND($A$2,Lines!AF23)-LEN($A$2)-1))</f>
        <v/>
      </c>
      <c r="AG23" s="30" t="str">
        <f>IF(ISERROR(FIND($A$2,Lines!AG23))=TRUE,"",MID(Lines!AG23,FIND($A$2,Lines!AG23)+LEN($A$2)+1,FIND(",",_xlfn.CONCAT(Lines!AG23,","),FIND($A$2,Lines!AG23))-FIND($A$2,Lines!AG23)-LEN($A$2)-1))</f>
        <v/>
      </c>
      <c r="AH23" s="30" t="str">
        <f>IF(ISERROR(FIND($A$2,Lines!AH23))=TRUE,"",MID(Lines!AH23,FIND($A$2,Lines!AH23)+LEN($A$2)+1,FIND(",",_xlfn.CONCAT(Lines!AH23,","),FIND($A$2,Lines!AH23))-FIND($A$2,Lines!AH23)-LEN($A$2)-1))</f>
        <v/>
      </c>
      <c r="AI23" s="30" t="str">
        <f>IF(ISERROR(FIND($A$2,Lines!AI23))=TRUE,"",MID(Lines!AI23,FIND($A$2,Lines!AI23)+LEN($A$2)+1,FIND(",",_xlfn.CONCAT(Lines!AI23,","),FIND($A$2,Lines!AI23))-FIND($A$2,Lines!AI23)-LEN($A$2)-1))</f>
        <v/>
      </c>
      <c r="AJ23" s="30" t="str">
        <f>IF(ISERROR(FIND($A$2,Lines!AJ23))=TRUE,"",MID(Lines!AJ23,FIND($A$2,Lines!AJ23)+LEN($A$2)+1,FIND(",",_xlfn.CONCAT(Lines!AJ23,","),FIND($A$2,Lines!AJ23))-FIND($A$2,Lines!AJ23)-LEN($A$2)-1))</f>
        <v/>
      </c>
      <c r="AK23" s="30" t="str">
        <f>IF(ISERROR(FIND($A$2,Lines!AK23))=TRUE,"",MID(Lines!AK23,FIND($A$2,Lines!AK23)+LEN($A$2)+1,FIND(",",_xlfn.CONCAT(Lines!AK23,","),FIND($A$2,Lines!AK23))-FIND($A$2,Lines!AK23)-LEN($A$2)-1))</f>
        <v/>
      </c>
      <c r="AL23" s="30" t="str">
        <f>IF(ISERROR(FIND($A$2,Lines!AL23))=TRUE,"",MID(Lines!AL23,FIND($A$2,Lines!AL23)+LEN($A$2)+1,FIND(",",_xlfn.CONCAT(Lines!AL23,","),FIND($A$2,Lines!AL23))-FIND($A$2,Lines!AL23)-LEN($A$2)-1))</f>
        <v/>
      </c>
      <c r="AM23" s="30" t="str">
        <f>IF(ISERROR(FIND($A$2,Lines!AM23))=TRUE,"",MID(Lines!AM23,FIND($A$2,Lines!AM23)+LEN($A$2)+1,FIND(",",_xlfn.CONCAT(Lines!AM23,","),FIND($A$2,Lines!AM23))-FIND($A$2,Lines!AM23)-LEN($A$2)-1))</f>
        <v/>
      </c>
      <c r="AN23" s="30" t="str">
        <f>IF(ISERROR(FIND($A$2,Lines!AN23))=TRUE,"",MID(Lines!AN23,FIND($A$2,Lines!AN23)+LEN($A$2)+1,FIND(",",_xlfn.CONCAT(Lines!AN23,","),FIND($A$2,Lines!AN23))-FIND($A$2,Lines!AN23)-LEN($A$2)-1))</f>
        <v/>
      </c>
      <c r="AO23" s="30" t="str">
        <f>IF(ISERROR(FIND($A$2,Lines!AO23))=TRUE,"",MID(Lines!AO23,FIND($A$2,Lines!AO23)+LEN($A$2)+1,FIND(",",_xlfn.CONCAT(Lines!AO23,","),FIND($A$2,Lines!AO23))-FIND($A$2,Lines!AO23)-LEN($A$2)-1))</f>
        <v/>
      </c>
      <c r="AP23" s="30" t="str">
        <f>IF(ISERROR(FIND($A$2,Lines!AP23))=TRUE,"",MID(Lines!AP23,FIND($A$2,Lines!AP23)+LEN($A$2)+1,FIND(",",_xlfn.CONCAT(Lines!AP23,","),FIND($A$2,Lines!AP23))-FIND($A$2,Lines!AP23)-LEN($A$2)-1))</f>
        <v/>
      </c>
      <c r="AQ23" s="30" t="str">
        <f>IF(ISERROR(FIND($A$2,Lines!AQ23))=TRUE,"",MID(Lines!AQ23,FIND($A$2,Lines!AQ23)+LEN($A$2)+1,FIND(",",_xlfn.CONCAT(Lines!AQ23,","),FIND($A$2,Lines!AQ23))-FIND($A$2,Lines!AQ23)-LEN($A$2)-1))</f>
        <v/>
      </c>
      <c r="AR23" s="30" t="str">
        <f>IF(ISERROR(FIND($A$2,Lines!AR23))=TRUE,"",MID(Lines!AR23,FIND($A$2,Lines!AR23)+LEN($A$2)+1,FIND(",",_xlfn.CONCAT(Lines!AR23,","),FIND($A$2,Lines!AR23))-FIND($A$2,Lines!AR23)-LEN($A$2)-1))</f>
        <v/>
      </c>
      <c r="AS23" s="30" t="str">
        <f>IF(ISERROR(FIND($A$2,Lines!AS23))=TRUE,"",MID(Lines!AS23,FIND($A$2,Lines!AS23)+LEN($A$2)+1,FIND(",",_xlfn.CONCAT(Lines!AS23,","),FIND($A$2,Lines!AS23))-FIND($A$2,Lines!AS23)-LEN($A$2)-1))</f>
        <v/>
      </c>
      <c r="AT23" s="30" t="str">
        <f>IF(ISERROR(FIND($A$2,Lines!AT23))=TRUE,"",MID(Lines!AT23,FIND($A$2,Lines!AT23)+LEN($A$2)+1,FIND(",",_xlfn.CONCAT(Lines!AT23,","),FIND($A$2,Lines!AT23))-FIND($A$2,Lines!AT23)-LEN($A$2)-1))</f>
        <v/>
      </c>
    </row>
    <row r="24" spans="1:46" ht="20.25" customHeight="1">
      <c r="A24" s="2" t="s">
        <v>72</v>
      </c>
      <c r="B24" s="30" t="str">
        <f>IF(ISERROR(FIND($A$2,Lines!B24))=TRUE,"",MID(Lines!B24,FIND($A$2,Lines!B24)+LEN($A$2)+1,FIND(",",_xlfn.CONCAT(Lines!B24,","),FIND($A$2,Lines!B24))-FIND($A$2,Lines!B24)-LEN($A$2)-1))</f>
        <v/>
      </c>
      <c r="C24" s="30" t="str">
        <f>IF(ISERROR(FIND($A$2,Lines!C24))=TRUE,"",MID(Lines!C24,FIND($A$2,Lines!C24)+LEN($A$2)+1,FIND(",",_xlfn.CONCAT(Lines!C24,","),FIND($A$2,Lines!C24))-FIND($A$2,Lines!C24)-LEN($A$2)-1))</f>
        <v/>
      </c>
      <c r="D24" s="30" t="str">
        <f>IF(ISERROR(FIND($A$2,Lines!D24))=TRUE,"",MID(Lines!D24,FIND($A$2,Lines!D24)+LEN($A$2)+1,FIND(",",_xlfn.CONCAT(Lines!D24,","),FIND($A$2,Lines!D24))-FIND($A$2,Lines!D24)-LEN($A$2)-1))</f>
        <v/>
      </c>
      <c r="E24" s="30" t="str">
        <f>IF(ISERROR(FIND($A$2,Lines!E24))=TRUE,"",MID(Lines!E24,FIND($A$2,Lines!E24)+LEN($A$2)+1,FIND(",",_xlfn.CONCAT(Lines!E24,","),FIND($A$2,Lines!E24))-FIND($A$2,Lines!E24)-LEN($A$2)-1))</f>
        <v/>
      </c>
      <c r="F24" s="30" t="str">
        <f>IF(ISERROR(FIND($A$2,Lines!F24))=TRUE,"",MID(Lines!F24,FIND($A$2,Lines!F24)+LEN($A$2)+1,FIND(",",_xlfn.CONCAT(Lines!F24,","),FIND($A$2,Lines!F24))-FIND($A$2,Lines!F24)-LEN($A$2)-1))</f>
        <v/>
      </c>
      <c r="G24" s="30" t="str">
        <f>IF(ISERROR(FIND($A$2,Lines!G24))=TRUE,"",MID(Lines!G24,FIND($A$2,Lines!G24)+LEN($A$2)+1,FIND(",",_xlfn.CONCAT(Lines!G24,","),FIND($A$2,Lines!G24))-FIND($A$2,Lines!G24)-LEN($A$2)-1))</f>
        <v/>
      </c>
      <c r="H24" s="30" t="str">
        <f>IF(ISERROR(FIND($A$2,Lines!H24))=TRUE,"",MID(Lines!H24,FIND($A$2,Lines!H24)+LEN($A$2)+1,FIND(",",_xlfn.CONCAT(Lines!H24,","),FIND($A$2,Lines!H24))-FIND($A$2,Lines!H24)-LEN($A$2)-1))</f>
        <v/>
      </c>
      <c r="I24" s="30" t="str">
        <f>IF(ISERROR(FIND($A$2,Lines!I24))=TRUE,"",MID(Lines!I24,FIND($A$2,Lines!I24)+LEN($A$2)+1,FIND(",",_xlfn.CONCAT(Lines!I24,","),FIND($A$2,Lines!I24))-FIND($A$2,Lines!I24)-LEN($A$2)-1))</f>
        <v/>
      </c>
      <c r="J24" s="30" t="str">
        <f>IF(ISERROR(FIND($A$2,Lines!J24))=TRUE,"",MID(Lines!J24,FIND($A$2,Lines!J24)+LEN($A$2)+1,FIND(",",_xlfn.CONCAT(Lines!J24,","),FIND($A$2,Lines!J24))-FIND($A$2,Lines!J24)-LEN($A$2)-1))</f>
        <v/>
      </c>
      <c r="K24" s="30" t="str">
        <f>IF(ISERROR(FIND($A$2,Lines!K24))=TRUE,"",MID(Lines!K24,FIND($A$2,Lines!K24)+LEN($A$2)+1,FIND(",",_xlfn.CONCAT(Lines!K24,","),FIND($A$2,Lines!K24))-FIND($A$2,Lines!K24)-LEN($A$2)-1))</f>
        <v/>
      </c>
      <c r="L24" s="30" t="str">
        <f>IF(ISERROR(FIND($A$2,Lines!L24))=TRUE,"",MID(Lines!L24,FIND($A$2,Lines!L24)+LEN($A$2)+1,FIND(",",_xlfn.CONCAT(Lines!L24,","),FIND($A$2,Lines!L24))-FIND($A$2,Lines!L24)-LEN($A$2)-1))</f>
        <v/>
      </c>
      <c r="M24" s="30" t="str">
        <f>IF(ISERROR(FIND($A$2,Lines!M24))=TRUE,"",MID(Lines!M24,FIND($A$2,Lines!M24)+LEN($A$2)+1,FIND(",",_xlfn.CONCAT(Lines!M24,","),FIND($A$2,Lines!M24))-FIND($A$2,Lines!M24)-LEN($A$2)-1))</f>
        <v/>
      </c>
      <c r="N24" s="37" t="str">
        <f>IF(ISERROR(FIND($A$2,Lines!N24))=TRUE,"",MID(Lines!N24,FIND($A$2,Lines!N24)+LEN($A$2)+1,FIND(",",_xlfn.CONCAT(Lines!N24,","),FIND($A$2,Lines!N24))-FIND($A$2,Lines!N24)-LEN($A$2)-1))</f>
        <v/>
      </c>
      <c r="O24" s="38" t="str">
        <f>IF(ISERROR(FIND($A$2,Lines!O24))=TRUE,"",MID(Lines!O24,FIND($A$2,Lines!O24)+LEN($A$2)+1,FIND(",",_xlfn.CONCAT(Lines!O24,","),FIND($A$2,Lines!O24))-FIND($A$2,Lines!O24)-LEN($A$2)-1))</f>
        <v/>
      </c>
      <c r="P24" s="38" t="str">
        <f>IF(ISERROR(FIND($A$2,Lines!P24))=TRUE,"",MID(Lines!P24,FIND($A$2,Lines!P24)+LEN($A$2)+1,FIND(",",_xlfn.CONCAT(Lines!P24,","),FIND($A$2,Lines!P24))-FIND($A$2,Lines!P24)-LEN($A$2)-1))</f>
        <v/>
      </c>
      <c r="Q24" s="38" t="str">
        <f>IF(ISERROR(FIND($A$2,Lines!Q24))=TRUE,"",MID(Lines!Q24,FIND($A$2,Lines!Q24)+LEN($A$2)+1,FIND(",",_xlfn.CONCAT(Lines!Q24,","),FIND($A$2,Lines!Q24))-FIND($A$2,Lines!Q24)-LEN($A$2)-1))</f>
        <v/>
      </c>
      <c r="R24" s="38" t="str">
        <f>IF(ISERROR(FIND($A$2,Lines!R24))=TRUE,"",MID(Lines!R24,FIND($A$2,Lines!R24)+LEN($A$2)+1,FIND(",",_xlfn.CONCAT(Lines!R24,","),FIND($A$2,Lines!R24))-FIND($A$2,Lines!R24)-LEN($A$2)-1))</f>
        <v/>
      </c>
      <c r="S24" s="38" t="str">
        <f>IF(ISERROR(FIND($A$2,Lines!S24))=TRUE,"",MID(Lines!S24,FIND($A$2,Lines!S24)+LEN($A$2)+1,FIND(",",_xlfn.CONCAT(Lines!S24,","),FIND($A$2,Lines!S24))-FIND($A$2,Lines!S24)-LEN($A$2)-1))</f>
        <v/>
      </c>
      <c r="T24" s="38" t="str">
        <f>IF(ISERROR(FIND($A$2,Lines!T24))=TRUE,"",MID(Lines!T24,FIND($A$2,Lines!T24)+LEN($A$2)+1,FIND(",",_xlfn.CONCAT(Lines!T24,","),FIND($A$2,Lines!T24))-FIND($A$2,Lines!T24)-LEN($A$2)-1))</f>
        <v/>
      </c>
      <c r="U24" s="38" t="str">
        <f>IF(ISERROR(FIND($A$2,Lines!U24))=TRUE,"",MID(Lines!U24,FIND($A$2,Lines!U24)+LEN($A$2)+1,FIND(",",_xlfn.CONCAT(Lines!U24,","),FIND($A$2,Lines!U24))-FIND($A$2,Lines!U24)-LEN($A$2)-1))</f>
        <v>1</v>
      </c>
      <c r="V24" s="67" t="str">
        <f>IF(ISERROR(FIND($A$2,Lines!V24))=TRUE,"",MID(Lines!V24,FIND($A$2,Lines!V24)+LEN($A$2)+1,FIND(",",_xlfn.CONCAT(Lines!V24,","),FIND($A$2,Lines!V24))-FIND($A$2,Lines!V24)-LEN($A$2)-1))</f>
        <v/>
      </c>
      <c r="W24" s="36" t="str">
        <f>IF(ISERROR(FIND($A$2,Lines!W24))=TRUE,"",MID(Lines!W24,FIND($A$2,Lines!W24)+LEN($A$2)+1,FIND(",",_xlfn.CONCAT(Lines!W24,","),FIND($A$2,Lines!W24))-FIND($A$2,Lines!W24)-LEN($A$2)-1))</f>
        <v/>
      </c>
      <c r="X24" s="30" t="str">
        <f>IF(ISERROR(FIND($A$2,Lines!X24))=TRUE,"",MID(Lines!X24,FIND($A$2,Lines!X24)+LEN($A$2)+1,FIND(",",_xlfn.CONCAT(Lines!X24,","),FIND($A$2,Lines!X24))-FIND($A$2,Lines!X24)-LEN($A$2)-1))</f>
        <v/>
      </c>
      <c r="Y24" s="30" t="str">
        <f>IF(ISERROR(FIND($A$2,Lines!Y24))=TRUE,"",MID(Lines!Y24,FIND($A$2,Lines!Y24)+LEN($A$2)+1,FIND(",",_xlfn.CONCAT(Lines!Y24,","),FIND($A$2,Lines!Y24))-FIND($A$2,Lines!Y24)-LEN($A$2)-1))</f>
        <v/>
      </c>
      <c r="Z24" s="30" t="str">
        <f>IF(ISERROR(FIND($A$2,Lines!Z24))=TRUE,"",MID(Lines!Z24,FIND($A$2,Lines!Z24)+LEN($A$2)+1,FIND(",",_xlfn.CONCAT(Lines!Z24,","),FIND($A$2,Lines!Z24))-FIND($A$2,Lines!Z24)-LEN($A$2)-1))</f>
        <v/>
      </c>
      <c r="AA24" s="30" t="str">
        <f>IF(ISERROR(FIND($A$2,Lines!AA24))=TRUE,"",MID(Lines!AA24,FIND($A$2,Lines!AA24)+LEN($A$2)+1,FIND(",",_xlfn.CONCAT(Lines!AA24,","),FIND($A$2,Lines!AA24))-FIND($A$2,Lines!AA24)-LEN($A$2)-1))</f>
        <v/>
      </c>
      <c r="AB24" s="30" t="str">
        <f>IF(ISERROR(FIND($A$2,Lines!AB24))=TRUE,"",MID(Lines!AB24,FIND($A$2,Lines!AB24)+LEN($A$2)+1,FIND(",",_xlfn.CONCAT(Lines!AB24,","),FIND($A$2,Lines!AB24))-FIND($A$2,Lines!AB24)-LEN($A$2)-1))</f>
        <v/>
      </c>
      <c r="AC24" s="30" t="str">
        <f>IF(ISERROR(FIND($A$2,Lines!AC24))=TRUE,"",MID(Lines!AC24,FIND($A$2,Lines!AC24)+LEN($A$2)+1,FIND(",",_xlfn.CONCAT(Lines!AC24,","),FIND($A$2,Lines!AC24))-FIND($A$2,Lines!AC24)-LEN($A$2)-1))</f>
        <v/>
      </c>
      <c r="AD24" s="30" t="str">
        <f>IF(ISERROR(FIND($A$2,Lines!AD24))=TRUE,"",MID(Lines!AD24,FIND($A$2,Lines!AD24)+LEN($A$2)+1,FIND(",",_xlfn.CONCAT(Lines!AD24,","),FIND($A$2,Lines!AD24))-FIND($A$2,Lines!AD24)-LEN($A$2)-1))</f>
        <v/>
      </c>
      <c r="AE24" s="30" t="str">
        <f>IF(ISERROR(FIND($A$2,Lines!AE24))=TRUE,"",MID(Lines!AE24,FIND($A$2,Lines!AE24)+LEN($A$2)+1,FIND(",",_xlfn.CONCAT(Lines!AE24,","),FIND($A$2,Lines!AE24))-FIND($A$2,Lines!AE24)-LEN($A$2)-1))</f>
        <v/>
      </c>
      <c r="AF24" s="30" t="str">
        <f>IF(ISERROR(FIND($A$2,Lines!AF24))=TRUE,"",MID(Lines!AF24,FIND($A$2,Lines!AF24)+LEN($A$2)+1,FIND(",",_xlfn.CONCAT(Lines!AF24,","),FIND($A$2,Lines!AF24))-FIND($A$2,Lines!AF24)-LEN($A$2)-1))</f>
        <v/>
      </c>
      <c r="AG24" s="30" t="str">
        <f>IF(ISERROR(FIND($A$2,Lines!AG24))=TRUE,"",MID(Lines!AG24,FIND($A$2,Lines!AG24)+LEN($A$2)+1,FIND(",",_xlfn.CONCAT(Lines!AG24,","),FIND($A$2,Lines!AG24))-FIND($A$2,Lines!AG24)-LEN($A$2)-1))</f>
        <v/>
      </c>
      <c r="AH24" s="30" t="str">
        <f>IF(ISERROR(FIND($A$2,Lines!AH24))=TRUE,"",MID(Lines!AH24,FIND($A$2,Lines!AH24)+LEN($A$2)+1,FIND(",",_xlfn.CONCAT(Lines!AH24,","),FIND($A$2,Lines!AH24))-FIND($A$2,Lines!AH24)-LEN($A$2)-1))</f>
        <v/>
      </c>
      <c r="AI24" s="30" t="str">
        <f>IF(ISERROR(FIND($A$2,Lines!AI24))=TRUE,"",MID(Lines!AI24,FIND($A$2,Lines!AI24)+LEN($A$2)+1,FIND(",",_xlfn.CONCAT(Lines!AI24,","),FIND($A$2,Lines!AI24))-FIND($A$2,Lines!AI24)-LEN($A$2)-1))</f>
        <v/>
      </c>
      <c r="AJ24" s="30" t="str">
        <f>IF(ISERROR(FIND($A$2,Lines!AJ24))=TRUE,"",MID(Lines!AJ24,FIND($A$2,Lines!AJ24)+LEN($A$2)+1,FIND(",",_xlfn.CONCAT(Lines!AJ24,","),FIND($A$2,Lines!AJ24))-FIND($A$2,Lines!AJ24)-LEN($A$2)-1))</f>
        <v/>
      </c>
      <c r="AK24" s="30" t="str">
        <f>IF(ISERROR(FIND($A$2,Lines!AK24))=TRUE,"",MID(Lines!AK24,FIND($A$2,Lines!AK24)+LEN($A$2)+1,FIND(",",_xlfn.CONCAT(Lines!AK24,","),FIND($A$2,Lines!AK24))-FIND($A$2,Lines!AK24)-LEN($A$2)-1))</f>
        <v/>
      </c>
      <c r="AL24" s="30" t="str">
        <f>IF(ISERROR(FIND($A$2,Lines!AL24))=TRUE,"",MID(Lines!AL24,FIND($A$2,Lines!AL24)+LEN($A$2)+1,FIND(",",_xlfn.CONCAT(Lines!AL24,","),FIND($A$2,Lines!AL24))-FIND($A$2,Lines!AL24)-LEN($A$2)-1))</f>
        <v/>
      </c>
      <c r="AM24" s="30" t="str">
        <f>IF(ISERROR(FIND($A$2,Lines!AM24))=TRUE,"",MID(Lines!AM24,FIND($A$2,Lines!AM24)+LEN($A$2)+1,FIND(",",_xlfn.CONCAT(Lines!AM24,","),FIND($A$2,Lines!AM24))-FIND($A$2,Lines!AM24)-LEN($A$2)-1))</f>
        <v/>
      </c>
      <c r="AN24" s="30" t="str">
        <f>IF(ISERROR(FIND($A$2,Lines!AN24))=TRUE,"",MID(Lines!AN24,FIND($A$2,Lines!AN24)+LEN($A$2)+1,FIND(",",_xlfn.CONCAT(Lines!AN24,","),FIND($A$2,Lines!AN24))-FIND($A$2,Lines!AN24)-LEN($A$2)-1))</f>
        <v/>
      </c>
      <c r="AO24" s="30" t="str">
        <f>IF(ISERROR(FIND($A$2,Lines!AO24))=TRUE,"",MID(Lines!AO24,FIND($A$2,Lines!AO24)+LEN($A$2)+1,FIND(",",_xlfn.CONCAT(Lines!AO24,","),FIND($A$2,Lines!AO24))-FIND($A$2,Lines!AO24)-LEN($A$2)-1))</f>
        <v/>
      </c>
      <c r="AP24" s="30" t="str">
        <f>IF(ISERROR(FIND($A$2,Lines!AP24))=TRUE,"",MID(Lines!AP24,FIND($A$2,Lines!AP24)+LEN($A$2)+1,FIND(",",_xlfn.CONCAT(Lines!AP24,","),FIND($A$2,Lines!AP24))-FIND($A$2,Lines!AP24)-LEN($A$2)-1))</f>
        <v/>
      </c>
      <c r="AQ24" s="30" t="str">
        <f>IF(ISERROR(FIND($A$2,Lines!AQ24))=TRUE,"",MID(Lines!AQ24,FIND($A$2,Lines!AQ24)+LEN($A$2)+1,FIND(",",_xlfn.CONCAT(Lines!AQ24,","),FIND($A$2,Lines!AQ24))-FIND($A$2,Lines!AQ24)-LEN($A$2)-1))</f>
        <v/>
      </c>
      <c r="AR24" s="30" t="str">
        <f>IF(ISERROR(FIND($A$2,Lines!AR24))=TRUE,"",MID(Lines!AR24,FIND($A$2,Lines!AR24)+LEN($A$2)+1,FIND(",",_xlfn.CONCAT(Lines!AR24,","),FIND($A$2,Lines!AR24))-FIND($A$2,Lines!AR24)-LEN($A$2)-1))</f>
        <v/>
      </c>
      <c r="AS24" s="30" t="str">
        <f>IF(ISERROR(FIND($A$2,Lines!AS24))=TRUE,"",MID(Lines!AS24,FIND($A$2,Lines!AS24)+LEN($A$2)+1,FIND(",",_xlfn.CONCAT(Lines!AS24,","),FIND($A$2,Lines!AS24))-FIND($A$2,Lines!AS24)-LEN($A$2)-1))</f>
        <v/>
      </c>
      <c r="AT24" s="30" t="str">
        <f>IF(ISERROR(FIND($A$2,Lines!AT24))=TRUE,"",MID(Lines!AT24,FIND($A$2,Lines!AT24)+LEN($A$2)+1,FIND(",",_xlfn.CONCAT(Lines!AT24,","),FIND($A$2,Lines!AT24))-FIND($A$2,Lines!AT24)-LEN($A$2)-1))</f>
        <v/>
      </c>
    </row>
    <row r="25" spans="1:46" ht="20.25" customHeight="1">
      <c r="A25" s="2" t="s">
        <v>73</v>
      </c>
      <c r="B25" s="36" t="str">
        <f>IF(ISERROR(FIND($A$2,Lines!B25))=TRUE,"",MID(Lines!B25,FIND($A$2,Lines!B25)+LEN($A$2)+1,FIND(",",_xlfn.CONCAT(Lines!B25,","),FIND($A$2,Lines!B25))-FIND($A$2,Lines!B25)-LEN($A$2)-1))</f>
        <v/>
      </c>
      <c r="C25" s="36" t="str">
        <f>IF(ISERROR(FIND($A$2,Lines!C25))=TRUE,"",MID(Lines!C25,FIND($A$2,Lines!C25)+LEN($A$2)+1,FIND(",",_xlfn.CONCAT(Lines!C25,","),FIND($A$2,Lines!C25))-FIND($A$2,Lines!C25)-LEN($A$2)-1))</f>
        <v/>
      </c>
      <c r="D25" s="36" t="str">
        <f>IF(ISERROR(FIND($A$2,Lines!D25))=TRUE,"",MID(Lines!D25,FIND($A$2,Lines!D25)+LEN($A$2)+1,FIND(",",_xlfn.CONCAT(Lines!D25,","),FIND($A$2,Lines!D25))-FIND($A$2,Lines!D25)-LEN($A$2)-1))</f>
        <v/>
      </c>
      <c r="E25" s="36" t="str">
        <f>IF(ISERROR(FIND($A$2,Lines!E25))=TRUE,"",MID(Lines!E25,FIND($A$2,Lines!E25)+LEN($A$2)+1,FIND(",",_xlfn.CONCAT(Lines!E25,","),FIND($A$2,Lines!E25))-FIND($A$2,Lines!E25)-LEN($A$2)-1))</f>
        <v/>
      </c>
      <c r="F25" s="36" t="str">
        <f>IF(ISERROR(FIND($A$2,Lines!F25))=TRUE,"",MID(Lines!F25,FIND($A$2,Lines!F25)+LEN($A$2)+1,FIND(",",_xlfn.CONCAT(Lines!F25,","),FIND($A$2,Lines!F25))-FIND($A$2,Lines!F25)-LEN($A$2)-1))</f>
        <v/>
      </c>
      <c r="G25" s="36" t="str">
        <f>IF(ISERROR(FIND($A$2,Lines!G25))=TRUE,"",MID(Lines!G25,FIND($A$2,Lines!G25)+LEN($A$2)+1,FIND(",",_xlfn.CONCAT(Lines!G25,","),FIND($A$2,Lines!G25))-FIND($A$2,Lines!G25)-LEN($A$2)-1))</f>
        <v/>
      </c>
      <c r="H25" s="36" t="str">
        <f>IF(ISERROR(FIND($A$2,Lines!H25))=TRUE,"",MID(Lines!H25,FIND($A$2,Lines!H25)+LEN($A$2)+1,FIND(",",_xlfn.CONCAT(Lines!H25,","),FIND($A$2,Lines!H25))-FIND($A$2,Lines!H25)-LEN($A$2)-1))</f>
        <v/>
      </c>
      <c r="I25" s="36" t="str">
        <f>IF(ISERROR(FIND($A$2,Lines!I25))=TRUE,"",MID(Lines!I25,FIND($A$2,Lines!I25)+LEN($A$2)+1,FIND(",",_xlfn.CONCAT(Lines!I25,","),FIND($A$2,Lines!I25))-FIND($A$2,Lines!I25)-LEN($A$2)-1))</f>
        <v/>
      </c>
      <c r="J25" s="36" t="str">
        <f>IF(ISERROR(FIND($A$2,Lines!J25))=TRUE,"",MID(Lines!J25,FIND($A$2,Lines!J25)+LEN($A$2)+1,FIND(",",_xlfn.CONCAT(Lines!J25,","),FIND($A$2,Lines!J25))-FIND($A$2,Lines!J25)-LEN($A$2)-1))</f>
        <v/>
      </c>
      <c r="K25" s="36" t="str">
        <f>IF(ISERROR(FIND($A$2,Lines!K25))=TRUE,"",MID(Lines!K25,FIND($A$2,Lines!K25)+LEN($A$2)+1,FIND(",",_xlfn.CONCAT(Lines!K25,","),FIND($A$2,Lines!K25))-FIND($A$2,Lines!K25)-LEN($A$2)-1))</f>
        <v/>
      </c>
      <c r="L25" s="36" t="str">
        <f>IF(ISERROR(FIND($A$2,Lines!L25))=TRUE,"",MID(Lines!L25,FIND($A$2,Lines!L25)+LEN($A$2)+1,FIND(",",_xlfn.CONCAT(Lines!L25,","),FIND($A$2,Lines!L25))-FIND($A$2,Lines!L25)-LEN($A$2)-1))</f>
        <v/>
      </c>
      <c r="M25" s="36" t="str">
        <f>IF(ISERROR(FIND($A$2,Lines!M25))=TRUE,"",MID(Lines!M25,FIND($A$2,Lines!M25)+LEN($A$2)+1,FIND(",",_xlfn.CONCAT(Lines!M25,","),FIND($A$2,Lines!M25))-FIND($A$2,Lines!M25)-LEN($A$2)-1))</f>
        <v/>
      </c>
      <c r="N25" s="36" t="str">
        <f>IF(ISERROR(FIND($A$2,Lines!N25))=TRUE,"",MID(Lines!N25,FIND($A$2,Lines!N25)+LEN($A$2)+1,FIND(",",_xlfn.CONCAT(Lines!N25,","),FIND($A$2,Lines!N25))-FIND($A$2,Lines!N25)-LEN($A$2)-1))</f>
        <v/>
      </c>
      <c r="O25" s="36" t="str">
        <f>IF(ISERROR(FIND($A$2,Lines!O25))=TRUE,"",MID(Lines!O25,FIND($A$2,Lines!O25)+LEN($A$2)+1,FIND(",",_xlfn.CONCAT(Lines!O25,","),FIND($A$2,Lines!O25))-FIND($A$2,Lines!O25)-LEN($A$2)-1))</f>
        <v/>
      </c>
      <c r="P25" s="36" t="str">
        <f>IF(ISERROR(FIND($A$2,Lines!P25))=TRUE,"",MID(Lines!P25,FIND($A$2,Lines!P25)+LEN($A$2)+1,FIND(",",_xlfn.CONCAT(Lines!P25,","),FIND($A$2,Lines!P25))-FIND($A$2,Lines!P25)-LEN($A$2)-1))</f>
        <v/>
      </c>
      <c r="Q25" s="36" t="str">
        <f>IF(ISERROR(FIND($A$2,Lines!Q25))=TRUE,"",MID(Lines!Q25,FIND($A$2,Lines!Q25)+LEN($A$2)+1,FIND(",",_xlfn.CONCAT(Lines!Q25,","),FIND($A$2,Lines!Q25))-FIND($A$2,Lines!Q25)-LEN($A$2)-1))</f>
        <v/>
      </c>
      <c r="R25" s="36" t="str">
        <f>IF(ISERROR(FIND($A$2,Lines!R25))=TRUE,"",MID(Lines!R25,FIND($A$2,Lines!R25)+LEN($A$2)+1,FIND(",",_xlfn.CONCAT(Lines!R25,","),FIND($A$2,Lines!R25))-FIND($A$2,Lines!R25)-LEN($A$2)-1))</f>
        <v/>
      </c>
      <c r="S25" s="36" t="str">
        <f>IF(ISERROR(FIND($A$2,Lines!S25))=TRUE,"",MID(Lines!S25,FIND($A$2,Lines!S25)+LEN($A$2)+1,FIND(",",_xlfn.CONCAT(Lines!S25,","),FIND($A$2,Lines!S25))-FIND($A$2,Lines!S25)-LEN($A$2)-1))</f>
        <v/>
      </c>
      <c r="T25" s="36" t="str">
        <f>IF(ISERROR(FIND($A$2,Lines!T25))=TRUE,"",MID(Lines!T25,FIND($A$2,Lines!T25)+LEN($A$2)+1,FIND(",",_xlfn.CONCAT(Lines!T25,","),FIND($A$2,Lines!T25))-FIND($A$2,Lines!T25)-LEN($A$2)-1))</f>
        <v/>
      </c>
      <c r="U25" s="36" t="str">
        <f>IF(ISERROR(FIND($A$2,Lines!U25))=TRUE,"",MID(Lines!U25,FIND($A$2,Lines!U25)+LEN($A$2)+1,FIND(",",_xlfn.CONCAT(Lines!U25,","),FIND($A$2,Lines!U25))-FIND($A$2,Lines!U25)-LEN($A$2)-1))</f>
        <v/>
      </c>
      <c r="V25" s="36" t="str">
        <f>IF(ISERROR(FIND($A$2,Lines!V25))=TRUE,"",MID(Lines!V25,FIND($A$2,Lines!V25)+LEN($A$2)+1,FIND(",",_xlfn.CONCAT(Lines!V25,","),FIND($A$2,Lines!V25))-FIND($A$2,Lines!V25)-LEN($A$2)-1))</f>
        <v/>
      </c>
      <c r="W25" s="36" t="str">
        <f>IF(ISERROR(FIND($A$2,Lines!W25))=TRUE,"",MID(Lines!W25,FIND($A$2,Lines!W25)+LEN($A$2)+1,FIND(",",_xlfn.CONCAT(Lines!W25,","),FIND($A$2,Lines!W25))-FIND($A$2,Lines!W25)-LEN($A$2)-1))</f>
        <v/>
      </c>
      <c r="X25" s="36" t="str">
        <f>IF(ISERROR(FIND($A$2,Lines!X25))=TRUE,"",MID(Lines!X25,FIND($A$2,Lines!X25)+LEN($A$2)+1,FIND(",",_xlfn.CONCAT(Lines!X25,","),FIND($A$2,Lines!X25))-FIND($A$2,Lines!X25)-LEN($A$2)-1))</f>
        <v/>
      </c>
      <c r="Y25" s="36" t="str">
        <f>IF(ISERROR(FIND($A$2,Lines!Y25))=TRUE,"",MID(Lines!Y25,FIND($A$2,Lines!Y25)+LEN($A$2)+1,FIND(",",_xlfn.CONCAT(Lines!Y25,","),FIND($A$2,Lines!Y25))-FIND($A$2,Lines!Y25)-LEN($A$2)-1))</f>
        <v/>
      </c>
      <c r="Z25" s="36" t="str">
        <f>IF(ISERROR(FIND($A$2,Lines!Z25))=TRUE,"",MID(Lines!Z25,FIND($A$2,Lines!Z25)+LEN($A$2)+1,FIND(",",_xlfn.CONCAT(Lines!Z25,","),FIND($A$2,Lines!Z25))-FIND($A$2,Lines!Z25)-LEN($A$2)-1))</f>
        <v/>
      </c>
      <c r="AA25" s="36" t="str">
        <f>IF(ISERROR(FIND($A$2,Lines!AA25))=TRUE,"",MID(Lines!AA25,FIND($A$2,Lines!AA25)+LEN($A$2)+1,FIND(",",_xlfn.CONCAT(Lines!AA25,","),FIND($A$2,Lines!AA25))-FIND($A$2,Lines!AA25)-LEN($A$2)-1))</f>
        <v/>
      </c>
      <c r="AB25" s="36" t="str">
        <f>IF(ISERROR(FIND($A$2,Lines!AB25))=TRUE,"",MID(Lines!AB25,FIND($A$2,Lines!AB25)+LEN($A$2)+1,FIND(",",_xlfn.CONCAT(Lines!AB25,","),FIND($A$2,Lines!AB25))-FIND($A$2,Lines!AB25)-LEN($A$2)-1))</f>
        <v/>
      </c>
      <c r="AC25" s="36" t="str">
        <f>IF(ISERROR(FIND($A$2,Lines!AC25))=TRUE,"",MID(Lines!AC25,FIND($A$2,Lines!AC25)+LEN($A$2)+1,FIND(",",_xlfn.CONCAT(Lines!AC25,","),FIND($A$2,Lines!AC25))-FIND($A$2,Lines!AC25)-LEN($A$2)-1))</f>
        <v/>
      </c>
      <c r="AD25" s="36" t="str">
        <f>IF(ISERROR(FIND($A$2,Lines!AD25))=TRUE,"",MID(Lines!AD25,FIND($A$2,Lines!AD25)+LEN($A$2)+1,FIND(",",_xlfn.CONCAT(Lines!AD25,","),FIND($A$2,Lines!AD25))-FIND($A$2,Lines!AD25)-LEN($A$2)-1))</f>
        <v/>
      </c>
      <c r="AE25" s="36" t="str">
        <f>IF(ISERROR(FIND($A$2,Lines!AE25))=TRUE,"",MID(Lines!AE25,FIND($A$2,Lines!AE25)+LEN($A$2)+1,FIND(",",_xlfn.CONCAT(Lines!AE25,","),FIND($A$2,Lines!AE25))-FIND($A$2,Lines!AE25)-LEN($A$2)-1))</f>
        <v/>
      </c>
      <c r="AF25" s="36" t="str">
        <f>IF(ISERROR(FIND($A$2,Lines!AF25))=TRUE,"",MID(Lines!AF25,FIND($A$2,Lines!AF25)+LEN($A$2)+1,FIND(",",_xlfn.CONCAT(Lines!AF25,","),FIND($A$2,Lines!AF25))-FIND($A$2,Lines!AF25)-LEN($A$2)-1))</f>
        <v/>
      </c>
      <c r="AG25" s="36" t="str">
        <f>IF(ISERROR(FIND($A$2,Lines!AG25))=TRUE,"",MID(Lines!AG25,FIND($A$2,Lines!AG25)+LEN($A$2)+1,FIND(",",_xlfn.CONCAT(Lines!AG25,","),FIND($A$2,Lines!AG25))-FIND($A$2,Lines!AG25)-LEN($A$2)-1))</f>
        <v/>
      </c>
      <c r="AH25" s="36" t="str">
        <f>IF(ISERROR(FIND($A$2,Lines!AH25))=TRUE,"",MID(Lines!AH25,FIND($A$2,Lines!AH25)+LEN($A$2)+1,FIND(",",_xlfn.CONCAT(Lines!AH25,","),FIND($A$2,Lines!AH25))-FIND($A$2,Lines!AH25)-LEN($A$2)-1))</f>
        <v/>
      </c>
      <c r="AI25" s="36" t="str">
        <f>IF(ISERROR(FIND($A$2,Lines!AI25))=TRUE,"",MID(Lines!AI25,FIND($A$2,Lines!AI25)+LEN($A$2)+1,FIND(",",_xlfn.CONCAT(Lines!AI25,","),FIND($A$2,Lines!AI25))-FIND($A$2,Lines!AI25)-LEN($A$2)-1))</f>
        <v/>
      </c>
      <c r="AJ25" s="36" t="str">
        <f>IF(ISERROR(FIND($A$2,Lines!AJ25))=TRUE,"",MID(Lines!AJ25,FIND($A$2,Lines!AJ25)+LEN($A$2)+1,FIND(",",_xlfn.CONCAT(Lines!AJ25,","),FIND($A$2,Lines!AJ25))-FIND($A$2,Lines!AJ25)-LEN($A$2)-1))</f>
        <v/>
      </c>
      <c r="AK25" s="36" t="str">
        <f>IF(ISERROR(FIND($A$2,Lines!AK25))=TRUE,"",MID(Lines!AK25,FIND($A$2,Lines!AK25)+LEN($A$2)+1,FIND(",",_xlfn.CONCAT(Lines!AK25,","),FIND($A$2,Lines!AK25))-FIND($A$2,Lines!AK25)-LEN($A$2)-1))</f>
        <v/>
      </c>
      <c r="AL25" s="36" t="str">
        <f>IF(ISERROR(FIND($A$2,Lines!AL25))=TRUE,"",MID(Lines!AL25,FIND($A$2,Lines!AL25)+LEN($A$2)+1,FIND(",",_xlfn.CONCAT(Lines!AL25,","),FIND($A$2,Lines!AL25))-FIND($A$2,Lines!AL25)-LEN($A$2)-1))</f>
        <v/>
      </c>
      <c r="AM25" s="36" t="str">
        <f>IF(ISERROR(FIND($A$2,Lines!AM25))=TRUE,"",MID(Lines!AM25,FIND($A$2,Lines!AM25)+LEN($A$2)+1,FIND(",",_xlfn.CONCAT(Lines!AM25,","),FIND($A$2,Lines!AM25))-FIND($A$2,Lines!AM25)-LEN($A$2)-1))</f>
        <v/>
      </c>
      <c r="AN25" s="36" t="str">
        <f>IF(ISERROR(FIND($A$2,Lines!AN25))=TRUE,"",MID(Lines!AN25,FIND($A$2,Lines!AN25)+LEN($A$2)+1,FIND(",",_xlfn.CONCAT(Lines!AN25,","),FIND($A$2,Lines!AN25))-FIND($A$2,Lines!AN25)-LEN($A$2)-1))</f>
        <v/>
      </c>
      <c r="AO25" s="36" t="str">
        <f>IF(ISERROR(FIND($A$2,Lines!AO25))=TRUE,"",MID(Lines!AO25,FIND($A$2,Lines!AO25)+LEN($A$2)+1,FIND(",",_xlfn.CONCAT(Lines!AO25,","),FIND($A$2,Lines!AO25))-FIND($A$2,Lines!AO25)-LEN($A$2)-1))</f>
        <v/>
      </c>
      <c r="AP25" s="36" t="str">
        <f>IF(ISERROR(FIND($A$2,Lines!AP25))=TRUE,"",MID(Lines!AP25,FIND($A$2,Lines!AP25)+LEN($A$2)+1,FIND(",",_xlfn.CONCAT(Lines!AP25,","),FIND($A$2,Lines!AP25))-FIND($A$2,Lines!AP25)-LEN($A$2)-1))</f>
        <v/>
      </c>
      <c r="AQ25" s="36" t="str">
        <f>IF(ISERROR(FIND($A$2,Lines!AQ25))=TRUE,"",MID(Lines!AQ25,FIND($A$2,Lines!AQ25)+LEN($A$2)+1,FIND(",",_xlfn.CONCAT(Lines!AQ25,","),FIND($A$2,Lines!AQ25))-FIND($A$2,Lines!AQ25)-LEN($A$2)-1))</f>
        <v/>
      </c>
      <c r="AR25" s="36" t="str">
        <f>IF(ISERROR(FIND($A$2,Lines!AR25))=TRUE,"",MID(Lines!AR25,FIND($A$2,Lines!AR25)+LEN($A$2)+1,FIND(",",_xlfn.CONCAT(Lines!AR25,","),FIND($A$2,Lines!AR25))-FIND($A$2,Lines!AR25)-LEN($A$2)-1))</f>
        <v/>
      </c>
      <c r="AS25" s="36" t="str">
        <f>IF(ISERROR(FIND($A$2,Lines!AS25))=TRUE,"",MID(Lines!AS25,FIND($A$2,Lines!AS25)+LEN($A$2)+1,FIND(",",_xlfn.CONCAT(Lines!AS25,","),FIND($A$2,Lines!AS25))-FIND($A$2,Lines!AS25)-LEN($A$2)-1))</f>
        <v/>
      </c>
      <c r="AT25" s="36" t="str">
        <f>IF(ISERROR(FIND($A$2,Lines!AT25))=TRUE,"",MID(Lines!AT25,FIND($A$2,Lines!AT25)+LEN($A$2)+1,FIND(",",_xlfn.CONCAT(Lines!AT25,","),FIND($A$2,Lines!AT25))-FIND($A$2,Lines!AT25)-LEN($A$2)-1))</f>
        <v/>
      </c>
    </row>
    <row r="26" spans="1:46" ht="20.25" customHeight="1">
      <c r="A26" s="2" t="s">
        <v>74</v>
      </c>
      <c r="B26" s="30" t="str">
        <f>IF(ISERROR(FIND($A$2,Lines!B26))=TRUE,"",MID(Lines!B26,FIND($A$2,Lines!B26)+LEN($A$2)+1,FIND(",",_xlfn.CONCAT(Lines!B26,","),FIND($A$2,Lines!B26))-FIND($A$2,Lines!B26)-LEN($A$2)-1))</f>
        <v/>
      </c>
      <c r="C26" s="30" t="str">
        <f>IF(ISERROR(FIND($A$2,Lines!C26))=TRUE,"",MID(Lines!C26,FIND($A$2,Lines!C26)+LEN($A$2)+1,FIND(",",_xlfn.CONCAT(Lines!C26,","),FIND($A$2,Lines!C26))-FIND($A$2,Lines!C26)-LEN($A$2)-1))</f>
        <v/>
      </c>
      <c r="D26" s="30" t="str">
        <f>IF(ISERROR(FIND($A$2,Lines!D26))=TRUE,"",MID(Lines!D26,FIND($A$2,Lines!D26)+LEN($A$2)+1,FIND(",",_xlfn.CONCAT(Lines!D26,","),FIND($A$2,Lines!D26))-FIND($A$2,Lines!D26)-LEN($A$2)-1))</f>
        <v/>
      </c>
      <c r="E26" s="30" t="str">
        <f>IF(ISERROR(FIND($A$2,Lines!E26))=TRUE,"",MID(Lines!E26,FIND($A$2,Lines!E26)+LEN($A$2)+1,FIND(",",_xlfn.CONCAT(Lines!E26,","),FIND($A$2,Lines!E26))-FIND($A$2,Lines!E26)-LEN($A$2)-1))</f>
        <v/>
      </c>
      <c r="F26" s="30" t="str">
        <f>IF(ISERROR(FIND($A$2,Lines!F26))=TRUE,"",MID(Lines!F26,FIND($A$2,Lines!F26)+LEN($A$2)+1,FIND(",",_xlfn.CONCAT(Lines!F26,","),FIND($A$2,Lines!F26))-FIND($A$2,Lines!F26)-LEN($A$2)-1))</f>
        <v/>
      </c>
      <c r="G26" s="30" t="str">
        <f>IF(ISERROR(FIND($A$2,Lines!G26))=TRUE,"",MID(Lines!G26,FIND($A$2,Lines!G26)+LEN($A$2)+1,FIND(",",_xlfn.CONCAT(Lines!G26,","),FIND($A$2,Lines!G26))-FIND($A$2,Lines!G26)-LEN($A$2)-1))</f>
        <v/>
      </c>
      <c r="H26" s="30" t="str">
        <f>IF(ISERROR(FIND($A$2,Lines!H26))=TRUE,"",MID(Lines!H26,FIND($A$2,Lines!H26)+LEN($A$2)+1,FIND(",",_xlfn.CONCAT(Lines!H26,","),FIND($A$2,Lines!H26))-FIND($A$2,Lines!H26)-LEN($A$2)-1))</f>
        <v/>
      </c>
      <c r="I26" s="30" t="str">
        <f>IF(ISERROR(FIND($A$2,Lines!I26))=TRUE,"",MID(Lines!I26,FIND($A$2,Lines!I26)+LEN($A$2)+1,FIND(",",_xlfn.CONCAT(Lines!I26,","),FIND($A$2,Lines!I26))-FIND($A$2,Lines!I26)-LEN($A$2)-1))</f>
        <v/>
      </c>
      <c r="J26" s="74" t="str">
        <f>IF(ISERROR(FIND($A$2,Lines!J26))=TRUE,"",MID(Lines!J26,FIND($A$2,Lines!J26)+LEN($A$2)+1,FIND(",",_xlfn.CONCAT(Lines!J26,","),FIND($A$2,Lines!J26))-FIND($A$2,Lines!J26)-LEN($A$2)-1))</f>
        <v/>
      </c>
      <c r="K26" s="30" t="str">
        <f>IF(ISERROR(FIND($A$2,Lines!K26))=TRUE,"",MID(Lines!K26,FIND($A$2,Lines!K26)+LEN($A$2)+1,FIND(",",_xlfn.CONCAT(Lines!K26,","),FIND($A$2,Lines!K26))-FIND($A$2,Lines!K26)-LEN($A$2)-1))</f>
        <v/>
      </c>
      <c r="L26" s="30" t="str">
        <f>IF(ISERROR(FIND($A$2,Lines!L26))=TRUE,"",MID(Lines!L26,FIND($A$2,Lines!L26)+LEN($A$2)+1,FIND(",",_xlfn.CONCAT(Lines!L26,","),FIND($A$2,Lines!L26))-FIND($A$2,Lines!L26)-LEN($A$2)-1))</f>
        <v/>
      </c>
      <c r="M26" s="30" t="str">
        <f>IF(ISERROR(FIND($A$2,Lines!M26))=TRUE,"",MID(Lines!M26,FIND($A$2,Lines!M26)+LEN($A$2)+1,FIND(",",_xlfn.CONCAT(Lines!M26,","),FIND($A$2,Lines!M26))-FIND($A$2,Lines!M26)-LEN($A$2)-1))</f>
        <v/>
      </c>
      <c r="N26" s="30" t="str">
        <f>IF(ISERROR(FIND($A$2,Lines!N26))=TRUE,"",MID(Lines!N26,FIND($A$2,Lines!N26)+LEN($A$2)+1,FIND(",",_xlfn.CONCAT(Lines!N26,","),FIND($A$2,Lines!N26))-FIND($A$2,Lines!N26)-LEN($A$2)-1))</f>
        <v/>
      </c>
      <c r="O26" s="30" t="str">
        <f>IF(ISERROR(FIND($A$2,Lines!O26))=TRUE,"",MID(Lines!O26,FIND($A$2,Lines!O26)+LEN($A$2)+1,FIND(",",_xlfn.CONCAT(Lines!O26,","),FIND($A$2,Lines!O26))-FIND($A$2,Lines!O26)-LEN($A$2)-1))</f>
        <v/>
      </c>
      <c r="P26" s="30" t="str">
        <f>IF(ISERROR(FIND($A$2,Lines!P26))=TRUE,"",MID(Lines!P26,FIND($A$2,Lines!P26)+LEN($A$2)+1,FIND(",",_xlfn.CONCAT(Lines!P26,","),FIND($A$2,Lines!P26))-FIND($A$2,Lines!P26)-LEN($A$2)-1))</f>
        <v/>
      </c>
      <c r="Q26" s="30" t="str">
        <f>IF(ISERROR(FIND($A$2,Lines!Q26))=TRUE,"",MID(Lines!Q26,FIND($A$2,Lines!Q26)+LEN($A$2)+1,FIND(",",_xlfn.CONCAT(Lines!Q26,","),FIND($A$2,Lines!Q26))-FIND($A$2,Lines!Q26)-LEN($A$2)-1))</f>
        <v/>
      </c>
      <c r="R26" s="30" t="str">
        <f>IF(ISERROR(FIND($A$2,Lines!R26))=TRUE,"",MID(Lines!R26,FIND($A$2,Lines!R26)+LEN($A$2)+1,FIND(",",_xlfn.CONCAT(Lines!R26,","),FIND($A$2,Lines!R26))-FIND($A$2,Lines!R26)-LEN($A$2)-1))</f>
        <v/>
      </c>
      <c r="S26" s="30" t="str">
        <f>IF(ISERROR(FIND($A$2,Lines!S26))=TRUE,"",MID(Lines!S26,FIND($A$2,Lines!S26)+LEN($A$2)+1,FIND(",",_xlfn.CONCAT(Lines!S26,","),FIND($A$2,Lines!S26))-FIND($A$2,Lines!S26)-LEN($A$2)-1))</f>
        <v/>
      </c>
      <c r="T26" s="30" t="str">
        <f>IF(ISERROR(FIND($A$2,Lines!T26))=TRUE,"",MID(Lines!T26,FIND($A$2,Lines!T26)+LEN($A$2)+1,FIND(",",_xlfn.CONCAT(Lines!T26,","),FIND($A$2,Lines!T26))-FIND($A$2,Lines!T26)-LEN($A$2)-1))</f>
        <v/>
      </c>
      <c r="U26" s="30" t="str">
        <f>IF(ISERROR(FIND($A$2,Lines!U26))=TRUE,"",MID(Lines!U26,FIND($A$2,Lines!U26)+LEN($A$2)+1,FIND(",",_xlfn.CONCAT(Lines!U26,","),FIND($A$2,Lines!U26))-FIND($A$2,Lines!U26)-LEN($A$2)-1))</f>
        <v/>
      </c>
      <c r="V26" s="30" t="str">
        <f>IF(ISERROR(FIND($A$2,Lines!V26))=TRUE,"",MID(Lines!V26,FIND($A$2,Lines!V26)+LEN($A$2)+1,FIND(",",_xlfn.CONCAT(Lines!V26,","),FIND($A$2,Lines!V26))-FIND($A$2,Lines!V26)-LEN($A$2)-1))</f>
        <v/>
      </c>
      <c r="W26" s="36" t="str">
        <f>IF(ISERROR(FIND($A$2,Lines!W26))=TRUE,"",MID(Lines!W26,FIND($A$2,Lines!W26)+LEN($A$2)+1,FIND(",",_xlfn.CONCAT(Lines!W26,","),FIND($A$2,Lines!W26))-FIND($A$2,Lines!W26)-LEN($A$2)-1))</f>
        <v/>
      </c>
      <c r="X26" s="65" t="str">
        <f>IF(ISERROR(FIND($A$2,Lines!X26))=TRUE,"",MID(Lines!X26,FIND($A$2,Lines!X26)+LEN($A$2)+1,FIND(",",_xlfn.CONCAT(Lines!X26,","),FIND($A$2,Lines!X26))-FIND($A$2,Lines!X26)-LEN($A$2)-1))</f>
        <v/>
      </c>
      <c r="Y26" s="39" t="str">
        <f>IF(ISERROR(FIND($A$2,Lines!Y26))=TRUE,"",MID(Lines!Y26,FIND($A$2,Lines!Y26)+LEN($A$2)+1,FIND(",",_xlfn.CONCAT(Lines!Y26,","),FIND($A$2,Lines!Y26))-FIND($A$2,Lines!Y26)-LEN($A$2)-1))</f>
        <v/>
      </c>
      <c r="Z26" s="39" t="str">
        <f>IF(ISERROR(FIND($A$2,Lines!Z26))=TRUE,"",MID(Lines!Z26,FIND($A$2,Lines!Z26)+LEN($A$2)+1,FIND(",",_xlfn.CONCAT(Lines!Z26,","),FIND($A$2,Lines!Z26))-FIND($A$2,Lines!Z26)-LEN($A$2)-1))</f>
        <v/>
      </c>
      <c r="AA26" s="39" t="str">
        <f>IF(ISERROR(FIND($A$2,Lines!AA26))=TRUE,"",MID(Lines!AA26,FIND($A$2,Lines!AA26)+LEN($A$2)+1,FIND(",",_xlfn.CONCAT(Lines!AA26,","),FIND($A$2,Lines!AA26))-FIND($A$2,Lines!AA26)-LEN($A$2)-1))</f>
        <v/>
      </c>
      <c r="AB26" s="39" t="str">
        <f>IF(ISERROR(FIND($A$2,Lines!AB26))=TRUE,"",MID(Lines!AB26,FIND($A$2,Lines!AB26)+LEN($A$2)+1,FIND(",",_xlfn.CONCAT(Lines!AB26,","),FIND($A$2,Lines!AB26))-FIND($A$2,Lines!AB26)-LEN($A$2)-1))</f>
        <v/>
      </c>
      <c r="AC26" s="39" t="str">
        <f>IF(ISERROR(FIND($A$2,Lines!AC26))=TRUE,"",MID(Lines!AC26,FIND($A$2,Lines!AC26)+LEN($A$2)+1,FIND(",",_xlfn.CONCAT(Lines!AC26,","),FIND($A$2,Lines!AC26))-FIND($A$2,Lines!AC26)-LEN($A$2)-1))</f>
        <v/>
      </c>
      <c r="AD26" s="52" t="str">
        <f>IF(ISERROR(FIND($A$2,Lines!AD26))=TRUE,"",MID(Lines!AD26,FIND($A$2,Lines!AD26)+LEN($A$2)+1,FIND(",",_xlfn.CONCAT(Lines!AD26,","),FIND($A$2,Lines!AD26))-FIND($A$2,Lines!AD26)-LEN($A$2)-1))</f>
        <v/>
      </c>
      <c r="AE26" s="30" t="str">
        <f>IF(ISERROR(FIND($A$2,Lines!AE26))=TRUE,"",MID(Lines!AE26,FIND($A$2,Lines!AE26)+LEN($A$2)+1,FIND(",",_xlfn.CONCAT(Lines!AE26,","),FIND($A$2,Lines!AE26))-FIND($A$2,Lines!AE26)-LEN($A$2)-1))</f>
        <v/>
      </c>
      <c r="AF26" s="30" t="str">
        <f>IF(ISERROR(FIND($A$2,Lines!AF26))=TRUE,"",MID(Lines!AF26,FIND($A$2,Lines!AF26)+LEN($A$2)+1,FIND(",",_xlfn.CONCAT(Lines!AF26,","),FIND($A$2,Lines!AF26))-FIND($A$2,Lines!AF26)-LEN($A$2)-1))</f>
        <v/>
      </c>
      <c r="AG26" s="30" t="str">
        <f>IF(ISERROR(FIND($A$2,Lines!AG26))=TRUE,"",MID(Lines!AG26,FIND($A$2,Lines!AG26)+LEN($A$2)+1,FIND(",",_xlfn.CONCAT(Lines!AG26,","),FIND($A$2,Lines!AG26))-FIND($A$2,Lines!AG26)-LEN($A$2)-1))</f>
        <v/>
      </c>
      <c r="AH26" s="30" t="str">
        <f>IF(ISERROR(FIND($A$2,Lines!AH26))=TRUE,"",MID(Lines!AH26,FIND($A$2,Lines!AH26)+LEN($A$2)+1,FIND(",",_xlfn.CONCAT(Lines!AH26,","),FIND($A$2,Lines!AH26))-FIND($A$2,Lines!AH26)-LEN($A$2)-1))</f>
        <v/>
      </c>
      <c r="AI26" s="30" t="str">
        <f>IF(ISERROR(FIND($A$2,Lines!AI26))=TRUE,"",MID(Lines!AI26,FIND($A$2,Lines!AI26)+LEN($A$2)+1,FIND(",",_xlfn.CONCAT(Lines!AI26,","),FIND($A$2,Lines!AI26))-FIND($A$2,Lines!AI26)-LEN($A$2)-1))</f>
        <v/>
      </c>
      <c r="AJ26" s="30" t="str">
        <f>IF(ISERROR(FIND($A$2,Lines!AJ26))=TRUE,"",MID(Lines!AJ26,FIND($A$2,Lines!AJ26)+LEN($A$2)+1,FIND(",",_xlfn.CONCAT(Lines!AJ26,","),FIND($A$2,Lines!AJ26))-FIND($A$2,Lines!AJ26)-LEN($A$2)-1))</f>
        <v/>
      </c>
      <c r="AK26" s="30" t="str">
        <f>IF(ISERROR(FIND($A$2,Lines!AK26))=TRUE,"",MID(Lines!AK26,FIND($A$2,Lines!AK26)+LEN($A$2)+1,FIND(",",_xlfn.CONCAT(Lines!AK26,","),FIND($A$2,Lines!AK26))-FIND($A$2,Lines!AK26)-LEN($A$2)-1))</f>
        <v/>
      </c>
      <c r="AL26" s="30" t="str">
        <f>IF(ISERROR(FIND($A$2,Lines!AL26))=TRUE,"",MID(Lines!AL26,FIND($A$2,Lines!AL26)+LEN($A$2)+1,FIND(",",_xlfn.CONCAT(Lines!AL26,","),FIND($A$2,Lines!AL26))-FIND($A$2,Lines!AL26)-LEN($A$2)-1))</f>
        <v/>
      </c>
      <c r="AM26" s="30" t="str">
        <f>IF(ISERROR(FIND($A$2,Lines!AM26))=TRUE,"",MID(Lines!AM26,FIND($A$2,Lines!AM26)+LEN($A$2)+1,FIND(",",_xlfn.CONCAT(Lines!AM26,","),FIND($A$2,Lines!AM26))-FIND($A$2,Lines!AM26)-LEN($A$2)-1))</f>
        <v/>
      </c>
      <c r="AN26" s="30" t="str">
        <f>IF(ISERROR(FIND($A$2,Lines!AN26))=TRUE,"",MID(Lines!AN26,FIND($A$2,Lines!AN26)+LEN($A$2)+1,FIND(",",_xlfn.CONCAT(Lines!AN26,","),FIND($A$2,Lines!AN26))-FIND($A$2,Lines!AN26)-LEN($A$2)-1))</f>
        <v/>
      </c>
      <c r="AO26" s="30" t="str">
        <f>IF(ISERROR(FIND($A$2,Lines!AO26))=TRUE,"",MID(Lines!AO26,FIND($A$2,Lines!AO26)+LEN($A$2)+1,FIND(",",_xlfn.CONCAT(Lines!AO26,","),FIND($A$2,Lines!AO26))-FIND($A$2,Lines!AO26)-LEN($A$2)-1))</f>
        <v/>
      </c>
      <c r="AP26" s="30" t="str">
        <f>IF(ISERROR(FIND($A$2,Lines!AP26))=TRUE,"",MID(Lines!AP26,FIND($A$2,Lines!AP26)+LEN($A$2)+1,FIND(",",_xlfn.CONCAT(Lines!AP26,","),FIND($A$2,Lines!AP26))-FIND($A$2,Lines!AP26)-LEN($A$2)-1))</f>
        <v/>
      </c>
      <c r="AQ26" s="30" t="str">
        <f>IF(ISERROR(FIND($A$2,Lines!AQ26))=TRUE,"",MID(Lines!AQ26,FIND($A$2,Lines!AQ26)+LEN($A$2)+1,FIND(",",_xlfn.CONCAT(Lines!AQ26,","),FIND($A$2,Lines!AQ26))-FIND($A$2,Lines!AQ26)-LEN($A$2)-1))</f>
        <v/>
      </c>
      <c r="AR26" s="30" t="str">
        <f>IF(ISERROR(FIND($A$2,Lines!AR26))=TRUE,"",MID(Lines!AR26,FIND($A$2,Lines!AR26)+LEN($A$2)+1,FIND(",",_xlfn.CONCAT(Lines!AR26,","),FIND($A$2,Lines!AR26))-FIND($A$2,Lines!AR26)-LEN($A$2)-1))</f>
        <v/>
      </c>
      <c r="AS26" s="30" t="str">
        <f>IF(ISERROR(FIND($A$2,Lines!AS26))=TRUE,"",MID(Lines!AS26,FIND($A$2,Lines!AS26)+LEN($A$2)+1,FIND(",",_xlfn.CONCAT(Lines!AS26,","),FIND($A$2,Lines!AS26))-FIND($A$2,Lines!AS26)-LEN($A$2)-1))</f>
        <v/>
      </c>
      <c r="AT26" s="30" t="str">
        <f>IF(ISERROR(FIND($A$2,Lines!AT26))=TRUE,"",MID(Lines!AT26,FIND($A$2,Lines!AT26)+LEN($A$2)+1,FIND(",",_xlfn.CONCAT(Lines!AT26,","),FIND($A$2,Lines!AT26))-FIND($A$2,Lines!AT26)-LEN($A$2)-1))</f>
        <v/>
      </c>
    </row>
    <row r="27" spans="1:46" ht="20.25" customHeight="1">
      <c r="A27" s="2" t="s">
        <v>75</v>
      </c>
      <c r="B27" s="30" t="str">
        <f>IF(ISERROR(FIND($A$2,Lines!B27))=TRUE,"",MID(Lines!B27,FIND($A$2,Lines!B27)+LEN($A$2)+1,FIND(",",_xlfn.CONCAT(Lines!B27,","),FIND($A$2,Lines!B27))-FIND($A$2,Lines!B27)-LEN($A$2)-1))</f>
        <v/>
      </c>
      <c r="C27" s="30" t="str">
        <f>IF(ISERROR(FIND($A$2,Lines!C27))=TRUE,"",MID(Lines!C27,FIND($A$2,Lines!C27)+LEN($A$2)+1,FIND(",",_xlfn.CONCAT(Lines!C27,","),FIND($A$2,Lines!C27))-FIND($A$2,Lines!C27)-LEN($A$2)-1))</f>
        <v/>
      </c>
      <c r="D27" s="30" t="str">
        <f>IF(ISERROR(FIND($A$2,Lines!D27))=TRUE,"",MID(Lines!D27,FIND($A$2,Lines!D27)+LEN($A$2)+1,FIND(",",_xlfn.CONCAT(Lines!D27,","),FIND($A$2,Lines!D27))-FIND($A$2,Lines!D27)-LEN($A$2)-1))</f>
        <v/>
      </c>
      <c r="E27" s="30" t="str">
        <f>IF(ISERROR(FIND($A$2,Lines!E27))=TRUE,"",MID(Lines!E27,FIND($A$2,Lines!E27)+LEN($A$2)+1,FIND(",",_xlfn.CONCAT(Lines!E27,","),FIND($A$2,Lines!E27))-FIND($A$2,Lines!E27)-LEN($A$2)-1))</f>
        <v/>
      </c>
      <c r="F27" s="30" t="str">
        <f>IF(ISERROR(FIND($A$2,Lines!F27))=TRUE,"",MID(Lines!F27,FIND($A$2,Lines!F27)+LEN($A$2)+1,FIND(",",_xlfn.CONCAT(Lines!F27,","),FIND($A$2,Lines!F27))-FIND($A$2,Lines!F27)-LEN($A$2)-1))</f>
        <v/>
      </c>
      <c r="G27" s="30" t="str">
        <f>IF(ISERROR(FIND($A$2,Lines!G27))=TRUE,"",MID(Lines!G27,FIND($A$2,Lines!G27)+LEN($A$2)+1,FIND(",",_xlfn.CONCAT(Lines!G27,","),FIND($A$2,Lines!G27))-FIND($A$2,Lines!G27)-LEN($A$2)-1))</f>
        <v/>
      </c>
      <c r="H27" s="30" t="str">
        <f>IF(ISERROR(FIND($A$2,Lines!H27))=TRUE,"",MID(Lines!H27,FIND($A$2,Lines!H27)+LEN($A$2)+1,FIND(",",_xlfn.CONCAT(Lines!H27,","),FIND($A$2,Lines!H27))-FIND($A$2,Lines!H27)-LEN($A$2)-1))</f>
        <v/>
      </c>
      <c r="I27" s="30" t="str">
        <f>IF(ISERROR(FIND($A$2,Lines!I27))=TRUE,"",MID(Lines!I27,FIND($A$2,Lines!I27)+LEN($A$2)+1,FIND(",",_xlfn.CONCAT(Lines!I27,","),FIND($A$2,Lines!I27))-FIND($A$2,Lines!I27)-LEN($A$2)-1))</f>
        <v/>
      </c>
      <c r="J27" s="30" t="str">
        <f>IF(ISERROR(FIND($A$2,Lines!J27))=TRUE,"",MID(Lines!J27,FIND($A$2,Lines!J27)+LEN($A$2)+1,FIND(",",_xlfn.CONCAT(Lines!J27,","),FIND($A$2,Lines!J27))-FIND($A$2,Lines!J27)-LEN($A$2)-1))</f>
        <v/>
      </c>
      <c r="K27" s="30" t="str">
        <f>IF(ISERROR(FIND($A$2,Lines!K27))=TRUE,"",MID(Lines!K27,FIND($A$2,Lines!K27)+LEN($A$2)+1,FIND(",",_xlfn.CONCAT(Lines!K27,","),FIND($A$2,Lines!K27))-FIND($A$2,Lines!K27)-LEN($A$2)-1))</f>
        <v/>
      </c>
      <c r="L27" s="30" t="str">
        <f>IF(ISERROR(FIND($A$2,Lines!L27))=TRUE,"",MID(Lines!L27,FIND($A$2,Lines!L27)+LEN($A$2)+1,FIND(",",_xlfn.CONCAT(Lines!L27,","),FIND($A$2,Lines!L27))-FIND($A$2,Lines!L27)-LEN($A$2)-1))</f>
        <v/>
      </c>
      <c r="M27" s="30" t="str">
        <f>IF(ISERROR(FIND($A$2,Lines!M27))=TRUE,"",MID(Lines!M27,FIND($A$2,Lines!M27)+LEN($A$2)+1,FIND(",",_xlfn.CONCAT(Lines!M27,","),FIND($A$2,Lines!M27))-FIND($A$2,Lines!M27)-LEN($A$2)-1))</f>
        <v/>
      </c>
      <c r="N27" s="30" t="str">
        <f>IF(ISERROR(FIND($A$2,Lines!N27))=TRUE,"",MID(Lines!N27,FIND($A$2,Lines!N27)+LEN($A$2)+1,FIND(",",_xlfn.CONCAT(Lines!N27,","),FIND($A$2,Lines!N27))-FIND($A$2,Lines!N27)-LEN($A$2)-1))</f>
        <v/>
      </c>
      <c r="O27" s="30" t="str">
        <f>IF(ISERROR(FIND($A$2,Lines!O27))=TRUE,"",MID(Lines!O27,FIND($A$2,Lines!O27)+LEN($A$2)+1,FIND(",",_xlfn.CONCAT(Lines!O27,","),FIND($A$2,Lines!O27))-FIND($A$2,Lines!O27)-LEN($A$2)-1))</f>
        <v/>
      </c>
      <c r="P27" s="30" t="str">
        <f>IF(ISERROR(FIND($A$2,Lines!P27))=TRUE,"",MID(Lines!P27,FIND($A$2,Lines!P27)+LEN($A$2)+1,FIND(",",_xlfn.CONCAT(Lines!P27,","),FIND($A$2,Lines!P27))-FIND($A$2,Lines!P27)-LEN($A$2)-1))</f>
        <v/>
      </c>
      <c r="Q27" s="30" t="str">
        <f>IF(ISERROR(FIND($A$2,Lines!Q27))=TRUE,"",MID(Lines!Q27,FIND($A$2,Lines!Q27)+LEN($A$2)+1,FIND(",",_xlfn.CONCAT(Lines!Q27,","),FIND($A$2,Lines!Q27))-FIND($A$2,Lines!Q27)-LEN($A$2)-1))</f>
        <v/>
      </c>
      <c r="R27" s="30" t="str">
        <f>IF(ISERROR(FIND($A$2,Lines!R27))=TRUE,"",MID(Lines!R27,FIND($A$2,Lines!R27)+LEN($A$2)+1,FIND(",",_xlfn.CONCAT(Lines!R27,","),FIND($A$2,Lines!R27))-FIND($A$2,Lines!R27)-LEN($A$2)-1))</f>
        <v/>
      </c>
      <c r="S27" s="30" t="str">
        <f>IF(ISERROR(FIND($A$2,Lines!S27))=TRUE,"",MID(Lines!S27,FIND($A$2,Lines!S27)+LEN($A$2)+1,FIND(",",_xlfn.CONCAT(Lines!S27,","),FIND($A$2,Lines!S27))-FIND($A$2,Lines!S27)-LEN($A$2)-1))</f>
        <v/>
      </c>
      <c r="T27" s="30" t="str">
        <f>IF(ISERROR(FIND($A$2,Lines!T27))=TRUE,"",MID(Lines!T27,FIND($A$2,Lines!T27)+LEN($A$2)+1,FIND(",",_xlfn.CONCAT(Lines!T27,","),FIND($A$2,Lines!T27))-FIND($A$2,Lines!T27)-LEN($A$2)-1))</f>
        <v/>
      </c>
      <c r="U27" s="30" t="str">
        <f>IF(ISERROR(FIND($A$2,Lines!U27))=TRUE,"",MID(Lines!U27,FIND($A$2,Lines!U27)+LEN($A$2)+1,FIND(",",_xlfn.CONCAT(Lines!U27,","),FIND($A$2,Lines!U27))-FIND($A$2,Lines!U27)-LEN($A$2)-1))</f>
        <v/>
      </c>
      <c r="V27" s="30" t="str">
        <f>IF(ISERROR(FIND($A$2,Lines!V27))=TRUE,"",MID(Lines!V27,FIND($A$2,Lines!V27)+LEN($A$2)+1,FIND(",",_xlfn.CONCAT(Lines!V27,","),FIND($A$2,Lines!V27))-FIND($A$2,Lines!V27)-LEN($A$2)-1))</f>
        <v/>
      </c>
      <c r="W27" s="36" t="str">
        <f>IF(ISERROR(FIND($A$2,Lines!W27))=TRUE,"",MID(Lines!W27,FIND($A$2,Lines!W27)+LEN($A$2)+1,FIND(",",_xlfn.CONCAT(Lines!W27,","),FIND($A$2,Lines!W27))-FIND($A$2,Lines!W27)-LEN($A$2)-1))</f>
        <v/>
      </c>
      <c r="X27" s="40" t="str">
        <f>IF(ISERROR(FIND($A$2,Lines!X27))=TRUE,"",MID(Lines!X27,FIND($A$2,Lines!X27)+LEN($A$2)+1,FIND(",",_xlfn.CONCAT(Lines!X27,","),FIND($A$2,Lines!X27))-FIND($A$2,Lines!X27)-LEN($A$2)-1))</f>
        <v/>
      </c>
      <c r="Y27" s="66" t="str">
        <f>IF(ISERROR(FIND($A$2,Lines!Y27))=TRUE,"",MID(Lines!Y27,FIND($A$2,Lines!Y27)+LEN($A$2)+1,FIND(",",_xlfn.CONCAT(Lines!Y27,","),FIND($A$2,Lines!Y27))-FIND($A$2,Lines!Y27)-LEN($A$2)-1))</f>
        <v/>
      </c>
      <c r="Z27" s="41" t="str">
        <f>IF(ISERROR(FIND($A$2,Lines!Z27))=TRUE,"",MID(Lines!Z27,FIND($A$2,Lines!Z27)+LEN($A$2)+1,FIND(",",_xlfn.CONCAT(Lines!Z27,","),FIND($A$2,Lines!Z27))-FIND($A$2,Lines!Z27)-LEN($A$2)-1))</f>
        <v/>
      </c>
      <c r="AA27" s="41" t="str">
        <f>IF(ISERROR(FIND($A$2,Lines!AA27))=TRUE,"",MID(Lines!AA27,FIND($A$2,Lines!AA27)+LEN($A$2)+1,FIND(",",_xlfn.CONCAT(Lines!AA27,","),FIND($A$2,Lines!AA27))-FIND($A$2,Lines!AA27)-LEN($A$2)-1))</f>
        <v/>
      </c>
      <c r="AB27" s="41" t="str">
        <f>IF(ISERROR(FIND($A$2,Lines!AB27))=TRUE,"",MID(Lines!AB27,FIND($A$2,Lines!AB27)+LEN($A$2)+1,FIND(",",_xlfn.CONCAT(Lines!AB27,","),FIND($A$2,Lines!AB27))-FIND($A$2,Lines!AB27)-LEN($A$2)-1))</f>
        <v>2</v>
      </c>
      <c r="AC27" s="41" t="str">
        <f>IF(ISERROR(FIND($A$2,Lines!AC27))=TRUE,"",MID(Lines!AC27,FIND($A$2,Lines!AC27)+LEN($A$2)+1,FIND(",",_xlfn.CONCAT(Lines!AC27,","),FIND($A$2,Lines!AC27))-FIND($A$2,Lines!AC27)-LEN($A$2)-1))</f>
        <v/>
      </c>
      <c r="AD27" s="46" t="str">
        <f>IF(ISERROR(FIND($A$2,Lines!AD27))=TRUE,"",MID(Lines!AD27,FIND($A$2,Lines!AD27)+LEN($A$2)+1,FIND(",",_xlfn.CONCAT(Lines!AD27,","),FIND($A$2,Lines!AD27))-FIND($A$2,Lines!AD27)-LEN($A$2)-1))</f>
        <v/>
      </c>
      <c r="AE27" s="30" t="str">
        <f>IF(ISERROR(FIND($A$2,Lines!AE27))=TRUE,"",MID(Lines!AE27,FIND($A$2,Lines!AE27)+LEN($A$2)+1,FIND(",",_xlfn.CONCAT(Lines!AE27,","),FIND($A$2,Lines!AE27))-FIND($A$2,Lines!AE27)-LEN($A$2)-1))</f>
        <v/>
      </c>
      <c r="AF27" s="30" t="str">
        <f>IF(ISERROR(FIND($A$2,Lines!AF27))=TRUE,"",MID(Lines!AF27,FIND($A$2,Lines!AF27)+LEN($A$2)+1,FIND(",",_xlfn.CONCAT(Lines!AF27,","),FIND($A$2,Lines!AF27))-FIND($A$2,Lines!AF27)-LEN($A$2)-1))</f>
        <v/>
      </c>
      <c r="AG27" s="30" t="str">
        <f>IF(ISERROR(FIND($A$2,Lines!AG27))=TRUE,"",MID(Lines!AG27,FIND($A$2,Lines!AG27)+LEN($A$2)+1,FIND(",",_xlfn.CONCAT(Lines!AG27,","),FIND($A$2,Lines!AG27))-FIND($A$2,Lines!AG27)-LEN($A$2)-1))</f>
        <v/>
      </c>
      <c r="AH27" s="30" t="str">
        <f>IF(ISERROR(FIND($A$2,Lines!AH27))=TRUE,"",MID(Lines!AH27,FIND($A$2,Lines!AH27)+LEN($A$2)+1,FIND(",",_xlfn.CONCAT(Lines!AH27,","),FIND($A$2,Lines!AH27))-FIND($A$2,Lines!AH27)-LEN($A$2)-1))</f>
        <v/>
      </c>
      <c r="AI27" s="30" t="str">
        <f>IF(ISERROR(FIND($A$2,Lines!AI27))=TRUE,"",MID(Lines!AI27,FIND($A$2,Lines!AI27)+LEN($A$2)+1,FIND(",",_xlfn.CONCAT(Lines!AI27,","),FIND($A$2,Lines!AI27))-FIND($A$2,Lines!AI27)-LEN($A$2)-1))</f>
        <v/>
      </c>
      <c r="AJ27" s="30" t="str">
        <f>IF(ISERROR(FIND($A$2,Lines!AJ27))=TRUE,"",MID(Lines!AJ27,FIND($A$2,Lines!AJ27)+LEN($A$2)+1,FIND(",",_xlfn.CONCAT(Lines!AJ27,","),FIND($A$2,Lines!AJ27))-FIND($A$2,Lines!AJ27)-LEN($A$2)-1))</f>
        <v/>
      </c>
      <c r="AK27" s="30" t="str">
        <f>IF(ISERROR(FIND($A$2,Lines!AK27))=TRUE,"",MID(Lines!AK27,FIND($A$2,Lines!AK27)+LEN($A$2)+1,FIND(",",_xlfn.CONCAT(Lines!AK27,","),FIND($A$2,Lines!AK27))-FIND($A$2,Lines!AK27)-LEN($A$2)-1))</f>
        <v/>
      </c>
      <c r="AL27" s="30" t="str">
        <f>IF(ISERROR(FIND($A$2,Lines!AL27))=TRUE,"",MID(Lines!AL27,FIND($A$2,Lines!AL27)+LEN($A$2)+1,FIND(",",_xlfn.CONCAT(Lines!AL27,","),FIND($A$2,Lines!AL27))-FIND($A$2,Lines!AL27)-LEN($A$2)-1))</f>
        <v/>
      </c>
      <c r="AM27" s="30" t="str">
        <f>IF(ISERROR(FIND($A$2,Lines!AM27))=TRUE,"",MID(Lines!AM27,FIND($A$2,Lines!AM27)+LEN($A$2)+1,FIND(",",_xlfn.CONCAT(Lines!AM27,","),FIND($A$2,Lines!AM27))-FIND($A$2,Lines!AM27)-LEN($A$2)-1))</f>
        <v/>
      </c>
      <c r="AN27" s="30" t="str">
        <f>IF(ISERROR(FIND($A$2,Lines!AN27))=TRUE,"",MID(Lines!AN27,FIND($A$2,Lines!AN27)+LEN($A$2)+1,FIND(",",_xlfn.CONCAT(Lines!AN27,","),FIND($A$2,Lines!AN27))-FIND($A$2,Lines!AN27)-LEN($A$2)-1))</f>
        <v/>
      </c>
      <c r="AO27" s="30" t="str">
        <f>IF(ISERROR(FIND($A$2,Lines!AO27))=TRUE,"",MID(Lines!AO27,FIND($A$2,Lines!AO27)+LEN($A$2)+1,FIND(",",_xlfn.CONCAT(Lines!AO27,","),FIND($A$2,Lines!AO27))-FIND($A$2,Lines!AO27)-LEN($A$2)-1))</f>
        <v/>
      </c>
      <c r="AP27" s="30" t="str">
        <f>IF(ISERROR(FIND($A$2,Lines!AP27))=TRUE,"",MID(Lines!AP27,FIND($A$2,Lines!AP27)+LEN($A$2)+1,FIND(",",_xlfn.CONCAT(Lines!AP27,","),FIND($A$2,Lines!AP27))-FIND($A$2,Lines!AP27)-LEN($A$2)-1))</f>
        <v/>
      </c>
      <c r="AQ27" s="30" t="str">
        <f>IF(ISERROR(FIND($A$2,Lines!AQ27))=TRUE,"",MID(Lines!AQ27,FIND($A$2,Lines!AQ27)+LEN($A$2)+1,FIND(",",_xlfn.CONCAT(Lines!AQ27,","),FIND($A$2,Lines!AQ27))-FIND($A$2,Lines!AQ27)-LEN($A$2)-1))</f>
        <v/>
      </c>
      <c r="AR27" s="30" t="str">
        <f>IF(ISERROR(FIND($A$2,Lines!AR27))=TRUE,"",MID(Lines!AR27,FIND($A$2,Lines!AR27)+LEN($A$2)+1,FIND(",",_xlfn.CONCAT(Lines!AR27,","),FIND($A$2,Lines!AR27))-FIND($A$2,Lines!AR27)-LEN($A$2)-1))</f>
        <v/>
      </c>
      <c r="AS27" s="30" t="str">
        <f>IF(ISERROR(FIND($A$2,Lines!AS27))=TRUE,"",MID(Lines!AS27,FIND($A$2,Lines!AS27)+LEN($A$2)+1,FIND(",",_xlfn.CONCAT(Lines!AS27,","),FIND($A$2,Lines!AS27))-FIND($A$2,Lines!AS27)-LEN($A$2)-1))</f>
        <v/>
      </c>
      <c r="AT27" s="30" t="str">
        <f>IF(ISERROR(FIND($A$2,Lines!AT27))=TRUE,"",MID(Lines!AT27,FIND($A$2,Lines!AT27)+LEN($A$2)+1,FIND(",",_xlfn.CONCAT(Lines!AT27,","),FIND($A$2,Lines!AT27))-FIND($A$2,Lines!AT27)-LEN($A$2)-1))</f>
        <v/>
      </c>
    </row>
    <row r="28" spans="1:46" ht="20.25" customHeight="1">
      <c r="A28" s="2" t="s">
        <v>76</v>
      </c>
      <c r="B28" s="30" t="str">
        <f>IF(ISERROR(FIND($A$2,Lines!B28))=TRUE,"",MID(Lines!B28,FIND($A$2,Lines!B28)+LEN($A$2)+1,FIND(",",_xlfn.CONCAT(Lines!B28,","),FIND($A$2,Lines!B28))-FIND($A$2,Lines!B28)-LEN($A$2)-1))</f>
        <v/>
      </c>
      <c r="C28" s="30" t="str">
        <f>IF(ISERROR(FIND($A$2,Lines!C28))=TRUE,"",MID(Lines!C28,FIND($A$2,Lines!C28)+LEN($A$2)+1,FIND(",",_xlfn.CONCAT(Lines!C28,","),FIND($A$2,Lines!C28))-FIND($A$2,Lines!C28)-LEN($A$2)-1))</f>
        <v/>
      </c>
      <c r="D28" s="30" t="str">
        <f>IF(ISERROR(FIND($A$2,Lines!D28))=TRUE,"",MID(Lines!D28,FIND($A$2,Lines!D28)+LEN($A$2)+1,FIND(",",_xlfn.CONCAT(Lines!D28,","),FIND($A$2,Lines!D28))-FIND($A$2,Lines!D28)-LEN($A$2)-1))</f>
        <v/>
      </c>
      <c r="E28" s="30" t="str">
        <f>IF(ISERROR(FIND($A$2,Lines!E28))=TRUE,"",MID(Lines!E28,FIND($A$2,Lines!E28)+LEN($A$2)+1,FIND(",",_xlfn.CONCAT(Lines!E28,","),FIND($A$2,Lines!E28))-FIND($A$2,Lines!E28)-LEN($A$2)-1))</f>
        <v/>
      </c>
      <c r="F28" s="30" t="str">
        <f>IF(ISERROR(FIND($A$2,Lines!F28))=TRUE,"",MID(Lines!F28,FIND($A$2,Lines!F28)+LEN($A$2)+1,FIND(",",_xlfn.CONCAT(Lines!F28,","),FIND($A$2,Lines!F28))-FIND($A$2,Lines!F28)-LEN($A$2)-1))</f>
        <v/>
      </c>
      <c r="G28" s="30" t="str">
        <f>IF(ISERROR(FIND($A$2,Lines!G28))=TRUE,"",MID(Lines!G28,FIND($A$2,Lines!G28)+LEN($A$2)+1,FIND(",",_xlfn.CONCAT(Lines!G28,","),FIND($A$2,Lines!G28))-FIND($A$2,Lines!G28)-LEN($A$2)-1))</f>
        <v/>
      </c>
      <c r="H28" s="30" t="str">
        <f>IF(ISERROR(FIND($A$2,Lines!H28))=TRUE,"",MID(Lines!H28,FIND($A$2,Lines!H28)+LEN($A$2)+1,FIND(",",_xlfn.CONCAT(Lines!H28,","),FIND($A$2,Lines!H28))-FIND($A$2,Lines!H28)-LEN($A$2)-1))</f>
        <v/>
      </c>
      <c r="I28" s="30" t="str">
        <f>IF(ISERROR(FIND($A$2,Lines!I28))=TRUE,"",MID(Lines!I28,FIND($A$2,Lines!I28)+LEN($A$2)+1,FIND(",",_xlfn.CONCAT(Lines!I28,","),FIND($A$2,Lines!I28))-FIND($A$2,Lines!I28)-LEN($A$2)-1))</f>
        <v/>
      </c>
      <c r="J28" s="30" t="str">
        <f>IF(ISERROR(FIND($A$2,Lines!J28))=TRUE,"",MID(Lines!J28,FIND($A$2,Lines!J28)+LEN($A$2)+1,FIND(",",_xlfn.CONCAT(Lines!J28,","),FIND($A$2,Lines!J28))-FIND($A$2,Lines!J28)-LEN($A$2)-1))</f>
        <v/>
      </c>
      <c r="K28" s="30" t="str">
        <f>IF(ISERROR(FIND($A$2,Lines!K28))=TRUE,"",MID(Lines!K28,FIND($A$2,Lines!K28)+LEN($A$2)+1,FIND(",",_xlfn.CONCAT(Lines!K28,","),FIND($A$2,Lines!K28))-FIND($A$2,Lines!K28)-LEN($A$2)-1))</f>
        <v/>
      </c>
      <c r="L28" s="30" t="str">
        <f>IF(ISERROR(FIND($A$2,Lines!L28))=TRUE,"",MID(Lines!L28,FIND($A$2,Lines!L28)+LEN($A$2)+1,FIND(",",_xlfn.CONCAT(Lines!L28,","),FIND($A$2,Lines!L28))-FIND($A$2,Lines!L28)-LEN($A$2)-1))</f>
        <v/>
      </c>
      <c r="M28" s="30" t="str">
        <f>IF(ISERROR(FIND($A$2,Lines!M28))=TRUE,"",MID(Lines!M28,FIND($A$2,Lines!M28)+LEN($A$2)+1,FIND(",",_xlfn.CONCAT(Lines!M28,","),FIND($A$2,Lines!M28))-FIND($A$2,Lines!M28)-LEN($A$2)-1))</f>
        <v/>
      </c>
      <c r="N28" s="30" t="str">
        <f>IF(ISERROR(FIND($A$2,Lines!N28))=TRUE,"",MID(Lines!N28,FIND($A$2,Lines!N28)+LEN($A$2)+1,FIND(",",_xlfn.CONCAT(Lines!N28,","),FIND($A$2,Lines!N28))-FIND($A$2,Lines!N28)-LEN($A$2)-1))</f>
        <v/>
      </c>
      <c r="O28" s="30" t="str">
        <f>IF(ISERROR(FIND($A$2,Lines!O28))=TRUE,"",MID(Lines!O28,FIND($A$2,Lines!O28)+LEN($A$2)+1,FIND(",",_xlfn.CONCAT(Lines!O28,","),FIND($A$2,Lines!O28))-FIND($A$2,Lines!O28)-LEN($A$2)-1))</f>
        <v/>
      </c>
      <c r="P28" s="30" t="str">
        <f>IF(ISERROR(FIND($A$2,Lines!P28))=TRUE,"",MID(Lines!P28,FIND($A$2,Lines!P28)+LEN($A$2)+1,FIND(",",_xlfn.CONCAT(Lines!P28,","),FIND($A$2,Lines!P28))-FIND($A$2,Lines!P28)-LEN($A$2)-1))</f>
        <v/>
      </c>
      <c r="Q28" s="30" t="str">
        <f>IF(ISERROR(FIND($A$2,Lines!Q28))=TRUE,"",MID(Lines!Q28,FIND($A$2,Lines!Q28)+LEN($A$2)+1,FIND(",",_xlfn.CONCAT(Lines!Q28,","),FIND($A$2,Lines!Q28))-FIND($A$2,Lines!Q28)-LEN($A$2)-1))</f>
        <v/>
      </c>
      <c r="R28" s="30" t="str">
        <f>IF(ISERROR(FIND($A$2,Lines!R28))=TRUE,"",MID(Lines!R28,FIND($A$2,Lines!R28)+LEN($A$2)+1,FIND(",",_xlfn.CONCAT(Lines!R28,","),FIND($A$2,Lines!R28))-FIND($A$2,Lines!R28)-LEN($A$2)-1))</f>
        <v/>
      </c>
      <c r="S28" s="30" t="str">
        <f>IF(ISERROR(FIND($A$2,Lines!S28))=TRUE,"",MID(Lines!S28,FIND($A$2,Lines!S28)+LEN($A$2)+1,FIND(",",_xlfn.CONCAT(Lines!S28,","),FIND($A$2,Lines!S28))-FIND($A$2,Lines!S28)-LEN($A$2)-1))</f>
        <v/>
      </c>
      <c r="T28" s="30" t="str">
        <f>IF(ISERROR(FIND($A$2,Lines!T28))=TRUE,"",MID(Lines!T28,FIND($A$2,Lines!T28)+LEN($A$2)+1,FIND(",",_xlfn.CONCAT(Lines!T28,","),FIND($A$2,Lines!T28))-FIND($A$2,Lines!T28)-LEN($A$2)-1))</f>
        <v/>
      </c>
      <c r="U28" s="30" t="str">
        <f>IF(ISERROR(FIND($A$2,Lines!U28))=TRUE,"",MID(Lines!U28,FIND($A$2,Lines!U28)+LEN($A$2)+1,FIND(",",_xlfn.CONCAT(Lines!U28,","),FIND($A$2,Lines!U28))-FIND($A$2,Lines!U28)-LEN($A$2)-1))</f>
        <v/>
      </c>
      <c r="V28" s="30" t="str">
        <f>IF(ISERROR(FIND($A$2,Lines!V28))=TRUE,"",MID(Lines!V28,FIND($A$2,Lines!V28)+LEN($A$2)+1,FIND(",",_xlfn.CONCAT(Lines!V28,","),FIND($A$2,Lines!V28))-FIND($A$2,Lines!V28)-LEN($A$2)-1))</f>
        <v/>
      </c>
      <c r="W28" s="36" t="str">
        <f>IF(ISERROR(FIND($A$2,Lines!W28))=TRUE,"",MID(Lines!W28,FIND($A$2,Lines!W28)+LEN($A$2)+1,FIND(",",_xlfn.CONCAT(Lines!W28,","),FIND($A$2,Lines!W28))-FIND($A$2,Lines!W28)-LEN($A$2)-1))</f>
        <v/>
      </c>
      <c r="X28" s="40" t="str">
        <f>IF(ISERROR(FIND($A$2,Lines!X28))=TRUE,"",MID(Lines!X28,FIND($A$2,Lines!X28)+LEN($A$2)+1,FIND(",",_xlfn.CONCAT(Lines!X28,","),FIND($A$2,Lines!X28))-FIND($A$2,Lines!X28)-LEN($A$2)-1))</f>
        <v/>
      </c>
      <c r="Y28" s="41" t="str">
        <f>IF(ISERROR(FIND($A$2,Lines!Y28))=TRUE,"",MID(Lines!Y28,FIND($A$2,Lines!Y28)+LEN($A$2)+1,FIND(",",_xlfn.CONCAT(Lines!Y28,","),FIND($A$2,Lines!Y28))-FIND($A$2,Lines!Y28)-LEN($A$2)-1))</f>
        <v/>
      </c>
      <c r="Z28" s="66" t="str">
        <f>IF(ISERROR(FIND($A$2,Lines!Z28))=TRUE,"",MID(Lines!Z28,FIND($A$2,Lines!Z28)+LEN($A$2)+1,FIND(",",_xlfn.CONCAT(Lines!Z28,","),FIND($A$2,Lines!Z28))-FIND($A$2,Lines!Z28)-LEN($A$2)-1))</f>
        <v/>
      </c>
      <c r="AA28" s="41" t="str">
        <f>IF(ISERROR(FIND($A$2,Lines!AA28))=TRUE,"",MID(Lines!AA28,FIND($A$2,Lines!AA28)+LEN($A$2)+1,FIND(",",_xlfn.CONCAT(Lines!AA28,","),FIND($A$2,Lines!AA28))-FIND($A$2,Lines!AA28)-LEN($A$2)-1))</f>
        <v/>
      </c>
      <c r="AB28" s="41" t="str">
        <f>IF(ISERROR(FIND($A$2,Lines!AB28))=TRUE,"",MID(Lines!AB28,FIND($A$2,Lines!AB28)+LEN($A$2)+1,FIND(",",_xlfn.CONCAT(Lines!AB28,","),FIND($A$2,Lines!AB28))-FIND($A$2,Lines!AB28)-LEN($A$2)-1))</f>
        <v/>
      </c>
      <c r="AC28" s="41" t="str">
        <f>IF(ISERROR(FIND($A$2,Lines!AC28))=TRUE,"",MID(Lines!AC28,FIND($A$2,Lines!AC28)+LEN($A$2)+1,FIND(",",_xlfn.CONCAT(Lines!AC28,","),FIND($A$2,Lines!AC28))-FIND($A$2,Lines!AC28)-LEN($A$2)-1))</f>
        <v/>
      </c>
      <c r="AD28" s="46" t="str">
        <f>IF(ISERROR(FIND($A$2,Lines!AD28))=TRUE,"",MID(Lines!AD28,FIND($A$2,Lines!AD28)+LEN($A$2)+1,FIND(",",_xlfn.CONCAT(Lines!AD28,","),FIND($A$2,Lines!AD28))-FIND($A$2,Lines!AD28)-LEN($A$2)-1))</f>
        <v/>
      </c>
      <c r="AE28" s="30" t="str">
        <f>IF(ISERROR(FIND($A$2,Lines!AE28))=TRUE,"",MID(Lines!AE28,FIND($A$2,Lines!AE28)+LEN($A$2)+1,FIND(",",_xlfn.CONCAT(Lines!AE28,","),FIND($A$2,Lines!AE28))-FIND($A$2,Lines!AE28)-LEN($A$2)-1))</f>
        <v/>
      </c>
      <c r="AF28" s="30" t="str">
        <f>IF(ISERROR(FIND($A$2,Lines!AF28))=TRUE,"",MID(Lines!AF28,FIND($A$2,Lines!AF28)+LEN($A$2)+1,FIND(",",_xlfn.CONCAT(Lines!AF28,","),FIND($A$2,Lines!AF28))-FIND($A$2,Lines!AF28)-LEN($A$2)-1))</f>
        <v/>
      </c>
      <c r="AG28" s="30" t="str">
        <f>IF(ISERROR(FIND($A$2,Lines!AG28))=TRUE,"",MID(Lines!AG28,FIND($A$2,Lines!AG28)+LEN($A$2)+1,FIND(",",_xlfn.CONCAT(Lines!AG28,","),FIND($A$2,Lines!AG28))-FIND($A$2,Lines!AG28)-LEN($A$2)-1))</f>
        <v/>
      </c>
      <c r="AH28" s="30" t="str">
        <f>IF(ISERROR(FIND($A$2,Lines!AH28))=TRUE,"",MID(Lines!AH28,FIND($A$2,Lines!AH28)+LEN($A$2)+1,FIND(",",_xlfn.CONCAT(Lines!AH28,","),FIND($A$2,Lines!AH28))-FIND($A$2,Lines!AH28)-LEN($A$2)-1))</f>
        <v/>
      </c>
      <c r="AI28" s="30" t="str">
        <f>IF(ISERROR(FIND($A$2,Lines!AI28))=TRUE,"",MID(Lines!AI28,FIND($A$2,Lines!AI28)+LEN($A$2)+1,FIND(",",_xlfn.CONCAT(Lines!AI28,","),FIND($A$2,Lines!AI28))-FIND($A$2,Lines!AI28)-LEN($A$2)-1))</f>
        <v/>
      </c>
      <c r="AJ28" s="30" t="str">
        <f>IF(ISERROR(FIND($A$2,Lines!AJ28))=TRUE,"",MID(Lines!AJ28,FIND($A$2,Lines!AJ28)+LEN($A$2)+1,FIND(",",_xlfn.CONCAT(Lines!AJ28,","),FIND($A$2,Lines!AJ28))-FIND($A$2,Lines!AJ28)-LEN($A$2)-1))</f>
        <v/>
      </c>
      <c r="AK28" s="30" t="str">
        <f>IF(ISERROR(FIND($A$2,Lines!AK28))=TRUE,"",MID(Lines!AK28,FIND($A$2,Lines!AK28)+LEN($A$2)+1,FIND(",",_xlfn.CONCAT(Lines!AK28,","),FIND($A$2,Lines!AK28))-FIND($A$2,Lines!AK28)-LEN($A$2)-1))</f>
        <v/>
      </c>
      <c r="AL28" s="30" t="str">
        <f>IF(ISERROR(FIND($A$2,Lines!AL28))=TRUE,"",MID(Lines!AL28,FIND($A$2,Lines!AL28)+LEN($A$2)+1,FIND(",",_xlfn.CONCAT(Lines!AL28,","),FIND($A$2,Lines!AL28))-FIND($A$2,Lines!AL28)-LEN($A$2)-1))</f>
        <v/>
      </c>
      <c r="AM28" s="30" t="str">
        <f>IF(ISERROR(FIND($A$2,Lines!AM28))=TRUE,"",MID(Lines!AM28,FIND($A$2,Lines!AM28)+LEN($A$2)+1,FIND(",",_xlfn.CONCAT(Lines!AM28,","),FIND($A$2,Lines!AM28))-FIND($A$2,Lines!AM28)-LEN($A$2)-1))</f>
        <v/>
      </c>
      <c r="AN28" s="30" t="str">
        <f>IF(ISERROR(FIND($A$2,Lines!AN28))=TRUE,"",MID(Lines!AN28,FIND($A$2,Lines!AN28)+LEN($A$2)+1,FIND(",",_xlfn.CONCAT(Lines!AN28,","),FIND($A$2,Lines!AN28))-FIND($A$2,Lines!AN28)-LEN($A$2)-1))</f>
        <v/>
      </c>
      <c r="AO28" s="30" t="str">
        <f>IF(ISERROR(FIND($A$2,Lines!AO28))=TRUE,"",MID(Lines!AO28,FIND($A$2,Lines!AO28)+LEN($A$2)+1,FIND(",",_xlfn.CONCAT(Lines!AO28,","),FIND($A$2,Lines!AO28))-FIND($A$2,Lines!AO28)-LEN($A$2)-1))</f>
        <v/>
      </c>
      <c r="AP28" s="30" t="str">
        <f>IF(ISERROR(FIND($A$2,Lines!AP28))=TRUE,"",MID(Lines!AP28,FIND($A$2,Lines!AP28)+LEN($A$2)+1,FIND(",",_xlfn.CONCAT(Lines!AP28,","),FIND($A$2,Lines!AP28))-FIND($A$2,Lines!AP28)-LEN($A$2)-1))</f>
        <v/>
      </c>
      <c r="AQ28" s="30" t="str">
        <f>IF(ISERROR(FIND($A$2,Lines!AQ28))=TRUE,"",MID(Lines!AQ28,FIND($A$2,Lines!AQ28)+LEN($A$2)+1,FIND(",",_xlfn.CONCAT(Lines!AQ28,","),FIND($A$2,Lines!AQ28))-FIND($A$2,Lines!AQ28)-LEN($A$2)-1))</f>
        <v/>
      </c>
      <c r="AR28" s="30" t="str">
        <f>IF(ISERROR(FIND($A$2,Lines!AR28))=TRUE,"",MID(Lines!AR28,FIND($A$2,Lines!AR28)+LEN($A$2)+1,FIND(",",_xlfn.CONCAT(Lines!AR28,","),FIND($A$2,Lines!AR28))-FIND($A$2,Lines!AR28)-LEN($A$2)-1))</f>
        <v/>
      </c>
      <c r="AS28" s="30" t="str">
        <f>IF(ISERROR(FIND($A$2,Lines!AS28))=TRUE,"",MID(Lines!AS28,FIND($A$2,Lines!AS28)+LEN($A$2)+1,FIND(",",_xlfn.CONCAT(Lines!AS28,","),FIND($A$2,Lines!AS28))-FIND($A$2,Lines!AS28)-LEN($A$2)-1))</f>
        <v/>
      </c>
      <c r="AT28" s="30" t="str">
        <f>IF(ISERROR(FIND($A$2,Lines!AT28))=TRUE,"",MID(Lines!AT28,FIND($A$2,Lines!AT28)+LEN($A$2)+1,FIND(",",_xlfn.CONCAT(Lines!AT28,","),FIND($A$2,Lines!AT28))-FIND($A$2,Lines!AT28)-LEN($A$2)-1))</f>
        <v/>
      </c>
    </row>
    <row r="29" spans="1:46" ht="20.25" customHeight="1">
      <c r="A29" s="2" t="s">
        <v>77</v>
      </c>
      <c r="B29" s="30" t="str">
        <f>IF(ISERROR(FIND($A$2,Lines!B29))=TRUE,"",MID(Lines!B29,FIND($A$2,Lines!B29)+LEN($A$2)+1,FIND(",",_xlfn.CONCAT(Lines!B29,","),FIND($A$2,Lines!B29))-FIND($A$2,Lines!B29)-LEN($A$2)-1))</f>
        <v/>
      </c>
      <c r="C29" s="30" t="str">
        <f>IF(ISERROR(FIND($A$2,Lines!C29))=TRUE,"",MID(Lines!C29,FIND($A$2,Lines!C29)+LEN($A$2)+1,FIND(",",_xlfn.CONCAT(Lines!C29,","),FIND($A$2,Lines!C29))-FIND($A$2,Lines!C29)-LEN($A$2)-1))</f>
        <v/>
      </c>
      <c r="D29" s="30" t="str">
        <f>IF(ISERROR(FIND($A$2,Lines!D29))=TRUE,"",MID(Lines!D29,FIND($A$2,Lines!D29)+LEN($A$2)+1,FIND(",",_xlfn.CONCAT(Lines!D29,","),FIND($A$2,Lines!D29))-FIND($A$2,Lines!D29)-LEN($A$2)-1))</f>
        <v/>
      </c>
      <c r="E29" s="30" t="str">
        <f>IF(ISERROR(FIND($A$2,Lines!E29))=TRUE,"",MID(Lines!E29,FIND($A$2,Lines!E29)+LEN($A$2)+1,FIND(",",_xlfn.CONCAT(Lines!E29,","),FIND($A$2,Lines!E29))-FIND($A$2,Lines!E29)-LEN($A$2)-1))</f>
        <v/>
      </c>
      <c r="F29" s="30" t="str">
        <f>IF(ISERROR(FIND($A$2,Lines!F29))=TRUE,"",MID(Lines!F29,FIND($A$2,Lines!F29)+LEN($A$2)+1,FIND(",",_xlfn.CONCAT(Lines!F29,","),FIND($A$2,Lines!F29))-FIND($A$2,Lines!F29)-LEN($A$2)-1))</f>
        <v/>
      </c>
      <c r="G29" s="30" t="str">
        <f>IF(ISERROR(FIND($A$2,Lines!G29))=TRUE,"",MID(Lines!G29,FIND($A$2,Lines!G29)+LEN($A$2)+1,FIND(",",_xlfn.CONCAT(Lines!G29,","),FIND($A$2,Lines!G29))-FIND($A$2,Lines!G29)-LEN($A$2)-1))</f>
        <v/>
      </c>
      <c r="H29" s="30" t="str">
        <f>IF(ISERROR(FIND($A$2,Lines!H29))=TRUE,"",MID(Lines!H29,FIND($A$2,Lines!H29)+LEN($A$2)+1,FIND(",",_xlfn.CONCAT(Lines!H29,","),FIND($A$2,Lines!H29))-FIND($A$2,Lines!H29)-LEN($A$2)-1))</f>
        <v/>
      </c>
      <c r="I29" s="30" t="str">
        <f>IF(ISERROR(FIND($A$2,Lines!I29))=TRUE,"",MID(Lines!I29,FIND($A$2,Lines!I29)+LEN($A$2)+1,FIND(",",_xlfn.CONCAT(Lines!I29,","),FIND($A$2,Lines!I29))-FIND($A$2,Lines!I29)-LEN($A$2)-1))</f>
        <v/>
      </c>
      <c r="J29" s="30" t="str">
        <f>IF(ISERROR(FIND($A$2,Lines!J29))=TRUE,"",MID(Lines!J29,FIND($A$2,Lines!J29)+LEN($A$2)+1,FIND(",",_xlfn.CONCAT(Lines!J29,","),FIND($A$2,Lines!J29))-FIND($A$2,Lines!J29)-LEN($A$2)-1))</f>
        <v/>
      </c>
      <c r="K29" s="30" t="str">
        <f>IF(ISERROR(FIND($A$2,Lines!K29))=TRUE,"",MID(Lines!K29,FIND($A$2,Lines!K29)+LEN($A$2)+1,FIND(",",_xlfn.CONCAT(Lines!K29,","),FIND($A$2,Lines!K29))-FIND($A$2,Lines!K29)-LEN($A$2)-1))</f>
        <v/>
      </c>
      <c r="L29" s="30" t="str">
        <f>IF(ISERROR(FIND($A$2,Lines!L29))=TRUE,"",MID(Lines!L29,FIND($A$2,Lines!L29)+LEN($A$2)+1,FIND(",",_xlfn.CONCAT(Lines!L29,","),FIND($A$2,Lines!L29))-FIND($A$2,Lines!L29)-LEN($A$2)-1))</f>
        <v/>
      </c>
      <c r="M29" s="30" t="str">
        <f>IF(ISERROR(FIND($A$2,Lines!M29))=TRUE,"",MID(Lines!M29,FIND($A$2,Lines!M29)+LEN($A$2)+1,FIND(",",_xlfn.CONCAT(Lines!M29,","),FIND($A$2,Lines!M29))-FIND($A$2,Lines!M29)-LEN($A$2)-1))</f>
        <v/>
      </c>
      <c r="N29" s="30" t="str">
        <f>IF(ISERROR(FIND($A$2,Lines!N29))=TRUE,"",MID(Lines!N29,FIND($A$2,Lines!N29)+LEN($A$2)+1,FIND(",",_xlfn.CONCAT(Lines!N29,","),FIND($A$2,Lines!N29))-FIND($A$2,Lines!N29)-LEN($A$2)-1))</f>
        <v/>
      </c>
      <c r="O29" s="30" t="str">
        <f>IF(ISERROR(FIND($A$2,Lines!O29))=TRUE,"",MID(Lines!O29,FIND($A$2,Lines!O29)+LEN($A$2)+1,FIND(",",_xlfn.CONCAT(Lines!O29,","),FIND($A$2,Lines!O29))-FIND($A$2,Lines!O29)-LEN($A$2)-1))</f>
        <v/>
      </c>
      <c r="P29" s="30" t="str">
        <f>IF(ISERROR(FIND($A$2,Lines!P29))=TRUE,"",MID(Lines!P29,FIND($A$2,Lines!P29)+LEN($A$2)+1,FIND(",",_xlfn.CONCAT(Lines!P29,","),FIND($A$2,Lines!P29))-FIND($A$2,Lines!P29)-LEN($A$2)-1))</f>
        <v/>
      </c>
      <c r="Q29" s="30" t="str">
        <f>IF(ISERROR(FIND($A$2,Lines!Q29))=TRUE,"",MID(Lines!Q29,FIND($A$2,Lines!Q29)+LEN($A$2)+1,FIND(",",_xlfn.CONCAT(Lines!Q29,","),FIND($A$2,Lines!Q29))-FIND($A$2,Lines!Q29)-LEN($A$2)-1))</f>
        <v/>
      </c>
      <c r="R29" s="30" t="str">
        <f>IF(ISERROR(FIND($A$2,Lines!R29))=TRUE,"",MID(Lines!R29,FIND($A$2,Lines!R29)+LEN($A$2)+1,FIND(",",_xlfn.CONCAT(Lines!R29,","),FIND($A$2,Lines!R29))-FIND($A$2,Lines!R29)-LEN($A$2)-1))</f>
        <v/>
      </c>
      <c r="S29" s="30" t="str">
        <f>IF(ISERROR(FIND($A$2,Lines!S29))=TRUE,"",MID(Lines!S29,FIND($A$2,Lines!S29)+LEN($A$2)+1,FIND(",",_xlfn.CONCAT(Lines!S29,","),FIND($A$2,Lines!S29))-FIND($A$2,Lines!S29)-LEN($A$2)-1))</f>
        <v/>
      </c>
      <c r="T29" s="30" t="str">
        <f>IF(ISERROR(FIND($A$2,Lines!T29))=TRUE,"",MID(Lines!T29,FIND($A$2,Lines!T29)+LEN($A$2)+1,FIND(",",_xlfn.CONCAT(Lines!T29,","),FIND($A$2,Lines!T29))-FIND($A$2,Lines!T29)-LEN($A$2)-1))</f>
        <v/>
      </c>
      <c r="U29" s="30" t="str">
        <f>IF(ISERROR(FIND($A$2,Lines!U29))=TRUE,"",MID(Lines!U29,FIND($A$2,Lines!U29)+LEN($A$2)+1,FIND(",",_xlfn.CONCAT(Lines!U29,","),FIND($A$2,Lines!U29))-FIND($A$2,Lines!U29)-LEN($A$2)-1))</f>
        <v/>
      </c>
      <c r="V29" s="30" t="str">
        <f>IF(ISERROR(FIND($A$2,Lines!V29))=TRUE,"",MID(Lines!V29,FIND($A$2,Lines!V29)+LEN($A$2)+1,FIND(",",_xlfn.CONCAT(Lines!V29,","),FIND($A$2,Lines!V29))-FIND($A$2,Lines!V29)-LEN($A$2)-1))</f>
        <v/>
      </c>
      <c r="W29" s="36" t="str">
        <f>IF(ISERROR(FIND($A$2,Lines!W29))=TRUE,"",MID(Lines!W29,FIND($A$2,Lines!W29)+LEN($A$2)+1,FIND(",",_xlfn.CONCAT(Lines!W29,","),FIND($A$2,Lines!W29))-FIND($A$2,Lines!W29)-LEN($A$2)-1))</f>
        <v/>
      </c>
      <c r="X29" s="39" t="str">
        <f>IF(ISERROR(FIND($A$2,Lines!X29))=TRUE,"",MID(Lines!X29,FIND($A$2,Lines!X29)+LEN($A$2)+1,FIND(",",_xlfn.CONCAT(Lines!X29,","),FIND($A$2,Lines!X29))-FIND($A$2,Lines!X29)-LEN($A$2)-1))</f>
        <v/>
      </c>
      <c r="Y29" s="41" t="str">
        <f>IF(ISERROR(FIND($A$2,Lines!Y29))=TRUE,"",MID(Lines!Y29,FIND($A$2,Lines!Y29)+LEN($A$2)+1,FIND(",",_xlfn.CONCAT(Lines!Y29,","),FIND($A$2,Lines!Y29))-FIND($A$2,Lines!Y29)-LEN($A$2)-1))</f>
        <v/>
      </c>
      <c r="Z29" s="41" t="str">
        <f>IF(ISERROR(FIND($A$2,Lines!Z29))=TRUE,"",MID(Lines!Z29,FIND($A$2,Lines!Z29)+LEN($A$2)+1,FIND(",",_xlfn.CONCAT(Lines!Z29,","),FIND($A$2,Lines!Z29))-FIND($A$2,Lines!Z29)-LEN($A$2)-1))</f>
        <v/>
      </c>
      <c r="AA29" s="66" t="str">
        <f>IF(ISERROR(FIND($A$2,Lines!AA29))=TRUE,"",MID(Lines!AA29,FIND($A$2,Lines!AA29)+LEN($A$2)+1,FIND(",",_xlfn.CONCAT(Lines!AA29,","),FIND($A$2,Lines!AA29))-FIND($A$2,Lines!AA29)-LEN($A$2)-1))</f>
        <v/>
      </c>
      <c r="AB29" s="41" t="str">
        <f>IF(ISERROR(FIND($A$2,Lines!AB29))=TRUE,"",MID(Lines!AB29,FIND($A$2,Lines!AB29)+LEN($A$2)+1,FIND(",",_xlfn.CONCAT(Lines!AB29,","),FIND($A$2,Lines!AB29))-FIND($A$2,Lines!AB29)-LEN($A$2)-1))</f>
        <v/>
      </c>
      <c r="AC29" s="41" t="str">
        <f>IF(ISERROR(FIND($A$2,Lines!AC29))=TRUE,"",MID(Lines!AC29,FIND($A$2,Lines!AC29)+LEN($A$2)+1,FIND(",",_xlfn.CONCAT(Lines!AC29,","),FIND($A$2,Lines!AC29))-FIND($A$2,Lines!AC29)-LEN($A$2)-1))</f>
        <v/>
      </c>
      <c r="AD29" s="46" t="str">
        <f>IF(ISERROR(FIND($A$2,Lines!AD29))=TRUE,"",MID(Lines!AD29,FIND($A$2,Lines!AD29)+LEN($A$2)+1,FIND(",",_xlfn.CONCAT(Lines!AD29,","),FIND($A$2,Lines!AD29))-FIND($A$2,Lines!AD29)-LEN($A$2)-1))</f>
        <v/>
      </c>
      <c r="AE29" s="30" t="str">
        <f>IF(ISERROR(FIND($A$2,Lines!AE29))=TRUE,"",MID(Lines!AE29,FIND($A$2,Lines!AE29)+LEN($A$2)+1,FIND(",",_xlfn.CONCAT(Lines!AE29,","),FIND($A$2,Lines!AE29))-FIND($A$2,Lines!AE29)-LEN($A$2)-1))</f>
        <v/>
      </c>
      <c r="AF29" s="30" t="str">
        <f>IF(ISERROR(FIND($A$2,Lines!AF29))=TRUE,"",MID(Lines!AF29,FIND($A$2,Lines!AF29)+LEN($A$2)+1,FIND(",",_xlfn.CONCAT(Lines!AF29,","),FIND($A$2,Lines!AF29))-FIND($A$2,Lines!AF29)-LEN($A$2)-1))</f>
        <v/>
      </c>
      <c r="AG29" s="30" t="str">
        <f>IF(ISERROR(FIND($A$2,Lines!AG29))=TRUE,"",MID(Lines!AG29,FIND($A$2,Lines!AG29)+LEN($A$2)+1,FIND(",",_xlfn.CONCAT(Lines!AG29,","),FIND($A$2,Lines!AG29))-FIND($A$2,Lines!AG29)-LEN($A$2)-1))</f>
        <v/>
      </c>
      <c r="AH29" s="30" t="str">
        <f>IF(ISERROR(FIND($A$2,Lines!AH29))=TRUE,"",MID(Lines!AH29,FIND($A$2,Lines!AH29)+LEN($A$2)+1,FIND(",",_xlfn.CONCAT(Lines!AH29,","),FIND($A$2,Lines!AH29))-FIND($A$2,Lines!AH29)-LEN($A$2)-1))</f>
        <v/>
      </c>
      <c r="AI29" s="30" t="str">
        <f>IF(ISERROR(FIND($A$2,Lines!AI29))=TRUE,"",MID(Lines!AI29,FIND($A$2,Lines!AI29)+LEN($A$2)+1,FIND(",",_xlfn.CONCAT(Lines!AI29,","),FIND($A$2,Lines!AI29))-FIND($A$2,Lines!AI29)-LEN($A$2)-1))</f>
        <v/>
      </c>
      <c r="AJ29" s="30" t="str">
        <f>IF(ISERROR(FIND($A$2,Lines!AJ29))=TRUE,"",MID(Lines!AJ29,FIND($A$2,Lines!AJ29)+LEN($A$2)+1,FIND(",",_xlfn.CONCAT(Lines!AJ29,","),FIND($A$2,Lines!AJ29))-FIND($A$2,Lines!AJ29)-LEN($A$2)-1))</f>
        <v/>
      </c>
      <c r="AK29" s="30" t="str">
        <f>IF(ISERROR(FIND($A$2,Lines!AK29))=TRUE,"",MID(Lines!AK29,FIND($A$2,Lines!AK29)+LEN($A$2)+1,FIND(",",_xlfn.CONCAT(Lines!AK29,","),FIND($A$2,Lines!AK29))-FIND($A$2,Lines!AK29)-LEN($A$2)-1))</f>
        <v/>
      </c>
      <c r="AL29" s="30" t="str">
        <f>IF(ISERROR(FIND($A$2,Lines!AL29))=TRUE,"",MID(Lines!AL29,FIND($A$2,Lines!AL29)+LEN($A$2)+1,FIND(",",_xlfn.CONCAT(Lines!AL29,","),FIND($A$2,Lines!AL29))-FIND($A$2,Lines!AL29)-LEN($A$2)-1))</f>
        <v/>
      </c>
      <c r="AM29" s="30" t="str">
        <f>IF(ISERROR(FIND($A$2,Lines!AM29))=TRUE,"",MID(Lines!AM29,FIND($A$2,Lines!AM29)+LEN($A$2)+1,FIND(",",_xlfn.CONCAT(Lines!AM29,","),FIND($A$2,Lines!AM29))-FIND($A$2,Lines!AM29)-LEN($A$2)-1))</f>
        <v/>
      </c>
      <c r="AN29" s="30" t="str">
        <f>IF(ISERROR(FIND($A$2,Lines!AN29))=TRUE,"",MID(Lines!AN29,FIND($A$2,Lines!AN29)+LEN($A$2)+1,FIND(",",_xlfn.CONCAT(Lines!AN29,","),FIND($A$2,Lines!AN29))-FIND($A$2,Lines!AN29)-LEN($A$2)-1))</f>
        <v/>
      </c>
      <c r="AO29" s="30" t="str">
        <f>IF(ISERROR(FIND($A$2,Lines!AO29))=TRUE,"",MID(Lines!AO29,FIND($A$2,Lines!AO29)+LEN($A$2)+1,FIND(",",_xlfn.CONCAT(Lines!AO29,","),FIND($A$2,Lines!AO29))-FIND($A$2,Lines!AO29)-LEN($A$2)-1))</f>
        <v/>
      </c>
      <c r="AP29" s="30" t="str">
        <f>IF(ISERROR(FIND($A$2,Lines!AP29))=TRUE,"",MID(Lines!AP29,FIND($A$2,Lines!AP29)+LEN($A$2)+1,FIND(",",_xlfn.CONCAT(Lines!AP29,","),FIND($A$2,Lines!AP29))-FIND($A$2,Lines!AP29)-LEN($A$2)-1))</f>
        <v/>
      </c>
      <c r="AQ29" s="30" t="str">
        <f>IF(ISERROR(FIND($A$2,Lines!AQ29))=TRUE,"",MID(Lines!AQ29,FIND($A$2,Lines!AQ29)+LEN($A$2)+1,FIND(",",_xlfn.CONCAT(Lines!AQ29,","),FIND($A$2,Lines!AQ29))-FIND($A$2,Lines!AQ29)-LEN($A$2)-1))</f>
        <v/>
      </c>
      <c r="AR29" s="30" t="str">
        <f>IF(ISERROR(FIND($A$2,Lines!AR29))=TRUE,"",MID(Lines!AR29,FIND($A$2,Lines!AR29)+LEN($A$2)+1,FIND(",",_xlfn.CONCAT(Lines!AR29,","),FIND($A$2,Lines!AR29))-FIND($A$2,Lines!AR29)-LEN($A$2)-1))</f>
        <v/>
      </c>
      <c r="AS29" s="30" t="str">
        <f>IF(ISERROR(FIND($A$2,Lines!AS29))=TRUE,"",MID(Lines!AS29,FIND($A$2,Lines!AS29)+LEN($A$2)+1,FIND(",",_xlfn.CONCAT(Lines!AS29,","),FIND($A$2,Lines!AS29))-FIND($A$2,Lines!AS29)-LEN($A$2)-1))</f>
        <v/>
      </c>
      <c r="AT29" s="30" t="str">
        <f>IF(ISERROR(FIND($A$2,Lines!AT29))=TRUE,"",MID(Lines!AT29,FIND($A$2,Lines!AT29)+LEN($A$2)+1,FIND(",",_xlfn.CONCAT(Lines!AT29,","),FIND($A$2,Lines!AT29))-FIND($A$2,Lines!AT29)-LEN($A$2)-1))</f>
        <v/>
      </c>
    </row>
    <row r="30" spans="1:46" ht="20.25" customHeight="1">
      <c r="A30" s="2" t="s">
        <v>78</v>
      </c>
      <c r="B30" s="30" t="str">
        <f>IF(ISERROR(FIND($A$2,Lines!B30))=TRUE,"",MID(Lines!B30,FIND($A$2,Lines!B30)+LEN($A$2)+1,FIND(",",_xlfn.CONCAT(Lines!B30,","),FIND($A$2,Lines!B30))-FIND($A$2,Lines!B30)-LEN($A$2)-1))</f>
        <v/>
      </c>
      <c r="C30" s="30" t="str">
        <f>IF(ISERROR(FIND($A$2,Lines!C30))=TRUE,"",MID(Lines!C30,FIND($A$2,Lines!C30)+LEN($A$2)+1,FIND(",",_xlfn.CONCAT(Lines!C30,","),FIND($A$2,Lines!C30))-FIND($A$2,Lines!C30)-LEN($A$2)-1))</f>
        <v/>
      </c>
      <c r="D30" s="30" t="str">
        <f>IF(ISERROR(FIND($A$2,Lines!D30))=TRUE,"",MID(Lines!D30,FIND($A$2,Lines!D30)+LEN($A$2)+1,FIND(",",_xlfn.CONCAT(Lines!D30,","),FIND($A$2,Lines!D30))-FIND($A$2,Lines!D30)-LEN($A$2)-1))</f>
        <v/>
      </c>
      <c r="E30" s="30" t="str">
        <f>IF(ISERROR(FIND($A$2,Lines!E30))=TRUE,"",MID(Lines!E30,FIND($A$2,Lines!E30)+LEN($A$2)+1,FIND(",",_xlfn.CONCAT(Lines!E30,","),FIND($A$2,Lines!E30))-FIND($A$2,Lines!E30)-LEN($A$2)-1))</f>
        <v/>
      </c>
      <c r="F30" s="30" t="str">
        <f>IF(ISERROR(FIND($A$2,Lines!F30))=TRUE,"",MID(Lines!F30,FIND($A$2,Lines!F30)+LEN($A$2)+1,FIND(",",_xlfn.CONCAT(Lines!F30,","),FIND($A$2,Lines!F30))-FIND($A$2,Lines!F30)-LEN($A$2)-1))</f>
        <v/>
      </c>
      <c r="G30" s="30" t="str">
        <f>IF(ISERROR(FIND($A$2,Lines!G30))=TRUE,"",MID(Lines!G30,FIND($A$2,Lines!G30)+LEN($A$2)+1,FIND(",",_xlfn.CONCAT(Lines!G30,","),FIND($A$2,Lines!G30))-FIND($A$2,Lines!G30)-LEN($A$2)-1))</f>
        <v/>
      </c>
      <c r="H30" s="30" t="str">
        <f>IF(ISERROR(FIND($A$2,Lines!H30))=TRUE,"",MID(Lines!H30,FIND($A$2,Lines!H30)+LEN($A$2)+1,FIND(",",_xlfn.CONCAT(Lines!H30,","),FIND($A$2,Lines!H30))-FIND($A$2,Lines!H30)-LEN($A$2)-1))</f>
        <v/>
      </c>
      <c r="I30" s="30" t="str">
        <f>IF(ISERROR(FIND($A$2,Lines!I30))=TRUE,"",MID(Lines!I30,FIND($A$2,Lines!I30)+LEN($A$2)+1,FIND(",",_xlfn.CONCAT(Lines!I30,","),FIND($A$2,Lines!I30))-FIND($A$2,Lines!I30)-LEN($A$2)-1))</f>
        <v/>
      </c>
      <c r="J30" s="30" t="str">
        <f>IF(ISERROR(FIND($A$2,Lines!J30))=TRUE,"",MID(Lines!J30,FIND($A$2,Lines!J30)+LEN($A$2)+1,FIND(",",_xlfn.CONCAT(Lines!J30,","),FIND($A$2,Lines!J30))-FIND($A$2,Lines!J30)-LEN($A$2)-1))</f>
        <v/>
      </c>
      <c r="K30" s="30" t="str">
        <f>IF(ISERROR(FIND($A$2,Lines!K30))=TRUE,"",MID(Lines!K30,FIND($A$2,Lines!K30)+LEN($A$2)+1,FIND(",",_xlfn.CONCAT(Lines!K30,","),FIND($A$2,Lines!K30))-FIND($A$2,Lines!K30)-LEN($A$2)-1))</f>
        <v/>
      </c>
      <c r="L30" s="30" t="str">
        <f>IF(ISERROR(FIND($A$2,Lines!L30))=TRUE,"",MID(Lines!L30,FIND($A$2,Lines!L30)+LEN($A$2)+1,FIND(",",_xlfn.CONCAT(Lines!L30,","),FIND($A$2,Lines!L30))-FIND($A$2,Lines!L30)-LEN($A$2)-1))</f>
        <v/>
      </c>
      <c r="M30" s="30" t="str">
        <f>IF(ISERROR(FIND($A$2,Lines!M30))=TRUE,"",MID(Lines!M30,FIND($A$2,Lines!M30)+LEN($A$2)+1,FIND(",",_xlfn.CONCAT(Lines!M30,","),FIND($A$2,Lines!M30))-FIND($A$2,Lines!M30)-LEN($A$2)-1))</f>
        <v/>
      </c>
      <c r="N30" s="30" t="str">
        <f>IF(ISERROR(FIND($A$2,Lines!N30))=TRUE,"",MID(Lines!N30,FIND($A$2,Lines!N30)+LEN($A$2)+1,FIND(",",_xlfn.CONCAT(Lines!N30,","),FIND($A$2,Lines!N30))-FIND($A$2,Lines!N30)-LEN($A$2)-1))</f>
        <v/>
      </c>
      <c r="O30" s="30" t="str">
        <f>IF(ISERROR(FIND($A$2,Lines!O30))=TRUE,"",MID(Lines!O30,FIND($A$2,Lines!O30)+LEN($A$2)+1,FIND(",",_xlfn.CONCAT(Lines!O30,","),FIND($A$2,Lines!O30))-FIND($A$2,Lines!O30)-LEN($A$2)-1))</f>
        <v/>
      </c>
      <c r="P30" s="30" t="str">
        <f>IF(ISERROR(FIND($A$2,Lines!P30))=TRUE,"",MID(Lines!P30,FIND($A$2,Lines!P30)+LEN($A$2)+1,FIND(",",_xlfn.CONCAT(Lines!P30,","),FIND($A$2,Lines!P30))-FIND($A$2,Lines!P30)-LEN($A$2)-1))</f>
        <v/>
      </c>
      <c r="Q30" s="30" t="str">
        <f>IF(ISERROR(FIND($A$2,Lines!Q30))=TRUE,"",MID(Lines!Q30,FIND($A$2,Lines!Q30)+LEN($A$2)+1,FIND(",",_xlfn.CONCAT(Lines!Q30,","),FIND($A$2,Lines!Q30))-FIND($A$2,Lines!Q30)-LEN($A$2)-1))</f>
        <v/>
      </c>
      <c r="R30" s="30" t="str">
        <f>IF(ISERROR(FIND($A$2,Lines!R30))=TRUE,"",MID(Lines!R30,FIND($A$2,Lines!R30)+LEN($A$2)+1,FIND(",",_xlfn.CONCAT(Lines!R30,","),FIND($A$2,Lines!R30))-FIND($A$2,Lines!R30)-LEN($A$2)-1))</f>
        <v/>
      </c>
      <c r="S30" s="30" t="str">
        <f>IF(ISERROR(FIND($A$2,Lines!S30))=TRUE,"",MID(Lines!S30,FIND($A$2,Lines!S30)+LEN($A$2)+1,FIND(",",_xlfn.CONCAT(Lines!S30,","),FIND($A$2,Lines!S30))-FIND($A$2,Lines!S30)-LEN($A$2)-1))</f>
        <v/>
      </c>
      <c r="T30" s="30" t="str">
        <f>IF(ISERROR(FIND($A$2,Lines!T30))=TRUE,"",MID(Lines!T30,FIND($A$2,Lines!T30)+LEN($A$2)+1,FIND(",",_xlfn.CONCAT(Lines!T30,","),FIND($A$2,Lines!T30))-FIND($A$2,Lines!T30)-LEN($A$2)-1))</f>
        <v/>
      </c>
      <c r="U30" s="30" t="str">
        <f>IF(ISERROR(FIND($A$2,Lines!U30))=TRUE,"",MID(Lines!U30,FIND($A$2,Lines!U30)+LEN($A$2)+1,FIND(",",_xlfn.CONCAT(Lines!U30,","),FIND($A$2,Lines!U30))-FIND($A$2,Lines!U30)-LEN($A$2)-1))</f>
        <v/>
      </c>
      <c r="V30" s="30" t="str">
        <f>IF(ISERROR(FIND($A$2,Lines!V30))=TRUE,"",MID(Lines!V30,FIND($A$2,Lines!V30)+LEN($A$2)+1,FIND(",",_xlfn.CONCAT(Lines!V30,","),FIND($A$2,Lines!V30))-FIND($A$2,Lines!V30)-LEN($A$2)-1))</f>
        <v/>
      </c>
      <c r="W30" s="36" t="str">
        <f>IF(ISERROR(FIND($A$2,Lines!W30))=TRUE,"",MID(Lines!W30,FIND($A$2,Lines!W30)+LEN($A$2)+1,FIND(",",_xlfn.CONCAT(Lines!W30,","),FIND($A$2,Lines!W30))-FIND($A$2,Lines!W30)-LEN($A$2)-1))</f>
        <v/>
      </c>
      <c r="X30" s="40" t="str">
        <f>IF(ISERROR(FIND($A$2,Lines!X30))=TRUE,"",MID(Lines!X30,FIND($A$2,Lines!X30)+LEN($A$2)+1,FIND(",",_xlfn.CONCAT(Lines!X30,","),FIND($A$2,Lines!X30))-FIND($A$2,Lines!X30)-LEN($A$2)-1))</f>
        <v/>
      </c>
      <c r="Y30" s="41" t="str">
        <f>IF(ISERROR(FIND($A$2,Lines!Y30))=TRUE,"",MID(Lines!Y30,FIND($A$2,Lines!Y30)+LEN($A$2)+1,FIND(",",_xlfn.CONCAT(Lines!Y30,","),FIND($A$2,Lines!Y30))-FIND($A$2,Lines!Y30)-LEN($A$2)-1))</f>
        <v>2</v>
      </c>
      <c r="Z30" s="41" t="str">
        <f>IF(ISERROR(FIND($A$2,Lines!Z30))=TRUE,"",MID(Lines!Z30,FIND($A$2,Lines!Z30)+LEN($A$2)+1,FIND(",",_xlfn.CONCAT(Lines!Z30,","),FIND($A$2,Lines!Z30))-FIND($A$2,Lines!Z30)-LEN($A$2)-1))</f>
        <v/>
      </c>
      <c r="AA30" s="41" t="str">
        <f>IF(ISERROR(FIND($A$2,Lines!AA30))=TRUE,"",MID(Lines!AA30,FIND($A$2,Lines!AA30)+LEN($A$2)+1,FIND(",",_xlfn.CONCAT(Lines!AA30,","),FIND($A$2,Lines!AA30))-FIND($A$2,Lines!AA30)-LEN($A$2)-1))</f>
        <v/>
      </c>
      <c r="AB30" s="66" t="str">
        <f>IF(ISERROR(FIND($A$2,Lines!AB30))=TRUE,"",MID(Lines!AB30,FIND($A$2,Lines!AB30)+LEN($A$2)+1,FIND(",",_xlfn.CONCAT(Lines!AB30,","),FIND($A$2,Lines!AB30))-FIND($A$2,Lines!AB30)-LEN($A$2)-1))</f>
        <v/>
      </c>
      <c r="AC30" s="41" t="str">
        <f>IF(ISERROR(FIND($A$2,Lines!AC30))=TRUE,"",MID(Lines!AC30,FIND($A$2,Lines!AC30)+LEN($A$2)+1,FIND(",",_xlfn.CONCAT(Lines!AC30,","),FIND($A$2,Lines!AC30))-FIND($A$2,Lines!AC30)-LEN($A$2)-1))</f>
        <v/>
      </c>
      <c r="AD30" s="53" t="str">
        <f>IF(ISERROR(FIND($A$2,Lines!AD30))=TRUE,"",MID(Lines!AD30,FIND($A$2,Lines!AD30)+LEN($A$2)+1,FIND(",",_xlfn.CONCAT(Lines!AD30,","),FIND($A$2,Lines!AD30))-FIND($A$2,Lines!AD30)-LEN($A$2)-1))</f>
        <v/>
      </c>
      <c r="AE30" s="30" t="str">
        <f>IF(ISERROR(FIND($A$2,Lines!AE30))=TRUE,"",MID(Lines!AE30,FIND($A$2,Lines!AE30)+LEN($A$2)+1,FIND(",",_xlfn.CONCAT(Lines!AE30,","),FIND($A$2,Lines!AE30))-FIND($A$2,Lines!AE30)-LEN($A$2)-1))</f>
        <v/>
      </c>
      <c r="AF30" s="30" t="str">
        <f>IF(ISERROR(FIND($A$2,Lines!AF30))=TRUE,"",MID(Lines!AF30,FIND($A$2,Lines!AF30)+LEN($A$2)+1,FIND(",",_xlfn.CONCAT(Lines!AF30,","),FIND($A$2,Lines!AF30))-FIND($A$2,Lines!AF30)-LEN($A$2)-1))</f>
        <v/>
      </c>
      <c r="AG30" s="30" t="str">
        <f>IF(ISERROR(FIND($A$2,Lines!AG30))=TRUE,"",MID(Lines!AG30,FIND($A$2,Lines!AG30)+LEN($A$2)+1,FIND(",",_xlfn.CONCAT(Lines!AG30,","),FIND($A$2,Lines!AG30))-FIND($A$2,Lines!AG30)-LEN($A$2)-1))</f>
        <v/>
      </c>
      <c r="AH30" s="30" t="str">
        <f>IF(ISERROR(FIND($A$2,Lines!AH30))=TRUE,"",MID(Lines!AH30,FIND($A$2,Lines!AH30)+LEN($A$2)+1,FIND(",",_xlfn.CONCAT(Lines!AH30,","),FIND($A$2,Lines!AH30))-FIND($A$2,Lines!AH30)-LEN($A$2)-1))</f>
        <v/>
      </c>
      <c r="AI30" s="30" t="str">
        <f>IF(ISERROR(FIND($A$2,Lines!AI30))=TRUE,"",MID(Lines!AI30,FIND($A$2,Lines!AI30)+LEN($A$2)+1,FIND(",",_xlfn.CONCAT(Lines!AI30,","),FIND($A$2,Lines!AI30))-FIND($A$2,Lines!AI30)-LEN($A$2)-1))</f>
        <v/>
      </c>
      <c r="AJ30" s="30" t="str">
        <f>IF(ISERROR(FIND($A$2,Lines!AJ30))=TRUE,"",MID(Lines!AJ30,FIND($A$2,Lines!AJ30)+LEN($A$2)+1,FIND(",",_xlfn.CONCAT(Lines!AJ30,","),FIND($A$2,Lines!AJ30))-FIND($A$2,Lines!AJ30)-LEN($A$2)-1))</f>
        <v/>
      </c>
      <c r="AK30" s="30" t="str">
        <f>IF(ISERROR(FIND($A$2,Lines!AK30))=TRUE,"",MID(Lines!AK30,FIND($A$2,Lines!AK30)+LEN($A$2)+1,FIND(",",_xlfn.CONCAT(Lines!AK30,","),FIND($A$2,Lines!AK30))-FIND($A$2,Lines!AK30)-LEN($A$2)-1))</f>
        <v/>
      </c>
      <c r="AL30" s="30" t="str">
        <f>IF(ISERROR(FIND($A$2,Lines!AL30))=TRUE,"",MID(Lines!AL30,FIND($A$2,Lines!AL30)+LEN($A$2)+1,FIND(",",_xlfn.CONCAT(Lines!AL30,","),FIND($A$2,Lines!AL30))-FIND($A$2,Lines!AL30)-LEN($A$2)-1))</f>
        <v/>
      </c>
      <c r="AM30" s="30" t="str">
        <f>IF(ISERROR(FIND($A$2,Lines!AM30))=TRUE,"",MID(Lines!AM30,FIND($A$2,Lines!AM30)+LEN($A$2)+1,FIND(",",_xlfn.CONCAT(Lines!AM30,","),FIND($A$2,Lines!AM30))-FIND($A$2,Lines!AM30)-LEN($A$2)-1))</f>
        <v/>
      </c>
      <c r="AN30" s="30" t="str">
        <f>IF(ISERROR(FIND($A$2,Lines!AN30))=TRUE,"",MID(Lines!AN30,FIND($A$2,Lines!AN30)+LEN($A$2)+1,FIND(",",_xlfn.CONCAT(Lines!AN30,","),FIND($A$2,Lines!AN30))-FIND($A$2,Lines!AN30)-LEN($A$2)-1))</f>
        <v/>
      </c>
      <c r="AO30" s="30" t="str">
        <f>IF(ISERROR(FIND($A$2,Lines!AO30))=TRUE,"",MID(Lines!AO30,FIND($A$2,Lines!AO30)+LEN($A$2)+1,FIND(",",_xlfn.CONCAT(Lines!AO30,","),FIND($A$2,Lines!AO30))-FIND($A$2,Lines!AO30)-LEN($A$2)-1))</f>
        <v/>
      </c>
      <c r="AP30" s="30" t="str">
        <f>IF(ISERROR(FIND($A$2,Lines!AP30))=TRUE,"",MID(Lines!AP30,FIND($A$2,Lines!AP30)+LEN($A$2)+1,FIND(",",_xlfn.CONCAT(Lines!AP30,","),FIND($A$2,Lines!AP30))-FIND($A$2,Lines!AP30)-LEN($A$2)-1))</f>
        <v/>
      </c>
      <c r="AQ30" s="30" t="str">
        <f>IF(ISERROR(FIND($A$2,Lines!AQ30))=TRUE,"",MID(Lines!AQ30,FIND($A$2,Lines!AQ30)+LEN($A$2)+1,FIND(",",_xlfn.CONCAT(Lines!AQ30,","),FIND($A$2,Lines!AQ30))-FIND($A$2,Lines!AQ30)-LEN($A$2)-1))</f>
        <v/>
      </c>
      <c r="AR30" s="30" t="str">
        <f>IF(ISERROR(FIND($A$2,Lines!AR30))=TRUE,"",MID(Lines!AR30,FIND($A$2,Lines!AR30)+LEN($A$2)+1,FIND(",",_xlfn.CONCAT(Lines!AR30,","),FIND($A$2,Lines!AR30))-FIND($A$2,Lines!AR30)-LEN($A$2)-1))</f>
        <v/>
      </c>
      <c r="AS30" s="30" t="str">
        <f>IF(ISERROR(FIND($A$2,Lines!AS30))=TRUE,"",MID(Lines!AS30,FIND($A$2,Lines!AS30)+LEN($A$2)+1,FIND(",",_xlfn.CONCAT(Lines!AS30,","),FIND($A$2,Lines!AS30))-FIND($A$2,Lines!AS30)-LEN($A$2)-1))</f>
        <v/>
      </c>
      <c r="AT30" s="30" t="str">
        <f>IF(ISERROR(FIND($A$2,Lines!AT30))=TRUE,"",MID(Lines!AT30,FIND($A$2,Lines!AT30)+LEN($A$2)+1,FIND(",",_xlfn.CONCAT(Lines!AT30,","),FIND($A$2,Lines!AT30))-FIND($A$2,Lines!AT30)-LEN($A$2)-1))</f>
        <v/>
      </c>
    </row>
    <row r="31" spans="1:46" ht="20.25" customHeight="1">
      <c r="A31" s="2" t="s">
        <v>79</v>
      </c>
      <c r="B31" s="30" t="str">
        <f>IF(ISERROR(FIND($A$2,Lines!B31))=TRUE,"",MID(Lines!B31,FIND($A$2,Lines!B31)+LEN($A$2)+1,FIND(",",_xlfn.CONCAT(Lines!B31,","),FIND($A$2,Lines!B31))-FIND($A$2,Lines!B31)-LEN($A$2)-1))</f>
        <v/>
      </c>
      <c r="C31" s="30" t="str">
        <f>IF(ISERROR(FIND($A$2,Lines!C31))=TRUE,"",MID(Lines!C31,FIND($A$2,Lines!C31)+LEN($A$2)+1,FIND(",",_xlfn.CONCAT(Lines!C31,","),FIND($A$2,Lines!C31))-FIND($A$2,Lines!C31)-LEN($A$2)-1))</f>
        <v/>
      </c>
      <c r="D31" s="30" t="str">
        <f>IF(ISERROR(FIND($A$2,Lines!D31))=TRUE,"",MID(Lines!D31,FIND($A$2,Lines!D31)+LEN($A$2)+1,FIND(",",_xlfn.CONCAT(Lines!D31,","),FIND($A$2,Lines!D31))-FIND($A$2,Lines!D31)-LEN($A$2)-1))</f>
        <v/>
      </c>
      <c r="E31" s="30" t="str">
        <f>IF(ISERROR(FIND($A$2,Lines!E31))=TRUE,"",MID(Lines!E31,FIND($A$2,Lines!E31)+LEN($A$2)+1,FIND(",",_xlfn.CONCAT(Lines!E31,","),FIND($A$2,Lines!E31))-FIND($A$2,Lines!E31)-LEN($A$2)-1))</f>
        <v/>
      </c>
      <c r="F31" s="30" t="str">
        <f>IF(ISERROR(FIND($A$2,Lines!F31))=TRUE,"",MID(Lines!F31,FIND($A$2,Lines!F31)+LEN($A$2)+1,FIND(",",_xlfn.CONCAT(Lines!F31,","),FIND($A$2,Lines!F31))-FIND($A$2,Lines!F31)-LEN($A$2)-1))</f>
        <v/>
      </c>
      <c r="G31" s="30" t="str">
        <f>IF(ISERROR(FIND($A$2,Lines!G31))=TRUE,"",MID(Lines!G31,FIND($A$2,Lines!G31)+LEN($A$2)+1,FIND(",",_xlfn.CONCAT(Lines!G31,","),FIND($A$2,Lines!G31))-FIND($A$2,Lines!G31)-LEN($A$2)-1))</f>
        <v/>
      </c>
      <c r="H31" s="30" t="str">
        <f>IF(ISERROR(FIND($A$2,Lines!H31))=TRUE,"",MID(Lines!H31,FIND($A$2,Lines!H31)+LEN($A$2)+1,FIND(",",_xlfn.CONCAT(Lines!H31,","),FIND($A$2,Lines!H31))-FIND($A$2,Lines!H31)-LEN($A$2)-1))</f>
        <v/>
      </c>
      <c r="I31" s="30" t="str">
        <f>IF(ISERROR(FIND($A$2,Lines!I31))=TRUE,"",MID(Lines!I31,FIND($A$2,Lines!I31)+LEN($A$2)+1,FIND(",",_xlfn.CONCAT(Lines!I31,","),FIND($A$2,Lines!I31))-FIND($A$2,Lines!I31)-LEN($A$2)-1))</f>
        <v/>
      </c>
      <c r="J31" s="30" t="str">
        <f>IF(ISERROR(FIND($A$2,Lines!J31))=TRUE,"",MID(Lines!J31,FIND($A$2,Lines!J31)+LEN($A$2)+1,FIND(",",_xlfn.CONCAT(Lines!J31,","),FIND($A$2,Lines!J31))-FIND($A$2,Lines!J31)-LEN($A$2)-1))</f>
        <v/>
      </c>
      <c r="K31" s="30" t="str">
        <f>IF(ISERROR(FIND($A$2,Lines!K31))=TRUE,"",MID(Lines!K31,FIND($A$2,Lines!K31)+LEN($A$2)+1,FIND(",",_xlfn.CONCAT(Lines!K31,","),FIND($A$2,Lines!K31))-FIND($A$2,Lines!K31)-LEN($A$2)-1))</f>
        <v/>
      </c>
      <c r="L31" s="30" t="str">
        <f>IF(ISERROR(FIND($A$2,Lines!L31))=TRUE,"",MID(Lines!L31,FIND($A$2,Lines!L31)+LEN($A$2)+1,FIND(",",_xlfn.CONCAT(Lines!L31,","),FIND($A$2,Lines!L31))-FIND($A$2,Lines!L31)-LEN($A$2)-1))</f>
        <v/>
      </c>
      <c r="M31" s="30" t="str">
        <f>IF(ISERROR(FIND($A$2,Lines!M31))=TRUE,"",MID(Lines!M31,FIND($A$2,Lines!M31)+LEN($A$2)+1,FIND(",",_xlfn.CONCAT(Lines!M31,","),FIND($A$2,Lines!M31))-FIND($A$2,Lines!M31)-LEN($A$2)-1))</f>
        <v/>
      </c>
      <c r="N31" s="30" t="str">
        <f>IF(ISERROR(FIND($A$2,Lines!N31))=TRUE,"",MID(Lines!N31,FIND($A$2,Lines!N31)+LEN($A$2)+1,FIND(",",_xlfn.CONCAT(Lines!N31,","),FIND($A$2,Lines!N31))-FIND($A$2,Lines!N31)-LEN($A$2)-1))</f>
        <v/>
      </c>
      <c r="O31" s="30" t="str">
        <f>IF(ISERROR(FIND($A$2,Lines!O31))=TRUE,"",MID(Lines!O31,FIND($A$2,Lines!O31)+LEN($A$2)+1,FIND(",",_xlfn.CONCAT(Lines!O31,","),FIND($A$2,Lines!O31))-FIND($A$2,Lines!O31)-LEN($A$2)-1))</f>
        <v/>
      </c>
      <c r="P31" s="30" t="str">
        <f>IF(ISERROR(FIND($A$2,Lines!P31))=TRUE,"",MID(Lines!P31,FIND($A$2,Lines!P31)+LEN($A$2)+1,FIND(",",_xlfn.CONCAT(Lines!P31,","),FIND($A$2,Lines!P31))-FIND($A$2,Lines!P31)-LEN($A$2)-1))</f>
        <v/>
      </c>
      <c r="Q31" s="30" t="str">
        <f>IF(ISERROR(FIND($A$2,Lines!Q31))=TRUE,"",MID(Lines!Q31,FIND($A$2,Lines!Q31)+LEN($A$2)+1,FIND(",",_xlfn.CONCAT(Lines!Q31,","),FIND($A$2,Lines!Q31))-FIND($A$2,Lines!Q31)-LEN($A$2)-1))</f>
        <v/>
      </c>
      <c r="R31" s="30" t="str">
        <f>IF(ISERROR(FIND($A$2,Lines!R31))=TRUE,"",MID(Lines!R31,FIND($A$2,Lines!R31)+LEN($A$2)+1,FIND(",",_xlfn.CONCAT(Lines!R31,","),FIND($A$2,Lines!R31))-FIND($A$2,Lines!R31)-LEN($A$2)-1))</f>
        <v/>
      </c>
      <c r="S31" s="30" t="str">
        <f>IF(ISERROR(FIND($A$2,Lines!S31))=TRUE,"",MID(Lines!S31,FIND($A$2,Lines!S31)+LEN($A$2)+1,FIND(",",_xlfn.CONCAT(Lines!S31,","),FIND($A$2,Lines!S31))-FIND($A$2,Lines!S31)-LEN($A$2)-1))</f>
        <v/>
      </c>
      <c r="T31" s="30" t="str">
        <f>IF(ISERROR(FIND($A$2,Lines!T31))=TRUE,"",MID(Lines!T31,FIND($A$2,Lines!T31)+LEN($A$2)+1,FIND(",",_xlfn.CONCAT(Lines!T31,","),FIND($A$2,Lines!T31))-FIND($A$2,Lines!T31)-LEN($A$2)-1))</f>
        <v/>
      </c>
      <c r="U31" s="30" t="str">
        <f>IF(ISERROR(FIND($A$2,Lines!U31))=TRUE,"",MID(Lines!U31,FIND($A$2,Lines!U31)+LEN($A$2)+1,FIND(",",_xlfn.CONCAT(Lines!U31,","),FIND($A$2,Lines!U31))-FIND($A$2,Lines!U31)-LEN($A$2)-1))</f>
        <v/>
      </c>
      <c r="V31" s="30" t="str">
        <f>IF(ISERROR(FIND($A$2,Lines!V31))=TRUE,"",MID(Lines!V31,FIND($A$2,Lines!V31)+LEN($A$2)+1,FIND(",",_xlfn.CONCAT(Lines!V31,","),FIND($A$2,Lines!V31))-FIND($A$2,Lines!V31)-LEN($A$2)-1))</f>
        <v/>
      </c>
      <c r="W31" s="36" t="str">
        <f>IF(ISERROR(FIND($A$2,Lines!W31))=TRUE,"",MID(Lines!W31,FIND($A$2,Lines!W31)+LEN($A$2)+1,FIND(",",_xlfn.CONCAT(Lines!W31,","),FIND($A$2,Lines!W31))-FIND($A$2,Lines!W31)-LEN($A$2)-1))</f>
        <v/>
      </c>
      <c r="X31" s="39" t="str">
        <f>IF(ISERROR(FIND($A$2,Lines!X31))=TRUE,"",MID(Lines!X31,FIND($A$2,Lines!X31)+LEN($A$2)+1,FIND(",",_xlfn.CONCAT(Lines!X31,","),FIND($A$2,Lines!X31))-FIND($A$2,Lines!X31)-LEN($A$2)-1))</f>
        <v/>
      </c>
      <c r="Y31" s="41" t="str">
        <f>IF(ISERROR(FIND($A$2,Lines!Y31))=TRUE,"",MID(Lines!Y31,FIND($A$2,Lines!Y31)+LEN($A$2)+1,FIND(",",_xlfn.CONCAT(Lines!Y31,","),FIND($A$2,Lines!Y31))-FIND($A$2,Lines!Y31)-LEN($A$2)-1))</f>
        <v/>
      </c>
      <c r="Z31" s="41" t="str">
        <f>IF(ISERROR(FIND($A$2,Lines!Z31))=TRUE,"",MID(Lines!Z31,FIND($A$2,Lines!Z31)+LEN($A$2)+1,FIND(",",_xlfn.CONCAT(Lines!Z31,","),FIND($A$2,Lines!Z31))-FIND($A$2,Lines!Z31)-LEN($A$2)-1))</f>
        <v/>
      </c>
      <c r="AA31" s="41" t="str">
        <f>IF(ISERROR(FIND($A$2,Lines!AA31))=TRUE,"",MID(Lines!AA31,FIND($A$2,Lines!AA31)+LEN($A$2)+1,FIND(",",_xlfn.CONCAT(Lines!AA31,","),FIND($A$2,Lines!AA31))-FIND($A$2,Lines!AA31)-LEN($A$2)-1))</f>
        <v/>
      </c>
      <c r="AB31" s="41" t="str">
        <f>IF(ISERROR(FIND($A$2,Lines!AB31))=TRUE,"",MID(Lines!AB31,FIND($A$2,Lines!AB31)+LEN($A$2)+1,FIND(",",_xlfn.CONCAT(Lines!AB31,","),FIND($A$2,Lines!AB31))-FIND($A$2,Lines!AB31)-LEN($A$2)-1))</f>
        <v/>
      </c>
      <c r="AC31" s="66" t="str">
        <f>IF(ISERROR(FIND($A$2,Lines!AC31))=TRUE,"",MID(Lines!AC31,FIND($A$2,Lines!AC31)+LEN($A$2)+1,FIND(",",_xlfn.CONCAT(Lines!AC31,","),FIND($A$2,Lines!AC31))-FIND($A$2,Lines!AC31)-LEN($A$2)-1))</f>
        <v/>
      </c>
      <c r="AD31" s="46" t="str">
        <f>IF(ISERROR(FIND($A$2,Lines!AD31))=TRUE,"",MID(Lines!AD31,FIND($A$2,Lines!AD31)+LEN($A$2)+1,FIND(",",_xlfn.CONCAT(Lines!AD31,","),FIND($A$2,Lines!AD31))-FIND($A$2,Lines!AD31)-LEN($A$2)-1))</f>
        <v/>
      </c>
      <c r="AE31" s="30" t="str">
        <f>IF(ISERROR(FIND($A$2,Lines!AE31))=TRUE,"",MID(Lines!AE31,FIND($A$2,Lines!AE31)+LEN($A$2)+1,FIND(",",_xlfn.CONCAT(Lines!AE31,","),FIND($A$2,Lines!AE31))-FIND($A$2,Lines!AE31)-LEN($A$2)-1))</f>
        <v/>
      </c>
      <c r="AF31" s="30" t="str">
        <f>IF(ISERROR(FIND($A$2,Lines!AF31))=TRUE,"",MID(Lines!AF31,FIND($A$2,Lines!AF31)+LEN($A$2)+1,FIND(",",_xlfn.CONCAT(Lines!AF31,","),FIND($A$2,Lines!AF31))-FIND($A$2,Lines!AF31)-LEN($A$2)-1))</f>
        <v/>
      </c>
      <c r="AG31" s="30" t="str">
        <f>IF(ISERROR(FIND($A$2,Lines!AG31))=TRUE,"",MID(Lines!AG31,FIND($A$2,Lines!AG31)+LEN($A$2)+1,FIND(",",_xlfn.CONCAT(Lines!AG31,","),FIND($A$2,Lines!AG31))-FIND($A$2,Lines!AG31)-LEN($A$2)-1))</f>
        <v/>
      </c>
      <c r="AH31" s="30" t="str">
        <f>IF(ISERROR(FIND($A$2,Lines!AH31))=TRUE,"",MID(Lines!AH31,FIND($A$2,Lines!AH31)+LEN($A$2)+1,FIND(",",_xlfn.CONCAT(Lines!AH31,","),FIND($A$2,Lines!AH31))-FIND($A$2,Lines!AH31)-LEN($A$2)-1))</f>
        <v/>
      </c>
      <c r="AI31" s="30" t="str">
        <f>IF(ISERROR(FIND($A$2,Lines!AI31))=TRUE,"",MID(Lines!AI31,FIND($A$2,Lines!AI31)+LEN($A$2)+1,FIND(",",_xlfn.CONCAT(Lines!AI31,","),FIND($A$2,Lines!AI31))-FIND($A$2,Lines!AI31)-LEN($A$2)-1))</f>
        <v/>
      </c>
      <c r="AJ31" s="30" t="str">
        <f>IF(ISERROR(FIND($A$2,Lines!AJ31))=TRUE,"",MID(Lines!AJ31,FIND($A$2,Lines!AJ31)+LEN($A$2)+1,FIND(",",_xlfn.CONCAT(Lines!AJ31,","),FIND($A$2,Lines!AJ31))-FIND($A$2,Lines!AJ31)-LEN($A$2)-1))</f>
        <v/>
      </c>
      <c r="AK31" s="30" t="str">
        <f>IF(ISERROR(FIND($A$2,Lines!AK31))=TRUE,"",MID(Lines!AK31,FIND($A$2,Lines!AK31)+LEN($A$2)+1,FIND(",",_xlfn.CONCAT(Lines!AK31,","),FIND($A$2,Lines!AK31))-FIND($A$2,Lines!AK31)-LEN($A$2)-1))</f>
        <v/>
      </c>
      <c r="AL31" s="30" t="str">
        <f>IF(ISERROR(FIND($A$2,Lines!AL31))=TRUE,"",MID(Lines!AL31,FIND($A$2,Lines!AL31)+LEN($A$2)+1,FIND(",",_xlfn.CONCAT(Lines!AL31,","),FIND($A$2,Lines!AL31))-FIND($A$2,Lines!AL31)-LEN($A$2)-1))</f>
        <v/>
      </c>
      <c r="AM31" s="30" t="str">
        <f>IF(ISERROR(FIND($A$2,Lines!AM31))=TRUE,"",MID(Lines!AM31,FIND($A$2,Lines!AM31)+LEN($A$2)+1,FIND(",",_xlfn.CONCAT(Lines!AM31,","),FIND($A$2,Lines!AM31))-FIND($A$2,Lines!AM31)-LEN($A$2)-1))</f>
        <v/>
      </c>
      <c r="AN31" s="30" t="str">
        <f>IF(ISERROR(FIND($A$2,Lines!AN31))=TRUE,"",MID(Lines!AN31,FIND($A$2,Lines!AN31)+LEN($A$2)+1,FIND(",",_xlfn.CONCAT(Lines!AN31,","),FIND($A$2,Lines!AN31))-FIND($A$2,Lines!AN31)-LEN($A$2)-1))</f>
        <v/>
      </c>
      <c r="AO31" s="30" t="str">
        <f>IF(ISERROR(FIND($A$2,Lines!AO31))=TRUE,"",MID(Lines!AO31,FIND($A$2,Lines!AO31)+LEN($A$2)+1,FIND(",",_xlfn.CONCAT(Lines!AO31,","),FIND($A$2,Lines!AO31))-FIND($A$2,Lines!AO31)-LEN($A$2)-1))</f>
        <v/>
      </c>
      <c r="AP31" s="30" t="str">
        <f>IF(ISERROR(FIND($A$2,Lines!AP31))=TRUE,"",MID(Lines!AP31,FIND($A$2,Lines!AP31)+LEN($A$2)+1,FIND(",",_xlfn.CONCAT(Lines!AP31,","),FIND($A$2,Lines!AP31))-FIND($A$2,Lines!AP31)-LEN($A$2)-1))</f>
        <v/>
      </c>
      <c r="AQ31" s="30" t="str">
        <f>IF(ISERROR(FIND($A$2,Lines!AQ31))=TRUE,"",MID(Lines!AQ31,FIND($A$2,Lines!AQ31)+LEN($A$2)+1,FIND(",",_xlfn.CONCAT(Lines!AQ31,","),FIND($A$2,Lines!AQ31))-FIND($A$2,Lines!AQ31)-LEN($A$2)-1))</f>
        <v/>
      </c>
      <c r="AR31" s="30" t="str">
        <f>IF(ISERROR(FIND($A$2,Lines!AR31))=TRUE,"",MID(Lines!AR31,FIND($A$2,Lines!AR31)+LEN($A$2)+1,FIND(",",_xlfn.CONCAT(Lines!AR31,","),FIND($A$2,Lines!AR31))-FIND($A$2,Lines!AR31)-LEN($A$2)-1))</f>
        <v/>
      </c>
      <c r="AS31" s="30" t="str">
        <f>IF(ISERROR(FIND($A$2,Lines!AS31))=TRUE,"",MID(Lines!AS31,FIND($A$2,Lines!AS31)+LEN($A$2)+1,FIND(",",_xlfn.CONCAT(Lines!AS31,","),FIND($A$2,Lines!AS31))-FIND($A$2,Lines!AS31)-LEN($A$2)-1))</f>
        <v/>
      </c>
      <c r="AT31" s="30" t="str">
        <f>IF(ISERROR(FIND($A$2,Lines!AT31))=TRUE,"",MID(Lines!AT31,FIND($A$2,Lines!AT31)+LEN($A$2)+1,FIND(",",_xlfn.CONCAT(Lines!AT31,","),FIND($A$2,Lines!AT31))-FIND($A$2,Lines!AT31)-LEN($A$2)-1))</f>
        <v/>
      </c>
    </row>
    <row r="32" spans="1:46" ht="20.25" customHeight="1">
      <c r="A32" s="2" t="s">
        <v>80</v>
      </c>
      <c r="B32" s="30" t="str">
        <f>IF(ISERROR(FIND($A$2,Lines!B32))=TRUE,"",MID(Lines!B32,FIND($A$2,Lines!B32)+LEN($A$2)+1,FIND(",",_xlfn.CONCAT(Lines!B32,","),FIND($A$2,Lines!B32))-FIND($A$2,Lines!B32)-LEN($A$2)-1))</f>
        <v/>
      </c>
      <c r="C32" s="30" t="str">
        <f>IF(ISERROR(FIND($A$2,Lines!C32))=TRUE,"",MID(Lines!C32,FIND($A$2,Lines!C32)+LEN($A$2)+1,FIND(",",_xlfn.CONCAT(Lines!C32,","),FIND($A$2,Lines!C32))-FIND($A$2,Lines!C32)-LEN($A$2)-1))</f>
        <v/>
      </c>
      <c r="D32" s="30" t="str">
        <f>IF(ISERROR(FIND($A$2,Lines!D32))=TRUE,"",MID(Lines!D32,FIND($A$2,Lines!D32)+LEN($A$2)+1,FIND(",",_xlfn.CONCAT(Lines!D32,","),FIND($A$2,Lines!D32))-FIND($A$2,Lines!D32)-LEN($A$2)-1))</f>
        <v/>
      </c>
      <c r="E32" s="30" t="str">
        <f>IF(ISERROR(FIND($A$2,Lines!E32))=TRUE,"",MID(Lines!E32,FIND($A$2,Lines!E32)+LEN($A$2)+1,FIND(",",_xlfn.CONCAT(Lines!E32,","),FIND($A$2,Lines!E32))-FIND($A$2,Lines!E32)-LEN($A$2)-1))</f>
        <v/>
      </c>
      <c r="F32" s="30" t="str">
        <f>IF(ISERROR(FIND($A$2,Lines!F32))=TRUE,"",MID(Lines!F32,FIND($A$2,Lines!F32)+LEN($A$2)+1,FIND(",",_xlfn.CONCAT(Lines!F32,","),FIND($A$2,Lines!F32))-FIND($A$2,Lines!F32)-LEN($A$2)-1))</f>
        <v/>
      </c>
      <c r="G32" s="30" t="str">
        <f>IF(ISERROR(FIND($A$2,Lines!G32))=TRUE,"",MID(Lines!G32,FIND($A$2,Lines!G32)+LEN($A$2)+1,FIND(",",_xlfn.CONCAT(Lines!G32,","),FIND($A$2,Lines!G32))-FIND($A$2,Lines!G32)-LEN($A$2)-1))</f>
        <v/>
      </c>
      <c r="H32" s="30" t="str">
        <f>IF(ISERROR(FIND($A$2,Lines!H32))=TRUE,"",MID(Lines!H32,FIND($A$2,Lines!H32)+LEN($A$2)+1,FIND(",",_xlfn.CONCAT(Lines!H32,","),FIND($A$2,Lines!H32))-FIND($A$2,Lines!H32)-LEN($A$2)-1))</f>
        <v/>
      </c>
      <c r="I32" s="30" t="str">
        <f>IF(ISERROR(FIND($A$2,Lines!I32))=TRUE,"",MID(Lines!I32,FIND($A$2,Lines!I32)+LEN($A$2)+1,FIND(",",_xlfn.CONCAT(Lines!I32,","),FIND($A$2,Lines!I32))-FIND($A$2,Lines!I32)-LEN($A$2)-1))</f>
        <v/>
      </c>
      <c r="J32" s="30" t="str">
        <f>IF(ISERROR(FIND($A$2,Lines!J32))=TRUE,"",MID(Lines!J32,FIND($A$2,Lines!J32)+LEN($A$2)+1,FIND(",",_xlfn.CONCAT(Lines!J32,","),FIND($A$2,Lines!J32))-FIND($A$2,Lines!J32)-LEN($A$2)-1))</f>
        <v/>
      </c>
      <c r="K32" s="30" t="str">
        <f>IF(ISERROR(FIND($A$2,Lines!K32))=TRUE,"",MID(Lines!K32,FIND($A$2,Lines!K32)+LEN($A$2)+1,FIND(",",_xlfn.CONCAT(Lines!K32,","),FIND($A$2,Lines!K32))-FIND($A$2,Lines!K32)-LEN($A$2)-1))</f>
        <v/>
      </c>
      <c r="L32" s="30" t="str">
        <f>IF(ISERROR(FIND($A$2,Lines!L32))=TRUE,"",MID(Lines!L32,FIND($A$2,Lines!L32)+LEN($A$2)+1,FIND(",",_xlfn.CONCAT(Lines!L32,","),FIND($A$2,Lines!L32))-FIND($A$2,Lines!L32)-LEN($A$2)-1))</f>
        <v/>
      </c>
      <c r="M32" s="30" t="str">
        <f>IF(ISERROR(FIND($A$2,Lines!M32))=TRUE,"",MID(Lines!M32,FIND($A$2,Lines!M32)+LEN($A$2)+1,FIND(",",_xlfn.CONCAT(Lines!M32,","),FIND($A$2,Lines!M32))-FIND($A$2,Lines!M32)-LEN($A$2)-1))</f>
        <v/>
      </c>
      <c r="N32" s="30" t="str">
        <f>IF(ISERROR(FIND($A$2,Lines!N32))=TRUE,"",MID(Lines!N32,FIND($A$2,Lines!N32)+LEN($A$2)+1,FIND(",",_xlfn.CONCAT(Lines!N32,","),FIND($A$2,Lines!N32))-FIND($A$2,Lines!N32)-LEN($A$2)-1))</f>
        <v/>
      </c>
      <c r="O32" s="30" t="str">
        <f>IF(ISERROR(FIND($A$2,Lines!O32))=TRUE,"",MID(Lines!O32,FIND($A$2,Lines!O32)+LEN($A$2)+1,FIND(",",_xlfn.CONCAT(Lines!O32,","),FIND($A$2,Lines!O32))-FIND($A$2,Lines!O32)-LEN($A$2)-1))</f>
        <v/>
      </c>
      <c r="P32" s="30" t="str">
        <f>IF(ISERROR(FIND($A$2,Lines!P32))=TRUE,"",MID(Lines!P32,FIND($A$2,Lines!P32)+LEN($A$2)+1,FIND(",",_xlfn.CONCAT(Lines!P32,","),FIND($A$2,Lines!P32))-FIND($A$2,Lines!P32)-LEN($A$2)-1))</f>
        <v/>
      </c>
      <c r="Q32" s="30" t="str">
        <f>IF(ISERROR(FIND($A$2,Lines!Q32))=TRUE,"",MID(Lines!Q32,FIND($A$2,Lines!Q32)+LEN($A$2)+1,FIND(",",_xlfn.CONCAT(Lines!Q32,","),FIND($A$2,Lines!Q32))-FIND($A$2,Lines!Q32)-LEN($A$2)-1))</f>
        <v/>
      </c>
      <c r="R32" s="30" t="str">
        <f>IF(ISERROR(FIND($A$2,Lines!R32))=TRUE,"",MID(Lines!R32,FIND($A$2,Lines!R32)+LEN($A$2)+1,FIND(",",_xlfn.CONCAT(Lines!R32,","),FIND($A$2,Lines!R32))-FIND($A$2,Lines!R32)-LEN($A$2)-1))</f>
        <v/>
      </c>
      <c r="S32" s="30" t="str">
        <f>IF(ISERROR(FIND($A$2,Lines!S32))=TRUE,"",MID(Lines!S32,FIND($A$2,Lines!S32)+LEN($A$2)+1,FIND(",",_xlfn.CONCAT(Lines!S32,","),FIND($A$2,Lines!S32))-FIND($A$2,Lines!S32)-LEN($A$2)-1))</f>
        <v/>
      </c>
      <c r="T32" s="30" t="str">
        <f>IF(ISERROR(FIND($A$2,Lines!T32))=TRUE,"",MID(Lines!T32,FIND($A$2,Lines!T32)+LEN($A$2)+1,FIND(",",_xlfn.CONCAT(Lines!T32,","),FIND($A$2,Lines!T32))-FIND($A$2,Lines!T32)-LEN($A$2)-1))</f>
        <v/>
      </c>
      <c r="U32" s="30" t="str">
        <f>IF(ISERROR(FIND($A$2,Lines!U32))=TRUE,"",MID(Lines!U32,FIND($A$2,Lines!U32)+LEN($A$2)+1,FIND(",",_xlfn.CONCAT(Lines!U32,","),FIND($A$2,Lines!U32))-FIND($A$2,Lines!U32)-LEN($A$2)-1))</f>
        <v/>
      </c>
      <c r="V32" s="30" t="str">
        <f>IF(ISERROR(FIND($A$2,Lines!V32))=TRUE,"",MID(Lines!V32,FIND($A$2,Lines!V32)+LEN($A$2)+1,FIND(",",_xlfn.CONCAT(Lines!V32,","),FIND($A$2,Lines!V32))-FIND($A$2,Lines!V32)-LEN($A$2)-1))</f>
        <v/>
      </c>
      <c r="W32" s="36" t="str">
        <f>IF(ISERROR(FIND($A$2,Lines!W32))=TRUE,"",MID(Lines!W32,FIND($A$2,Lines!W32)+LEN($A$2)+1,FIND(",",_xlfn.CONCAT(Lines!W32,","),FIND($A$2,Lines!W32))-FIND($A$2,Lines!W32)-LEN($A$2)-1))</f>
        <v/>
      </c>
      <c r="X32" s="52" t="str">
        <f>IF(ISERROR(FIND($A$2,Lines!X32))=TRUE,"",MID(Lines!X32,FIND($A$2,Lines!X32)+LEN($A$2)+1,FIND(",",_xlfn.CONCAT(Lines!X32,","),FIND($A$2,Lines!X32))-FIND($A$2,Lines!X32)-LEN($A$2)-1))</f>
        <v/>
      </c>
      <c r="Y32" s="53" t="str">
        <f>IF(ISERROR(FIND($A$2,Lines!Y32))=TRUE,"",MID(Lines!Y32,FIND($A$2,Lines!Y32)+LEN($A$2)+1,FIND(",",_xlfn.CONCAT(Lines!Y32,","),FIND($A$2,Lines!Y32))-FIND($A$2,Lines!Y32)-LEN($A$2)-1))</f>
        <v/>
      </c>
      <c r="Z32" s="53" t="str">
        <f>IF(ISERROR(FIND($A$2,Lines!Z32))=TRUE,"",MID(Lines!Z32,FIND($A$2,Lines!Z32)+LEN($A$2)+1,FIND(",",_xlfn.CONCAT(Lines!Z32,","),FIND($A$2,Lines!Z32))-FIND($A$2,Lines!Z32)-LEN($A$2)-1))</f>
        <v/>
      </c>
      <c r="AA32" s="53" t="str">
        <f>IF(ISERROR(FIND($A$2,Lines!AA32))=TRUE,"",MID(Lines!AA32,FIND($A$2,Lines!AA32)+LEN($A$2)+1,FIND(",",_xlfn.CONCAT(Lines!AA32,","),FIND($A$2,Lines!AA32))-FIND($A$2,Lines!AA32)-LEN($A$2)-1))</f>
        <v/>
      </c>
      <c r="AB32" s="53" t="str">
        <f>IF(ISERROR(FIND($A$2,Lines!AB32))=TRUE,"",MID(Lines!AB32,FIND($A$2,Lines!AB32)+LEN($A$2)+1,FIND(",",_xlfn.CONCAT(Lines!AB32,","),FIND($A$2,Lines!AB32))-FIND($A$2,Lines!AB32)-LEN($A$2)-1))</f>
        <v/>
      </c>
      <c r="AC32" s="53" t="str">
        <f>IF(ISERROR(FIND($A$2,Lines!AC32))=TRUE,"",MID(Lines!AC32,FIND($A$2,Lines!AC32)+LEN($A$2)+1,FIND(",",_xlfn.CONCAT(Lines!AC32,","),FIND($A$2,Lines!AC32))-FIND($A$2,Lines!AC32)-LEN($A$2)-1))</f>
        <v/>
      </c>
      <c r="AD32" s="67" t="str">
        <f>IF(ISERROR(FIND($A$2,Lines!AD32))=TRUE,"",MID(Lines!AD32,FIND($A$2,Lines!AD32)+LEN($A$2)+1,FIND(",",_xlfn.CONCAT(Lines!AD32,","),FIND($A$2,Lines!AD32))-FIND($A$2,Lines!AD32)-LEN($A$2)-1))</f>
        <v/>
      </c>
      <c r="AE32" s="30" t="str">
        <f>IF(ISERROR(FIND($A$2,Lines!AE32))=TRUE,"",MID(Lines!AE32,FIND($A$2,Lines!AE32)+LEN($A$2)+1,FIND(",",_xlfn.CONCAT(Lines!AE32,","),FIND($A$2,Lines!AE32))-FIND($A$2,Lines!AE32)-LEN($A$2)-1))</f>
        <v/>
      </c>
      <c r="AF32" s="30" t="str">
        <f>IF(ISERROR(FIND($A$2,Lines!AF32))=TRUE,"",MID(Lines!AF32,FIND($A$2,Lines!AF32)+LEN($A$2)+1,FIND(",",_xlfn.CONCAT(Lines!AF32,","),FIND($A$2,Lines!AF32))-FIND($A$2,Lines!AF32)-LEN($A$2)-1))</f>
        <v/>
      </c>
      <c r="AG32" s="30" t="str">
        <f>IF(ISERROR(FIND($A$2,Lines!AG32))=TRUE,"",MID(Lines!AG32,FIND($A$2,Lines!AG32)+LEN($A$2)+1,FIND(",",_xlfn.CONCAT(Lines!AG32,","),FIND($A$2,Lines!AG32))-FIND($A$2,Lines!AG32)-LEN($A$2)-1))</f>
        <v/>
      </c>
      <c r="AH32" s="30" t="str">
        <f>IF(ISERROR(FIND($A$2,Lines!AH32))=TRUE,"",MID(Lines!AH32,FIND($A$2,Lines!AH32)+LEN($A$2)+1,FIND(",",_xlfn.CONCAT(Lines!AH32,","),FIND($A$2,Lines!AH32))-FIND($A$2,Lines!AH32)-LEN($A$2)-1))</f>
        <v/>
      </c>
      <c r="AI32" s="30" t="str">
        <f>IF(ISERROR(FIND($A$2,Lines!AI32))=TRUE,"",MID(Lines!AI32,FIND($A$2,Lines!AI32)+LEN($A$2)+1,FIND(",",_xlfn.CONCAT(Lines!AI32,","),FIND($A$2,Lines!AI32))-FIND($A$2,Lines!AI32)-LEN($A$2)-1))</f>
        <v/>
      </c>
      <c r="AJ32" s="30" t="str">
        <f>IF(ISERROR(FIND($A$2,Lines!AJ32))=TRUE,"",MID(Lines!AJ32,FIND($A$2,Lines!AJ32)+LEN($A$2)+1,FIND(",",_xlfn.CONCAT(Lines!AJ32,","),FIND($A$2,Lines!AJ32))-FIND($A$2,Lines!AJ32)-LEN($A$2)-1))</f>
        <v/>
      </c>
      <c r="AK32" s="30" t="str">
        <f>IF(ISERROR(FIND($A$2,Lines!AK32))=TRUE,"",MID(Lines!AK32,FIND($A$2,Lines!AK32)+LEN($A$2)+1,FIND(",",_xlfn.CONCAT(Lines!AK32,","),FIND($A$2,Lines!AK32))-FIND($A$2,Lines!AK32)-LEN($A$2)-1))</f>
        <v/>
      </c>
      <c r="AL32" s="30" t="str">
        <f>IF(ISERROR(FIND($A$2,Lines!AL32))=TRUE,"",MID(Lines!AL32,FIND($A$2,Lines!AL32)+LEN($A$2)+1,FIND(",",_xlfn.CONCAT(Lines!AL32,","),FIND($A$2,Lines!AL32))-FIND($A$2,Lines!AL32)-LEN($A$2)-1))</f>
        <v/>
      </c>
      <c r="AM32" s="30" t="str">
        <f>IF(ISERROR(FIND($A$2,Lines!AM32))=TRUE,"",MID(Lines!AM32,FIND($A$2,Lines!AM32)+LEN($A$2)+1,FIND(",",_xlfn.CONCAT(Lines!AM32,","),FIND($A$2,Lines!AM32))-FIND($A$2,Lines!AM32)-LEN($A$2)-1))</f>
        <v/>
      </c>
      <c r="AN32" s="30" t="str">
        <f>IF(ISERROR(FIND($A$2,Lines!AN32))=TRUE,"",MID(Lines!AN32,FIND($A$2,Lines!AN32)+LEN($A$2)+1,FIND(",",_xlfn.CONCAT(Lines!AN32,","),FIND($A$2,Lines!AN32))-FIND($A$2,Lines!AN32)-LEN($A$2)-1))</f>
        <v/>
      </c>
      <c r="AO32" s="30" t="str">
        <f>IF(ISERROR(FIND($A$2,Lines!AO32))=TRUE,"",MID(Lines!AO32,FIND($A$2,Lines!AO32)+LEN($A$2)+1,FIND(",",_xlfn.CONCAT(Lines!AO32,","),FIND($A$2,Lines!AO32))-FIND($A$2,Lines!AO32)-LEN($A$2)-1))</f>
        <v/>
      </c>
      <c r="AP32" s="30" t="str">
        <f>IF(ISERROR(FIND($A$2,Lines!AP32))=TRUE,"",MID(Lines!AP32,FIND($A$2,Lines!AP32)+LEN($A$2)+1,FIND(",",_xlfn.CONCAT(Lines!AP32,","),FIND($A$2,Lines!AP32))-FIND($A$2,Lines!AP32)-LEN($A$2)-1))</f>
        <v/>
      </c>
      <c r="AQ32" s="30" t="str">
        <f>IF(ISERROR(FIND($A$2,Lines!AQ32))=TRUE,"",MID(Lines!AQ32,FIND($A$2,Lines!AQ32)+LEN($A$2)+1,FIND(",",_xlfn.CONCAT(Lines!AQ32,","),FIND($A$2,Lines!AQ32))-FIND($A$2,Lines!AQ32)-LEN($A$2)-1))</f>
        <v/>
      </c>
      <c r="AR32" s="30" t="str">
        <f>IF(ISERROR(FIND($A$2,Lines!AR32))=TRUE,"",MID(Lines!AR32,FIND($A$2,Lines!AR32)+LEN($A$2)+1,FIND(",",_xlfn.CONCAT(Lines!AR32,","),FIND($A$2,Lines!AR32))-FIND($A$2,Lines!AR32)-LEN($A$2)-1))</f>
        <v/>
      </c>
      <c r="AS32" s="30" t="str">
        <f>IF(ISERROR(FIND($A$2,Lines!AS32))=TRUE,"",MID(Lines!AS32,FIND($A$2,Lines!AS32)+LEN($A$2)+1,FIND(",",_xlfn.CONCAT(Lines!AS32,","),FIND($A$2,Lines!AS32))-FIND($A$2,Lines!AS32)-LEN($A$2)-1))</f>
        <v/>
      </c>
      <c r="AT32" s="30" t="str">
        <f>IF(ISERROR(FIND($A$2,Lines!AT32))=TRUE,"",MID(Lines!AT32,FIND($A$2,Lines!AT32)+LEN($A$2)+1,FIND(",",_xlfn.CONCAT(Lines!AT32,","),FIND($A$2,Lines!AT32))-FIND($A$2,Lines!AT32)-LEN($A$2)-1))</f>
        <v/>
      </c>
    </row>
    <row r="33" spans="1:46" ht="20.25" customHeight="1">
      <c r="A33" s="2" t="s">
        <v>81</v>
      </c>
      <c r="B33" s="30" t="str">
        <f>IF(ISERROR(FIND($A$2,Lines!B33))=TRUE,"",MID(Lines!B33,FIND($A$2,Lines!B33)+LEN($A$2)+1,FIND(",",_xlfn.CONCAT(Lines!B33,","),FIND($A$2,Lines!B33))-FIND($A$2,Lines!B33)-LEN($A$2)-1))</f>
        <v/>
      </c>
      <c r="C33" s="30" t="str">
        <f>IF(ISERROR(FIND($A$2,Lines!C33))=TRUE,"",MID(Lines!C33,FIND($A$2,Lines!C33)+LEN($A$2)+1,FIND(",",_xlfn.CONCAT(Lines!C33,","),FIND($A$2,Lines!C33))-FIND($A$2,Lines!C33)-LEN($A$2)-1))</f>
        <v/>
      </c>
      <c r="D33" s="30" t="str">
        <f>IF(ISERROR(FIND($A$2,Lines!D33))=TRUE,"",MID(Lines!D33,FIND($A$2,Lines!D33)+LEN($A$2)+1,FIND(",",_xlfn.CONCAT(Lines!D33,","),FIND($A$2,Lines!D33))-FIND($A$2,Lines!D33)-LEN($A$2)-1))</f>
        <v/>
      </c>
      <c r="E33" s="30" t="str">
        <f>IF(ISERROR(FIND($A$2,Lines!E33))=TRUE,"",MID(Lines!E33,FIND($A$2,Lines!E33)+LEN($A$2)+1,FIND(",",_xlfn.CONCAT(Lines!E33,","),FIND($A$2,Lines!E33))-FIND($A$2,Lines!E33)-LEN($A$2)-1))</f>
        <v/>
      </c>
      <c r="F33" s="30" t="str">
        <f>IF(ISERROR(FIND($A$2,Lines!F33))=TRUE,"",MID(Lines!F33,FIND($A$2,Lines!F33)+LEN($A$2)+1,FIND(",",_xlfn.CONCAT(Lines!F33,","),FIND($A$2,Lines!F33))-FIND($A$2,Lines!F33)-LEN($A$2)-1))</f>
        <v/>
      </c>
      <c r="G33" s="30" t="str">
        <f>IF(ISERROR(FIND($A$2,Lines!G33))=TRUE,"",MID(Lines!G33,FIND($A$2,Lines!G33)+LEN($A$2)+1,FIND(",",_xlfn.CONCAT(Lines!G33,","),FIND($A$2,Lines!G33))-FIND($A$2,Lines!G33)-LEN($A$2)-1))</f>
        <v/>
      </c>
      <c r="H33" s="30" t="str">
        <f>IF(ISERROR(FIND($A$2,Lines!H33))=TRUE,"",MID(Lines!H33,FIND($A$2,Lines!H33)+LEN($A$2)+1,FIND(",",_xlfn.CONCAT(Lines!H33,","),FIND($A$2,Lines!H33))-FIND($A$2,Lines!H33)-LEN($A$2)-1))</f>
        <v/>
      </c>
      <c r="I33" s="30" t="str">
        <f>IF(ISERROR(FIND($A$2,Lines!I33))=TRUE,"",MID(Lines!I33,FIND($A$2,Lines!I33)+LEN($A$2)+1,FIND(",",_xlfn.CONCAT(Lines!I33,","),FIND($A$2,Lines!I33))-FIND($A$2,Lines!I33)-LEN($A$2)-1))</f>
        <v/>
      </c>
      <c r="J33" s="30" t="str">
        <f>IF(ISERROR(FIND($A$2,Lines!J33))=TRUE,"",MID(Lines!J33,FIND($A$2,Lines!J33)+LEN($A$2)+1,FIND(",",_xlfn.CONCAT(Lines!J33,","),FIND($A$2,Lines!J33))-FIND($A$2,Lines!J33)-LEN($A$2)-1))</f>
        <v/>
      </c>
      <c r="K33" s="30" t="str">
        <f>IF(ISERROR(FIND($A$2,Lines!K33))=TRUE,"",MID(Lines!K33,FIND($A$2,Lines!K33)+LEN($A$2)+1,FIND(",",_xlfn.CONCAT(Lines!K33,","),FIND($A$2,Lines!K33))-FIND($A$2,Lines!K33)-LEN($A$2)-1))</f>
        <v/>
      </c>
      <c r="L33" s="30" t="str">
        <f>IF(ISERROR(FIND($A$2,Lines!L33))=TRUE,"",MID(Lines!L33,FIND($A$2,Lines!L33)+LEN($A$2)+1,FIND(",",_xlfn.CONCAT(Lines!L33,","),FIND($A$2,Lines!L33))-FIND($A$2,Lines!L33)-LEN($A$2)-1))</f>
        <v/>
      </c>
      <c r="M33" s="30" t="str">
        <f>IF(ISERROR(FIND($A$2,Lines!M33))=TRUE,"",MID(Lines!M33,FIND($A$2,Lines!M33)+LEN($A$2)+1,FIND(",",_xlfn.CONCAT(Lines!M33,","),FIND($A$2,Lines!M33))-FIND($A$2,Lines!M33)-LEN($A$2)-1))</f>
        <v/>
      </c>
      <c r="N33" s="30" t="str">
        <f>IF(ISERROR(FIND($A$2,Lines!N33))=TRUE,"",MID(Lines!N33,FIND($A$2,Lines!N33)+LEN($A$2)+1,FIND(",",_xlfn.CONCAT(Lines!N33,","),FIND($A$2,Lines!N33))-FIND($A$2,Lines!N33)-LEN($A$2)-1))</f>
        <v/>
      </c>
      <c r="O33" s="30" t="str">
        <f>IF(ISERROR(FIND($A$2,Lines!O33))=TRUE,"",MID(Lines!O33,FIND($A$2,Lines!O33)+LEN($A$2)+1,FIND(",",_xlfn.CONCAT(Lines!O33,","),FIND($A$2,Lines!O33))-FIND($A$2,Lines!O33)-LEN($A$2)-1))</f>
        <v/>
      </c>
      <c r="P33" s="30" t="str">
        <f>IF(ISERROR(FIND($A$2,Lines!P33))=TRUE,"",MID(Lines!P33,FIND($A$2,Lines!P33)+LEN($A$2)+1,FIND(",",_xlfn.CONCAT(Lines!P33,","),FIND($A$2,Lines!P33))-FIND($A$2,Lines!P33)-LEN($A$2)-1))</f>
        <v/>
      </c>
      <c r="Q33" s="30" t="str">
        <f>IF(ISERROR(FIND($A$2,Lines!Q33))=TRUE,"",MID(Lines!Q33,FIND($A$2,Lines!Q33)+LEN($A$2)+1,FIND(",",_xlfn.CONCAT(Lines!Q33,","),FIND($A$2,Lines!Q33))-FIND($A$2,Lines!Q33)-LEN($A$2)-1))</f>
        <v/>
      </c>
      <c r="R33" s="30" t="str">
        <f>IF(ISERROR(FIND($A$2,Lines!R33))=TRUE,"",MID(Lines!R33,FIND($A$2,Lines!R33)+LEN($A$2)+1,FIND(",",_xlfn.CONCAT(Lines!R33,","),FIND($A$2,Lines!R33))-FIND($A$2,Lines!R33)-LEN($A$2)-1))</f>
        <v/>
      </c>
      <c r="S33" s="30" t="str">
        <f>IF(ISERROR(FIND($A$2,Lines!S33))=TRUE,"",MID(Lines!S33,FIND($A$2,Lines!S33)+LEN($A$2)+1,FIND(",",_xlfn.CONCAT(Lines!S33,","),FIND($A$2,Lines!S33))-FIND($A$2,Lines!S33)-LEN($A$2)-1))</f>
        <v/>
      </c>
      <c r="T33" s="30" t="str">
        <f>IF(ISERROR(FIND($A$2,Lines!T33))=TRUE,"",MID(Lines!T33,FIND($A$2,Lines!T33)+LEN($A$2)+1,FIND(",",_xlfn.CONCAT(Lines!T33,","),FIND($A$2,Lines!T33))-FIND($A$2,Lines!T33)-LEN($A$2)-1))</f>
        <v/>
      </c>
      <c r="U33" s="30" t="str">
        <f>IF(ISERROR(FIND($A$2,Lines!U33))=TRUE,"",MID(Lines!U33,FIND($A$2,Lines!U33)+LEN($A$2)+1,FIND(",",_xlfn.CONCAT(Lines!U33,","),FIND($A$2,Lines!U33))-FIND($A$2,Lines!U33)-LEN($A$2)-1))</f>
        <v/>
      </c>
      <c r="V33" s="30" t="str">
        <f>IF(ISERROR(FIND($A$2,Lines!V33))=TRUE,"",MID(Lines!V33,FIND($A$2,Lines!V33)+LEN($A$2)+1,FIND(",",_xlfn.CONCAT(Lines!V33,","),FIND($A$2,Lines!V33))-FIND($A$2,Lines!V33)-LEN($A$2)-1))</f>
        <v/>
      </c>
      <c r="W33" s="36" t="str">
        <f>IF(ISERROR(FIND($A$2,Lines!W33))=TRUE,"",MID(Lines!W33,FIND($A$2,Lines!W33)+LEN($A$2)+1,FIND(",",_xlfn.CONCAT(Lines!W33,","),FIND($A$2,Lines!W33))-FIND($A$2,Lines!W33)-LEN($A$2)-1))</f>
        <v/>
      </c>
      <c r="X33" s="30" t="str">
        <f>IF(ISERROR(FIND($A$2,Lines!X33))=TRUE,"",MID(Lines!X33,FIND($A$2,Lines!X33)+LEN($A$2)+1,FIND(",",_xlfn.CONCAT(Lines!X33,","),FIND($A$2,Lines!X33))-FIND($A$2,Lines!X33)-LEN($A$2)-1))</f>
        <v/>
      </c>
      <c r="Y33" s="30" t="str">
        <f>IF(ISERROR(FIND($A$2,Lines!Y33))=TRUE,"",MID(Lines!Y33,FIND($A$2,Lines!Y33)+LEN($A$2)+1,FIND(",",_xlfn.CONCAT(Lines!Y33,","),FIND($A$2,Lines!Y33))-FIND($A$2,Lines!Y33)-LEN($A$2)-1))</f>
        <v/>
      </c>
      <c r="Z33" s="30" t="str">
        <f>IF(ISERROR(FIND($A$2,Lines!Z33))=TRUE,"",MID(Lines!Z33,FIND($A$2,Lines!Z33)+LEN($A$2)+1,FIND(",",_xlfn.CONCAT(Lines!Z33,","),FIND($A$2,Lines!Z33))-FIND($A$2,Lines!Z33)-LEN($A$2)-1))</f>
        <v/>
      </c>
      <c r="AA33" s="30" t="str">
        <f>IF(ISERROR(FIND($A$2,Lines!AA33))=TRUE,"",MID(Lines!AA33,FIND($A$2,Lines!AA33)+LEN($A$2)+1,FIND(",",_xlfn.CONCAT(Lines!AA33,","),FIND($A$2,Lines!AA33))-FIND($A$2,Lines!AA33)-LEN($A$2)-1))</f>
        <v/>
      </c>
      <c r="AB33" s="30" t="str">
        <f>IF(ISERROR(FIND($A$2,Lines!AB33))=TRUE,"",MID(Lines!AB33,FIND($A$2,Lines!AB33)+LEN($A$2)+1,FIND(",",_xlfn.CONCAT(Lines!AB33,","),FIND($A$2,Lines!AB33))-FIND($A$2,Lines!AB33)-LEN($A$2)-1))</f>
        <v/>
      </c>
      <c r="AC33" s="30" t="str">
        <f>IF(ISERROR(FIND($A$2,Lines!AC33))=TRUE,"",MID(Lines!AC33,FIND($A$2,Lines!AC33)+LEN($A$2)+1,FIND(",",_xlfn.CONCAT(Lines!AC33,","),FIND($A$2,Lines!AC33))-FIND($A$2,Lines!AC33)-LEN($A$2)-1))</f>
        <v/>
      </c>
      <c r="AD33" s="30" t="str">
        <f>IF(ISERROR(FIND($A$2,Lines!AD33))=TRUE,"",MID(Lines!AD33,FIND($A$2,Lines!AD33)+LEN($A$2)+1,FIND(",",_xlfn.CONCAT(Lines!AD33,","),FIND($A$2,Lines!AD33))-FIND($A$2,Lines!AD33)-LEN($A$2)-1))</f>
        <v/>
      </c>
      <c r="AE33" s="65" t="str">
        <f>IF(ISERROR(FIND($A$2,Lines!AE33))=TRUE,"",MID(Lines!AE33,FIND($A$2,Lines!AE33)+LEN($A$2)+1,FIND(",",_xlfn.CONCAT(Lines!AE33,","),FIND($A$2,Lines!AE33))-FIND($A$2,Lines!AE33)-LEN($A$2)-1))</f>
        <v/>
      </c>
      <c r="AF33" s="47" t="str">
        <f>IF(ISERROR(FIND($A$2,Lines!AF33))=TRUE,"",MID(Lines!AF33,FIND($A$2,Lines!AF33)+LEN($A$2)+1,FIND(",",_xlfn.CONCAT(Lines!AF33,","),FIND($A$2,Lines!AF33))-FIND($A$2,Lines!AF33)-LEN($A$2)-1))</f>
        <v/>
      </c>
      <c r="AG33" s="47" t="str">
        <f>IF(ISERROR(FIND($A$2,Lines!AG33))=TRUE,"",MID(Lines!AG33,FIND($A$2,Lines!AG33)+LEN($A$2)+1,FIND(",",_xlfn.CONCAT(Lines!AG33,","),FIND($A$2,Lines!AG33))-FIND($A$2,Lines!AG33)-LEN($A$2)-1))</f>
        <v/>
      </c>
      <c r="AH33" s="47" t="str">
        <f>IF(ISERROR(FIND($A$2,Lines!AH33))=TRUE,"",MID(Lines!AH33,FIND($A$2,Lines!AH33)+LEN($A$2)+1,FIND(",",_xlfn.CONCAT(Lines!AH33,","),FIND($A$2,Lines!AH33))-FIND($A$2,Lines!AH33)-LEN($A$2)-1))</f>
        <v/>
      </c>
      <c r="AI33" s="47" t="str">
        <f>IF(ISERROR(FIND($A$2,Lines!AI33))=TRUE,"",MID(Lines!AI33,FIND($A$2,Lines!AI33)+LEN($A$2)+1,FIND(",",_xlfn.CONCAT(Lines!AI33,","),FIND($A$2,Lines!AI33))-FIND($A$2,Lines!AI33)-LEN($A$2)-1))</f>
        <v/>
      </c>
      <c r="AJ33" s="48" t="str">
        <f>IF(ISERROR(FIND($A$2,Lines!AJ33))=TRUE,"",MID(Lines!AJ33,FIND($A$2,Lines!AJ33)+LEN($A$2)+1,FIND(",",_xlfn.CONCAT(Lines!AJ33,","),FIND($A$2,Lines!AJ33))-FIND($A$2,Lines!AJ33)-LEN($A$2)-1))</f>
        <v/>
      </c>
      <c r="AK33" s="30" t="str">
        <f>IF(ISERROR(FIND($A$2,Lines!AK33))=TRUE,"",MID(Lines!AK33,FIND($A$2,Lines!AK33)+LEN($A$2)+1,FIND(",",_xlfn.CONCAT(Lines!AK33,","),FIND($A$2,Lines!AK33))-FIND($A$2,Lines!AK33)-LEN($A$2)-1))</f>
        <v/>
      </c>
      <c r="AL33" s="30" t="str">
        <f>IF(ISERROR(FIND($A$2,Lines!AL33))=TRUE,"",MID(Lines!AL33,FIND($A$2,Lines!AL33)+LEN($A$2)+1,FIND(",",_xlfn.CONCAT(Lines!AL33,","),FIND($A$2,Lines!AL33))-FIND($A$2,Lines!AL33)-LEN($A$2)-1))</f>
        <v/>
      </c>
      <c r="AM33" s="30" t="str">
        <f>IF(ISERROR(FIND($A$2,Lines!AM33))=TRUE,"",MID(Lines!AM33,FIND($A$2,Lines!AM33)+LEN($A$2)+1,FIND(",",_xlfn.CONCAT(Lines!AM33,","),FIND($A$2,Lines!AM33))-FIND($A$2,Lines!AM33)-LEN($A$2)-1))</f>
        <v/>
      </c>
      <c r="AN33" s="30" t="str">
        <f>IF(ISERROR(FIND($A$2,Lines!AN33))=TRUE,"",MID(Lines!AN33,FIND($A$2,Lines!AN33)+LEN($A$2)+1,FIND(",",_xlfn.CONCAT(Lines!AN33,","),FIND($A$2,Lines!AN33))-FIND($A$2,Lines!AN33)-LEN($A$2)-1))</f>
        <v/>
      </c>
      <c r="AO33" s="30" t="str">
        <f>IF(ISERROR(FIND($A$2,Lines!AO33))=TRUE,"",MID(Lines!AO33,FIND($A$2,Lines!AO33)+LEN($A$2)+1,FIND(",",_xlfn.CONCAT(Lines!AO33,","),FIND($A$2,Lines!AO33))-FIND($A$2,Lines!AO33)-LEN($A$2)-1))</f>
        <v/>
      </c>
      <c r="AP33" s="30" t="str">
        <f>IF(ISERROR(FIND($A$2,Lines!AP33))=TRUE,"",MID(Lines!AP33,FIND($A$2,Lines!AP33)+LEN($A$2)+1,FIND(",",_xlfn.CONCAT(Lines!AP33,","),FIND($A$2,Lines!AP33))-FIND($A$2,Lines!AP33)-LEN($A$2)-1))</f>
        <v/>
      </c>
      <c r="AQ33" s="30" t="str">
        <f>IF(ISERROR(FIND($A$2,Lines!AQ33))=TRUE,"",MID(Lines!AQ33,FIND($A$2,Lines!AQ33)+LEN($A$2)+1,FIND(",",_xlfn.CONCAT(Lines!AQ33,","),FIND($A$2,Lines!AQ33))-FIND($A$2,Lines!AQ33)-LEN($A$2)-1))</f>
        <v/>
      </c>
      <c r="AR33" s="30" t="str">
        <f>IF(ISERROR(FIND($A$2,Lines!AR33))=TRUE,"",MID(Lines!AR33,FIND($A$2,Lines!AR33)+LEN($A$2)+1,FIND(",",_xlfn.CONCAT(Lines!AR33,","),FIND($A$2,Lines!AR33))-FIND($A$2,Lines!AR33)-LEN($A$2)-1))</f>
        <v/>
      </c>
      <c r="AS33" s="30" t="str">
        <f>IF(ISERROR(FIND($A$2,Lines!AS33))=TRUE,"",MID(Lines!AS33,FIND($A$2,Lines!AS33)+LEN($A$2)+1,FIND(",",_xlfn.CONCAT(Lines!AS33,","),FIND($A$2,Lines!AS33))-FIND($A$2,Lines!AS33)-LEN($A$2)-1))</f>
        <v/>
      </c>
      <c r="AT33" s="30" t="str">
        <f>IF(ISERROR(FIND($A$2,Lines!AT33))=TRUE,"",MID(Lines!AT33,FIND($A$2,Lines!AT33)+LEN($A$2)+1,FIND(",",_xlfn.CONCAT(Lines!AT33,","),FIND($A$2,Lines!AT33))-FIND($A$2,Lines!AT33)-LEN($A$2)-1))</f>
        <v/>
      </c>
    </row>
    <row r="34" spans="1:46" ht="20.25" customHeight="1">
      <c r="A34" s="2" t="s">
        <v>82</v>
      </c>
      <c r="B34" s="30" t="str">
        <f>IF(ISERROR(FIND($A$2,Lines!B34))=TRUE,"",MID(Lines!B34,FIND($A$2,Lines!B34)+LEN($A$2)+1,FIND(",",_xlfn.CONCAT(Lines!B34,","),FIND($A$2,Lines!B34))-FIND($A$2,Lines!B34)-LEN($A$2)-1))</f>
        <v/>
      </c>
      <c r="C34" s="30" t="str">
        <f>IF(ISERROR(FIND($A$2,Lines!C34))=TRUE,"",MID(Lines!C34,FIND($A$2,Lines!C34)+LEN($A$2)+1,FIND(",",_xlfn.CONCAT(Lines!C34,","),FIND($A$2,Lines!C34))-FIND($A$2,Lines!C34)-LEN($A$2)-1))</f>
        <v/>
      </c>
      <c r="D34" s="30" t="str">
        <f>IF(ISERROR(FIND($A$2,Lines!D34))=TRUE,"",MID(Lines!D34,FIND($A$2,Lines!D34)+LEN($A$2)+1,FIND(",",_xlfn.CONCAT(Lines!D34,","),FIND($A$2,Lines!D34))-FIND($A$2,Lines!D34)-LEN($A$2)-1))</f>
        <v/>
      </c>
      <c r="E34" s="30" t="str">
        <f>IF(ISERROR(FIND($A$2,Lines!E34))=TRUE,"",MID(Lines!E34,FIND($A$2,Lines!E34)+LEN($A$2)+1,FIND(",",_xlfn.CONCAT(Lines!E34,","),FIND($A$2,Lines!E34))-FIND($A$2,Lines!E34)-LEN($A$2)-1))</f>
        <v/>
      </c>
      <c r="F34" s="30" t="str">
        <f>IF(ISERROR(FIND($A$2,Lines!F34))=TRUE,"",MID(Lines!F34,FIND($A$2,Lines!F34)+LEN($A$2)+1,FIND(",",_xlfn.CONCAT(Lines!F34,","),FIND($A$2,Lines!F34))-FIND($A$2,Lines!F34)-LEN($A$2)-1))</f>
        <v/>
      </c>
      <c r="G34" s="30" t="str">
        <f>IF(ISERROR(FIND($A$2,Lines!G34))=TRUE,"",MID(Lines!G34,FIND($A$2,Lines!G34)+LEN($A$2)+1,FIND(",",_xlfn.CONCAT(Lines!G34,","),FIND($A$2,Lines!G34))-FIND($A$2,Lines!G34)-LEN($A$2)-1))</f>
        <v/>
      </c>
      <c r="H34" s="30" t="str">
        <f>IF(ISERROR(FIND($A$2,Lines!H34))=TRUE,"",MID(Lines!H34,FIND($A$2,Lines!H34)+LEN($A$2)+1,FIND(",",_xlfn.CONCAT(Lines!H34,","),FIND($A$2,Lines!H34))-FIND($A$2,Lines!H34)-LEN($A$2)-1))</f>
        <v/>
      </c>
      <c r="I34" s="30" t="str">
        <f>IF(ISERROR(FIND($A$2,Lines!I34))=TRUE,"",MID(Lines!I34,FIND($A$2,Lines!I34)+LEN($A$2)+1,FIND(",",_xlfn.CONCAT(Lines!I34,","),FIND($A$2,Lines!I34))-FIND($A$2,Lines!I34)-LEN($A$2)-1))</f>
        <v/>
      </c>
      <c r="J34" s="30" t="str">
        <f>IF(ISERROR(FIND($A$2,Lines!J34))=TRUE,"",MID(Lines!J34,FIND($A$2,Lines!J34)+LEN($A$2)+1,FIND(",",_xlfn.CONCAT(Lines!J34,","),FIND($A$2,Lines!J34))-FIND($A$2,Lines!J34)-LEN($A$2)-1))</f>
        <v/>
      </c>
      <c r="K34" s="30" t="str">
        <f>IF(ISERROR(FIND($A$2,Lines!K34))=TRUE,"",MID(Lines!K34,FIND($A$2,Lines!K34)+LEN($A$2)+1,FIND(",",_xlfn.CONCAT(Lines!K34,","),FIND($A$2,Lines!K34))-FIND($A$2,Lines!K34)-LEN($A$2)-1))</f>
        <v/>
      </c>
      <c r="L34" s="30" t="str">
        <f>IF(ISERROR(FIND($A$2,Lines!L34))=TRUE,"",MID(Lines!L34,FIND($A$2,Lines!L34)+LEN($A$2)+1,FIND(",",_xlfn.CONCAT(Lines!L34,","),FIND($A$2,Lines!L34))-FIND($A$2,Lines!L34)-LEN($A$2)-1))</f>
        <v/>
      </c>
      <c r="M34" s="30" t="str">
        <f>IF(ISERROR(FIND($A$2,Lines!M34))=TRUE,"",MID(Lines!M34,FIND($A$2,Lines!M34)+LEN($A$2)+1,FIND(",",_xlfn.CONCAT(Lines!M34,","),FIND($A$2,Lines!M34))-FIND($A$2,Lines!M34)-LEN($A$2)-1))</f>
        <v/>
      </c>
      <c r="N34" s="30" t="str">
        <f>IF(ISERROR(FIND($A$2,Lines!N34))=TRUE,"",MID(Lines!N34,FIND($A$2,Lines!N34)+LEN($A$2)+1,FIND(",",_xlfn.CONCAT(Lines!N34,","),FIND($A$2,Lines!N34))-FIND($A$2,Lines!N34)-LEN($A$2)-1))</f>
        <v/>
      </c>
      <c r="O34" s="30" t="str">
        <f>IF(ISERROR(FIND($A$2,Lines!O34))=TRUE,"",MID(Lines!O34,FIND($A$2,Lines!O34)+LEN($A$2)+1,FIND(",",_xlfn.CONCAT(Lines!O34,","),FIND($A$2,Lines!O34))-FIND($A$2,Lines!O34)-LEN($A$2)-1))</f>
        <v/>
      </c>
      <c r="P34" s="30" t="str">
        <f>IF(ISERROR(FIND($A$2,Lines!P34))=TRUE,"",MID(Lines!P34,FIND($A$2,Lines!P34)+LEN($A$2)+1,FIND(",",_xlfn.CONCAT(Lines!P34,","),FIND($A$2,Lines!P34))-FIND($A$2,Lines!P34)-LEN($A$2)-1))</f>
        <v/>
      </c>
      <c r="Q34" s="30" t="str">
        <f>IF(ISERROR(FIND($A$2,Lines!Q34))=TRUE,"",MID(Lines!Q34,FIND($A$2,Lines!Q34)+LEN($A$2)+1,FIND(",",_xlfn.CONCAT(Lines!Q34,","),FIND($A$2,Lines!Q34))-FIND($A$2,Lines!Q34)-LEN($A$2)-1))</f>
        <v/>
      </c>
      <c r="R34" s="30" t="str">
        <f>IF(ISERROR(FIND($A$2,Lines!R34))=TRUE,"",MID(Lines!R34,FIND($A$2,Lines!R34)+LEN($A$2)+1,FIND(",",_xlfn.CONCAT(Lines!R34,","),FIND($A$2,Lines!R34))-FIND($A$2,Lines!R34)-LEN($A$2)-1))</f>
        <v/>
      </c>
      <c r="S34" s="30" t="str">
        <f>IF(ISERROR(FIND($A$2,Lines!S34))=TRUE,"",MID(Lines!S34,FIND($A$2,Lines!S34)+LEN($A$2)+1,FIND(",",_xlfn.CONCAT(Lines!S34,","),FIND($A$2,Lines!S34))-FIND($A$2,Lines!S34)-LEN($A$2)-1))</f>
        <v/>
      </c>
      <c r="T34" s="30" t="str">
        <f>IF(ISERROR(FIND($A$2,Lines!T34))=TRUE,"",MID(Lines!T34,FIND($A$2,Lines!T34)+LEN($A$2)+1,FIND(",",_xlfn.CONCAT(Lines!T34,","),FIND($A$2,Lines!T34))-FIND($A$2,Lines!T34)-LEN($A$2)-1))</f>
        <v/>
      </c>
      <c r="U34" s="30" t="str">
        <f>IF(ISERROR(FIND($A$2,Lines!U34))=TRUE,"",MID(Lines!U34,FIND($A$2,Lines!U34)+LEN($A$2)+1,FIND(",",_xlfn.CONCAT(Lines!U34,","),FIND($A$2,Lines!U34))-FIND($A$2,Lines!U34)-LEN($A$2)-1))</f>
        <v/>
      </c>
      <c r="V34" s="30" t="str">
        <f>IF(ISERROR(FIND($A$2,Lines!V34))=TRUE,"",MID(Lines!V34,FIND($A$2,Lines!V34)+LEN($A$2)+1,FIND(",",_xlfn.CONCAT(Lines!V34,","),FIND($A$2,Lines!V34))-FIND($A$2,Lines!V34)-LEN($A$2)-1))</f>
        <v/>
      </c>
      <c r="W34" s="36" t="str">
        <f>IF(ISERROR(FIND($A$2,Lines!W34))=TRUE,"",MID(Lines!W34,FIND($A$2,Lines!W34)+LEN($A$2)+1,FIND(",",_xlfn.CONCAT(Lines!W34,","),FIND($A$2,Lines!W34))-FIND($A$2,Lines!W34)-LEN($A$2)-1))</f>
        <v/>
      </c>
      <c r="X34" s="30" t="str">
        <f>IF(ISERROR(FIND($A$2,Lines!X34))=TRUE,"",MID(Lines!X34,FIND($A$2,Lines!X34)+LEN($A$2)+1,FIND(",",_xlfn.CONCAT(Lines!X34,","),FIND($A$2,Lines!X34))-FIND($A$2,Lines!X34)-LEN($A$2)-1))</f>
        <v/>
      </c>
      <c r="Y34" s="30" t="str">
        <f>IF(ISERROR(FIND($A$2,Lines!Y34))=TRUE,"",MID(Lines!Y34,FIND($A$2,Lines!Y34)+LEN($A$2)+1,FIND(",",_xlfn.CONCAT(Lines!Y34,","),FIND($A$2,Lines!Y34))-FIND($A$2,Lines!Y34)-LEN($A$2)-1))</f>
        <v/>
      </c>
      <c r="Z34" s="30" t="str">
        <f>IF(ISERROR(FIND($A$2,Lines!Z34))=TRUE,"",MID(Lines!Z34,FIND($A$2,Lines!Z34)+LEN($A$2)+1,FIND(",",_xlfn.CONCAT(Lines!Z34,","),FIND($A$2,Lines!Z34))-FIND($A$2,Lines!Z34)-LEN($A$2)-1))</f>
        <v/>
      </c>
      <c r="AA34" s="30" t="str">
        <f>IF(ISERROR(FIND($A$2,Lines!AA34))=TRUE,"",MID(Lines!AA34,FIND($A$2,Lines!AA34)+LEN($A$2)+1,FIND(",",_xlfn.CONCAT(Lines!AA34,","),FIND($A$2,Lines!AA34))-FIND($A$2,Lines!AA34)-LEN($A$2)-1))</f>
        <v/>
      </c>
      <c r="AB34" s="30" t="str">
        <f>IF(ISERROR(FIND($A$2,Lines!AB34))=TRUE,"",MID(Lines!AB34,FIND($A$2,Lines!AB34)+LEN($A$2)+1,FIND(",",_xlfn.CONCAT(Lines!AB34,","),FIND($A$2,Lines!AB34))-FIND($A$2,Lines!AB34)-LEN($A$2)-1))</f>
        <v/>
      </c>
      <c r="AC34" s="30" t="str">
        <f>IF(ISERROR(FIND($A$2,Lines!AC34))=TRUE,"",MID(Lines!AC34,FIND($A$2,Lines!AC34)+LEN($A$2)+1,FIND(",",_xlfn.CONCAT(Lines!AC34,","),FIND($A$2,Lines!AC34))-FIND($A$2,Lines!AC34)-LEN($A$2)-1))</f>
        <v/>
      </c>
      <c r="AD34" s="30" t="str">
        <f>IF(ISERROR(FIND($A$2,Lines!AD34))=TRUE,"",MID(Lines!AD34,FIND($A$2,Lines!AD34)+LEN($A$2)+1,FIND(",",_xlfn.CONCAT(Lines!AD34,","),FIND($A$2,Lines!AD34))-FIND($A$2,Lines!AD34)-LEN($A$2)-1))</f>
        <v/>
      </c>
      <c r="AE34" s="51" t="str">
        <f>IF(ISERROR(FIND($A$2,Lines!AE34))=TRUE,"",MID(Lines!AE34,FIND($A$2,Lines!AE34)+LEN($A$2)+1,FIND(",",_xlfn.CONCAT(Lines!AE34,","),FIND($A$2,Lines!AE34))-FIND($A$2,Lines!AE34)-LEN($A$2)-1))</f>
        <v/>
      </c>
      <c r="AF34" s="66" t="str">
        <f>IF(ISERROR(FIND($A$2,Lines!AF34))=TRUE,"",MID(Lines!AF34,FIND($A$2,Lines!AF34)+LEN($A$2)+1,FIND(",",_xlfn.CONCAT(Lines!AF34,","),FIND($A$2,Lines!AF34))-FIND($A$2,Lines!AF34)-LEN($A$2)-1))</f>
        <v/>
      </c>
      <c r="AG34" s="42" t="str">
        <f>IF(ISERROR(FIND($A$2,Lines!AG34))=TRUE,"",MID(Lines!AG34,FIND($A$2,Lines!AG34)+LEN($A$2)+1,FIND(",",_xlfn.CONCAT(Lines!AG34,","),FIND($A$2,Lines!AG34))-FIND($A$2,Lines!AG34)-LEN($A$2)-1))</f>
        <v/>
      </c>
      <c r="AH34" s="42" t="str">
        <f>IF(ISERROR(FIND($A$2,Lines!AH34))=TRUE,"",MID(Lines!AH34,FIND($A$2,Lines!AH34)+LEN($A$2)+1,FIND(",",_xlfn.CONCAT(Lines!AH34,","),FIND($A$2,Lines!AH34))-FIND($A$2,Lines!AH34)-LEN($A$2)-1))</f>
        <v/>
      </c>
      <c r="AI34" s="42" t="str">
        <f>IF(ISERROR(FIND($A$2,Lines!AI34))=TRUE,"",MID(Lines!AI34,FIND($A$2,Lines!AI34)+LEN($A$2)+1,FIND(",",_xlfn.CONCAT(Lines!AI34,","),FIND($A$2,Lines!AI34))-FIND($A$2,Lines!AI34)-LEN($A$2)-1))</f>
        <v/>
      </c>
      <c r="AJ34" s="49" t="str">
        <f>IF(ISERROR(FIND($A$2,Lines!AJ34))=TRUE,"",MID(Lines!AJ34,FIND($A$2,Lines!AJ34)+LEN($A$2)+1,FIND(",",_xlfn.CONCAT(Lines!AJ34,","),FIND($A$2,Lines!AJ34))-FIND($A$2,Lines!AJ34)-LEN($A$2)-1))</f>
        <v/>
      </c>
      <c r="AK34" s="30" t="str">
        <f>IF(ISERROR(FIND($A$2,Lines!AK34))=TRUE,"",MID(Lines!AK34,FIND($A$2,Lines!AK34)+LEN($A$2)+1,FIND(",",_xlfn.CONCAT(Lines!AK34,","),FIND($A$2,Lines!AK34))-FIND($A$2,Lines!AK34)-LEN($A$2)-1))</f>
        <v/>
      </c>
      <c r="AL34" s="30" t="str">
        <f>IF(ISERROR(FIND($A$2,Lines!AL34))=TRUE,"",MID(Lines!AL34,FIND($A$2,Lines!AL34)+LEN($A$2)+1,FIND(",",_xlfn.CONCAT(Lines!AL34,","),FIND($A$2,Lines!AL34))-FIND($A$2,Lines!AL34)-LEN($A$2)-1))</f>
        <v/>
      </c>
      <c r="AM34" s="30" t="str">
        <f>IF(ISERROR(FIND($A$2,Lines!AM34))=TRUE,"",MID(Lines!AM34,FIND($A$2,Lines!AM34)+LEN($A$2)+1,FIND(",",_xlfn.CONCAT(Lines!AM34,","),FIND($A$2,Lines!AM34))-FIND($A$2,Lines!AM34)-LEN($A$2)-1))</f>
        <v/>
      </c>
      <c r="AN34" s="30" t="str">
        <f>IF(ISERROR(FIND($A$2,Lines!AN34))=TRUE,"",MID(Lines!AN34,FIND($A$2,Lines!AN34)+LEN($A$2)+1,FIND(",",_xlfn.CONCAT(Lines!AN34,","),FIND($A$2,Lines!AN34))-FIND($A$2,Lines!AN34)-LEN($A$2)-1))</f>
        <v/>
      </c>
      <c r="AO34" s="30" t="str">
        <f>IF(ISERROR(FIND($A$2,Lines!AO34))=TRUE,"",MID(Lines!AO34,FIND($A$2,Lines!AO34)+LEN($A$2)+1,FIND(",",_xlfn.CONCAT(Lines!AO34,","),FIND($A$2,Lines!AO34))-FIND($A$2,Lines!AO34)-LEN($A$2)-1))</f>
        <v/>
      </c>
      <c r="AP34" s="30" t="str">
        <f>IF(ISERROR(FIND($A$2,Lines!AP34))=TRUE,"",MID(Lines!AP34,FIND($A$2,Lines!AP34)+LEN($A$2)+1,FIND(",",_xlfn.CONCAT(Lines!AP34,","),FIND($A$2,Lines!AP34))-FIND($A$2,Lines!AP34)-LEN($A$2)-1))</f>
        <v/>
      </c>
      <c r="AQ34" s="30" t="str">
        <f>IF(ISERROR(FIND($A$2,Lines!AQ34))=TRUE,"",MID(Lines!AQ34,FIND($A$2,Lines!AQ34)+LEN($A$2)+1,FIND(",",_xlfn.CONCAT(Lines!AQ34,","),FIND($A$2,Lines!AQ34))-FIND($A$2,Lines!AQ34)-LEN($A$2)-1))</f>
        <v/>
      </c>
      <c r="AR34" s="30" t="str">
        <f>IF(ISERROR(FIND($A$2,Lines!AR34))=TRUE,"",MID(Lines!AR34,FIND($A$2,Lines!AR34)+LEN($A$2)+1,FIND(",",_xlfn.CONCAT(Lines!AR34,","),FIND($A$2,Lines!AR34))-FIND($A$2,Lines!AR34)-LEN($A$2)-1))</f>
        <v/>
      </c>
      <c r="AS34" s="30" t="str">
        <f>IF(ISERROR(FIND($A$2,Lines!AS34))=TRUE,"",MID(Lines!AS34,FIND($A$2,Lines!AS34)+LEN($A$2)+1,FIND(",",_xlfn.CONCAT(Lines!AS34,","),FIND($A$2,Lines!AS34))-FIND($A$2,Lines!AS34)-LEN($A$2)-1))</f>
        <v/>
      </c>
      <c r="AT34" s="30" t="str">
        <f>IF(ISERROR(FIND($A$2,Lines!AT34))=TRUE,"",MID(Lines!AT34,FIND($A$2,Lines!AT34)+LEN($A$2)+1,FIND(",",_xlfn.CONCAT(Lines!AT34,","),FIND($A$2,Lines!AT34))-FIND($A$2,Lines!AT34)-LEN($A$2)-1))</f>
        <v/>
      </c>
    </row>
    <row r="35" spans="1:46" ht="20.25" customHeight="1">
      <c r="A35" s="2" t="s">
        <v>83</v>
      </c>
      <c r="B35" s="30" t="str">
        <f>IF(ISERROR(FIND($A$2,Lines!B35))=TRUE,"",MID(Lines!B35,FIND($A$2,Lines!B35)+LEN($A$2)+1,FIND(",",_xlfn.CONCAT(Lines!B35,","),FIND($A$2,Lines!B35))-FIND($A$2,Lines!B35)-LEN($A$2)-1))</f>
        <v/>
      </c>
      <c r="C35" s="30" t="str">
        <f>IF(ISERROR(FIND($A$2,Lines!C35))=TRUE,"",MID(Lines!C35,FIND($A$2,Lines!C35)+LEN($A$2)+1,FIND(",",_xlfn.CONCAT(Lines!C35,","),FIND($A$2,Lines!C35))-FIND($A$2,Lines!C35)-LEN($A$2)-1))</f>
        <v/>
      </c>
      <c r="D35" s="30" t="str">
        <f>IF(ISERROR(FIND($A$2,Lines!D35))=TRUE,"",MID(Lines!D35,FIND($A$2,Lines!D35)+LEN($A$2)+1,FIND(",",_xlfn.CONCAT(Lines!D35,","),FIND($A$2,Lines!D35))-FIND($A$2,Lines!D35)-LEN($A$2)-1))</f>
        <v/>
      </c>
      <c r="E35" s="30" t="str">
        <f>IF(ISERROR(FIND($A$2,Lines!E35))=TRUE,"",MID(Lines!E35,FIND($A$2,Lines!E35)+LEN($A$2)+1,FIND(",",_xlfn.CONCAT(Lines!E35,","),FIND($A$2,Lines!E35))-FIND($A$2,Lines!E35)-LEN($A$2)-1))</f>
        <v/>
      </c>
      <c r="F35" s="30" t="str">
        <f>IF(ISERROR(FIND($A$2,Lines!F35))=TRUE,"",MID(Lines!F35,FIND($A$2,Lines!F35)+LEN($A$2)+1,FIND(",",_xlfn.CONCAT(Lines!F35,","),FIND($A$2,Lines!F35))-FIND($A$2,Lines!F35)-LEN($A$2)-1))</f>
        <v/>
      </c>
      <c r="G35" s="30" t="str">
        <f>IF(ISERROR(FIND($A$2,Lines!G35))=TRUE,"",MID(Lines!G35,FIND($A$2,Lines!G35)+LEN($A$2)+1,FIND(",",_xlfn.CONCAT(Lines!G35,","),FIND($A$2,Lines!G35))-FIND($A$2,Lines!G35)-LEN($A$2)-1))</f>
        <v/>
      </c>
      <c r="H35" s="30" t="str">
        <f>IF(ISERROR(FIND($A$2,Lines!H35))=TRUE,"",MID(Lines!H35,FIND($A$2,Lines!H35)+LEN($A$2)+1,FIND(",",_xlfn.CONCAT(Lines!H35,","),FIND($A$2,Lines!H35))-FIND($A$2,Lines!H35)-LEN($A$2)-1))</f>
        <v/>
      </c>
      <c r="I35" s="30" t="str">
        <f>IF(ISERROR(FIND($A$2,Lines!I35))=TRUE,"",MID(Lines!I35,FIND($A$2,Lines!I35)+LEN($A$2)+1,FIND(",",_xlfn.CONCAT(Lines!I35,","),FIND($A$2,Lines!I35))-FIND($A$2,Lines!I35)-LEN($A$2)-1))</f>
        <v/>
      </c>
      <c r="J35" s="30" t="str">
        <f>IF(ISERROR(FIND($A$2,Lines!J35))=TRUE,"",MID(Lines!J35,FIND($A$2,Lines!J35)+LEN($A$2)+1,FIND(",",_xlfn.CONCAT(Lines!J35,","),FIND($A$2,Lines!J35))-FIND($A$2,Lines!J35)-LEN($A$2)-1))</f>
        <v/>
      </c>
      <c r="K35" s="30" t="str">
        <f>IF(ISERROR(FIND($A$2,Lines!K35))=TRUE,"",MID(Lines!K35,FIND($A$2,Lines!K35)+LEN($A$2)+1,FIND(",",_xlfn.CONCAT(Lines!K35,","),FIND($A$2,Lines!K35))-FIND($A$2,Lines!K35)-LEN($A$2)-1))</f>
        <v/>
      </c>
      <c r="L35" s="30" t="str">
        <f>IF(ISERROR(FIND($A$2,Lines!L35))=TRUE,"",MID(Lines!L35,FIND($A$2,Lines!L35)+LEN($A$2)+1,FIND(",",_xlfn.CONCAT(Lines!L35,","),FIND($A$2,Lines!L35))-FIND($A$2,Lines!L35)-LEN($A$2)-1))</f>
        <v/>
      </c>
      <c r="M35" s="30" t="str">
        <f>IF(ISERROR(FIND($A$2,Lines!M35))=TRUE,"",MID(Lines!M35,FIND($A$2,Lines!M35)+LEN($A$2)+1,FIND(",",_xlfn.CONCAT(Lines!M35,","),FIND($A$2,Lines!M35))-FIND($A$2,Lines!M35)-LEN($A$2)-1))</f>
        <v/>
      </c>
      <c r="N35" s="30" t="str">
        <f>IF(ISERROR(FIND($A$2,Lines!N35))=TRUE,"",MID(Lines!N35,FIND($A$2,Lines!N35)+LEN($A$2)+1,FIND(",",_xlfn.CONCAT(Lines!N35,","),FIND($A$2,Lines!N35))-FIND($A$2,Lines!N35)-LEN($A$2)-1))</f>
        <v/>
      </c>
      <c r="O35" s="30" t="str">
        <f>IF(ISERROR(FIND($A$2,Lines!O35))=TRUE,"",MID(Lines!O35,FIND($A$2,Lines!O35)+LEN($A$2)+1,FIND(",",_xlfn.CONCAT(Lines!O35,","),FIND($A$2,Lines!O35))-FIND($A$2,Lines!O35)-LEN($A$2)-1))</f>
        <v/>
      </c>
      <c r="P35" s="30" t="str">
        <f>IF(ISERROR(FIND($A$2,Lines!P35))=TRUE,"",MID(Lines!P35,FIND($A$2,Lines!P35)+LEN($A$2)+1,FIND(",",_xlfn.CONCAT(Lines!P35,","),FIND($A$2,Lines!P35))-FIND($A$2,Lines!P35)-LEN($A$2)-1))</f>
        <v/>
      </c>
      <c r="Q35" s="30" t="str">
        <f>IF(ISERROR(FIND($A$2,Lines!Q35))=TRUE,"",MID(Lines!Q35,FIND($A$2,Lines!Q35)+LEN($A$2)+1,FIND(",",_xlfn.CONCAT(Lines!Q35,","),FIND($A$2,Lines!Q35))-FIND($A$2,Lines!Q35)-LEN($A$2)-1))</f>
        <v/>
      </c>
      <c r="R35" s="30" t="str">
        <f>IF(ISERROR(FIND($A$2,Lines!R35))=TRUE,"",MID(Lines!R35,FIND($A$2,Lines!R35)+LEN($A$2)+1,FIND(",",_xlfn.CONCAT(Lines!R35,","),FIND($A$2,Lines!R35))-FIND($A$2,Lines!R35)-LEN($A$2)-1))</f>
        <v/>
      </c>
      <c r="S35" s="30" t="str">
        <f>IF(ISERROR(FIND($A$2,Lines!S35))=TRUE,"",MID(Lines!S35,FIND($A$2,Lines!S35)+LEN($A$2)+1,FIND(",",_xlfn.CONCAT(Lines!S35,","),FIND($A$2,Lines!S35))-FIND($A$2,Lines!S35)-LEN($A$2)-1))</f>
        <v/>
      </c>
      <c r="T35" s="30" t="str">
        <f>IF(ISERROR(FIND($A$2,Lines!T35))=TRUE,"",MID(Lines!T35,FIND($A$2,Lines!T35)+LEN($A$2)+1,FIND(",",_xlfn.CONCAT(Lines!T35,","),FIND($A$2,Lines!T35))-FIND($A$2,Lines!T35)-LEN($A$2)-1))</f>
        <v/>
      </c>
      <c r="U35" s="30" t="str">
        <f>IF(ISERROR(FIND($A$2,Lines!U35))=TRUE,"",MID(Lines!U35,FIND($A$2,Lines!U35)+LEN($A$2)+1,FIND(",",_xlfn.CONCAT(Lines!U35,","),FIND($A$2,Lines!U35))-FIND($A$2,Lines!U35)-LEN($A$2)-1))</f>
        <v/>
      </c>
      <c r="V35" s="30" t="str">
        <f>IF(ISERROR(FIND($A$2,Lines!V35))=TRUE,"",MID(Lines!V35,FIND($A$2,Lines!V35)+LEN($A$2)+1,FIND(",",_xlfn.CONCAT(Lines!V35,","),FIND($A$2,Lines!V35))-FIND($A$2,Lines!V35)-LEN($A$2)-1))</f>
        <v/>
      </c>
      <c r="W35" s="36" t="str">
        <f>IF(ISERROR(FIND($A$2,Lines!W35))=TRUE,"",MID(Lines!W35,FIND($A$2,Lines!W35)+LEN($A$2)+1,FIND(",",_xlfn.CONCAT(Lines!W35,","),FIND($A$2,Lines!W35))-FIND($A$2,Lines!W35)-LEN($A$2)-1))</f>
        <v/>
      </c>
      <c r="X35" s="30" t="str">
        <f>IF(ISERROR(FIND($A$2,Lines!X35))=TRUE,"",MID(Lines!X35,FIND($A$2,Lines!X35)+LEN($A$2)+1,FIND(",",_xlfn.CONCAT(Lines!X35,","),FIND($A$2,Lines!X35))-FIND($A$2,Lines!X35)-LEN($A$2)-1))</f>
        <v/>
      </c>
      <c r="Y35" s="30" t="str">
        <f>IF(ISERROR(FIND($A$2,Lines!Y35))=TRUE,"",MID(Lines!Y35,FIND($A$2,Lines!Y35)+LEN($A$2)+1,FIND(",",_xlfn.CONCAT(Lines!Y35,","),FIND($A$2,Lines!Y35))-FIND($A$2,Lines!Y35)-LEN($A$2)-1))</f>
        <v/>
      </c>
      <c r="Z35" s="30" t="str">
        <f>IF(ISERROR(FIND($A$2,Lines!Z35))=TRUE,"",MID(Lines!Z35,FIND($A$2,Lines!Z35)+LEN($A$2)+1,FIND(",",_xlfn.CONCAT(Lines!Z35,","),FIND($A$2,Lines!Z35))-FIND($A$2,Lines!Z35)-LEN($A$2)-1))</f>
        <v/>
      </c>
      <c r="AA35" s="30" t="str">
        <f>IF(ISERROR(FIND($A$2,Lines!AA35))=TRUE,"",MID(Lines!AA35,FIND($A$2,Lines!AA35)+LEN($A$2)+1,FIND(",",_xlfn.CONCAT(Lines!AA35,","),FIND($A$2,Lines!AA35))-FIND($A$2,Lines!AA35)-LEN($A$2)-1))</f>
        <v/>
      </c>
      <c r="AB35" s="30" t="str">
        <f>IF(ISERROR(FIND($A$2,Lines!AB35))=TRUE,"",MID(Lines!AB35,FIND($A$2,Lines!AB35)+LEN($A$2)+1,FIND(",",_xlfn.CONCAT(Lines!AB35,","),FIND($A$2,Lines!AB35))-FIND($A$2,Lines!AB35)-LEN($A$2)-1))</f>
        <v/>
      </c>
      <c r="AC35" s="30" t="str">
        <f>IF(ISERROR(FIND($A$2,Lines!AC35))=TRUE,"",MID(Lines!AC35,FIND($A$2,Lines!AC35)+LEN($A$2)+1,FIND(",",_xlfn.CONCAT(Lines!AC35,","),FIND($A$2,Lines!AC35))-FIND($A$2,Lines!AC35)-LEN($A$2)-1))</f>
        <v/>
      </c>
      <c r="AD35" s="30" t="str">
        <f>IF(ISERROR(FIND($A$2,Lines!AD35))=TRUE,"",MID(Lines!AD35,FIND($A$2,Lines!AD35)+LEN($A$2)+1,FIND(",",_xlfn.CONCAT(Lines!AD35,","),FIND($A$2,Lines!AD35))-FIND($A$2,Lines!AD35)-LEN($A$2)-1))</f>
        <v/>
      </c>
      <c r="AE35" s="51" t="str">
        <f>IF(ISERROR(FIND($A$2,Lines!AE35))=TRUE,"",MID(Lines!AE35,FIND($A$2,Lines!AE35)+LEN($A$2)+1,FIND(",",_xlfn.CONCAT(Lines!AE35,","),FIND($A$2,Lines!AE35))-FIND($A$2,Lines!AE35)-LEN($A$2)-1))</f>
        <v/>
      </c>
      <c r="AF35" s="42" t="str">
        <f>IF(ISERROR(FIND($A$2,Lines!AF35))=TRUE,"",MID(Lines!AF35,FIND($A$2,Lines!AF35)+LEN($A$2)+1,FIND(",",_xlfn.CONCAT(Lines!AF35,","),FIND($A$2,Lines!AF35))-FIND($A$2,Lines!AF35)-LEN($A$2)-1))</f>
        <v/>
      </c>
      <c r="AG35" s="66" t="str">
        <f>IF(ISERROR(FIND($A$2,Lines!AG35))=TRUE,"",MID(Lines!AG35,FIND($A$2,Lines!AG35)+LEN($A$2)+1,FIND(",",_xlfn.CONCAT(Lines!AG35,","),FIND($A$2,Lines!AG35))-FIND($A$2,Lines!AG35)-LEN($A$2)-1))</f>
        <v/>
      </c>
      <c r="AH35" s="42" t="str">
        <f>IF(ISERROR(FIND($A$2,Lines!AH35))=TRUE,"",MID(Lines!AH35,FIND($A$2,Lines!AH35)+LEN($A$2)+1,FIND(",",_xlfn.CONCAT(Lines!AH35,","),FIND($A$2,Lines!AH35))-FIND($A$2,Lines!AH35)-LEN($A$2)-1))</f>
        <v/>
      </c>
      <c r="AI35" s="42" t="str">
        <f>IF(ISERROR(FIND($A$2,Lines!AI35))=TRUE,"",MID(Lines!AI35,FIND($A$2,Lines!AI35)+LEN($A$2)+1,FIND(",",_xlfn.CONCAT(Lines!AI35,","),FIND($A$2,Lines!AI35))-FIND($A$2,Lines!AI35)-LEN($A$2)-1))</f>
        <v/>
      </c>
      <c r="AJ35" s="49" t="str">
        <f>IF(ISERROR(FIND($A$2,Lines!AJ35))=TRUE,"",MID(Lines!AJ35,FIND($A$2,Lines!AJ35)+LEN($A$2)+1,FIND(",",_xlfn.CONCAT(Lines!AJ35,","),FIND($A$2,Lines!AJ35))-FIND($A$2,Lines!AJ35)-LEN($A$2)-1))</f>
        <v/>
      </c>
      <c r="AK35" s="30" t="str">
        <f>IF(ISERROR(FIND($A$2,Lines!AK35))=TRUE,"",MID(Lines!AK35,FIND($A$2,Lines!AK35)+LEN($A$2)+1,FIND(",",_xlfn.CONCAT(Lines!AK35,","),FIND($A$2,Lines!AK35))-FIND($A$2,Lines!AK35)-LEN($A$2)-1))</f>
        <v/>
      </c>
      <c r="AL35" s="30" t="str">
        <f>IF(ISERROR(FIND($A$2,Lines!AL35))=TRUE,"",MID(Lines!AL35,FIND($A$2,Lines!AL35)+LEN($A$2)+1,FIND(",",_xlfn.CONCAT(Lines!AL35,","),FIND($A$2,Lines!AL35))-FIND($A$2,Lines!AL35)-LEN($A$2)-1))</f>
        <v/>
      </c>
      <c r="AM35" s="30" t="str">
        <f>IF(ISERROR(FIND($A$2,Lines!AM35))=TRUE,"",MID(Lines!AM35,FIND($A$2,Lines!AM35)+LEN($A$2)+1,FIND(",",_xlfn.CONCAT(Lines!AM35,","),FIND($A$2,Lines!AM35))-FIND($A$2,Lines!AM35)-LEN($A$2)-1))</f>
        <v/>
      </c>
      <c r="AN35" s="30" t="str">
        <f>IF(ISERROR(FIND($A$2,Lines!AN35))=TRUE,"",MID(Lines!AN35,FIND($A$2,Lines!AN35)+LEN($A$2)+1,FIND(",",_xlfn.CONCAT(Lines!AN35,","),FIND($A$2,Lines!AN35))-FIND($A$2,Lines!AN35)-LEN($A$2)-1))</f>
        <v/>
      </c>
      <c r="AO35" s="30" t="str">
        <f>IF(ISERROR(FIND($A$2,Lines!AO35))=TRUE,"",MID(Lines!AO35,FIND($A$2,Lines!AO35)+LEN($A$2)+1,FIND(",",_xlfn.CONCAT(Lines!AO35,","),FIND($A$2,Lines!AO35))-FIND($A$2,Lines!AO35)-LEN($A$2)-1))</f>
        <v/>
      </c>
      <c r="AP35" s="30" t="str">
        <f>IF(ISERROR(FIND($A$2,Lines!AP35))=TRUE,"",MID(Lines!AP35,FIND($A$2,Lines!AP35)+LEN($A$2)+1,FIND(",",_xlfn.CONCAT(Lines!AP35,","),FIND($A$2,Lines!AP35))-FIND($A$2,Lines!AP35)-LEN($A$2)-1))</f>
        <v/>
      </c>
      <c r="AQ35" s="30" t="str">
        <f>IF(ISERROR(FIND($A$2,Lines!AQ35))=TRUE,"",MID(Lines!AQ35,FIND($A$2,Lines!AQ35)+LEN($A$2)+1,FIND(",",_xlfn.CONCAT(Lines!AQ35,","),FIND($A$2,Lines!AQ35))-FIND($A$2,Lines!AQ35)-LEN($A$2)-1))</f>
        <v/>
      </c>
      <c r="AR35" s="30" t="str">
        <f>IF(ISERROR(FIND($A$2,Lines!AR35))=TRUE,"",MID(Lines!AR35,FIND($A$2,Lines!AR35)+LEN($A$2)+1,FIND(",",_xlfn.CONCAT(Lines!AR35,","),FIND($A$2,Lines!AR35))-FIND($A$2,Lines!AR35)-LEN($A$2)-1))</f>
        <v/>
      </c>
      <c r="AS35" s="30" t="str">
        <f>IF(ISERROR(FIND($A$2,Lines!AS35))=TRUE,"",MID(Lines!AS35,FIND($A$2,Lines!AS35)+LEN($A$2)+1,FIND(",",_xlfn.CONCAT(Lines!AS35,","),FIND($A$2,Lines!AS35))-FIND($A$2,Lines!AS35)-LEN($A$2)-1))</f>
        <v/>
      </c>
      <c r="AT35" s="30" t="str">
        <f>IF(ISERROR(FIND($A$2,Lines!AT35))=TRUE,"",MID(Lines!AT35,FIND($A$2,Lines!AT35)+LEN($A$2)+1,FIND(",",_xlfn.CONCAT(Lines!AT35,","),FIND($A$2,Lines!AT35))-FIND($A$2,Lines!AT35)-LEN($A$2)-1))</f>
        <v/>
      </c>
    </row>
    <row r="36" spans="1:46" ht="20.25" customHeight="1">
      <c r="A36" s="2" t="s">
        <v>84</v>
      </c>
      <c r="B36" s="30" t="str">
        <f>IF(ISERROR(FIND($A$2,Lines!B36))=TRUE,"",MID(Lines!B36,FIND($A$2,Lines!B36)+LEN($A$2)+1,FIND(",",_xlfn.CONCAT(Lines!B36,","),FIND($A$2,Lines!B36))-FIND($A$2,Lines!B36)-LEN($A$2)-1))</f>
        <v/>
      </c>
      <c r="C36" s="30" t="str">
        <f>IF(ISERROR(FIND($A$2,Lines!C36))=TRUE,"",MID(Lines!C36,FIND($A$2,Lines!C36)+LEN($A$2)+1,FIND(",",_xlfn.CONCAT(Lines!C36,","),FIND($A$2,Lines!C36))-FIND($A$2,Lines!C36)-LEN($A$2)-1))</f>
        <v/>
      </c>
      <c r="D36" s="30" t="str">
        <f>IF(ISERROR(FIND($A$2,Lines!D36))=TRUE,"",MID(Lines!D36,FIND($A$2,Lines!D36)+LEN($A$2)+1,FIND(",",_xlfn.CONCAT(Lines!D36,","),FIND($A$2,Lines!D36))-FIND($A$2,Lines!D36)-LEN($A$2)-1))</f>
        <v/>
      </c>
      <c r="E36" s="30" t="str">
        <f>IF(ISERROR(FIND($A$2,Lines!E36))=TRUE,"",MID(Lines!E36,FIND($A$2,Lines!E36)+LEN($A$2)+1,FIND(",",_xlfn.CONCAT(Lines!E36,","),FIND($A$2,Lines!E36))-FIND($A$2,Lines!E36)-LEN($A$2)-1))</f>
        <v/>
      </c>
      <c r="F36" s="30" t="str">
        <f>IF(ISERROR(FIND($A$2,Lines!F36))=TRUE,"",MID(Lines!F36,FIND($A$2,Lines!F36)+LEN($A$2)+1,FIND(",",_xlfn.CONCAT(Lines!F36,","),FIND($A$2,Lines!F36))-FIND($A$2,Lines!F36)-LEN($A$2)-1))</f>
        <v/>
      </c>
      <c r="G36" s="30" t="str">
        <f>IF(ISERROR(FIND($A$2,Lines!G36))=TRUE,"",MID(Lines!G36,FIND($A$2,Lines!G36)+LEN($A$2)+1,FIND(",",_xlfn.CONCAT(Lines!G36,","),FIND($A$2,Lines!G36))-FIND($A$2,Lines!G36)-LEN($A$2)-1))</f>
        <v/>
      </c>
      <c r="H36" s="30" t="str">
        <f>IF(ISERROR(FIND($A$2,Lines!H36))=TRUE,"",MID(Lines!H36,FIND($A$2,Lines!H36)+LEN($A$2)+1,FIND(",",_xlfn.CONCAT(Lines!H36,","),FIND($A$2,Lines!H36))-FIND($A$2,Lines!H36)-LEN($A$2)-1))</f>
        <v/>
      </c>
      <c r="I36" s="30" t="str">
        <f>IF(ISERROR(FIND($A$2,Lines!I36))=TRUE,"",MID(Lines!I36,FIND($A$2,Lines!I36)+LEN($A$2)+1,FIND(",",_xlfn.CONCAT(Lines!I36,","),FIND($A$2,Lines!I36))-FIND($A$2,Lines!I36)-LEN($A$2)-1))</f>
        <v/>
      </c>
      <c r="J36" s="30" t="str">
        <f>IF(ISERROR(FIND($A$2,Lines!J36))=TRUE,"",MID(Lines!J36,FIND($A$2,Lines!J36)+LEN($A$2)+1,FIND(",",_xlfn.CONCAT(Lines!J36,","),FIND($A$2,Lines!J36))-FIND($A$2,Lines!J36)-LEN($A$2)-1))</f>
        <v/>
      </c>
      <c r="K36" s="30" t="str">
        <f>IF(ISERROR(FIND($A$2,Lines!K36))=TRUE,"",MID(Lines!K36,FIND($A$2,Lines!K36)+LEN($A$2)+1,FIND(",",_xlfn.CONCAT(Lines!K36,","),FIND($A$2,Lines!K36))-FIND($A$2,Lines!K36)-LEN($A$2)-1))</f>
        <v/>
      </c>
      <c r="L36" s="30" t="str">
        <f>IF(ISERROR(FIND($A$2,Lines!L36))=TRUE,"",MID(Lines!L36,FIND($A$2,Lines!L36)+LEN($A$2)+1,FIND(",",_xlfn.CONCAT(Lines!L36,","),FIND($A$2,Lines!L36))-FIND($A$2,Lines!L36)-LEN($A$2)-1))</f>
        <v/>
      </c>
      <c r="M36" s="30" t="str">
        <f>IF(ISERROR(FIND($A$2,Lines!M36))=TRUE,"",MID(Lines!M36,FIND($A$2,Lines!M36)+LEN($A$2)+1,FIND(",",_xlfn.CONCAT(Lines!M36,","),FIND($A$2,Lines!M36))-FIND($A$2,Lines!M36)-LEN($A$2)-1))</f>
        <v/>
      </c>
      <c r="N36" s="30" t="str">
        <f>IF(ISERROR(FIND($A$2,Lines!N36))=TRUE,"",MID(Lines!N36,FIND($A$2,Lines!N36)+LEN($A$2)+1,FIND(",",_xlfn.CONCAT(Lines!N36,","),FIND($A$2,Lines!N36))-FIND($A$2,Lines!N36)-LEN($A$2)-1))</f>
        <v/>
      </c>
      <c r="O36" s="30" t="str">
        <f>IF(ISERROR(FIND($A$2,Lines!O36))=TRUE,"",MID(Lines!O36,FIND($A$2,Lines!O36)+LEN($A$2)+1,FIND(",",_xlfn.CONCAT(Lines!O36,","),FIND($A$2,Lines!O36))-FIND($A$2,Lines!O36)-LEN($A$2)-1))</f>
        <v/>
      </c>
      <c r="P36" s="30" t="str">
        <f>IF(ISERROR(FIND($A$2,Lines!P36))=TRUE,"",MID(Lines!P36,FIND($A$2,Lines!P36)+LEN($A$2)+1,FIND(",",_xlfn.CONCAT(Lines!P36,","),FIND($A$2,Lines!P36))-FIND($A$2,Lines!P36)-LEN($A$2)-1))</f>
        <v/>
      </c>
      <c r="Q36" s="30" t="str">
        <f>IF(ISERROR(FIND($A$2,Lines!Q36))=TRUE,"",MID(Lines!Q36,FIND($A$2,Lines!Q36)+LEN($A$2)+1,FIND(",",_xlfn.CONCAT(Lines!Q36,","),FIND($A$2,Lines!Q36))-FIND($A$2,Lines!Q36)-LEN($A$2)-1))</f>
        <v/>
      </c>
      <c r="R36" s="30" t="str">
        <f>IF(ISERROR(FIND($A$2,Lines!R36))=TRUE,"",MID(Lines!R36,FIND($A$2,Lines!R36)+LEN($A$2)+1,FIND(",",_xlfn.CONCAT(Lines!R36,","),FIND($A$2,Lines!R36))-FIND($A$2,Lines!R36)-LEN($A$2)-1))</f>
        <v/>
      </c>
      <c r="S36" s="30" t="str">
        <f>IF(ISERROR(FIND($A$2,Lines!S36))=TRUE,"",MID(Lines!S36,FIND($A$2,Lines!S36)+LEN($A$2)+1,FIND(",",_xlfn.CONCAT(Lines!S36,","),FIND($A$2,Lines!S36))-FIND($A$2,Lines!S36)-LEN($A$2)-1))</f>
        <v/>
      </c>
      <c r="T36" s="30" t="str">
        <f>IF(ISERROR(FIND($A$2,Lines!T36))=TRUE,"",MID(Lines!T36,FIND($A$2,Lines!T36)+LEN($A$2)+1,FIND(",",_xlfn.CONCAT(Lines!T36,","),FIND($A$2,Lines!T36))-FIND($A$2,Lines!T36)-LEN($A$2)-1))</f>
        <v/>
      </c>
      <c r="U36" s="30" t="str">
        <f>IF(ISERROR(FIND($A$2,Lines!U36))=TRUE,"",MID(Lines!U36,FIND($A$2,Lines!U36)+LEN($A$2)+1,FIND(",",_xlfn.CONCAT(Lines!U36,","),FIND($A$2,Lines!U36))-FIND($A$2,Lines!U36)-LEN($A$2)-1))</f>
        <v/>
      </c>
      <c r="V36" s="30" t="str">
        <f>IF(ISERROR(FIND($A$2,Lines!V36))=TRUE,"",MID(Lines!V36,FIND($A$2,Lines!V36)+LEN($A$2)+1,FIND(",",_xlfn.CONCAT(Lines!V36,","),FIND($A$2,Lines!V36))-FIND($A$2,Lines!V36)-LEN($A$2)-1))</f>
        <v/>
      </c>
      <c r="W36" s="36" t="str">
        <f>IF(ISERROR(FIND($A$2,Lines!W36))=TRUE,"",MID(Lines!W36,FIND($A$2,Lines!W36)+LEN($A$2)+1,FIND(",",_xlfn.CONCAT(Lines!W36,","),FIND($A$2,Lines!W36))-FIND($A$2,Lines!W36)-LEN($A$2)-1))</f>
        <v/>
      </c>
      <c r="X36" s="30" t="str">
        <f>IF(ISERROR(FIND($A$2,Lines!X36))=TRUE,"",MID(Lines!X36,FIND($A$2,Lines!X36)+LEN($A$2)+1,FIND(",",_xlfn.CONCAT(Lines!X36,","),FIND($A$2,Lines!X36))-FIND($A$2,Lines!X36)-LEN($A$2)-1))</f>
        <v/>
      </c>
      <c r="Y36" s="30" t="str">
        <f>IF(ISERROR(FIND($A$2,Lines!Y36))=TRUE,"",MID(Lines!Y36,FIND($A$2,Lines!Y36)+LEN($A$2)+1,FIND(",",_xlfn.CONCAT(Lines!Y36,","),FIND($A$2,Lines!Y36))-FIND($A$2,Lines!Y36)-LEN($A$2)-1))</f>
        <v/>
      </c>
      <c r="Z36" s="30" t="str">
        <f>IF(ISERROR(FIND($A$2,Lines!Z36))=TRUE,"",MID(Lines!Z36,FIND($A$2,Lines!Z36)+LEN($A$2)+1,FIND(",",_xlfn.CONCAT(Lines!Z36,","),FIND($A$2,Lines!Z36))-FIND($A$2,Lines!Z36)-LEN($A$2)-1))</f>
        <v/>
      </c>
      <c r="AA36" s="30" t="str">
        <f>IF(ISERROR(FIND($A$2,Lines!AA36))=TRUE,"",MID(Lines!AA36,FIND($A$2,Lines!AA36)+LEN($A$2)+1,FIND(",",_xlfn.CONCAT(Lines!AA36,","),FIND($A$2,Lines!AA36))-FIND($A$2,Lines!AA36)-LEN($A$2)-1))</f>
        <v/>
      </c>
      <c r="AB36" s="30" t="str">
        <f>IF(ISERROR(FIND($A$2,Lines!AB36))=TRUE,"",MID(Lines!AB36,FIND($A$2,Lines!AB36)+LEN($A$2)+1,FIND(",",_xlfn.CONCAT(Lines!AB36,","),FIND($A$2,Lines!AB36))-FIND($A$2,Lines!AB36)-LEN($A$2)-1))</f>
        <v/>
      </c>
      <c r="AC36" s="30" t="str">
        <f>IF(ISERROR(FIND($A$2,Lines!AC36))=TRUE,"",MID(Lines!AC36,FIND($A$2,Lines!AC36)+LEN($A$2)+1,FIND(",",_xlfn.CONCAT(Lines!AC36,","),FIND($A$2,Lines!AC36))-FIND($A$2,Lines!AC36)-LEN($A$2)-1))</f>
        <v/>
      </c>
      <c r="AD36" s="30" t="str">
        <f>IF(ISERROR(FIND($A$2,Lines!AD36))=TRUE,"",MID(Lines!AD36,FIND($A$2,Lines!AD36)+LEN($A$2)+1,FIND(",",_xlfn.CONCAT(Lines!AD36,","),FIND($A$2,Lines!AD36))-FIND($A$2,Lines!AD36)-LEN($A$2)-1))</f>
        <v/>
      </c>
      <c r="AE36" s="51" t="str">
        <f>IF(ISERROR(FIND($A$2,Lines!AE36))=TRUE,"",MID(Lines!AE36,FIND($A$2,Lines!AE36)+LEN($A$2)+1,FIND(",",_xlfn.CONCAT(Lines!AE36,","),FIND($A$2,Lines!AE36))-FIND($A$2,Lines!AE36)-LEN($A$2)-1))</f>
        <v/>
      </c>
      <c r="AF36" s="42" t="str">
        <f>IF(ISERROR(FIND($A$2,Lines!AF36))=TRUE,"",MID(Lines!AF36,FIND($A$2,Lines!AF36)+LEN($A$2)+1,FIND(",",_xlfn.CONCAT(Lines!AF36,","),FIND($A$2,Lines!AF36))-FIND($A$2,Lines!AF36)-LEN($A$2)-1))</f>
        <v/>
      </c>
      <c r="AG36" s="42" t="str">
        <f>IF(ISERROR(FIND($A$2,Lines!AG36))=TRUE,"",MID(Lines!AG36,FIND($A$2,Lines!AG36)+LEN($A$2)+1,FIND(",",_xlfn.CONCAT(Lines!AG36,","),FIND($A$2,Lines!AG36))-FIND($A$2,Lines!AG36)-LEN($A$2)-1))</f>
        <v/>
      </c>
      <c r="AH36" s="66" t="str">
        <f>IF(ISERROR(FIND($A$2,Lines!AH36))=TRUE,"",MID(Lines!AH36,FIND($A$2,Lines!AH36)+LEN($A$2)+1,FIND(",",_xlfn.CONCAT(Lines!AH36,","),FIND($A$2,Lines!AH36))-FIND($A$2,Lines!AH36)-LEN($A$2)-1))</f>
        <v/>
      </c>
      <c r="AI36" s="42" t="str">
        <f>IF(ISERROR(FIND($A$2,Lines!AI36))=TRUE,"",MID(Lines!AI36,FIND($A$2,Lines!AI36)+LEN($A$2)+1,FIND(",",_xlfn.CONCAT(Lines!AI36,","),FIND($A$2,Lines!AI36))-FIND($A$2,Lines!AI36)-LEN($A$2)-1))</f>
        <v/>
      </c>
      <c r="AJ36" s="49" t="str">
        <f>IF(ISERROR(FIND($A$2,Lines!AJ36))=TRUE,"",MID(Lines!AJ36,FIND($A$2,Lines!AJ36)+LEN($A$2)+1,FIND(",",_xlfn.CONCAT(Lines!AJ36,","),FIND($A$2,Lines!AJ36))-FIND($A$2,Lines!AJ36)-LEN($A$2)-1))</f>
        <v/>
      </c>
      <c r="AK36" s="30" t="str">
        <f>IF(ISERROR(FIND($A$2,Lines!AK36))=TRUE,"",MID(Lines!AK36,FIND($A$2,Lines!AK36)+LEN($A$2)+1,FIND(",",_xlfn.CONCAT(Lines!AK36,","),FIND($A$2,Lines!AK36))-FIND($A$2,Lines!AK36)-LEN($A$2)-1))</f>
        <v/>
      </c>
      <c r="AL36" s="30" t="str">
        <f>IF(ISERROR(FIND($A$2,Lines!AL36))=TRUE,"",MID(Lines!AL36,FIND($A$2,Lines!AL36)+LEN($A$2)+1,FIND(",",_xlfn.CONCAT(Lines!AL36,","),FIND($A$2,Lines!AL36))-FIND($A$2,Lines!AL36)-LEN($A$2)-1))</f>
        <v/>
      </c>
      <c r="AM36" s="30" t="str">
        <f>IF(ISERROR(FIND($A$2,Lines!AM36))=TRUE,"",MID(Lines!AM36,FIND($A$2,Lines!AM36)+LEN($A$2)+1,FIND(",",_xlfn.CONCAT(Lines!AM36,","),FIND($A$2,Lines!AM36))-FIND($A$2,Lines!AM36)-LEN($A$2)-1))</f>
        <v/>
      </c>
      <c r="AN36" s="30" t="str">
        <f>IF(ISERROR(FIND($A$2,Lines!AN36))=TRUE,"",MID(Lines!AN36,FIND($A$2,Lines!AN36)+LEN($A$2)+1,FIND(",",_xlfn.CONCAT(Lines!AN36,","),FIND($A$2,Lines!AN36))-FIND($A$2,Lines!AN36)-LEN($A$2)-1))</f>
        <v/>
      </c>
      <c r="AO36" s="30" t="str">
        <f>IF(ISERROR(FIND($A$2,Lines!AO36))=TRUE,"",MID(Lines!AO36,FIND($A$2,Lines!AO36)+LEN($A$2)+1,FIND(",",_xlfn.CONCAT(Lines!AO36,","),FIND($A$2,Lines!AO36))-FIND($A$2,Lines!AO36)-LEN($A$2)-1))</f>
        <v/>
      </c>
      <c r="AP36" s="30" t="str">
        <f>IF(ISERROR(FIND($A$2,Lines!AP36))=TRUE,"",MID(Lines!AP36,FIND($A$2,Lines!AP36)+LEN($A$2)+1,FIND(",",_xlfn.CONCAT(Lines!AP36,","),FIND($A$2,Lines!AP36))-FIND($A$2,Lines!AP36)-LEN($A$2)-1))</f>
        <v/>
      </c>
      <c r="AQ36" s="30" t="str">
        <f>IF(ISERROR(FIND($A$2,Lines!AQ36))=TRUE,"",MID(Lines!AQ36,FIND($A$2,Lines!AQ36)+LEN($A$2)+1,FIND(",",_xlfn.CONCAT(Lines!AQ36,","),FIND($A$2,Lines!AQ36))-FIND($A$2,Lines!AQ36)-LEN($A$2)-1))</f>
        <v/>
      </c>
      <c r="AR36" s="30" t="str">
        <f>IF(ISERROR(FIND($A$2,Lines!AR36))=TRUE,"",MID(Lines!AR36,FIND($A$2,Lines!AR36)+LEN($A$2)+1,FIND(",",_xlfn.CONCAT(Lines!AR36,","),FIND($A$2,Lines!AR36))-FIND($A$2,Lines!AR36)-LEN($A$2)-1))</f>
        <v/>
      </c>
      <c r="AS36" s="30" t="str">
        <f>IF(ISERROR(FIND($A$2,Lines!AS36))=TRUE,"",MID(Lines!AS36,FIND($A$2,Lines!AS36)+LEN($A$2)+1,FIND(",",_xlfn.CONCAT(Lines!AS36,","),FIND($A$2,Lines!AS36))-FIND($A$2,Lines!AS36)-LEN($A$2)-1))</f>
        <v/>
      </c>
      <c r="AT36" s="30" t="str">
        <f>IF(ISERROR(FIND($A$2,Lines!AT36))=TRUE,"",MID(Lines!AT36,FIND($A$2,Lines!AT36)+LEN($A$2)+1,FIND(",",_xlfn.CONCAT(Lines!AT36,","),FIND($A$2,Lines!AT36))-FIND($A$2,Lines!AT36)-LEN($A$2)-1))</f>
        <v/>
      </c>
    </row>
    <row r="37" spans="1:46" ht="20.25" customHeight="1">
      <c r="A37" s="2" t="s">
        <v>85</v>
      </c>
      <c r="B37" s="30" t="str">
        <f>IF(ISERROR(FIND($A$2,Lines!B37))=TRUE,"",MID(Lines!B37,FIND($A$2,Lines!B37)+LEN($A$2)+1,FIND(",",_xlfn.CONCAT(Lines!B37,","),FIND($A$2,Lines!B37))-FIND($A$2,Lines!B37)-LEN($A$2)-1))</f>
        <v/>
      </c>
      <c r="C37" s="30" t="str">
        <f>IF(ISERROR(FIND($A$2,Lines!C37))=TRUE,"",MID(Lines!C37,FIND($A$2,Lines!C37)+LEN($A$2)+1,FIND(",",_xlfn.CONCAT(Lines!C37,","),FIND($A$2,Lines!C37))-FIND($A$2,Lines!C37)-LEN($A$2)-1))</f>
        <v/>
      </c>
      <c r="D37" s="30" t="str">
        <f>IF(ISERROR(FIND($A$2,Lines!D37))=TRUE,"",MID(Lines!D37,FIND($A$2,Lines!D37)+LEN($A$2)+1,FIND(",",_xlfn.CONCAT(Lines!D37,","),FIND($A$2,Lines!D37))-FIND($A$2,Lines!D37)-LEN($A$2)-1))</f>
        <v/>
      </c>
      <c r="E37" s="30" t="str">
        <f>IF(ISERROR(FIND($A$2,Lines!E37))=TRUE,"",MID(Lines!E37,FIND($A$2,Lines!E37)+LEN($A$2)+1,FIND(",",_xlfn.CONCAT(Lines!E37,","),FIND($A$2,Lines!E37))-FIND($A$2,Lines!E37)-LEN($A$2)-1))</f>
        <v/>
      </c>
      <c r="F37" s="30" t="str">
        <f>IF(ISERROR(FIND($A$2,Lines!F37))=TRUE,"",MID(Lines!F37,FIND($A$2,Lines!F37)+LEN($A$2)+1,FIND(",",_xlfn.CONCAT(Lines!F37,","),FIND($A$2,Lines!F37))-FIND($A$2,Lines!F37)-LEN($A$2)-1))</f>
        <v/>
      </c>
      <c r="G37" s="30" t="str">
        <f>IF(ISERROR(FIND($A$2,Lines!G37))=TRUE,"",MID(Lines!G37,FIND($A$2,Lines!G37)+LEN($A$2)+1,FIND(",",_xlfn.CONCAT(Lines!G37,","),FIND($A$2,Lines!G37))-FIND($A$2,Lines!G37)-LEN($A$2)-1))</f>
        <v/>
      </c>
      <c r="H37" s="30" t="str">
        <f>IF(ISERROR(FIND($A$2,Lines!H37))=TRUE,"",MID(Lines!H37,FIND($A$2,Lines!H37)+LEN($A$2)+1,FIND(",",_xlfn.CONCAT(Lines!H37,","),FIND($A$2,Lines!H37))-FIND($A$2,Lines!H37)-LEN($A$2)-1))</f>
        <v/>
      </c>
      <c r="I37" s="30" t="str">
        <f>IF(ISERROR(FIND($A$2,Lines!I37))=TRUE,"",MID(Lines!I37,FIND($A$2,Lines!I37)+LEN($A$2)+1,FIND(",",_xlfn.CONCAT(Lines!I37,","),FIND($A$2,Lines!I37))-FIND($A$2,Lines!I37)-LEN($A$2)-1))</f>
        <v/>
      </c>
      <c r="J37" s="30" t="str">
        <f>IF(ISERROR(FIND($A$2,Lines!J37))=TRUE,"",MID(Lines!J37,FIND($A$2,Lines!J37)+LEN($A$2)+1,FIND(",",_xlfn.CONCAT(Lines!J37,","),FIND($A$2,Lines!J37))-FIND($A$2,Lines!J37)-LEN($A$2)-1))</f>
        <v/>
      </c>
      <c r="K37" s="30" t="str">
        <f>IF(ISERROR(FIND($A$2,Lines!K37))=TRUE,"",MID(Lines!K37,FIND($A$2,Lines!K37)+LEN($A$2)+1,FIND(",",_xlfn.CONCAT(Lines!K37,","),FIND($A$2,Lines!K37))-FIND($A$2,Lines!K37)-LEN($A$2)-1))</f>
        <v/>
      </c>
      <c r="L37" s="30" t="str">
        <f>IF(ISERROR(FIND($A$2,Lines!L37))=TRUE,"",MID(Lines!L37,FIND($A$2,Lines!L37)+LEN($A$2)+1,FIND(",",_xlfn.CONCAT(Lines!L37,","),FIND($A$2,Lines!L37))-FIND($A$2,Lines!L37)-LEN($A$2)-1))</f>
        <v/>
      </c>
      <c r="M37" s="30" t="str">
        <f>IF(ISERROR(FIND($A$2,Lines!M37))=TRUE,"",MID(Lines!M37,FIND($A$2,Lines!M37)+LEN($A$2)+1,FIND(",",_xlfn.CONCAT(Lines!M37,","),FIND($A$2,Lines!M37))-FIND($A$2,Lines!M37)-LEN($A$2)-1))</f>
        <v/>
      </c>
      <c r="N37" s="30" t="str">
        <f>IF(ISERROR(FIND($A$2,Lines!N37))=TRUE,"",MID(Lines!N37,FIND($A$2,Lines!N37)+LEN($A$2)+1,FIND(",",_xlfn.CONCAT(Lines!N37,","),FIND($A$2,Lines!N37))-FIND($A$2,Lines!N37)-LEN($A$2)-1))</f>
        <v/>
      </c>
      <c r="O37" s="30" t="str">
        <f>IF(ISERROR(FIND($A$2,Lines!O37))=TRUE,"",MID(Lines!O37,FIND($A$2,Lines!O37)+LEN($A$2)+1,FIND(",",_xlfn.CONCAT(Lines!O37,","),FIND($A$2,Lines!O37))-FIND($A$2,Lines!O37)-LEN($A$2)-1))</f>
        <v/>
      </c>
      <c r="P37" s="30" t="str">
        <f>IF(ISERROR(FIND($A$2,Lines!P37))=TRUE,"",MID(Lines!P37,FIND($A$2,Lines!P37)+LEN($A$2)+1,FIND(",",_xlfn.CONCAT(Lines!P37,","),FIND($A$2,Lines!P37))-FIND($A$2,Lines!P37)-LEN($A$2)-1))</f>
        <v/>
      </c>
      <c r="Q37" s="30" t="str">
        <f>IF(ISERROR(FIND($A$2,Lines!Q37))=TRUE,"",MID(Lines!Q37,FIND($A$2,Lines!Q37)+LEN($A$2)+1,FIND(",",_xlfn.CONCAT(Lines!Q37,","),FIND($A$2,Lines!Q37))-FIND($A$2,Lines!Q37)-LEN($A$2)-1))</f>
        <v/>
      </c>
      <c r="R37" s="30" t="str">
        <f>IF(ISERROR(FIND($A$2,Lines!R37))=TRUE,"",MID(Lines!R37,FIND($A$2,Lines!R37)+LEN($A$2)+1,FIND(",",_xlfn.CONCAT(Lines!R37,","),FIND($A$2,Lines!R37))-FIND($A$2,Lines!R37)-LEN($A$2)-1))</f>
        <v/>
      </c>
      <c r="S37" s="30" t="str">
        <f>IF(ISERROR(FIND($A$2,Lines!S37))=TRUE,"",MID(Lines!S37,FIND($A$2,Lines!S37)+LEN($A$2)+1,FIND(",",_xlfn.CONCAT(Lines!S37,","),FIND($A$2,Lines!S37))-FIND($A$2,Lines!S37)-LEN($A$2)-1))</f>
        <v/>
      </c>
      <c r="T37" s="30" t="str">
        <f>IF(ISERROR(FIND($A$2,Lines!T37))=TRUE,"",MID(Lines!T37,FIND($A$2,Lines!T37)+LEN($A$2)+1,FIND(",",_xlfn.CONCAT(Lines!T37,","),FIND($A$2,Lines!T37))-FIND($A$2,Lines!T37)-LEN($A$2)-1))</f>
        <v/>
      </c>
      <c r="U37" s="30" t="str">
        <f>IF(ISERROR(FIND($A$2,Lines!U37))=TRUE,"",MID(Lines!U37,FIND($A$2,Lines!U37)+LEN($A$2)+1,FIND(",",_xlfn.CONCAT(Lines!U37,","),FIND($A$2,Lines!U37))-FIND($A$2,Lines!U37)-LEN($A$2)-1))</f>
        <v/>
      </c>
      <c r="V37" s="30" t="str">
        <f>IF(ISERROR(FIND($A$2,Lines!V37))=TRUE,"",MID(Lines!V37,FIND($A$2,Lines!V37)+LEN($A$2)+1,FIND(",",_xlfn.CONCAT(Lines!V37,","),FIND($A$2,Lines!V37))-FIND($A$2,Lines!V37)-LEN($A$2)-1))</f>
        <v/>
      </c>
      <c r="W37" s="36" t="str">
        <f>IF(ISERROR(FIND($A$2,Lines!W37))=TRUE,"",MID(Lines!W37,FIND($A$2,Lines!W37)+LEN($A$2)+1,FIND(",",_xlfn.CONCAT(Lines!W37,","),FIND($A$2,Lines!W37))-FIND($A$2,Lines!W37)-LEN($A$2)-1))</f>
        <v/>
      </c>
      <c r="X37" s="30" t="str">
        <f>IF(ISERROR(FIND($A$2,Lines!X37))=TRUE,"",MID(Lines!X37,FIND($A$2,Lines!X37)+LEN($A$2)+1,FIND(",",_xlfn.CONCAT(Lines!X37,","),FIND($A$2,Lines!X37))-FIND($A$2,Lines!X37)-LEN($A$2)-1))</f>
        <v/>
      </c>
      <c r="Y37" s="30" t="str">
        <f>IF(ISERROR(FIND($A$2,Lines!Y37))=TRUE,"",MID(Lines!Y37,FIND($A$2,Lines!Y37)+LEN($A$2)+1,FIND(",",_xlfn.CONCAT(Lines!Y37,","),FIND($A$2,Lines!Y37))-FIND($A$2,Lines!Y37)-LEN($A$2)-1))</f>
        <v/>
      </c>
      <c r="Z37" s="30" t="str">
        <f>IF(ISERROR(FIND($A$2,Lines!Z37))=TRUE,"",MID(Lines!Z37,FIND($A$2,Lines!Z37)+LEN($A$2)+1,FIND(",",_xlfn.CONCAT(Lines!Z37,","),FIND($A$2,Lines!Z37))-FIND($A$2,Lines!Z37)-LEN($A$2)-1))</f>
        <v/>
      </c>
      <c r="AA37" s="30" t="str">
        <f>IF(ISERROR(FIND($A$2,Lines!AA37))=TRUE,"",MID(Lines!AA37,FIND($A$2,Lines!AA37)+LEN($A$2)+1,FIND(",",_xlfn.CONCAT(Lines!AA37,","),FIND($A$2,Lines!AA37))-FIND($A$2,Lines!AA37)-LEN($A$2)-1))</f>
        <v/>
      </c>
      <c r="AB37" s="30" t="str">
        <f>IF(ISERROR(FIND($A$2,Lines!AB37))=TRUE,"",MID(Lines!AB37,FIND($A$2,Lines!AB37)+LEN($A$2)+1,FIND(",",_xlfn.CONCAT(Lines!AB37,","),FIND($A$2,Lines!AB37))-FIND($A$2,Lines!AB37)-LEN($A$2)-1))</f>
        <v/>
      </c>
      <c r="AC37" s="30" t="str">
        <f>IF(ISERROR(FIND($A$2,Lines!AC37))=TRUE,"",MID(Lines!AC37,FIND($A$2,Lines!AC37)+LEN($A$2)+1,FIND(",",_xlfn.CONCAT(Lines!AC37,","),FIND($A$2,Lines!AC37))-FIND($A$2,Lines!AC37)-LEN($A$2)-1))</f>
        <v/>
      </c>
      <c r="AD37" s="30" t="str">
        <f>IF(ISERROR(FIND($A$2,Lines!AD37))=TRUE,"",MID(Lines!AD37,FIND($A$2,Lines!AD37)+LEN($A$2)+1,FIND(",",_xlfn.CONCAT(Lines!AD37,","),FIND($A$2,Lines!AD37))-FIND($A$2,Lines!AD37)-LEN($A$2)-1))</f>
        <v/>
      </c>
      <c r="AE37" s="51" t="str">
        <f>IF(ISERROR(FIND($A$2,Lines!AE37))=TRUE,"",MID(Lines!AE37,FIND($A$2,Lines!AE37)+LEN($A$2)+1,FIND(",",_xlfn.CONCAT(Lines!AE37,","),FIND($A$2,Lines!AE37))-FIND($A$2,Lines!AE37)-LEN($A$2)-1))</f>
        <v/>
      </c>
      <c r="AF37" s="42" t="str">
        <f>IF(ISERROR(FIND($A$2,Lines!AF37))=TRUE,"",MID(Lines!AF37,FIND($A$2,Lines!AF37)+LEN($A$2)+1,FIND(",",_xlfn.CONCAT(Lines!AF37,","),FIND($A$2,Lines!AF37))-FIND($A$2,Lines!AF37)-LEN($A$2)-1))</f>
        <v/>
      </c>
      <c r="AG37" s="42" t="str">
        <f>IF(ISERROR(FIND($A$2,Lines!AG37))=TRUE,"",MID(Lines!AG37,FIND($A$2,Lines!AG37)+LEN($A$2)+1,FIND(",",_xlfn.CONCAT(Lines!AG37,","),FIND($A$2,Lines!AG37))-FIND($A$2,Lines!AG37)-LEN($A$2)-1))</f>
        <v/>
      </c>
      <c r="AH37" s="42" t="str">
        <f>IF(ISERROR(FIND($A$2,Lines!AH37))=TRUE,"",MID(Lines!AH37,FIND($A$2,Lines!AH37)+LEN($A$2)+1,FIND(",",_xlfn.CONCAT(Lines!AH37,","),FIND($A$2,Lines!AH37))-FIND($A$2,Lines!AH37)-LEN($A$2)-1))</f>
        <v/>
      </c>
      <c r="AI37" s="66" t="str">
        <f>IF(ISERROR(FIND($A$2,Lines!AI37))=TRUE,"",MID(Lines!AI37,FIND($A$2,Lines!AI37)+LEN($A$2)+1,FIND(",",_xlfn.CONCAT(Lines!AI37,","),FIND($A$2,Lines!AI37))-FIND($A$2,Lines!AI37)-LEN($A$2)-1))</f>
        <v/>
      </c>
      <c r="AJ37" s="49" t="str">
        <f>IF(ISERROR(FIND($A$2,Lines!AJ37))=TRUE,"",MID(Lines!AJ37,FIND($A$2,Lines!AJ37)+LEN($A$2)+1,FIND(",",_xlfn.CONCAT(Lines!AJ37,","),FIND($A$2,Lines!AJ37))-FIND($A$2,Lines!AJ37)-LEN($A$2)-1))</f>
        <v/>
      </c>
      <c r="AK37" s="30" t="str">
        <f>IF(ISERROR(FIND($A$2,Lines!AK37))=TRUE,"",MID(Lines!AK37,FIND($A$2,Lines!AK37)+LEN($A$2)+1,FIND(",",_xlfn.CONCAT(Lines!AK37,","),FIND($A$2,Lines!AK37))-FIND($A$2,Lines!AK37)-LEN($A$2)-1))</f>
        <v/>
      </c>
      <c r="AL37" s="30" t="str">
        <f>IF(ISERROR(FIND($A$2,Lines!AL37))=TRUE,"",MID(Lines!AL37,FIND($A$2,Lines!AL37)+LEN($A$2)+1,FIND(",",_xlfn.CONCAT(Lines!AL37,","),FIND($A$2,Lines!AL37))-FIND($A$2,Lines!AL37)-LEN($A$2)-1))</f>
        <v/>
      </c>
      <c r="AM37" s="30" t="str">
        <f>IF(ISERROR(FIND($A$2,Lines!AM37))=TRUE,"",MID(Lines!AM37,FIND($A$2,Lines!AM37)+LEN($A$2)+1,FIND(",",_xlfn.CONCAT(Lines!AM37,","),FIND($A$2,Lines!AM37))-FIND($A$2,Lines!AM37)-LEN($A$2)-1))</f>
        <v/>
      </c>
      <c r="AN37" s="30" t="str">
        <f>IF(ISERROR(FIND($A$2,Lines!AN37))=TRUE,"",MID(Lines!AN37,FIND($A$2,Lines!AN37)+LEN($A$2)+1,FIND(",",_xlfn.CONCAT(Lines!AN37,","),FIND($A$2,Lines!AN37))-FIND($A$2,Lines!AN37)-LEN($A$2)-1))</f>
        <v/>
      </c>
      <c r="AO37" s="30" t="str">
        <f>IF(ISERROR(FIND($A$2,Lines!AO37))=TRUE,"",MID(Lines!AO37,FIND($A$2,Lines!AO37)+LEN($A$2)+1,FIND(",",_xlfn.CONCAT(Lines!AO37,","),FIND($A$2,Lines!AO37))-FIND($A$2,Lines!AO37)-LEN($A$2)-1))</f>
        <v/>
      </c>
      <c r="AP37" s="30" t="str">
        <f>IF(ISERROR(FIND($A$2,Lines!AP37))=TRUE,"",MID(Lines!AP37,FIND($A$2,Lines!AP37)+LEN($A$2)+1,FIND(",",_xlfn.CONCAT(Lines!AP37,","),FIND($A$2,Lines!AP37))-FIND($A$2,Lines!AP37)-LEN($A$2)-1))</f>
        <v/>
      </c>
      <c r="AQ37" s="30" t="str">
        <f>IF(ISERROR(FIND($A$2,Lines!AQ37))=TRUE,"",MID(Lines!AQ37,FIND($A$2,Lines!AQ37)+LEN($A$2)+1,FIND(",",_xlfn.CONCAT(Lines!AQ37,","),FIND($A$2,Lines!AQ37))-FIND($A$2,Lines!AQ37)-LEN($A$2)-1))</f>
        <v/>
      </c>
      <c r="AR37" s="30" t="str">
        <f>IF(ISERROR(FIND($A$2,Lines!AR37))=TRUE,"",MID(Lines!AR37,FIND($A$2,Lines!AR37)+LEN($A$2)+1,FIND(",",_xlfn.CONCAT(Lines!AR37,","),FIND($A$2,Lines!AR37))-FIND($A$2,Lines!AR37)-LEN($A$2)-1))</f>
        <v/>
      </c>
      <c r="AS37" s="30" t="str">
        <f>IF(ISERROR(FIND($A$2,Lines!AS37))=TRUE,"",MID(Lines!AS37,FIND($A$2,Lines!AS37)+LEN($A$2)+1,FIND(",",_xlfn.CONCAT(Lines!AS37,","),FIND($A$2,Lines!AS37))-FIND($A$2,Lines!AS37)-LEN($A$2)-1))</f>
        <v/>
      </c>
      <c r="AT37" s="30" t="str">
        <f>IF(ISERROR(FIND($A$2,Lines!AT37))=TRUE,"",MID(Lines!AT37,FIND($A$2,Lines!AT37)+LEN($A$2)+1,FIND(",",_xlfn.CONCAT(Lines!AT37,","),FIND($A$2,Lines!AT37))-FIND($A$2,Lines!AT37)-LEN($A$2)-1))</f>
        <v/>
      </c>
    </row>
    <row r="38" spans="1:46" ht="20.25" customHeight="1">
      <c r="A38" s="2" t="s">
        <v>86</v>
      </c>
      <c r="B38" s="30" t="str">
        <f>IF(ISERROR(FIND($A$2,Lines!B38))=TRUE,"",MID(Lines!B38,FIND($A$2,Lines!B38)+LEN($A$2)+1,FIND(",",_xlfn.CONCAT(Lines!B38,","),FIND($A$2,Lines!B38))-FIND($A$2,Lines!B38)-LEN($A$2)-1))</f>
        <v/>
      </c>
      <c r="C38" s="30" t="str">
        <f>IF(ISERROR(FIND($A$2,Lines!C38))=TRUE,"",MID(Lines!C38,FIND($A$2,Lines!C38)+LEN($A$2)+1,FIND(",",_xlfn.CONCAT(Lines!C38,","),FIND($A$2,Lines!C38))-FIND($A$2,Lines!C38)-LEN($A$2)-1))</f>
        <v/>
      </c>
      <c r="D38" s="30" t="str">
        <f>IF(ISERROR(FIND($A$2,Lines!D38))=TRUE,"",MID(Lines!D38,FIND($A$2,Lines!D38)+LEN($A$2)+1,FIND(",",_xlfn.CONCAT(Lines!D38,","),FIND($A$2,Lines!D38))-FIND($A$2,Lines!D38)-LEN($A$2)-1))</f>
        <v/>
      </c>
      <c r="E38" s="30" t="str">
        <f>IF(ISERROR(FIND($A$2,Lines!E38))=TRUE,"",MID(Lines!E38,FIND($A$2,Lines!E38)+LEN($A$2)+1,FIND(",",_xlfn.CONCAT(Lines!E38,","),FIND($A$2,Lines!E38))-FIND($A$2,Lines!E38)-LEN($A$2)-1))</f>
        <v/>
      </c>
      <c r="F38" s="30" t="str">
        <f>IF(ISERROR(FIND($A$2,Lines!F38))=TRUE,"",MID(Lines!F38,FIND($A$2,Lines!F38)+LEN($A$2)+1,FIND(",",_xlfn.CONCAT(Lines!F38,","),FIND($A$2,Lines!F38))-FIND($A$2,Lines!F38)-LEN($A$2)-1))</f>
        <v/>
      </c>
      <c r="G38" s="30" t="str">
        <f>IF(ISERROR(FIND($A$2,Lines!G38))=TRUE,"",MID(Lines!G38,FIND($A$2,Lines!G38)+LEN($A$2)+1,FIND(",",_xlfn.CONCAT(Lines!G38,","),FIND($A$2,Lines!G38))-FIND($A$2,Lines!G38)-LEN($A$2)-1))</f>
        <v/>
      </c>
      <c r="H38" s="30" t="str">
        <f>IF(ISERROR(FIND($A$2,Lines!H38))=TRUE,"",MID(Lines!H38,FIND($A$2,Lines!H38)+LEN($A$2)+1,FIND(",",_xlfn.CONCAT(Lines!H38,","),FIND($A$2,Lines!H38))-FIND($A$2,Lines!H38)-LEN($A$2)-1))</f>
        <v/>
      </c>
      <c r="I38" s="30" t="str">
        <f>IF(ISERROR(FIND($A$2,Lines!I38))=TRUE,"",MID(Lines!I38,FIND($A$2,Lines!I38)+LEN($A$2)+1,FIND(",",_xlfn.CONCAT(Lines!I38,","),FIND($A$2,Lines!I38))-FIND($A$2,Lines!I38)-LEN($A$2)-1))</f>
        <v/>
      </c>
      <c r="J38" s="30" t="str">
        <f>IF(ISERROR(FIND($A$2,Lines!J38))=TRUE,"",MID(Lines!J38,FIND($A$2,Lines!J38)+LEN($A$2)+1,FIND(",",_xlfn.CONCAT(Lines!J38,","),FIND($A$2,Lines!J38))-FIND($A$2,Lines!J38)-LEN($A$2)-1))</f>
        <v/>
      </c>
      <c r="K38" s="30" t="str">
        <f>IF(ISERROR(FIND($A$2,Lines!K38))=TRUE,"",MID(Lines!K38,FIND($A$2,Lines!K38)+LEN($A$2)+1,FIND(",",_xlfn.CONCAT(Lines!K38,","),FIND($A$2,Lines!K38))-FIND($A$2,Lines!K38)-LEN($A$2)-1))</f>
        <v/>
      </c>
      <c r="L38" s="30" t="str">
        <f>IF(ISERROR(FIND($A$2,Lines!L38))=TRUE,"",MID(Lines!L38,FIND($A$2,Lines!L38)+LEN($A$2)+1,FIND(",",_xlfn.CONCAT(Lines!L38,","),FIND($A$2,Lines!L38))-FIND($A$2,Lines!L38)-LEN($A$2)-1))</f>
        <v/>
      </c>
      <c r="M38" s="30" t="str">
        <f>IF(ISERROR(FIND($A$2,Lines!M38))=TRUE,"",MID(Lines!M38,FIND($A$2,Lines!M38)+LEN($A$2)+1,FIND(",",_xlfn.CONCAT(Lines!M38,","),FIND($A$2,Lines!M38))-FIND($A$2,Lines!M38)-LEN($A$2)-1))</f>
        <v/>
      </c>
      <c r="N38" s="30" t="str">
        <f>IF(ISERROR(FIND($A$2,Lines!N38))=TRUE,"",MID(Lines!N38,FIND($A$2,Lines!N38)+LEN($A$2)+1,FIND(",",_xlfn.CONCAT(Lines!N38,","),FIND($A$2,Lines!N38))-FIND($A$2,Lines!N38)-LEN($A$2)-1))</f>
        <v/>
      </c>
      <c r="O38" s="45" t="str">
        <f>IF(ISERROR(FIND($A$2,Lines!O38))=TRUE,"",MID(Lines!O38,FIND($A$2,Lines!O38)+LEN($A$2)+1,FIND(",",_xlfn.CONCAT(Lines!O38,","),FIND($A$2,Lines!O38))-FIND($A$2,Lines!O38)-LEN($A$2)-1))</f>
        <v/>
      </c>
      <c r="P38" s="30" t="str">
        <f>IF(ISERROR(FIND($A$2,Lines!P38))=TRUE,"",MID(Lines!P38,FIND($A$2,Lines!P38)+LEN($A$2)+1,FIND(",",_xlfn.CONCAT(Lines!P38,","),FIND($A$2,Lines!P38))-FIND($A$2,Lines!P38)-LEN($A$2)-1))</f>
        <v/>
      </c>
      <c r="Q38" s="30" t="str">
        <f>IF(ISERROR(FIND($A$2,Lines!Q38))=TRUE,"",MID(Lines!Q38,FIND($A$2,Lines!Q38)+LEN($A$2)+1,FIND(",",_xlfn.CONCAT(Lines!Q38,","),FIND($A$2,Lines!Q38))-FIND($A$2,Lines!Q38)-LEN($A$2)-1))</f>
        <v/>
      </c>
      <c r="R38" s="30" t="str">
        <f>IF(ISERROR(FIND($A$2,Lines!R38))=TRUE,"",MID(Lines!R38,FIND($A$2,Lines!R38)+LEN($A$2)+1,FIND(",",_xlfn.CONCAT(Lines!R38,","),FIND($A$2,Lines!R38))-FIND($A$2,Lines!R38)-LEN($A$2)-1))</f>
        <v/>
      </c>
      <c r="S38" s="30" t="str">
        <f>IF(ISERROR(FIND($A$2,Lines!S38))=TRUE,"",MID(Lines!S38,FIND($A$2,Lines!S38)+LEN($A$2)+1,FIND(",",_xlfn.CONCAT(Lines!S38,","),FIND($A$2,Lines!S38))-FIND($A$2,Lines!S38)-LEN($A$2)-1))</f>
        <v/>
      </c>
      <c r="T38" s="30" t="str">
        <f>IF(ISERROR(FIND($A$2,Lines!T38))=TRUE,"",MID(Lines!T38,FIND($A$2,Lines!T38)+LEN($A$2)+1,FIND(",",_xlfn.CONCAT(Lines!T38,","),FIND($A$2,Lines!T38))-FIND($A$2,Lines!T38)-LEN($A$2)-1))</f>
        <v/>
      </c>
      <c r="U38" s="30" t="str">
        <f>IF(ISERROR(FIND($A$2,Lines!U38))=TRUE,"",MID(Lines!U38,FIND($A$2,Lines!U38)+LEN($A$2)+1,FIND(",",_xlfn.CONCAT(Lines!U38,","),FIND($A$2,Lines!U38))-FIND($A$2,Lines!U38)-LEN($A$2)-1))</f>
        <v/>
      </c>
      <c r="V38" s="30" t="str">
        <f>IF(ISERROR(FIND($A$2,Lines!V38))=TRUE,"",MID(Lines!V38,FIND($A$2,Lines!V38)+LEN($A$2)+1,FIND(",",_xlfn.CONCAT(Lines!V38,","),FIND($A$2,Lines!V38))-FIND($A$2,Lines!V38)-LEN($A$2)-1))</f>
        <v/>
      </c>
      <c r="W38" s="36" t="str">
        <f>IF(ISERROR(FIND($A$2,Lines!W38))=TRUE,"",MID(Lines!W38,FIND($A$2,Lines!W38)+LEN($A$2)+1,FIND(",",_xlfn.CONCAT(Lines!W38,","),FIND($A$2,Lines!W38))-FIND($A$2,Lines!W38)-LEN($A$2)-1))</f>
        <v/>
      </c>
      <c r="X38" s="30" t="str">
        <f>IF(ISERROR(FIND($A$2,Lines!X38))=TRUE,"",MID(Lines!X38,FIND($A$2,Lines!X38)+LEN($A$2)+1,FIND(",",_xlfn.CONCAT(Lines!X38,","),FIND($A$2,Lines!X38))-FIND($A$2,Lines!X38)-LEN($A$2)-1))</f>
        <v/>
      </c>
      <c r="Y38" s="30" t="str">
        <f>IF(ISERROR(FIND($A$2,Lines!Y38))=TRUE,"",MID(Lines!Y38,FIND($A$2,Lines!Y38)+LEN($A$2)+1,FIND(",",_xlfn.CONCAT(Lines!Y38,","),FIND($A$2,Lines!Y38))-FIND($A$2,Lines!Y38)-LEN($A$2)-1))</f>
        <v/>
      </c>
      <c r="Z38" s="30" t="str">
        <f>IF(ISERROR(FIND($A$2,Lines!Z38))=TRUE,"",MID(Lines!Z38,FIND($A$2,Lines!Z38)+LEN($A$2)+1,FIND(",",_xlfn.CONCAT(Lines!Z38,","),FIND($A$2,Lines!Z38))-FIND($A$2,Lines!Z38)-LEN($A$2)-1))</f>
        <v/>
      </c>
      <c r="AA38" s="30" t="str">
        <f>IF(ISERROR(FIND($A$2,Lines!AA38))=TRUE,"",MID(Lines!AA38,FIND($A$2,Lines!AA38)+LEN($A$2)+1,FIND(",",_xlfn.CONCAT(Lines!AA38,","),FIND($A$2,Lines!AA38))-FIND($A$2,Lines!AA38)-LEN($A$2)-1))</f>
        <v/>
      </c>
      <c r="AB38" s="30" t="str">
        <f>IF(ISERROR(FIND($A$2,Lines!AB38))=TRUE,"",MID(Lines!AB38,FIND($A$2,Lines!AB38)+LEN($A$2)+1,FIND(",",_xlfn.CONCAT(Lines!AB38,","),FIND($A$2,Lines!AB38))-FIND($A$2,Lines!AB38)-LEN($A$2)-1))</f>
        <v/>
      </c>
      <c r="AC38" s="30" t="str">
        <f>IF(ISERROR(FIND($A$2,Lines!AC38))=TRUE,"",MID(Lines!AC38,FIND($A$2,Lines!AC38)+LEN($A$2)+1,FIND(",",_xlfn.CONCAT(Lines!AC38,","),FIND($A$2,Lines!AC38))-FIND($A$2,Lines!AC38)-LEN($A$2)-1))</f>
        <v/>
      </c>
      <c r="AD38" s="30" t="str">
        <f>IF(ISERROR(FIND($A$2,Lines!AD38))=TRUE,"",MID(Lines!AD38,FIND($A$2,Lines!AD38)+LEN($A$2)+1,FIND(",",_xlfn.CONCAT(Lines!AD38,","),FIND($A$2,Lines!AD38))-FIND($A$2,Lines!AD38)-LEN($A$2)-1))</f>
        <v/>
      </c>
      <c r="AE38" s="55" t="str">
        <f>IF(ISERROR(FIND($A$2,Lines!AE38))=TRUE,"",MID(Lines!AE38,FIND($A$2,Lines!AE38)+LEN($A$2)+1,FIND(",",_xlfn.CONCAT(Lines!AE38,","),FIND($A$2,Lines!AE38))-FIND($A$2,Lines!AE38)-LEN($A$2)-1))</f>
        <v/>
      </c>
      <c r="AF38" s="56" t="str">
        <f>IF(ISERROR(FIND($A$2,Lines!AF38))=TRUE,"",MID(Lines!AF38,FIND($A$2,Lines!AF38)+LEN($A$2)+1,FIND(",",_xlfn.CONCAT(Lines!AF38,","),FIND($A$2,Lines!AF38))-FIND($A$2,Lines!AF38)-LEN($A$2)-1))</f>
        <v/>
      </c>
      <c r="AG38" s="56" t="str">
        <f>IF(ISERROR(FIND($A$2,Lines!AG38))=TRUE,"",MID(Lines!AG38,FIND($A$2,Lines!AG38)+LEN($A$2)+1,FIND(",",_xlfn.CONCAT(Lines!AG38,","),FIND($A$2,Lines!AG38))-FIND($A$2,Lines!AG38)-LEN($A$2)-1))</f>
        <v/>
      </c>
      <c r="AH38" s="56" t="str">
        <f>IF(ISERROR(FIND($A$2,Lines!AH38))=TRUE,"",MID(Lines!AH38,FIND($A$2,Lines!AH38)+LEN($A$2)+1,FIND(",",_xlfn.CONCAT(Lines!AH38,","),FIND($A$2,Lines!AH38))-FIND($A$2,Lines!AH38)-LEN($A$2)-1))</f>
        <v/>
      </c>
      <c r="AI38" s="56" t="str">
        <f>IF(ISERROR(FIND($A$2,Lines!AI38))=TRUE,"",MID(Lines!AI38,FIND($A$2,Lines!AI38)+LEN($A$2)+1,FIND(",",_xlfn.CONCAT(Lines!AI38,","),FIND($A$2,Lines!AI38))-FIND($A$2,Lines!AI38)-LEN($A$2)-1))</f>
        <v/>
      </c>
      <c r="AJ38" s="67" t="str">
        <f>IF(ISERROR(FIND($A$2,Lines!AJ38))=TRUE,"",MID(Lines!AJ38,FIND($A$2,Lines!AJ38)+LEN($A$2)+1,FIND(",",_xlfn.CONCAT(Lines!AJ38,","),FIND($A$2,Lines!AJ38))-FIND($A$2,Lines!AJ38)-LEN($A$2)-1))</f>
        <v/>
      </c>
      <c r="AK38" s="30" t="str">
        <f>IF(ISERROR(FIND($A$2,Lines!AK38))=TRUE,"",MID(Lines!AK38,FIND($A$2,Lines!AK38)+LEN($A$2)+1,FIND(",",_xlfn.CONCAT(Lines!AK38,","),FIND($A$2,Lines!AK38))-FIND($A$2,Lines!AK38)-LEN($A$2)-1))</f>
        <v/>
      </c>
      <c r="AL38" s="30" t="str">
        <f>IF(ISERROR(FIND($A$2,Lines!AL38))=TRUE,"",MID(Lines!AL38,FIND($A$2,Lines!AL38)+LEN($A$2)+1,FIND(",",_xlfn.CONCAT(Lines!AL38,","),FIND($A$2,Lines!AL38))-FIND($A$2,Lines!AL38)-LEN($A$2)-1))</f>
        <v/>
      </c>
      <c r="AM38" s="30" t="str">
        <f>IF(ISERROR(FIND($A$2,Lines!AM38))=TRUE,"",MID(Lines!AM38,FIND($A$2,Lines!AM38)+LEN($A$2)+1,FIND(",",_xlfn.CONCAT(Lines!AM38,","),FIND($A$2,Lines!AM38))-FIND($A$2,Lines!AM38)-LEN($A$2)-1))</f>
        <v/>
      </c>
      <c r="AN38" s="30" t="str">
        <f>IF(ISERROR(FIND($A$2,Lines!AN38))=TRUE,"",MID(Lines!AN38,FIND($A$2,Lines!AN38)+LEN($A$2)+1,FIND(",",_xlfn.CONCAT(Lines!AN38,","),FIND($A$2,Lines!AN38))-FIND($A$2,Lines!AN38)-LEN($A$2)-1))</f>
        <v/>
      </c>
      <c r="AO38" s="30" t="str">
        <f>IF(ISERROR(FIND($A$2,Lines!AO38))=TRUE,"",MID(Lines!AO38,FIND($A$2,Lines!AO38)+LEN($A$2)+1,FIND(",",_xlfn.CONCAT(Lines!AO38,","),FIND($A$2,Lines!AO38))-FIND($A$2,Lines!AO38)-LEN($A$2)-1))</f>
        <v/>
      </c>
      <c r="AP38" s="30" t="str">
        <f>IF(ISERROR(FIND($A$2,Lines!AP38))=TRUE,"",MID(Lines!AP38,FIND($A$2,Lines!AP38)+LEN($A$2)+1,FIND(",",_xlfn.CONCAT(Lines!AP38,","),FIND($A$2,Lines!AP38))-FIND($A$2,Lines!AP38)-LEN($A$2)-1))</f>
        <v/>
      </c>
      <c r="AQ38" s="30" t="str">
        <f>IF(ISERROR(FIND($A$2,Lines!AQ38))=TRUE,"",MID(Lines!AQ38,FIND($A$2,Lines!AQ38)+LEN($A$2)+1,FIND(",",_xlfn.CONCAT(Lines!AQ38,","),FIND($A$2,Lines!AQ38))-FIND($A$2,Lines!AQ38)-LEN($A$2)-1))</f>
        <v/>
      </c>
      <c r="AR38" s="30" t="str">
        <f>IF(ISERROR(FIND($A$2,Lines!AR38))=TRUE,"",MID(Lines!AR38,FIND($A$2,Lines!AR38)+LEN($A$2)+1,FIND(",",_xlfn.CONCAT(Lines!AR38,","),FIND($A$2,Lines!AR38))-FIND($A$2,Lines!AR38)-LEN($A$2)-1))</f>
        <v/>
      </c>
      <c r="AS38" s="30" t="str">
        <f>IF(ISERROR(FIND($A$2,Lines!AS38))=TRUE,"",MID(Lines!AS38,FIND($A$2,Lines!AS38)+LEN($A$2)+1,FIND(",",_xlfn.CONCAT(Lines!AS38,","),FIND($A$2,Lines!AS38))-FIND($A$2,Lines!AS38)-LEN($A$2)-1))</f>
        <v/>
      </c>
      <c r="AT38" s="30" t="str">
        <f>IF(ISERROR(FIND($A$2,Lines!AT38))=TRUE,"",MID(Lines!AT38,FIND($A$2,Lines!AT38)+LEN($A$2)+1,FIND(",",_xlfn.CONCAT(Lines!AT38,","),FIND($A$2,Lines!AT38))-FIND($A$2,Lines!AT38)-LEN($A$2)-1))</f>
        <v/>
      </c>
    </row>
    <row r="39" spans="1:46" ht="20.25" customHeight="1">
      <c r="A39" s="2" t="s">
        <v>87</v>
      </c>
      <c r="B39" s="30" t="str">
        <f>IF(ISERROR(FIND($A$2,Lines!B39))=TRUE,"",MID(Lines!B39,FIND($A$2,Lines!B39)+LEN($A$2)+1,FIND(",",_xlfn.CONCAT(Lines!B39,","),FIND($A$2,Lines!B39))-FIND($A$2,Lines!B39)-LEN($A$2)-1))</f>
        <v/>
      </c>
      <c r="C39" s="30" t="str">
        <f>IF(ISERROR(FIND($A$2,Lines!C39))=TRUE,"",MID(Lines!C39,FIND($A$2,Lines!C39)+LEN($A$2)+1,FIND(",",_xlfn.CONCAT(Lines!C39,","),FIND($A$2,Lines!C39))-FIND($A$2,Lines!C39)-LEN($A$2)-1))</f>
        <v/>
      </c>
      <c r="D39" s="30" t="str">
        <f>IF(ISERROR(FIND($A$2,Lines!D39))=TRUE,"",MID(Lines!D39,FIND($A$2,Lines!D39)+LEN($A$2)+1,FIND(",",_xlfn.CONCAT(Lines!D39,","),FIND($A$2,Lines!D39))-FIND($A$2,Lines!D39)-LEN($A$2)-1))</f>
        <v/>
      </c>
      <c r="E39" s="30" t="str">
        <f>IF(ISERROR(FIND($A$2,Lines!E39))=TRUE,"",MID(Lines!E39,FIND($A$2,Lines!E39)+LEN($A$2)+1,FIND(",",_xlfn.CONCAT(Lines!E39,","),FIND($A$2,Lines!E39))-FIND($A$2,Lines!E39)-LEN($A$2)-1))</f>
        <v/>
      </c>
      <c r="F39" s="30" t="str">
        <f>IF(ISERROR(FIND($A$2,Lines!F39))=TRUE,"",MID(Lines!F39,FIND($A$2,Lines!F39)+LEN($A$2)+1,FIND(",",_xlfn.CONCAT(Lines!F39,","),FIND($A$2,Lines!F39))-FIND($A$2,Lines!F39)-LEN($A$2)-1))</f>
        <v/>
      </c>
      <c r="G39" s="30" t="str">
        <f>IF(ISERROR(FIND($A$2,Lines!G39))=TRUE,"",MID(Lines!G39,FIND($A$2,Lines!G39)+LEN($A$2)+1,FIND(",",_xlfn.CONCAT(Lines!G39,","),FIND($A$2,Lines!G39))-FIND($A$2,Lines!G39)-LEN($A$2)-1))</f>
        <v/>
      </c>
      <c r="H39" s="30" t="str">
        <f>IF(ISERROR(FIND($A$2,Lines!H39))=TRUE,"",MID(Lines!H39,FIND($A$2,Lines!H39)+LEN($A$2)+1,FIND(",",_xlfn.CONCAT(Lines!H39,","),FIND($A$2,Lines!H39))-FIND($A$2,Lines!H39)-LEN($A$2)-1))</f>
        <v/>
      </c>
      <c r="I39" s="30" t="str">
        <f>IF(ISERROR(FIND($A$2,Lines!I39))=TRUE,"",MID(Lines!I39,FIND($A$2,Lines!I39)+LEN($A$2)+1,FIND(",",_xlfn.CONCAT(Lines!I39,","),FIND($A$2,Lines!I39))-FIND($A$2,Lines!I39)-LEN($A$2)-1))</f>
        <v/>
      </c>
      <c r="J39" s="30" t="str">
        <f>IF(ISERROR(FIND($A$2,Lines!J39))=TRUE,"",MID(Lines!J39,FIND($A$2,Lines!J39)+LEN($A$2)+1,FIND(",",_xlfn.CONCAT(Lines!J39,","),FIND($A$2,Lines!J39))-FIND($A$2,Lines!J39)-LEN($A$2)-1))</f>
        <v/>
      </c>
      <c r="K39" s="30" t="str">
        <f>IF(ISERROR(FIND($A$2,Lines!K39))=TRUE,"",MID(Lines!K39,FIND($A$2,Lines!K39)+LEN($A$2)+1,FIND(",",_xlfn.CONCAT(Lines!K39,","),FIND($A$2,Lines!K39))-FIND($A$2,Lines!K39)-LEN($A$2)-1))</f>
        <v/>
      </c>
      <c r="L39" s="30" t="str">
        <f>IF(ISERROR(FIND($A$2,Lines!L39))=TRUE,"",MID(Lines!L39,FIND($A$2,Lines!L39)+LEN($A$2)+1,FIND(",",_xlfn.CONCAT(Lines!L39,","),FIND($A$2,Lines!L39))-FIND($A$2,Lines!L39)-LEN($A$2)-1))</f>
        <v/>
      </c>
      <c r="M39" s="30" t="str">
        <f>IF(ISERROR(FIND($A$2,Lines!M39))=TRUE,"",MID(Lines!M39,FIND($A$2,Lines!M39)+LEN($A$2)+1,FIND(",",_xlfn.CONCAT(Lines!M39,","),FIND($A$2,Lines!M39))-FIND($A$2,Lines!M39)-LEN($A$2)-1))</f>
        <v/>
      </c>
      <c r="N39" s="30" t="str">
        <f>IF(ISERROR(FIND($A$2,Lines!N39))=TRUE,"",MID(Lines!N39,FIND($A$2,Lines!N39)+LEN($A$2)+1,FIND(",",_xlfn.CONCAT(Lines!N39,","),FIND($A$2,Lines!N39))-FIND($A$2,Lines!N39)-LEN($A$2)-1))</f>
        <v/>
      </c>
      <c r="O39" s="30" t="str">
        <f>IF(ISERROR(FIND($A$2,Lines!O39))=TRUE,"",MID(Lines!O39,FIND($A$2,Lines!O39)+LEN($A$2)+1,FIND(",",_xlfn.CONCAT(Lines!O39,","),FIND($A$2,Lines!O39))-FIND($A$2,Lines!O39)-LEN($A$2)-1))</f>
        <v/>
      </c>
      <c r="P39" s="30" t="str">
        <f>IF(ISERROR(FIND($A$2,Lines!P39))=TRUE,"",MID(Lines!P39,FIND($A$2,Lines!P39)+LEN($A$2)+1,FIND(",",_xlfn.CONCAT(Lines!P39,","),FIND($A$2,Lines!P39))-FIND($A$2,Lines!P39)-LEN($A$2)-1))</f>
        <v/>
      </c>
      <c r="Q39" s="30" t="str">
        <f>IF(ISERROR(FIND($A$2,Lines!Q39))=TRUE,"",MID(Lines!Q39,FIND($A$2,Lines!Q39)+LEN($A$2)+1,FIND(",",_xlfn.CONCAT(Lines!Q39,","),FIND($A$2,Lines!Q39))-FIND($A$2,Lines!Q39)-LEN($A$2)-1))</f>
        <v/>
      </c>
      <c r="R39" s="30" t="str">
        <f>IF(ISERROR(FIND($A$2,Lines!R39))=TRUE,"",MID(Lines!R39,FIND($A$2,Lines!R39)+LEN($A$2)+1,FIND(",",_xlfn.CONCAT(Lines!R39,","),FIND($A$2,Lines!R39))-FIND($A$2,Lines!R39)-LEN($A$2)-1))</f>
        <v/>
      </c>
      <c r="S39" s="30" t="str">
        <f>IF(ISERROR(FIND($A$2,Lines!S39))=TRUE,"",MID(Lines!S39,FIND($A$2,Lines!S39)+LEN($A$2)+1,FIND(",",_xlfn.CONCAT(Lines!S39,","),FIND($A$2,Lines!S39))-FIND($A$2,Lines!S39)-LEN($A$2)-1))</f>
        <v/>
      </c>
      <c r="T39" s="30" t="str">
        <f>IF(ISERROR(FIND($A$2,Lines!T39))=TRUE,"",MID(Lines!T39,FIND($A$2,Lines!T39)+LEN($A$2)+1,FIND(",",_xlfn.CONCAT(Lines!T39,","),FIND($A$2,Lines!T39))-FIND($A$2,Lines!T39)-LEN($A$2)-1))</f>
        <v/>
      </c>
      <c r="U39" s="30" t="str">
        <f>IF(ISERROR(FIND($A$2,Lines!U39))=TRUE,"",MID(Lines!U39,FIND($A$2,Lines!U39)+LEN($A$2)+1,FIND(",",_xlfn.CONCAT(Lines!U39,","),FIND($A$2,Lines!U39))-FIND($A$2,Lines!U39)-LEN($A$2)-1))</f>
        <v/>
      </c>
      <c r="V39" s="30" t="str">
        <f>IF(ISERROR(FIND($A$2,Lines!V39))=TRUE,"",MID(Lines!V39,FIND($A$2,Lines!V39)+LEN($A$2)+1,FIND(",",_xlfn.CONCAT(Lines!V39,","),FIND($A$2,Lines!V39))-FIND($A$2,Lines!V39)-LEN($A$2)-1))</f>
        <v/>
      </c>
      <c r="W39" s="36" t="str">
        <f>IF(ISERROR(FIND($A$2,Lines!W39))=TRUE,"",MID(Lines!W39,FIND($A$2,Lines!W39)+LEN($A$2)+1,FIND(",",_xlfn.CONCAT(Lines!W39,","),FIND($A$2,Lines!W39))-FIND($A$2,Lines!W39)-LEN($A$2)-1))</f>
        <v/>
      </c>
      <c r="X39" s="30" t="str">
        <f>IF(ISERROR(FIND($A$2,Lines!X39))=TRUE,"",MID(Lines!X39,FIND($A$2,Lines!X39)+LEN($A$2)+1,FIND(",",_xlfn.CONCAT(Lines!X39,","),FIND($A$2,Lines!X39))-FIND($A$2,Lines!X39)-LEN($A$2)-1))</f>
        <v/>
      </c>
      <c r="Y39" s="30" t="str">
        <f>IF(ISERROR(FIND($A$2,Lines!Y39))=TRUE,"",MID(Lines!Y39,FIND($A$2,Lines!Y39)+LEN($A$2)+1,FIND(",",_xlfn.CONCAT(Lines!Y39,","),FIND($A$2,Lines!Y39))-FIND($A$2,Lines!Y39)-LEN($A$2)-1))</f>
        <v/>
      </c>
      <c r="Z39" s="30" t="str">
        <f>IF(ISERROR(FIND($A$2,Lines!Z39))=TRUE,"",MID(Lines!Z39,FIND($A$2,Lines!Z39)+LEN($A$2)+1,FIND(",",_xlfn.CONCAT(Lines!Z39,","),FIND($A$2,Lines!Z39))-FIND($A$2,Lines!Z39)-LEN($A$2)-1))</f>
        <v/>
      </c>
      <c r="AA39" s="30" t="str">
        <f>IF(ISERROR(FIND($A$2,Lines!AA39))=TRUE,"",MID(Lines!AA39,FIND($A$2,Lines!AA39)+LEN($A$2)+1,FIND(",",_xlfn.CONCAT(Lines!AA39,","),FIND($A$2,Lines!AA39))-FIND($A$2,Lines!AA39)-LEN($A$2)-1))</f>
        <v/>
      </c>
      <c r="AB39" s="30" t="str">
        <f>IF(ISERROR(FIND($A$2,Lines!AB39))=TRUE,"",MID(Lines!AB39,FIND($A$2,Lines!AB39)+LEN($A$2)+1,FIND(",",_xlfn.CONCAT(Lines!AB39,","),FIND($A$2,Lines!AB39))-FIND($A$2,Lines!AB39)-LEN($A$2)-1))</f>
        <v/>
      </c>
      <c r="AC39" s="30" t="str">
        <f>IF(ISERROR(FIND($A$2,Lines!AC39))=TRUE,"",MID(Lines!AC39,FIND($A$2,Lines!AC39)+LEN($A$2)+1,FIND(",",_xlfn.CONCAT(Lines!AC39,","),FIND($A$2,Lines!AC39))-FIND($A$2,Lines!AC39)-LEN($A$2)-1))</f>
        <v/>
      </c>
      <c r="AD39" s="30" t="str">
        <f>IF(ISERROR(FIND($A$2,Lines!AD39))=TRUE,"",MID(Lines!AD39,FIND($A$2,Lines!AD39)+LEN($A$2)+1,FIND(",",_xlfn.CONCAT(Lines!AD39,","),FIND($A$2,Lines!AD39))-FIND($A$2,Lines!AD39)-LEN($A$2)-1))</f>
        <v/>
      </c>
      <c r="AE39" s="30" t="str">
        <f>IF(ISERROR(FIND($A$2,Lines!AE39))=TRUE,"",MID(Lines!AE39,FIND($A$2,Lines!AE39)+LEN($A$2)+1,FIND(",",_xlfn.CONCAT(Lines!AE39,","),FIND($A$2,Lines!AE39))-FIND($A$2,Lines!AE39)-LEN($A$2)-1))</f>
        <v/>
      </c>
      <c r="AF39" s="30" t="str">
        <f>IF(ISERROR(FIND($A$2,Lines!AF39))=TRUE,"",MID(Lines!AF39,FIND($A$2,Lines!AF39)+LEN($A$2)+1,FIND(",",_xlfn.CONCAT(Lines!AF39,","),FIND($A$2,Lines!AF39))-FIND($A$2,Lines!AF39)-LEN($A$2)-1))</f>
        <v/>
      </c>
      <c r="AG39" s="30" t="str">
        <f>IF(ISERROR(FIND($A$2,Lines!AG39))=TRUE,"",MID(Lines!AG39,FIND($A$2,Lines!AG39)+LEN($A$2)+1,FIND(",",_xlfn.CONCAT(Lines!AG39,","),FIND($A$2,Lines!AG39))-FIND($A$2,Lines!AG39)-LEN($A$2)-1))</f>
        <v/>
      </c>
      <c r="AH39" s="30" t="str">
        <f>IF(ISERROR(FIND($A$2,Lines!AH39))=TRUE,"",MID(Lines!AH39,FIND($A$2,Lines!AH39)+LEN($A$2)+1,FIND(",",_xlfn.CONCAT(Lines!AH39,","),FIND($A$2,Lines!AH39))-FIND($A$2,Lines!AH39)-LEN($A$2)-1))</f>
        <v/>
      </c>
      <c r="AI39" s="30" t="str">
        <f>IF(ISERROR(FIND($A$2,Lines!AI39))=TRUE,"",MID(Lines!AI39,FIND($A$2,Lines!AI39)+LEN($A$2)+1,FIND(",",_xlfn.CONCAT(Lines!AI39,","),FIND($A$2,Lines!AI39))-FIND($A$2,Lines!AI39)-LEN($A$2)-1))</f>
        <v/>
      </c>
      <c r="AJ39" s="30" t="str">
        <f>IF(ISERROR(FIND($A$2,Lines!AJ39))=TRUE,"",MID(Lines!AJ39,FIND($A$2,Lines!AJ39)+LEN($A$2)+1,FIND(",",_xlfn.CONCAT(Lines!AJ39,","),FIND($A$2,Lines!AJ39))-FIND($A$2,Lines!AJ39)-LEN($A$2)-1))</f>
        <v/>
      </c>
      <c r="AK39" s="65" t="str">
        <f>IF(ISERROR(FIND($A$2,Lines!AK39))=TRUE,"",MID(Lines!AK39,FIND($A$2,Lines!AK39)+LEN($A$2)+1,FIND(",",_xlfn.CONCAT(Lines!AK39,","),FIND($A$2,Lines!AK39))-FIND($A$2,Lines!AK39)-LEN($A$2)-1))</f>
        <v/>
      </c>
      <c r="AL39" s="50" t="str">
        <f>IF(ISERROR(FIND($A$2,Lines!AL39))=TRUE,"",MID(Lines!AL39,FIND($A$2,Lines!AL39)+LEN($A$2)+1,FIND(",",_xlfn.CONCAT(Lines!AL39,","),FIND($A$2,Lines!AL39))-FIND($A$2,Lines!AL39)-LEN($A$2)-1))</f>
        <v>4</v>
      </c>
      <c r="AM39" s="50" t="str">
        <f>IF(ISERROR(FIND($A$2,Lines!AM39))=TRUE,"",MID(Lines!AM39,FIND($A$2,Lines!AM39)+LEN($A$2)+1,FIND(",",_xlfn.CONCAT(Lines!AM39,","),FIND($A$2,Lines!AM39))-FIND($A$2,Lines!AM39)-LEN($A$2)-1))</f>
        <v/>
      </c>
      <c r="AN39" s="50" t="str">
        <f>IF(ISERROR(FIND($A$2,Lines!AN39))=TRUE,"",MID(Lines!AN39,FIND($A$2,Lines!AN39)+LEN($A$2)+1,FIND(",",_xlfn.CONCAT(Lines!AN39,","),FIND($A$2,Lines!AN39))-FIND($A$2,Lines!AN39)-LEN($A$2)-1))</f>
        <v/>
      </c>
      <c r="AO39" s="60" t="str">
        <f>IF(ISERROR(FIND($A$2,Lines!AO39))=TRUE,"",MID(Lines!AO39,FIND($A$2,Lines!AO39)+LEN($A$2)+1,FIND(",",_xlfn.CONCAT(Lines!AO39,","),FIND($A$2,Lines!AO39))-FIND($A$2,Lines!AO39)-LEN($A$2)-1))</f>
        <v/>
      </c>
      <c r="AP39" s="30" t="str">
        <f>IF(ISERROR(FIND($A$2,Lines!AP39))=TRUE,"",MID(Lines!AP39,FIND($A$2,Lines!AP39)+LEN($A$2)+1,FIND(",",_xlfn.CONCAT(Lines!AP39,","),FIND($A$2,Lines!AP39))-FIND($A$2,Lines!AP39)-LEN($A$2)-1))</f>
        <v/>
      </c>
      <c r="AQ39" s="30" t="str">
        <f>IF(ISERROR(FIND($A$2,Lines!AQ39))=TRUE,"",MID(Lines!AQ39,FIND($A$2,Lines!AQ39)+LEN($A$2)+1,FIND(",",_xlfn.CONCAT(Lines!AQ39,","),FIND($A$2,Lines!AQ39))-FIND($A$2,Lines!AQ39)-LEN($A$2)-1))</f>
        <v/>
      </c>
      <c r="AR39" s="30" t="str">
        <f>IF(ISERROR(FIND($A$2,Lines!AR39))=TRUE,"",MID(Lines!AR39,FIND($A$2,Lines!AR39)+LEN($A$2)+1,FIND(",",_xlfn.CONCAT(Lines!AR39,","),FIND($A$2,Lines!AR39))-FIND($A$2,Lines!AR39)-LEN($A$2)-1))</f>
        <v/>
      </c>
      <c r="AS39" s="30" t="str">
        <f>IF(ISERROR(FIND($A$2,Lines!AS39))=TRUE,"",MID(Lines!AS39,FIND($A$2,Lines!AS39)+LEN($A$2)+1,FIND(",",_xlfn.CONCAT(Lines!AS39,","),FIND($A$2,Lines!AS39))-FIND($A$2,Lines!AS39)-LEN($A$2)-1))</f>
        <v/>
      </c>
      <c r="AT39" s="30" t="str">
        <f>IF(ISERROR(FIND($A$2,Lines!AT39))=TRUE,"",MID(Lines!AT39,FIND($A$2,Lines!AT39)+LEN($A$2)+1,FIND(",",_xlfn.CONCAT(Lines!AT39,","),FIND($A$2,Lines!AT39))-FIND($A$2,Lines!AT39)-LEN($A$2)-1))</f>
        <v/>
      </c>
    </row>
    <row r="40" spans="1:46" ht="20.25" customHeight="1">
      <c r="A40" s="2" t="s">
        <v>88</v>
      </c>
      <c r="B40" s="30" t="str">
        <f>IF(ISERROR(FIND($A$2,Lines!B40))=TRUE,"",MID(Lines!B40,FIND($A$2,Lines!B40)+LEN($A$2)+1,FIND(",",_xlfn.CONCAT(Lines!B40,","),FIND($A$2,Lines!B40))-FIND($A$2,Lines!B40)-LEN($A$2)-1))</f>
        <v/>
      </c>
      <c r="C40" s="30" t="str">
        <f>IF(ISERROR(FIND($A$2,Lines!C40))=TRUE,"",MID(Lines!C40,FIND($A$2,Lines!C40)+LEN($A$2)+1,FIND(",",_xlfn.CONCAT(Lines!C40,","),FIND($A$2,Lines!C40))-FIND($A$2,Lines!C40)-LEN($A$2)-1))</f>
        <v/>
      </c>
      <c r="D40" s="30" t="str">
        <f>IF(ISERROR(FIND($A$2,Lines!D40))=TRUE,"",MID(Lines!D40,FIND($A$2,Lines!D40)+LEN($A$2)+1,FIND(",",_xlfn.CONCAT(Lines!D40,","),FIND($A$2,Lines!D40))-FIND($A$2,Lines!D40)-LEN($A$2)-1))</f>
        <v/>
      </c>
      <c r="E40" s="30" t="str">
        <f>IF(ISERROR(FIND($A$2,Lines!E40))=TRUE,"",MID(Lines!E40,FIND($A$2,Lines!E40)+LEN($A$2)+1,FIND(",",_xlfn.CONCAT(Lines!E40,","),FIND($A$2,Lines!E40))-FIND($A$2,Lines!E40)-LEN($A$2)-1))</f>
        <v/>
      </c>
      <c r="F40" s="30" t="str">
        <f>IF(ISERROR(FIND($A$2,Lines!F40))=TRUE,"",MID(Lines!F40,FIND($A$2,Lines!F40)+LEN($A$2)+1,FIND(",",_xlfn.CONCAT(Lines!F40,","),FIND($A$2,Lines!F40))-FIND($A$2,Lines!F40)-LEN($A$2)-1))</f>
        <v/>
      </c>
      <c r="G40" s="30" t="str">
        <f>IF(ISERROR(FIND($A$2,Lines!G40))=TRUE,"",MID(Lines!G40,FIND($A$2,Lines!G40)+LEN($A$2)+1,FIND(",",_xlfn.CONCAT(Lines!G40,","),FIND($A$2,Lines!G40))-FIND($A$2,Lines!G40)-LEN($A$2)-1))</f>
        <v/>
      </c>
      <c r="H40" s="30" t="str">
        <f>IF(ISERROR(FIND($A$2,Lines!H40))=TRUE,"",MID(Lines!H40,FIND($A$2,Lines!H40)+LEN($A$2)+1,FIND(",",_xlfn.CONCAT(Lines!H40,","),FIND($A$2,Lines!H40))-FIND($A$2,Lines!H40)-LEN($A$2)-1))</f>
        <v/>
      </c>
      <c r="I40" s="30" t="str">
        <f>IF(ISERROR(FIND($A$2,Lines!I40))=TRUE,"",MID(Lines!I40,FIND($A$2,Lines!I40)+LEN($A$2)+1,FIND(",",_xlfn.CONCAT(Lines!I40,","),FIND($A$2,Lines!I40))-FIND($A$2,Lines!I40)-LEN($A$2)-1))</f>
        <v/>
      </c>
      <c r="J40" s="30" t="str">
        <f>IF(ISERROR(FIND($A$2,Lines!J40))=TRUE,"",MID(Lines!J40,FIND($A$2,Lines!J40)+LEN($A$2)+1,FIND(",",_xlfn.CONCAT(Lines!J40,","),FIND($A$2,Lines!J40))-FIND($A$2,Lines!J40)-LEN($A$2)-1))</f>
        <v/>
      </c>
      <c r="K40" s="30" t="str">
        <f>IF(ISERROR(FIND($A$2,Lines!K40))=TRUE,"",MID(Lines!K40,FIND($A$2,Lines!K40)+LEN($A$2)+1,FIND(",",_xlfn.CONCAT(Lines!K40,","),FIND($A$2,Lines!K40))-FIND($A$2,Lines!K40)-LEN($A$2)-1))</f>
        <v/>
      </c>
      <c r="L40" s="30" t="str">
        <f>IF(ISERROR(FIND($A$2,Lines!L40))=TRUE,"",MID(Lines!L40,FIND($A$2,Lines!L40)+LEN($A$2)+1,FIND(",",_xlfn.CONCAT(Lines!L40,","),FIND($A$2,Lines!L40))-FIND($A$2,Lines!L40)-LEN($A$2)-1))</f>
        <v/>
      </c>
      <c r="M40" s="30" t="str">
        <f>IF(ISERROR(FIND($A$2,Lines!M40))=TRUE,"",MID(Lines!M40,FIND($A$2,Lines!M40)+LEN($A$2)+1,FIND(",",_xlfn.CONCAT(Lines!M40,","),FIND($A$2,Lines!M40))-FIND($A$2,Lines!M40)-LEN($A$2)-1))</f>
        <v/>
      </c>
      <c r="N40" s="30" t="str">
        <f>IF(ISERROR(FIND($A$2,Lines!N40))=TRUE,"",MID(Lines!N40,FIND($A$2,Lines!N40)+LEN($A$2)+1,FIND(",",_xlfn.CONCAT(Lines!N40,","),FIND($A$2,Lines!N40))-FIND($A$2,Lines!N40)-LEN($A$2)-1))</f>
        <v/>
      </c>
      <c r="O40" s="30" t="str">
        <f>IF(ISERROR(FIND($A$2,Lines!O40))=TRUE,"",MID(Lines!O40,FIND($A$2,Lines!O40)+LEN($A$2)+1,FIND(",",_xlfn.CONCAT(Lines!O40,","),FIND($A$2,Lines!O40))-FIND($A$2,Lines!O40)-LEN($A$2)-1))</f>
        <v/>
      </c>
      <c r="P40" s="30" t="str">
        <f>IF(ISERROR(FIND($A$2,Lines!P40))=TRUE,"",MID(Lines!P40,FIND($A$2,Lines!P40)+LEN($A$2)+1,FIND(",",_xlfn.CONCAT(Lines!P40,","),FIND($A$2,Lines!P40))-FIND($A$2,Lines!P40)-LEN($A$2)-1))</f>
        <v/>
      </c>
      <c r="Q40" s="30" t="str">
        <f>IF(ISERROR(FIND($A$2,Lines!Q40))=TRUE,"",MID(Lines!Q40,FIND($A$2,Lines!Q40)+LEN($A$2)+1,FIND(",",_xlfn.CONCAT(Lines!Q40,","),FIND($A$2,Lines!Q40))-FIND($A$2,Lines!Q40)-LEN($A$2)-1))</f>
        <v/>
      </c>
      <c r="R40" s="30" t="str">
        <f>IF(ISERROR(FIND($A$2,Lines!R40))=TRUE,"",MID(Lines!R40,FIND($A$2,Lines!R40)+LEN($A$2)+1,FIND(",",_xlfn.CONCAT(Lines!R40,","),FIND($A$2,Lines!R40))-FIND($A$2,Lines!R40)-LEN($A$2)-1))</f>
        <v/>
      </c>
      <c r="S40" s="30" t="str">
        <f>IF(ISERROR(FIND($A$2,Lines!S40))=TRUE,"",MID(Lines!S40,FIND($A$2,Lines!S40)+LEN($A$2)+1,FIND(",",_xlfn.CONCAT(Lines!S40,","),FIND($A$2,Lines!S40))-FIND($A$2,Lines!S40)-LEN($A$2)-1))</f>
        <v/>
      </c>
      <c r="T40" s="30" t="str">
        <f>IF(ISERROR(FIND($A$2,Lines!T40))=TRUE,"",MID(Lines!T40,FIND($A$2,Lines!T40)+LEN($A$2)+1,FIND(",",_xlfn.CONCAT(Lines!T40,","),FIND($A$2,Lines!T40))-FIND($A$2,Lines!T40)-LEN($A$2)-1))</f>
        <v/>
      </c>
      <c r="U40" s="30" t="str">
        <f>IF(ISERROR(FIND($A$2,Lines!U40))=TRUE,"",MID(Lines!U40,FIND($A$2,Lines!U40)+LEN($A$2)+1,FIND(",",_xlfn.CONCAT(Lines!U40,","),FIND($A$2,Lines!U40))-FIND($A$2,Lines!U40)-LEN($A$2)-1))</f>
        <v/>
      </c>
      <c r="V40" s="30" t="str">
        <f>IF(ISERROR(FIND($A$2,Lines!V40))=TRUE,"",MID(Lines!V40,FIND($A$2,Lines!V40)+LEN($A$2)+1,FIND(",",_xlfn.CONCAT(Lines!V40,","),FIND($A$2,Lines!V40))-FIND($A$2,Lines!V40)-LEN($A$2)-1))</f>
        <v/>
      </c>
      <c r="W40" s="36" t="str">
        <f>IF(ISERROR(FIND($A$2,Lines!W40))=TRUE,"",MID(Lines!W40,FIND($A$2,Lines!W40)+LEN($A$2)+1,FIND(",",_xlfn.CONCAT(Lines!W40,","),FIND($A$2,Lines!W40))-FIND($A$2,Lines!W40)-LEN($A$2)-1))</f>
        <v/>
      </c>
      <c r="X40" s="30" t="str">
        <f>IF(ISERROR(FIND($A$2,Lines!X40))=TRUE,"",MID(Lines!X40,FIND($A$2,Lines!X40)+LEN($A$2)+1,FIND(",",_xlfn.CONCAT(Lines!X40,","),FIND($A$2,Lines!X40))-FIND($A$2,Lines!X40)-LEN($A$2)-1))</f>
        <v/>
      </c>
      <c r="Y40" s="30" t="str">
        <f>IF(ISERROR(FIND($A$2,Lines!Y40))=TRUE,"",MID(Lines!Y40,FIND($A$2,Lines!Y40)+LEN($A$2)+1,FIND(",",_xlfn.CONCAT(Lines!Y40,","),FIND($A$2,Lines!Y40))-FIND($A$2,Lines!Y40)-LEN($A$2)-1))</f>
        <v/>
      </c>
      <c r="Z40" s="30" t="str">
        <f>IF(ISERROR(FIND($A$2,Lines!Z40))=TRUE,"",MID(Lines!Z40,FIND($A$2,Lines!Z40)+LEN($A$2)+1,FIND(",",_xlfn.CONCAT(Lines!Z40,","),FIND($A$2,Lines!Z40))-FIND($A$2,Lines!Z40)-LEN($A$2)-1))</f>
        <v/>
      </c>
      <c r="AA40" s="30" t="str">
        <f>IF(ISERROR(FIND($A$2,Lines!AA40))=TRUE,"",MID(Lines!AA40,FIND($A$2,Lines!AA40)+LEN($A$2)+1,FIND(",",_xlfn.CONCAT(Lines!AA40,","),FIND($A$2,Lines!AA40))-FIND($A$2,Lines!AA40)-LEN($A$2)-1))</f>
        <v/>
      </c>
      <c r="AB40" s="30" t="str">
        <f>IF(ISERROR(FIND($A$2,Lines!AB40))=TRUE,"",MID(Lines!AB40,FIND($A$2,Lines!AB40)+LEN($A$2)+1,FIND(",",_xlfn.CONCAT(Lines!AB40,","),FIND($A$2,Lines!AB40))-FIND($A$2,Lines!AB40)-LEN($A$2)-1))</f>
        <v/>
      </c>
      <c r="AC40" s="30" t="str">
        <f>IF(ISERROR(FIND($A$2,Lines!AC40))=TRUE,"",MID(Lines!AC40,FIND($A$2,Lines!AC40)+LEN($A$2)+1,FIND(",",_xlfn.CONCAT(Lines!AC40,","),FIND($A$2,Lines!AC40))-FIND($A$2,Lines!AC40)-LEN($A$2)-1))</f>
        <v/>
      </c>
      <c r="AD40" s="30" t="str">
        <f>IF(ISERROR(FIND($A$2,Lines!AD40))=TRUE,"",MID(Lines!AD40,FIND($A$2,Lines!AD40)+LEN($A$2)+1,FIND(",",_xlfn.CONCAT(Lines!AD40,","),FIND($A$2,Lines!AD40))-FIND($A$2,Lines!AD40)-LEN($A$2)-1))</f>
        <v/>
      </c>
      <c r="AE40" s="30" t="str">
        <f>IF(ISERROR(FIND($A$2,Lines!AE40))=TRUE,"",MID(Lines!AE40,FIND($A$2,Lines!AE40)+LEN($A$2)+1,FIND(",",_xlfn.CONCAT(Lines!AE40,","),FIND($A$2,Lines!AE40))-FIND($A$2,Lines!AE40)-LEN($A$2)-1))</f>
        <v/>
      </c>
      <c r="AF40" s="30" t="str">
        <f>IF(ISERROR(FIND($A$2,Lines!AF40))=TRUE,"",MID(Lines!AF40,FIND($A$2,Lines!AF40)+LEN($A$2)+1,FIND(",",_xlfn.CONCAT(Lines!AF40,","),FIND($A$2,Lines!AF40))-FIND($A$2,Lines!AF40)-LEN($A$2)-1))</f>
        <v/>
      </c>
      <c r="AG40" s="30" t="str">
        <f>IF(ISERROR(FIND($A$2,Lines!AG40))=TRUE,"",MID(Lines!AG40,FIND($A$2,Lines!AG40)+LEN($A$2)+1,FIND(",",_xlfn.CONCAT(Lines!AG40,","),FIND($A$2,Lines!AG40))-FIND($A$2,Lines!AG40)-LEN($A$2)-1))</f>
        <v/>
      </c>
      <c r="AH40" s="30" t="str">
        <f>IF(ISERROR(FIND($A$2,Lines!AH40))=TRUE,"",MID(Lines!AH40,FIND($A$2,Lines!AH40)+LEN($A$2)+1,FIND(",",_xlfn.CONCAT(Lines!AH40,","),FIND($A$2,Lines!AH40))-FIND($A$2,Lines!AH40)-LEN($A$2)-1))</f>
        <v/>
      </c>
      <c r="AI40" s="30" t="str">
        <f>IF(ISERROR(FIND($A$2,Lines!AI40))=TRUE,"",MID(Lines!AI40,FIND($A$2,Lines!AI40)+LEN($A$2)+1,FIND(",",_xlfn.CONCAT(Lines!AI40,","),FIND($A$2,Lines!AI40))-FIND($A$2,Lines!AI40)-LEN($A$2)-1))</f>
        <v/>
      </c>
      <c r="AJ40" s="30" t="str">
        <f>IF(ISERROR(FIND($A$2,Lines!AJ40))=TRUE,"",MID(Lines!AJ40,FIND($A$2,Lines!AJ40)+LEN($A$2)+1,FIND(",",_xlfn.CONCAT(Lines!AJ40,","),FIND($A$2,Lines!AJ40))-FIND($A$2,Lines!AJ40)-LEN($A$2)-1))</f>
        <v/>
      </c>
      <c r="AK40" s="54" t="str">
        <f>IF(ISERROR(FIND($A$2,Lines!AK40))=TRUE,"",MID(Lines!AK40,FIND($A$2,Lines!AK40)+LEN($A$2)+1,FIND(",",_xlfn.CONCAT(Lines!AK40,","),FIND($A$2,Lines!AK40))-FIND($A$2,Lines!AK40)-LEN($A$2)-1))</f>
        <v>4</v>
      </c>
      <c r="AL40" s="66" t="str">
        <f>IF(ISERROR(FIND($A$2,Lines!AL40))=TRUE,"",MID(Lines!AL40,FIND($A$2,Lines!AL40)+LEN($A$2)+1,FIND(",",_xlfn.CONCAT(Lines!AL40,","),FIND($A$2,Lines!AL40))-FIND($A$2,Lines!AL40)-LEN($A$2)-1))</f>
        <v/>
      </c>
      <c r="AM40" s="43" t="str">
        <f>IF(ISERROR(FIND($A$2,Lines!AM40))=TRUE,"",MID(Lines!AM40,FIND($A$2,Lines!AM40)+LEN($A$2)+1,FIND(",",_xlfn.CONCAT(Lines!AM40,","),FIND($A$2,Lines!AM40))-FIND($A$2,Lines!AM40)-LEN($A$2)-1))</f>
        <v/>
      </c>
      <c r="AN40" s="43" t="str">
        <f>IF(ISERROR(FIND($A$2,Lines!AN40))=TRUE,"",MID(Lines!AN40,FIND($A$2,Lines!AN40)+LEN($A$2)+1,FIND(",",_xlfn.CONCAT(Lines!AN40,","),FIND($A$2,Lines!AN40))-FIND($A$2,Lines!AN40)-LEN($A$2)-1))</f>
        <v/>
      </c>
      <c r="AO40" s="61" t="str">
        <f>IF(ISERROR(FIND($A$2,Lines!AO40))=TRUE,"",MID(Lines!AO40,FIND($A$2,Lines!AO40)+LEN($A$2)+1,FIND(",",_xlfn.CONCAT(Lines!AO40,","),FIND($A$2,Lines!AO40))-FIND($A$2,Lines!AO40)-LEN($A$2)-1))</f>
        <v/>
      </c>
      <c r="AP40" s="30" t="str">
        <f>IF(ISERROR(FIND($A$2,Lines!AP40))=TRUE,"",MID(Lines!AP40,FIND($A$2,Lines!AP40)+LEN($A$2)+1,FIND(",",_xlfn.CONCAT(Lines!AP40,","),FIND($A$2,Lines!AP40))-FIND($A$2,Lines!AP40)-LEN($A$2)-1))</f>
        <v/>
      </c>
      <c r="AQ40" s="30" t="str">
        <f>IF(ISERROR(FIND($A$2,Lines!AQ40))=TRUE,"",MID(Lines!AQ40,FIND($A$2,Lines!AQ40)+LEN($A$2)+1,FIND(",",_xlfn.CONCAT(Lines!AQ40,","),FIND($A$2,Lines!AQ40))-FIND($A$2,Lines!AQ40)-LEN($A$2)-1))</f>
        <v/>
      </c>
      <c r="AR40" s="30" t="str">
        <f>IF(ISERROR(FIND($A$2,Lines!AR40))=TRUE,"",MID(Lines!AR40,FIND($A$2,Lines!AR40)+LEN($A$2)+1,FIND(",",_xlfn.CONCAT(Lines!AR40,","),FIND($A$2,Lines!AR40))-FIND($A$2,Lines!AR40)-LEN($A$2)-1))</f>
        <v/>
      </c>
      <c r="AS40" s="30" t="str">
        <f>IF(ISERROR(FIND($A$2,Lines!AS40))=TRUE,"",MID(Lines!AS40,FIND($A$2,Lines!AS40)+LEN($A$2)+1,FIND(",",_xlfn.CONCAT(Lines!AS40,","),FIND($A$2,Lines!AS40))-FIND($A$2,Lines!AS40)-LEN($A$2)-1))</f>
        <v/>
      </c>
      <c r="AT40" s="30" t="str">
        <f>IF(ISERROR(FIND($A$2,Lines!AT40))=TRUE,"",MID(Lines!AT40,FIND($A$2,Lines!AT40)+LEN($A$2)+1,FIND(",",_xlfn.CONCAT(Lines!AT40,","),FIND($A$2,Lines!AT40))-FIND($A$2,Lines!AT40)-LEN($A$2)-1))</f>
        <v/>
      </c>
    </row>
    <row r="41" spans="1:46" ht="20.25" customHeight="1">
      <c r="A41" s="2" t="s">
        <v>89</v>
      </c>
      <c r="B41" s="30" t="str">
        <f>IF(ISERROR(FIND($A$2,Lines!B41))=TRUE,"",MID(Lines!B41,FIND($A$2,Lines!B41)+LEN($A$2)+1,FIND(",",_xlfn.CONCAT(Lines!B41,","),FIND($A$2,Lines!B41))-FIND($A$2,Lines!B41)-LEN($A$2)-1))</f>
        <v/>
      </c>
      <c r="C41" s="30" t="str">
        <f>IF(ISERROR(FIND($A$2,Lines!C41))=TRUE,"",MID(Lines!C41,FIND($A$2,Lines!C41)+LEN($A$2)+1,FIND(",",_xlfn.CONCAT(Lines!C41,","),FIND($A$2,Lines!C41))-FIND($A$2,Lines!C41)-LEN($A$2)-1))</f>
        <v/>
      </c>
      <c r="D41" s="30" t="str">
        <f>IF(ISERROR(FIND($A$2,Lines!D41))=TRUE,"",MID(Lines!D41,FIND($A$2,Lines!D41)+LEN($A$2)+1,FIND(",",_xlfn.CONCAT(Lines!D41,","),FIND($A$2,Lines!D41))-FIND($A$2,Lines!D41)-LEN($A$2)-1))</f>
        <v/>
      </c>
      <c r="E41" s="30" t="str">
        <f>IF(ISERROR(FIND($A$2,Lines!E41))=TRUE,"",MID(Lines!E41,FIND($A$2,Lines!E41)+LEN($A$2)+1,FIND(",",_xlfn.CONCAT(Lines!E41,","),FIND($A$2,Lines!E41))-FIND($A$2,Lines!E41)-LEN($A$2)-1))</f>
        <v/>
      </c>
      <c r="F41" s="30" t="str">
        <f>IF(ISERROR(FIND($A$2,Lines!F41))=TRUE,"",MID(Lines!F41,FIND($A$2,Lines!F41)+LEN($A$2)+1,FIND(",",_xlfn.CONCAT(Lines!F41,","),FIND($A$2,Lines!F41))-FIND($A$2,Lines!F41)-LEN($A$2)-1))</f>
        <v/>
      </c>
      <c r="G41" s="30" t="str">
        <f>IF(ISERROR(FIND($A$2,Lines!G41))=TRUE,"",MID(Lines!G41,FIND($A$2,Lines!G41)+LEN($A$2)+1,FIND(",",_xlfn.CONCAT(Lines!G41,","),FIND($A$2,Lines!G41))-FIND($A$2,Lines!G41)-LEN($A$2)-1))</f>
        <v/>
      </c>
      <c r="H41" s="30" t="str">
        <f>IF(ISERROR(FIND($A$2,Lines!H41))=TRUE,"",MID(Lines!H41,FIND($A$2,Lines!H41)+LEN($A$2)+1,FIND(",",_xlfn.CONCAT(Lines!H41,","),FIND($A$2,Lines!H41))-FIND($A$2,Lines!H41)-LEN($A$2)-1))</f>
        <v/>
      </c>
      <c r="I41" s="30" t="str">
        <f>IF(ISERROR(FIND($A$2,Lines!I41))=TRUE,"",MID(Lines!I41,FIND($A$2,Lines!I41)+LEN($A$2)+1,FIND(",",_xlfn.CONCAT(Lines!I41,","),FIND($A$2,Lines!I41))-FIND($A$2,Lines!I41)-LEN($A$2)-1))</f>
        <v/>
      </c>
      <c r="J41" s="30" t="str">
        <f>IF(ISERROR(FIND($A$2,Lines!J41))=TRUE,"",MID(Lines!J41,FIND($A$2,Lines!J41)+LEN($A$2)+1,FIND(",",_xlfn.CONCAT(Lines!J41,","),FIND($A$2,Lines!J41))-FIND($A$2,Lines!J41)-LEN($A$2)-1))</f>
        <v/>
      </c>
      <c r="K41" s="30" t="str">
        <f>IF(ISERROR(FIND($A$2,Lines!K41))=TRUE,"",MID(Lines!K41,FIND($A$2,Lines!K41)+LEN($A$2)+1,FIND(",",_xlfn.CONCAT(Lines!K41,","),FIND($A$2,Lines!K41))-FIND($A$2,Lines!K41)-LEN($A$2)-1))</f>
        <v/>
      </c>
      <c r="L41" s="30" t="str">
        <f>IF(ISERROR(FIND($A$2,Lines!L41))=TRUE,"",MID(Lines!L41,FIND($A$2,Lines!L41)+LEN($A$2)+1,FIND(",",_xlfn.CONCAT(Lines!L41,","),FIND($A$2,Lines!L41))-FIND($A$2,Lines!L41)-LEN($A$2)-1))</f>
        <v/>
      </c>
      <c r="M41" s="30" t="str">
        <f>IF(ISERROR(FIND($A$2,Lines!M41))=TRUE,"",MID(Lines!M41,FIND($A$2,Lines!M41)+LEN($A$2)+1,FIND(",",_xlfn.CONCAT(Lines!M41,","),FIND($A$2,Lines!M41))-FIND($A$2,Lines!M41)-LEN($A$2)-1))</f>
        <v/>
      </c>
      <c r="N41" s="30" t="str">
        <f>IF(ISERROR(FIND($A$2,Lines!N41))=TRUE,"",MID(Lines!N41,FIND($A$2,Lines!N41)+LEN($A$2)+1,FIND(",",_xlfn.CONCAT(Lines!N41,","),FIND($A$2,Lines!N41))-FIND($A$2,Lines!N41)-LEN($A$2)-1))</f>
        <v/>
      </c>
      <c r="O41" s="30" t="str">
        <f>IF(ISERROR(FIND($A$2,Lines!O41))=TRUE,"",MID(Lines!O41,FIND($A$2,Lines!O41)+LEN($A$2)+1,FIND(",",_xlfn.CONCAT(Lines!O41,","),FIND($A$2,Lines!O41))-FIND($A$2,Lines!O41)-LEN($A$2)-1))</f>
        <v/>
      </c>
      <c r="P41" s="30" t="str">
        <f>IF(ISERROR(FIND($A$2,Lines!P41))=TRUE,"",MID(Lines!P41,FIND($A$2,Lines!P41)+LEN($A$2)+1,FIND(",",_xlfn.CONCAT(Lines!P41,","),FIND($A$2,Lines!P41))-FIND($A$2,Lines!P41)-LEN($A$2)-1))</f>
        <v/>
      </c>
      <c r="Q41" s="30" t="str">
        <f>IF(ISERROR(FIND($A$2,Lines!Q41))=TRUE,"",MID(Lines!Q41,FIND($A$2,Lines!Q41)+LEN($A$2)+1,FIND(",",_xlfn.CONCAT(Lines!Q41,","),FIND($A$2,Lines!Q41))-FIND($A$2,Lines!Q41)-LEN($A$2)-1))</f>
        <v/>
      </c>
      <c r="R41" s="30" t="str">
        <f>IF(ISERROR(FIND($A$2,Lines!R41))=TRUE,"",MID(Lines!R41,FIND($A$2,Lines!R41)+LEN($A$2)+1,FIND(",",_xlfn.CONCAT(Lines!R41,","),FIND($A$2,Lines!R41))-FIND($A$2,Lines!R41)-LEN($A$2)-1))</f>
        <v/>
      </c>
      <c r="S41" s="30" t="str">
        <f>IF(ISERROR(FIND($A$2,Lines!S41))=TRUE,"",MID(Lines!S41,FIND($A$2,Lines!S41)+LEN($A$2)+1,FIND(",",_xlfn.CONCAT(Lines!S41,","),FIND($A$2,Lines!S41))-FIND($A$2,Lines!S41)-LEN($A$2)-1))</f>
        <v/>
      </c>
      <c r="T41" s="30" t="str">
        <f>IF(ISERROR(FIND($A$2,Lines!T41))=TRUE,"",MID(Lines!T41,FIND($A$2,Lines!T41)+LEN($A$2)+1,FIND(",",_xlfn.CONCAT(Lines!T41,","),FIND($A$2,Lines!T41))-FIND($A$2,Lines!T41)-LEN($A$2)-1))</f>
        <v/>
      </c>
      <c r="U41" s="30" t="str">
        <f>IF(ISERROR(FIND($A$2,Lines!U41))=TRUE,"",MID(Lines!U41,FIND($A$2,Lines!U41)+LEN($A$2)+1,FIND(",",_xlfn.CONCAT(Lines!U41,","),FIND($A$2,Lines!U41))-FIND($A$2,Lines!U41)-LEN($A$2)-1))</f>
        <v/>
      </c>
      <c r="V41" s="30" t="str">
        <f>IF(ISERROR(FIND($A$2,Lines!V41))=TRUE,"",MID(Lines!V41,FIND($A$2,Lines!V41)+LEN($A$2)+1,FIND(",",_xlfn.CONCAT(Lines!V41,","),FIND($A$2,Lines!V41))-FIND($A$2,Lines!V41)-LEN($A$2)-1))</f>
        <v/>
      </c>
      <c r="W41" s="36" t="str">
        <f>IF(ISERROR(FIND($A$2,Lines!W41))=TRUE,"",MID(Lines!W41,FIND($A$2,Lines!W41)+LEN($A$2)+1,FIND(",",_xlfn.CONCAT(Lines!W41,","),FIND($A$2,Lines!W41))-FIND($A$2,Lines!W41)-LEN($A$2)-1))</f>
        <v/>
      </c>
      <c r="X41" s="30" t="str">
        <f>IF(ISERROR(FIND($A$2,Lines!X41))=TRUE,"",MID(Lines!X41,FIND($A$2,Lines!X41)+LEN($A$2)+1,FIND(",",_xlfn.CONCAT(Lines!X41,","),FIND($A$2,Lines!X41))-FIND($A$2,Lines!X41)-LEN($A$2)-1))</f>
        <v/>
      </c>
      <c r="Y41" s="30" t="str">
        <f>IF(ISERROR(FIND($A$2,Lines!Y41))=TRUE,"",MID(Lines!Y41,FIND($A$2,Lines!Y41)+LEN($A$2)+1,FIND(",",_xlfn.CONCAT(Lines!Y41,","),FIND($A$2,Lines!Y41))-FIND($A$2,Lines!Y41)-LEN($A$2)-1))</f>
        <v/>
      </c>
      <c r="Z41" s="30" t="str">
        <f>IF(ISERROR(FIND($A$2,Lines!Z41))=TRUE,"",MID(Lines!Z41,FIND($A$2,Lines!Z41)+LEN($A$2)+1,FIND(",",_xlfn.CONCAT(Lines!Z41,","),FIND($A$2,Lines!Z41))-FIND($A$2,Lines!Z41)-LEN($A$2)-1))</f>
        <v/>
      </c>
      <c r="AA41" s="30" t="str">
        <f>IF(ISERROR(FIND($A$2,Lines!AA41))=TRUE,"",MID(Lines!AA41,FIND($A$2,Lines!AA41)+LEN($A$2)+1,FIND(",",_xlfn.CONCAT(Lines!AA41,","),FIND($A$2,Lines!AA41))-FIND($A$2,Lines!AA41)-LEN($A$2)-1))</f>
        <v/>
      </c>
      <c r="AB41" s="30" t="str">
        <f>IF(ISERROR(FIND($A$2,Lines!AB41))=TRUE,"",MID(Lines!AB41,FIND($A$2,Lines!AB41)+LEN($A$2)+1,FIND(",",_xlfn.CONCAT(Lines!AB41,","),FIND($A$2,Lines!AB41))-FIND($A$2,Lines!AB41)-LEN($A$2)-1))</f>
        <v/>
      </c>
      <c r="AC41" s="30" t="str">
        <f>IF(ISERROR(FIND($A$2,Lines!AC41))=TRUE,"",MID(Lines!AC41,FIND($A$2,Lines!AC41)+LEN($A$2)+1,FIND(",",_xlfn.CONCAT(Lines!AC41,","),FIND($A$2,Lines!AC41))-FIND($A$2,Lines!AC41)-LEN($A$2)-1))</f>
        <v/>
      </c>
      <c r="AD41" s="30" t="str">
        <f>IF(ISERROR(FIND($A$2,Lines!AD41))=TRUE,"",MID(Lines!AD41,FIND($A$2,Lines!AD41)+LEN($A$2)+1,FIND(",",_xlfn.CONCAT(Lines!AD41,","),FIND($A$2,Lines!AD41))-FIND($A$2,Lines!AD41)-LEN($A$2)-1))</f>
        <v/>
      </c>
      <c r="AE41" s="30" t="str">
        <f>IF(ISERROR(FIND($A$2,Lines!AE41))=TRUE,"",MID(Lines!AE41,FIND($A$2,Lines!AE41)+LEN($A$2)+1,FIND(",",_xlfn.CONCAT(Lines!AE41,","),FIND($A$2,Lines!AE41))-FIND($A$2,Lines!AE41)-LEN($A$2)-1))</f>
        <v/>
      </c>
      <c r="AF41" s="30" t="str">
        <f>IF(ISERROR(FIND($A$2,Lines!AF41))=TRUE,"",MID(Lines!AF41,FIND($A$2,Lines!AF41)+LEN($A$2)+1,FIND(",",_xlfn.CONCAT(Lines!AF41,","),FIND($A$2,Lines!AF41))-FIND($A$2,Lines!AF41)-LEN($A$2)-1))</f>
        <v/>
      </c>
      <c r="AG41" s="30" t="str">
        <f>IF(ISERROR(FIND($A$2,Lines!AG41))=TRUE,"",MID(Lines!AG41,FIND($A$2,Lines!AG41)+LEN($A$2)+1,FIND(",",_xlfn.CONCAT(Lines!AG41,","),FIND($A$2,Lines!AG41))-FIND($A$2,Lines!AG41)-LEN($A$2)-1))</f>
        <v/>
      </c>
      <c r="AH41" s="30" t="str">
        <f>IF(ISERROR(FIND($A$2,Lines!AH41))=TRUE,"",MID(Lines!AH41,FIND($A$2,Lines!AH41)+LEN($A$2)+1,FIND(",",_xlfn.CONCAT(Lines!AH41,","),FIND($A$2,Lines!AH41))-FIND($A$2,Lines!AH41)-LEN($A$2)-1))</f>
        <v/>
      </c>
      <c r="AI41" s="30" t="str">
        <f>IF(ISERROR(FIND($A$2,Lines!AI41))=TRUE,"",MID(Lines!AI41,FIND($A$2,Lines!AI41)+LEN($A$2)+1,FIND(",",_xlfn.CONCAT(Lines!AI41,","),FIND($A$2,Lines!AI41))-FIND($A$2,Lines!AI41)-LEN($A$2)-1))</f>
        <v/>
      </c>
      <c r="AJ41" s="30" t="str">
        <f>IF(ISERROR(FIND($A$2,Lines!AJ41))=TRUE,"",MID(Lines!AJ41,FIND($A$2,Lines!AJ41)+LEN($A$2)+1,FIND(",",_xlfn.CONCAT(Lines!AJ41,","),FIND($A$2,Lines!AJ41))-FIND($A$2,Lines!AJ41)-LEN($A$2)-1))</f>
        <v/>
      </c>
      <c r="AK41" s="54" t="str">
        <f>IF(ISERROR(FIND($A$2,Lines!AK41))=TRUE,"",MID(Lines!AK41,FIND($A$2,Lines!AK41)+LEN($A$2)+1,FIND(",",_xlfn.CONCAT(Lines!AK41,","),FIND($A$2,Lines!AK41))-FIND($A$2,Lines!AK41)-LEN($A$2)-1))</f>
        <v/>
      </c>
      <c r="AL41" s="43" t="str">
        <f>IF(ISERROR(FIND($A$2,Lines!AL41))=TRUE,"",MID(Lines!AL41,FIND($A$2,Lines!AL41)+LEN($A$2)+1,FIND(",",_xlfn.CONCAT(Lines!AL41,","),FIND($A$2,Lines!AL41))-FIND($A$2,Lines!AL41)-LEN($A$2)-1))</f>
        <v/>
      </c>
      <c r="AM41" s="66" t="str">
        <f>IF(ISERROR(FIND($A$2,Lines!AM41))=TRUE,"",MID(Lines!AM41,FIND($A$2,Lines!AM41)+LEN($A$2)+1,FIND(",",_xlfn.CONCAT(Lines!AM41,","),FIND($A$2,Lines!AM41))-FIND($A$2,Lines!AM41)-LEN($A$2)-1))</f>
        <v/>
      </c>
      <c r="AN41" s="43" t="str">
        <f>IF(ISERROR(FIND($A$2,Lines!AN41))=TRUE,"",MID(Lines!AN41,FIND($A$2,Lines!AN41)+LEN($A$2)+1,FIND(",",_xlfn.CONCAT(Lines!AN41,","),FIND($A$2,Lines!AN41))-FIND($A$2,Lines!AN41)-LEN($A$2)-1))</f>
        <v>8</v>
      </c>
      <c r="AO41" s="61" t="str">
        <f>IF(ISERROR(FIND($A$2,Lines!AO41))=TRUE,"",MID(Lines!AO41,FIND($A$2,Lines!AO41)+LEN($A$2)+1,FIND(",",_xlfn.CONCAT(Lines!AO41,","),FIND($A$2,Lines!AO41))-FIND($A$2,Lines!AO41)-LEN($A$2)-1))</f>
        <v>2</v>
      </c>
      <c r="AP41" s="30" t="str">
        <f>IF(ISERROR(FIND($A$2,Lines!AP41))=TRUE,"",MID(Lines!AP41,FIND($A$2,Lines!AP41)+LEN($A$2)+1,FIND(",",_xlfn.CONCAT(Lines!AP41,","),FIND($A$2,Lines!AP41))-FIND($A$2,Lines!AP41)-LEN($A$2)-1))</f>
        <v/>
      </c>
      <c r="AQ41" s="30" t="str">
        <f>IF(ISERROR(FIND($A$2,Lines!AQ41))=TRUE,"",MID(Lines!AQ41,FIND($A$2,Lines!AQ41)+LEN($A$2)+1,FIND(",",_xlfn.CONCAT(Lines!AQ41,","),FIND($A$2,Lines!AQ41))-FIND($A$2,Lines!AQ41)-LEN($A$2)-1))</f>
        <v/>
      </c>
      <c r="AR41" s="30" t="str">
        <f>IF(ISERROR(FIND($A$2,Lines!AR41))=TRUE,"",MID(Lines!AR41,FIND($A$2,Lines!AR41)+LEN($A$2)+1,FIND(",",_xlfn.CONCAT(Lines!AR41,","),FIND($A$2,Lines!AR41))-FIND($A$2,Lines!AR41)-LEN($A$2)-1))</f>
        <v/>
      </c>
      <c r="AS41" s="30" t="str">
        <f>IF(ISERROR(FIND($A$2,Lines!AS41))=TRUE,"",MID(Lines!AS41,FIND($A$2,Lines!AS41)+LEN($A$2)+1,FIND(",",_xlfn.CONCAT(Lines!AS41,","),FIND($A$2,Lines!AS41))-FIND($A$2,Lines!AS41)-LEN($A$2)-1))</f>
        <v/>
      </c>
      <c r="AT41" s="30" t="str">
        <f>IF(ISERROR(FIND($A$2,Lines!AT41))=TRUE,"",MID(Lines!AT41,FIND($A$2,Lines!AT41)+LEN($A$2)+1,FIND(",",_xlfn.CONCAT(Lines!AT41,","),FIND($A$2,Lines!AT41))-FIND($A$2,Lines!AT41)-LEN($A$2)-1))</f>
        <v/>
      </c>
    </row>
    <row r="42" spans="1:46" ht="20.25" customHeight="1">
      <c r="A42" s="2" t="s">
        <v>90</v>
      </c>
      <c r="B42" s="30" t="str">
        <f>IF(ISERROR(FIND($A$2,Lines!B42))=TRUE,"",MID(Lines!B42,FIND($A$2,Lines!B42)+LEN($A$2)+1,FIND(",",_xlfn.CONCAT(Lines!B42,","),FIND($A$2,Lines!B42))-FIND($A$2,Lines!B42)-LEN($A$2)-1))</f>
        <v/>
      </c>
      <c r="C42" s="30" t="str">
        <f>IF(ISERROR(FIND($A$2,Lines!C42))=TRUE,"",MID(Lines!C42,FIND($A$2,Lines!C42)+LEN($A$2)+1,FIND(",",_xlfn.CONCAT(Lines!C42,","),FIND($A$2,Lines!C42))-FIND($A$2,Lines!C42)-LEN($A$2)-1))</f>
        <v/>
      </c>
      <c r="D42" s="30" t="str">
        <f>IF(ISERROR(FIND($A$2,Lines!D42))=TRUE,"",MID(Lines!D42,FIND($A$2,Lines!D42)+LEN($A$2)+1,FIND(",",_xlfn.CONCAT(Lines!D42,","),FIND($A$2,Lines!D42))-FIND($A$2,Lines!D42)-LEN($A$2)-1))</f>
        <v/>
      </c>
      <c r="E42" s="30" t="str">
        <f>IF(ISERROR(FIND($A$2,Lines!E42))=TRUE,"",MID(Lines!E42,FIND($A$2,Lines!E42)+LEN($A$2)+1,FIND(",",_xlfn.CONCAT(Lines!E42,","),FIND($A$2,Lines!E42))-FIND($A$2,Lines!E42)-LEN($A$2)-1))</f>
        <v/>
      </c>
      <c r="F42" s="30" t="str">
        <f>IF(ISERROR(FIND($A$2,Lines!F42))=TRUE,"",MID(Lines!F42,FIND($A$2,Lines!F42)+LEN($A$2)+1,FIND(",",_xlfn.CONCAT(Lines!F42,","),FIND($A$2,Lines!F42))-FIND($A$2,Lines!F42)-LEN($A$2)-1))</f>
        <v/>
      </c>
      <c r="G42" s="30" t="str">
        <f>IF(ISERROR(FIND($A$2,Lines!G42))=TRUE,"",MID(Lines!G42,FIND($A$2,Lines!G42)+LEN($A$2)+1,FIND(",",_xlfn.CONCAT(Lines!G42,","),FIND($A$2,Lines!G42))-FIND($A$2,Lines!G42)-LEN($A$2)-1))</f>
        <v/>
      </c>
      <c r="H42" s="30" t="str">
        <f>IF(ISERROR(FIND($A$2,Lines!H42))=TRUE,"",MID(Lines!H42,FIND($A$2,Lines!H42)+LEN($A$2)+1,FIND(",",_xlfn.CONCAT(Lines!H42,","),FIND($A$2,Lines!H42))-FIND($A$2,Lines!H42)-LEN($A$2)-1))</f>
        <v/>
      </c>
      <c r="I42" s="30" t="str">
        <f>IF(ISERROR(FIND($A$2,Lines!I42))=TRUE,"",MID(Lines!I42,FIND($A$2,Lines!I42)+LEN($A$2)+1,FIND(",",_xlfn.CONCAT(Lines!I42,","),FIND($A$2,Lines!I42))-FIND($A$2,Lines!I42)-LEN($A$2)-1))</f>
        <v/>
      </c>
      <c r="J42" s="30" t="str">
        <f>IF(ISERROR(FIND($A$2,Lines!J42))=TRUE,"",MID(Lines!J42,FIND($A$2,Lines!J42)+LEN($A$2)+1,FIND(",",_xlfn.CONCAT(Lines!J42,","),FIND($A$2,Lines!J42))-FIND($A$2,Lines!J42)-LEN($A$2)-1))</f>
        <v/>
      </c>
      <c r="K42" s="30" t="str">
        <f>IF(ISERROR(FIND($A$2,Lines!K42))=TRUE,"",MID(Lines!K42,FIND($A$2,Lines!K42)+LEN($A$2)+1,FIND(",",_xlfn.CONCAT(Lines!K42,","),FIND($A$2,Lines!K42))-FIND($A$2,Lines!K42)-LEN($A$2)-1))</f>
        <v/>
      </c>
      <c r="L42" s="30" t="str">
        <f>IF(ISERROR(FIND($A$2,Lines!L42))=TRUE,"",MID(Lines!L42,FIND($A$2,Lines!L42)+LEN($A$2)+1,FIND(",",_xlfn.CONCAT(Lines!L42,","),FIND($A$2,Lines!L42))-FIND($A$2,Lines!L42)-LEN($A$2)-1))</f>
        <v/>
      </c>
      <c r="M42" s="30" t="str">
        <f>IF(ISERROR(FIND($A$2,Lines!M42))=TRUE,"",MID(Lines!M42,FIND($A$2,Lines!M42)+LEN($A$2)+1,FIND(",",_xlfn.CONCAT(Lines!M42,","),FIND($A$2,Lines!M42))-FIND($A$2,Lines!M42)-LEN($A$2)-1))</f>
        <v/>
      </c>
      <c r="N42" s="30" t="str">
        <f>IF(ISERROR(FIND($A$2,Lines!N42))=TRUE,"",MID(Lines!N42,FIND($A$2,Lines!N42)+LEN($A$2)+1,FIND(",",_xlfn.CONCAT(Lines!N42,","),FIND($A$2,Lines!N42))-FIND($A$2,Lines!N42)-LEN($A$2)-1))</f>
        <v/>
      </c>
      <c r="O42" s="30" t="str">
        <f>IF(ISERROR(FIND($A$2,Lines!O42))=TRUE,"",MID(Lines!O42,FIND($A$2,Lines!O42)+LEN($A$2)+1,FIND(",",_xlfn.CONCAT(Lines!O42,","),FIND($A$2,Lines!O42))-FIND($A$2,Lines!O42)-LEN($A$2)-1))</f>
        <v/>
      </c>
      <c r="P42" s="30" t="str">
        <f>IF(ISERROR(FIND($A$2,Lines!P42))=TRUE,"",MID(Lines!P42,FIND($A$2,Lines!P42)+LEN($A$2)+1,FIND(",",_xlfn.CONCAT(Lines!P42,","),FIND($A$2,Lines!P42))-FIND($A$2,Lines!P42)-LEN($A$2)-1))</f>
        <v/>
      </c>
      <c r="Q42" s="30" t="str">
        <f>IF(ISERROR(FIND($A$2,Lines!Q42))=TRUE,"",MID(Lines!Q42,FIND($A$2,Lines!Q42)+LEN($A$2)+1,FIND(",",_xlfn.CONCAT(Lines!Q42,","),FIND($A$2,Lines!Q42))-FIND($A$2,Lines!Q42)-LEN($A$2)-1))</f>
        <v/>
      </c>
      <c r="R42" s="30" t="str">
        <f>IF(ISERROR(FIND($A$2,Lines!R42))=TRUE,"",MID(Lines!R42,FIND($A$2,Lines!R42)+LEN($A$2)+1,FIND(",",_xlfn.CONCAT(Lines!R42,","),FIND($A$2,Lines!R42))-FIND($A$2,Lines!R42)-LEN($A$2)-1))</f>
        <v/>
      </c>
      <c r="S42" s="30" t="str">
        <f>IF(ISERROR(FIND($A$2,Lines!S42))=TRUE,"",MID(Lines!S42,FIND($A$2,Lines!S42)+LEN($A$2)+1,FIND(",",_xlfn.CONCAT(Lines!S42,","),FIND($A$2,Lines!S42))-FIND($A$2,Lines!S42)-LEN($A$2)-1))</f>
        <v/>
      </c>
      <c r="T42" s="30" t="str">
        <f>IF(ISERROR(FIND($A$2,Lines!T42))=TRUE,"",MID(Lines!T42,FIND($A$2,Lines!T42)+LEN($A$2)+1,FIND(",",_xlfn.CONCAT(Lines!T42,","),FIND($A$2,Lines!T42))-FIND($A$2,Lines!T42)-LEN($A$2)-1))</f>
        <v/>
      </c>
      <c r="U42" s="30" t="str">
        <f>IF(ISERROR(FIND($A$2,Lines!U42))=TRUE,"",MID(Lines!U42,FIND($A$2,Lines!U42)+LEN($A$2)+1,FIND(",",_xlfn.CONCAT(Lines!U42,","),FIND($A$2,Lines!U42))-FIND($A$2,Lines!U42)-LEN($A$2)-1))</f>
        <v/>
      </c>
      <c r="V42" s="30" t="str">
        <f>IF(ISERROR(FIND($A$2,Lines!V42))=TRUE,"",MID(Lines!V42,FIND($A$2,Lines!V42)+LEN($A$2)+1,FIND(",",_xlfn.CONCAT(Lines!V42,","),FIND($A$2,Lines!V42))-FIND($A$2,Lines!V42)-LEN($A$2)-1))</f>
        <v/>
      </c>
      <c r="W42" s="36" t="str">
        <f>IF(ISERROR(FIND($A$2,Lines!W42))=TRUE,"",MID(Lines!W42,FIND($A$2,Lines!W42)+LEN($A$2)+1,FIND(",",_xlfn.CONCAT(Lines!W42,","),FIND($A$2,Lines!W42))-FIND($A$2,Lines!W42)-LEN($A$2)-1))</f>
        <v/>
      </c>
      <c r="X42" s="30" t="str">
        <f>IF(ISERROR(FIND($A$2,Lines!X42))=TRUE,"",MID(Lines!X42,FIND($A$2,Lines!X42)+LEN($A$2)+1,FIND(",",_xlfn.CONCAT(Lines!X42,","),FIND($A$2,Lines!X42))-FIND($A$2,Lines!X42)-LEN($A$2)-1))</f>
        <v/>
      </c>
      <c r="Y42" s="30" t="str">
        <f>IF(ISERROR(FIND($A$2,Lines!Y42))=TRUE,"",MID(Lines!Y42,FIND($A$2,Lines!Y42)+LEN($A$2)+1,FIND(",",_xlfn.CONCAT(Lines!Y42,","),FIND($A$2,Lines!Y42))-FIND($A$2,Lines!Y42)-LEN($A$2)-1))</f>
        <v/>
      </c>
      <c r="Z42" s="30" t="str">
        <f>IF(ISERROR(FIND($A$2,Lines!Z42))=TRUE,"",MID(Lines!Z42,FIND($A$2,Lines!Z42)+LEN($A$2)+1,FIND(",",_xlfn.CONCAT(Lines!Z42,","),FIND($A$2,Lines!Z42))-FIND($A$2,Lines!Z42)-LEN($A$2)-1))</f>
        <v/>
      </c>
      <c r="AA42" s="30" t="str">
        <f>IF(ISERROR(FIND($A$2,Lines!AA42))=TRUE,"",MID(Lines!AA42,FIND($A$2,Lines!AA42)+LEN($A$2)+1,FIND(",",_xlfn.CONCAT(Lines!AA42,","),FIND($A$2,Lines!AA42))-FIND($A$2,Lines!AA42)-LEN($A$2)-1))</f>
        <v/>
      </c>
      <c r="AB42" s="30" t="str">
        <f>IF(ISERROR(FIND($A$2,Lines!AB42))=TRUE,"",MID(Lines!AB42,FIND($A$2,Lines!AB42)+LEN($A$2)+1,FIND(",",_xlfn.CONCAT(Lines!AB42,","),FIND($A$2,Lines!AB42))-FIND($A$2,Lines!AB42)-LEN($A$2)-1))</f>
        <v/>
      </c>
      <c r="AC42" s="30" t="str">
        <f>IF(ISERROR(FIND($A$2,Lines!AC42))=TRUE,"",MID(Lines!AC42,FIND($A$2,Lines!AC42)+LEN($A$2)+1,FIND(",",_xlfn.CONCAT(Lines!AC42,","),FIND($A$2,Lines!AC42))-FIND($A$2,Lines!AC42)-LEN($A$2)-1))</f>
        <v/>
      </c>
      <c r="AD42" s="30" t="str">
        <f>IF(ISERROR(FIND($A$2,Lines!AD42))=TRUE,"",MID(Lines!AD42,FIND($A$2,Lines!AD42)+LEN($A$2)+1,FIND(",",_xlfn.CONCAT(Lines!AD42,","),FIND($A$2,Lines!AD42))-FIND($A$2,Lines!AD42)-LEN($A$2)-1))</f>
        <v/>
      </c>
      <c r="AE42" s="30" t="str">
        <f>IF(ISERROR(FIND($A$2,Lines!AE42))=TRUE,"",MID(Lines!AE42,FIND($A$2,Lines!AE42)+LEN($A$2)+1,FIND(",",_xlfn.CONCAT(Lines!AE42,","),FIND($A$2,Lines!AE42))-FIND($A$2,Lines!AE42)-LEN($A$2)-1))</f>
        <v/>
      </c>
      <c r="AF42" s="30" t="str">
        <f>IF(ISERROR(FIND($A$2,Lines!AF42))=TRUE,"",MID(Lines!AF42,FIND($A$2,Lines!AF42)+LEN($A$2)+1,FIND(",",_xlfn.CONCAT(Lines!AF42,","),FIND($A$2,Lines!AF42))-FIND($A$2,Lines!AF42)-LEN($A$2)-1))</f>
        <v/>
      </c>
      <c r="AG42" s="30" t="str">
        <f>IF(ISERROR(FIND($A$2,Lines!AG42))=TRUE,"",MID(Lines!AG42,FIND($A$2,Lines!AG42)+LEN($A$2)+1,FIND(",",_xlfn.CONCAT(Lines!AG42,","),FIND($A$2,Lines!AG42))-FIND($A$2,Lines!AG42)-LEN($A$2)-1))</f>
        <v/>
      </c>
      <c r="AH42" s="30" t="str">
        <f>IF(ISERROR(FIND($A$2,Lines!AH42))=TRUE,"",MID(Lines!AH42,FIND($A$2,Lines!AH42)+LEN($A$2)+1,FIND(",",_xlfn.CONCAT(Lines!AH42,","),FIND($A$2,Lines!AH42))-FIND($A$2,Lines!AH42)-LEN($A$2)-1))</f>
        <v/>
      </c>
      <c r="AI42" s="30" t="str">
        <f>IF(ISERROR(FIND($A$2,Lines!AI42))=TRUE,"",MID(Lines!AI42,FIND($A$2,Lines!AI42)+LEN($A$2)+1,FIND(",",_xlfn.CONCAT(Lines!AI42,","),FIND($A$2,Lines!AI42))-FIND($A$2,Lines!AI42)-LEN($A$2)-1))</f>
        <v/>
      </c>
      <c r="AJ42" s="30" t="str">
        <f>IF(ISERROR(FIND($A$2,Lines!AJ42))=TRUE,"",MID(Lines!AJ42,FIND($A$2,Lines!AJ42)+LEN($A$2)+1,FIND(",",_xlfn.CONCAT(Lines!AJ42,","),FIND($A$2,Lines!AJ42))-FIND($A$2,Lines!AJ42)-LEN($A$2)-1))</f>
        <v/>
      </c>
      <c r="AK42" s="54" t="str">
        <f>IF(ISERROR(FIND($A$2,Lines!AK42))=TRUE,"",MID(Lines!AK42,FIND($A$2,Lines!AK42)+LEN($A$2)+1,FIND(",",_xlfn.CONCAT(Lines!AK42,","),FIND($A$2,Lines!AK42))-FIND($A$2,Lines!AK42)-LEN($A$2)-1))</f>
        <v/>
      </c>
      <c r="AL42" s="43" t="str">
        <f>IF(ISERROR(FIND($A$2,Lines!AL42))=TRUE,"",MID(Lines!AL42,FIND($A$2,Lines!AL42)+LEN($A$2)+1,FIND(",",_xlfn.CONCAT(Lines!AL42,","),FIND($A$2,Lines!AL42))-FIND($A$2,Lines!AL42)-LEN($A$2)-1))</f>
        <v/>
      </c>
      <c r="AM42" s="43" t="str">
        <f>IF(ISERROR(FIND($A$2,Lines!AM42))=TRUE,"",MID(Lines!AM42,FIND($A$2,Lines!AM42)+LEN($A$2)+1,FIND(",",_xlfn.CONCAT(Lines!AM42,","),FIND($A$2,Lines!AM42))-FIND($A$2,Lines!AM42)-LEN($A$2)-1))</f>
        <v>8</v>
      </c>
      <c r="AN42" s="66" t="str">
        <f>IF(ISERROR(FIND($A$2,Lines!AN42))=TRUE,"",MID(Lines!AN42,FIND($A$2,Lines!AN42)+LEN($A$2)+1,FIND(",",_xlfn.CONCAT(Lines!AN42,","),FIND($A$2,Lines!AN42))-FIND($A$2,Lines!AN42)-LEN($A$2)-1))</f>
        <v/>
      </c>
      <c r="AO42" s="61" t="str">
        <f>IF(ISERROR(FIND($A$2,Lines!AO42))=TRUE,"",MID(Lines!AO42,FIND($A$2,Lines!AO42)+LEN($A$2)+1,FIND(",",_xlfn.CONCAT(Lines!AO42,","),FIND($A$2,Lines!AO42))-FIND($A$2,Lines!AO42)-LEN($A$2)-1))</f>
        <v/>
      </c>
      <c r="AP42" s="30" t="str">
        <f>IF(ISERROR(FIND($A$2,Lines!AP42))=TRUE,"",MID(Lines!AP42,FIND($A$2,Lines!AP42)+LEN($A$2)+1,FIND(",",_xlfn.CONCAT(Lines!AP42,","),FIND($A$2,Lines!AP42))-FIND($A$2,Lines!AP42)-LEN($A$2)-1))</f>
        <v/>
      </c>
      <c r="AQ42" s="30" t="str">
        <f>IF(ISERROR(FIND($A$2,Lines!AQ42))=TRUE,"",MID(Lines!AQ42,FIND($A$2,Lines!AQ42)+LEN($A$2)+1,FIND(",",_xlfn.CONCAT(Lines!AQ42,","),FIND($A$2,Lines!AQ42))-FIND($A$2,Lines!AQ42)-LEN($A$2)-1))</f>
        <v/>
      </c>
      <c r="AR42" s="30" t="str">
        <f>IF(ISERROR(FIND($A$2,Lines!AR42))=TRUE,"",MID(Lines!AR42,FIND($A$2,Lines!AR42)+LEN($A$2)+1,FIND(",",_xlfn.CONCAT(Lines!AR42,","),FIND($A$2,Lines!AR42))-FIND($A$2,Lines!AR42)-LEN($A$2)-1))</f>
        <v/>
      </c>
      <c r="AS42" s="30" t="str">
        <f>IF(ISERROR(FIND($A$2,Lines!AS42))=TRUE,"",MID(Lines!AS42,FIND($A$2,Lines!AS42)+LEN($A$2)+1,FIND(",",_xlfn.CONCAT(Lines!AS42,","),FIND($A$2,Lines!AS42))-FIND($A$2,Lines!AS42)-LEN($A$2)-1))</f>
        <v/>
      </c>
      <c r="AT42" s="30" t="str">
        <f>IF(ISERROR(FIND($A$2,Lines!AT42))=TRUE,"",MID(Lines!AT42,FIND($A$2,Lines!AT42)+LEN($A$2)+1,FIND(",",_xlfn.CONCAT(Lines!AT42,","),FIND($A$2,Lines!AT42))-FIND($A$2,Lines!AT42)-LEN($A$2)-1))</f>
        <v/>
      </c>
    </row>
    <row r="43" spans="1:46" ht="20.25" customHeight="1">
      <c r="A43" s="2" t="s">
        <v>91</v>
      </c>
      <c r="B43" s="30" t="str">
        <f>IF(ISERROR(FIND($A$2,Lines!B43))=TRUE,"",MID(Lines!B43,FIND($A$2,Lines!B43)+LEN($A$2)+1,FIND(",",_xlfn.CONCAT(Lines!B43,","),FIND($A$2,Lines!B43))-FIND($A$2,Lines!B43)-LEN($A$2)-1))</f>
        <v/>
      </c>
      <c r="C43" s="30" t="str">
        <f>IF(ISERROR(FIND($A$2,Lines!C43))=TRUE,"",MID(Lines!C43,FIND($A$2,Lines!C43)+LEN($A$2)+1,FIND(",",_xlfn.CONCAT(Lines!C43,","),FIND($A$2,Lines!C43))-FIND($A$2,Lines!C43)-LEN($A$2)-1))</f>
        <v/>
      </c>
      <c r="D43" s="30" t="str">
        <f>IF(ISERROR(FIND($A$2,Lines!D43))=TRUE,"",MID(Lines!D43,FIND($A$2,Lines!D43)+LEN($A$2)+1,FIND(",",_xlfn.CONCAT(Lines!D43,","),FIND($A$2,Lines!D43))-FIND($A$2,Lines!D43)-LEN($A$2)-1))</f>
        <v/>
      </c>
      <c r="E43" s="30" t="str">
        <f>IF(ISERROR(FIND($A$2,Lines!E43))=TRUE,"",MID(Lines!E43,FIND($A$2,Lines!E43)+LEN($A$2)+1,FIND(",",_xlfn.CONCAT(Lines!E43,","),FIND($A$2,Lines!E43))-FIND($A$2,Lines!E43)-LEN($A$2)-1))</f>
        <v/>
      </c>
      <c r="F43" s="30" t="str">
        <f>IF(ISERROR(FIND($A$2,Lines!F43))=TRUE,"",MID(Lines!F43,FIND($A$2,Lines!F43)+LEN($A$2)+1,FIND(",",_xlfn.CONCAT(Lines!F43,","),FIND($A$2,Lines!F43))-FIND($A$2,Lines!F43)-LEN($A$2)-1))</f>
        <v/>
      </c>
      <c r="G43" s="30" t="str">
        <f>IF(ISERROR(FIND($A$2,Lines!G43))=TRUE,"",MID(Lines!G43,FIND($A$2,Lines!G43)+LEN($A$2)+1,FIND(",",_xlfn.CONCAT(Lines!G43,","),FIND($A$2,Lines!G43))-FIND($A$2,Lines!G43)-LEN($A$2)-1))</f>
        <v/>
      </c>
      <c r="H43" s="30" t="str">
        <f>IF(ISERROR(FIND($A$2,Lines!H43))=TRUE,"",MID(Lines!H43,FIND($A$2,Lines!H43)+LEN($A$2)+1,FIND(",",_xlfn.CONCAT(Lines!H43,","),FIND($A$2,Lines!H43))-FIND($A$2,Lines!H43)-LEN($A$2)-1))</f>
        <v/>
      </c>
      <c r="I43" s="30" t="str">
        <f>IF(ISERROR(FIND($A$2,Lines!I43))=TRUE,"",MID(Lines!I43,FIND($A$2,Lines!I43)+LEN($A$2)+1,FIND(",",_xlfn.CONCAT(Lines!I43,","),FIND($A$2,Lines!I43))-FIND($A$2,Lines!I43)-LEN($A$2)-1))</f>
        <v/>
      </c>
      <c r="J43" s="30" t="str">
        <f>IF(ISERROR(FIND($A$2,Lines!J43))=TRUE,"",MID(Lines!J43,FIND($A$2,Lines!J43)+LEN($A$2)+1,FIND(",",_xlfn.CONCAT(Lines!J43,","),FIND($A$2,Lines!J43))-FIND($A$2,Lines!J43)-LEN($A$2)-1))</f>
        <v/>
      </c>
      <c r="K43" s="30" t="str">
        <f>IF(ISERROR(FIND($A$2,Lines!K43))=TRUE,"",MID(Lines!K43,FIND($A$2,Lines!K43)+LEN($A$2)+1,FIND(",",_xlfn.CONCAT(Lines!K43,","),FIND($A$2,Lines!K43))-FIND($A$2,Lines!K43)-LEN($A$2)-1))</f>
        <v/>
      </c>
      <c r="L43" s="30" t="str">
        <f>IF(ISERROR(FIND($A$2,Lines!L43))=TRUE,"",MID(Lines!L43,FIND($A$2,Lines!L43)+LEN($A$2)+1,FIND(",",_xlfn.CONCAT(Lines!L43,","),FIND($A$2,Lines!L43))-FIND($A$2,Lines!L43)-LEN($A$2)-1))</f>
        <v/>
      </c>
      <c r="M43" s="30" t="str">
        <f>IF(ISERROR(FIND($A$2,Lines!M43))=TRUE,"",MID(Lines!M43,FIND($A$2,Lines!M43)+LEN($A$2)+1,FIND(",",_xlfn.CONCAT(Lines!M43,","),FIND($A$2,Lines!M43))-FIND($A$2,Lines!M43)-LEN($A$2)-1))</f>
        <v/>
      </c>
      <c r="N43" s="30" t="str">
        <f>IF(ISERROR(FIND($A$2,Lines!N43))=TRUE,"",MID(Lines!N43,FIND($A$2,Lines!N43)+LEN($A$2)+1,FIND(",",_xlfn.CONCAT(Lines!N43,","),FIND($A$2,Lines!N43))-FIND($A$2,Lines!N43)-LEN($A$2)-1))</f>
        <v/>
      </c>
      <c r="O43" s="30" t="str">
        <f>IF(ISERROR(FIND($A$2,Lines!O43))=TRUE,"",MID(Lines!O43,FIND($A$2,Lines!O43)+LEN($A$2)+1,FIND(",",_xlfn.CONCAT(Lines!O43,","),FIND($A$2,Lines!O43))-FIND($A$2,Lines!O43)-LEN($A$2)-1))</f>
        <v/>
      </c>
      <c r="P43" s="30" t="str">
        <f>IF(ISERROR(FIND($A$2,Lines!P43))=TRUE,"",MID(Lines!P43,FIND($A$2,Lines!P43)+LEN($A$2)+1,FIND(",",_xlfn.CONCAT(Lines!P43,","),FIND($A$2,Lines!P43))-FIND($A$2,Lines!P43)-LEN($A$2)-1))</f>
        <v/>
      </c>
      <c r="Q43" s="30" t="str">
        <f>IF(ISERROR(FIND($A$2,Lines!Q43))=TRUE,"",MID(Lines!Q43,FIND($A$2,Lines!Q43)+LEN($A$2)+1,FIND(",",_xlfn.CONCAT(Lines!Q43,","),FIND($A$2,Lines!Q43))-FIND($A$2,Lines!Q43)-LEN($A$2)-1))</f>
        <v/>
      </c>
      <c r="R43" s="30" t="str">
        <f>IF(ISERROR(FIND($A$2,Lines!R43))=TRUE,"",MID(Lines!R43,FIND($A$2,Lines!R43)+LEN($A$2)+1,FIND(",",_xlfn.CONCAT(Lines!R43,","),FIND($A$2,Lines!R43))-FIND($A$2,Lines!R43)-LEN($A$2)-1))</f>
        <v/>
      </c>
      <c r="S43" s="30" t="str">
        <f>IF(ISERROR(FIND($A$2,Lines!S43))=TRUE,"",MID(Lines!S43,FIND($A$2,Lines!S43)+LEN($A$2)+1,FIND(",",_xlfn.CONCAT(Lines!S43,","),FIND($A$2,Lines!S43))-FIND($A$2,Lines!S43)-LEN($A$2)-1))</f>
        <v/>
      </c>
      <c r="T43" s="30" t="str">
        <f>IF(ISERROR(FIND($A$2,Lines!T43))=TRUE,"",MID(Lines!T43,FIND($A$2,Lines!T43)+LEN($A$2)+1,FIND(",",_xlfn.CONCAT(Lines!T43,","),FIND($A$2,Lines!T43))-FIND($A$2,Lines!T43)-LEN($A$2)-1))</f>
        <v/>
      </c>
      <c r="U43" s="30" t="str">
        <f>IF(ISERROR(FIND($A$2,Lines!U43))=TRUE,"",MID(Lines!U43,FIND($A$2,Lines!U43)+LEN($A$2)+1,FIND(",",_xlfn.CONCAT(Lines!U43,","),FIND($A$2,Lines!U43))-FIND($A$2,Lines!U43)-LEN($A$2)-1))</f>
        <v/>
      </c>
      <c r="V43" s="30" t="str">
        <f>IF(ISERROR(FIND($A$2,Lines!V43))=TRUE,"",MID(Lines!V43,FIND($A$2,Lines!V43)+LEN($A$2)+1,FIND(",",_xlfn.CONCAT(Lines!V43,","),FIND($A$2,Lines!V43))-FIND($A$2,Lines!V43)-LEN($A$2)-1))</f>
        <v/>
      </c>
      <c r="W43" s="36" t="str">
        <f>IF(ISERROR(FIND($A$2,Lines!W43))=TRUE,"",MID(Lines!W43,FIND($A$2,Lines!W43)+LEN($A$2)+1,FIND(",",_xlfn.CONCAT(Lines!W43,","),FIND($A$2,Lines!W43))-FIND($A$2,Lines!W43)-LEN($A$2)-1))</f>
        <v/>
      </c>
      <c r="X43" s="30" t="str">
        <f>IF(ISERROR(FIND($A$2,Lines!X43))=TRUE,"",MID(Lines!X43,FIND($A$2,Lines!X43)+LEN($A$2)+1,FIND(",",_xlfn.CONCAT(Lines!X43,","),FIND($A$2,Lines!X43))-FIND($A$2,Lines!X43)-LEN($A$2)-1))</f>
        <v/>
      </c>
      <c r="Y43" s="30" t="str">
        <f>IF(ISERROR(FIND($A$2,Lines!Y43))=TRUE,"",MID(Lines!Y43,FIND($A$2,Lines!Y43)+LEN($A$2)+1,FIND(",",_xlfn.CONCAT(Lines!Y43,","),FIND($A$2,Lines!Y43))-FIND($A$2,Lines!Y43)-LEN($A$2)-1))</f>
        <v/>
      </c>
      <c r="Z43" s="30" t="str">
        <f>IF(ISERROR(FIND($A$2,Lines!Z43))=TRUE,"",MID(Lines!Z43,FIND($A$2,Lines!Z43)+LEN($A$2)+1,FIND(",",_xlfn.CONCAT(Lines!Z43,","),FIND($A$2,Lines!Z43))-FIND($A$2,Lines!Z43)-LEN($A$2)-1))</f>
        <v/>
      </c>
      <c r="AA43" s="30" t="str">
        <f>IF(ISERROR(FIND($A$2,Lines!AA43))=TRUE,"",MID(Lines!AA43,FIND($A$2,Lines!AA43)+LEN($A$2)+1,FIND(",",_xlfn.CONCAT(Lines!AA43,","),FIND($A$2,Lines!AA43))-FIND($A$2,Lines!AA43)-LEN($A$2)-1))</f>
        <v/>
      </c>
      <c r="AB43" s="30" t="str">
        <f>IF(ISERROR(FIND($A$2,Lines!AB43))=TRUE,"",MID(Lines!AB43,FIND($A$2,Lines!AB43)+LEN($A$2)+1,FIND(",",_xlfn.CONCAT(Lines!AB43,","),FIND($A$2,Lines!AB43))-FIND($A$2,Lines!AB43)-LEN($A$2)-1))</f>
        <v/>
      </c>
      <c r="AC43" s="30" t="str">
        <f>IF(ISERROR(FIND($A$2,Lines!AC43))=TRUE,"",MID(Lines!AC43,FIND($A$2,Lines!AC43)+LEN($A$2)+1,FIND(",",_xlfn.CONCAT(Lines!AC43,","),FIND($A$2,Lines!AC43))-FIND($A$2,Lines!AC43)-LEN($A$2)-1))</f>
        <v/>
      </c>
      <c r="AD43" s="30" t="str">
        <f>IF(ISERROR(FIND($A$2,Lines!AD43))=TRUE,"",MID(Lines!AD43,FIND($A$2,Lines!AD43)+LEN($A$2)+1,FIND(",",_xlfn.CONCAT(Lines!AD43,","),FIND($A$2,Lines!AD43))-FIND($A$2,Lines!AD43)-LEN($A$2)-1))</f>
        <v/>
      </c>
      <c r="AE43" s="30" t="str">
        <f>IF(ISERROR(FIND($A$2,Lines!AE43))=TRUE,"",MID(Lines!AE43,FIND($A$2,Lines!AE43)+LEN($A$2)+1,FIND(",",_xlfn.CONCAT(Lines!AE43,","),FIND($A$2,Lines!AE43))-FIND($A$2,Lines!AE43)-LEN($A$2)-1))</f>
        <v/>
      </c>
      <c r="AF43" s="30" t="str">
        <f>IF(ISERROR(FIND($A$2,Lines!AF43))=TRUE,"",MID(Lines!AF43,FIND($A$2,Lines!AF43)+LEN($A$2)+1,FIND(",",_xlfn.CONCAT(Lines!AF43,","),FIND($A$2,Lines!AF43))-FIND($A$2,Lines!AF43)-LEN($A$2)-1))</f>
        <v/>
      </c>
      <c r="AG43" s="30" t="str">
        <f>IF(ISERROR(FIND($A$2,Lines!AG43))=TRUE,"",MID(Lines!AG43,FIND($A$2,Lines!AG43)+LEN($A$2)+1,FIND(",",_xlfn.CONCAT(Lines!AG43,","),FIND($A$2,Lines!AG43))-FIND($A$2,Lines!AG43)-LEN($A$2)-1))</f>
        <v/>
      </c>
      <c r="AH43" s="30" t="str">
        <f>IF(ISERROR(FIND($A$2,Lines!AH43))=TRUE,"",MID(Lines!AH43,FIND($A$2,Lines!AH43)+LEN($A$2)+1,FIND(",",_xlfn.CONCAT(Lines!AH43,","),FIND($A$2,Lines!AH43))-FIND($A$2,Lines!AH43)-LEN($A$2)-1))</f>
        <v/>
      </c>
      <c r="AI43" s="30" t="str">
        <f>IF(ISERROR(FIND($A$2,Lines!AI43))=TRUE,"",MID(Lines!AI43,FIND($A$2,Lines!AI43)+LEN($A$2)+1,FIND(",",_xlfn.CONCAT(Lines!AI43,","),FIND($A$2,Lines!AI43))-FIND($A$2,Lines!AI43)-LEN($A$2)-1))</f>
        <v/>
      </c>
      <c r="AJ43" s="30" t="str">
        <f>IF(ISERROR(FIND($A$2,Lines!AJ43))=TRUE,"",MID(Lines!AJ43,FIND($A$2,Lines!AJ43)+LEN($A$2)+1,FIND(",",_xlfn.CONCAT(Lines!AJ43,","),FIND($A$2,Lines!AJ43))-FIND($A$2,Lines!AJ43)-LEN($A$2)-1))</f>
        <v/>
      </c>
      <c r="AK43" s="58" t="str">
        <f>IF(ISERROR(FIND($A$2,Lines!AK43))=TRUE,"",MID(Lines!AK43,FIND($A$2,Lines!AK43)+LEN($A$2)+1,FIND(",",_xlfn.CONCAT(Lines!AK43,","),FIND($A$2,Lines!AK43))-FIND($A$2,Lines!AK43)-LEN($A$2)-1))</f>
        <v/>
      </c>
      <c r="AL43" s="59" t="str">
        <f>IF(ISERROR(FIND($A$2,Lines!AL43))=TRUE,"",MID(Lines!AL43,FIND($A$2,Lines!AL43)+LEN($A$2)+1,FIND(",",_xlfn.CONCAT(Lines!AL43,","),FIND($A$2,Lines!AL43))-FIND($A$2,Lines!AL43)-LEN($A$2)-1))</f>
        <v/>
      </c>
      <c r="AM43" s="59" t="str">
        <f>IF(ISERROR(FIND($A$2,Lines!AM43))=TRUE,"",MID(Lines!AM43,FIND($A$2,Lines!AM43)+LEN($A$2)+1,FIND(",",_xlfn.CONCAT(Lines!AM43,","),FIND($A$2,Lines!AM43))-FIND($A$2,Lines!AM43)-LEN($A$2)-1))</f>
        <v>2</v>
      </c>
      <c r="AN43" s="59" t="str">
        <f>IF(ISERROR(FIND($A$2,Lines!AN43))=TRUE,"",MID(Lines!AN43,FIND($A$2,Lines!AN43)+LEN($A$2)+1,FIND(",",_xlfn.CONCAT(Lines!AN43,","),FIND($A$2,Lines!AN43))-FIND($A$2,Lines!AN43)-LEN($A$2)-1))</f>
        <v/>
      </c>
      <c r="AO43" s="67" t="str">
        <f>IF(ISERROR(FIND($A$2,Lines!AO43))=TRUE,"",MID(Lines!AO43,FIND($A$2,Lines!AO43)+LEN($A$2)+1,FIND(",",_xlfn.CONCAT(Lines!AO43,","),FIND($A$2,Lines!AO43))-FIND($A$2,Lines!AO43)-LEN($A$2)-1))</f>
        <v/>
      </c>
      <c r="AP43" s="45" t="str">
        <f>IF(ISERROR(FIND($A$2,Lines!AP43))=TRUE,"",MID(Lines!AP43,FIND($A$2,Lines!AP43)+LEN($A$2)+1,FIND(",",_xlfn.CONCAT(Lines!AP43,","),FIND($A$2,Lines!AP43))-FIND($A$2,Lines!AP43)-LEN($A$2)-1))</f>
        <v/>
      </c>
      <c r="AQ43" s="30" t="str">
        <f>IF(ISERROR(FIND($A$2,Lines!AQ43))=TRUE,"",MID(Lines!AQ43,FIND($A$2,Lines!AQ43)+LEN($A$2)+1,FIND(",",_xlfn.CONCAT(Lines!AQ43,","),FIND($A$2,Lines!AQ43))-FIND($A$2,Lines!AQ43)-LEN($A$2)-1))</f>
        <v/>
      </c>
      <c r="AR43" s="30" t="str">
        <f>IF(ISERROR(FIND($A$2,Lines!AR43))=TRUE,"",MID(Lines!AR43,FIND($A$2,Lines!AR43)+LEN($A$2)+1,FIND(",",_xlfn.CONCAT(Lines!AR43,","),FIND($A$2,Lines!AR43))-FIND($A$2,Lines!AR43)-LEN($A$2)-1))</f>
        <v/>
      </c>
      <c r="AS43" s="30" t="str">
        <f>IF(ISERROR(FIND($A$2,Lines!AS43))=TRUE,"",MID(Lines!AS43,FIND($A$2,Lines!AS43)+LEN($A$2)+1,FIND(",",_xlfn.CONCAT(Lines!AS43,","),FIND($A$2,Lines!AS43))-FIND($A$2,Lines!AS43)-LEN($A$2)-1))</f>
        <v/>
      </c>
      <c r="AT43" s="30" t="str">
        <f>IF(ISERROR(FIND($A$2,Lines!AT43))=TRUE,"",MID(Lines!AT43,FIND($A$2,Lines!AT43)+LEN($A$2)+1,FIND(",",_xlfn.CONCAT(Lines!AT43,","),FIND($A$2,Lines!AT43))-FIND($A$2,Lines!AT43)-LEN($A$2)-1))</f>
        <v/>
      </c>
    </row>
    <row r="44" spans="1:46" ht="20.25" customHeight="1">
      <c r="A44" s="2" t="s">
        <v>92</v>
      </c>
      <c r="B44" s="30" t="str">
        <f>IF(ISERROR(FIND($A$2,Lines!B44))=TRUE,"",MID(Lines!B44,FIND($A$2,Lines!B44)+LEN($A$2)+1,FIND(",",_xlfn.CONCAT(Lines!B44,","),FIND($A$2,Lines!B44))-FIND($A$2,Lines!B44)-LEN($A$2)-1))</f>
        <v/>
      </c>
      <c r="C44" s="30" t="str">
        <f>IF(ISERROR(FIND($A$2,Lines!C44))=TRUE,"",MID(Lines!C44,FIND($A$2,Lines!C44)+LEN($A$2)+1,FIND(",",_xlfn.CONCAT(Lines!C44,","),FIND($A$2,Lines!C44))-FIND($A$2,Lines!C44)-LEN($A$2)-1))</f>
        <v/>
      </c>
      <c r="D44" s="30" t="str">
        <f>IF(ISERROR(FIND($A$2,Lines!D44))=TRUE,"",MID(Lines!D44,FIND($A$2,Lines!D44)+LEN($A$2)+1,FIND(",",_xlfn.CONCAT(Lines!D44,","),FIND($A$2,Lines!D44))-FIND($A$2,Lines!D44)-LEN($A$2)-1))</f>
        <v/>
      </c>
      <c r="E44" s="30" t="str">
        <f>IF(ISERROR(FIND($A$2,Lines!E44))=TRUE,"",MID(Lines!E44,FIND($A$2,Lines!E44)+LEN($A$2)+1,FIND(",",_xlfn.CONCAT(Lines!E44,","),FIND($A$2,Lines!E44))-FIND($A$2,Lines!E44)-LEN($A$2)-1))</f>
        <v/>
      </c>
      <c r="F44" s="30" t="str">
        <f>IF(ISERROR(FIND($A$2,Lines!F44))=TRUE,"",MID(Lines!F44,FIND($A$2,Lines!F44)+LEN($A$2)+1,FIND(",",_xlfn.CONCAT(Lines!F44,","),FIND($A$2,Lines!F44))-FIND($A$2,Lines!F44)-LEN($A$2)-1))</f>
        <v/>
      </c>
      <c r="G44" s="30" t="str">
        <f>IF(ISERROR(FIND($A$2,Lines!G44))=TRUE,"",MID(Lines!G44,FIND($A$2,Lines!G44)+LEN($A$2)+1,FIND(",",_xlfn.CONCAT(Lines!G44,","),FIND($A$2,Lines!G44))-FIND($A$2,Lines!G44)-LEN($A$2)-1))</f>
        <v/>
      </c>
      <c r="H44" s="30" t="str">
        <f>IF(ISERROR(FIND($A$2,Lines!H44))=TRUE,"",MID(Lines!H44,FIND($A$2,Lines!H44)+LEN($A$2)+1,FIND(",",_xlfn.CONCAT(Lines!H44,","),FIND($A$2,Lines!H44))-FIND($A$2,Lines!H44)-LEN($A$2)-1))</f>
        <v/>
      </c>
      <c r="I44" s="30" t="str">
        <f>IF(ISERROR(FIND($A$2,Lines!I44))=TRUE,"",MID(Lines!I44,FIND($A$2,Lines!I44)+LEN($A$2)+1,FIND(",",_xlfn.CONCAT(Lines!I44,","),FIND($A$2,Lines!I44))-FIND($A$2,Lines!I44)-LEN($A$2)-1))</f>
        <v/>
      </c>
      <c r="J44" s="30" t="str">
        <f>IF(ISERROR(FIND($A$2,Lines!J44))=TRUE,"",MID(Lines!J44,FIND($A$2,Lines!J44)+LEN($A$2)+1,FIND(",",_xlfn.CONCAT(Lines!J44,","),FIND($A$2,Lines!J44))-FIND($A$2,Lines!J44)-LEN($A$2)-1))</f>
        <v/>
      </c>
      <c r="K44" s="30" t="str">
        <f>IF(ISERROR(FIND($A$2,Lines!K44))=TRUE,"",MID(Lines!K44,FIND($A$2,Lines!K44)+LEN($A$2)+1,FIND(",",_xlfn.CONCAT(Lines!K44,","),FIND($A$2,Lines!K44))-FIND($A$2,Lines!K44)-LEN($A$2)-1))</f>
        <v/>
      </c>
      <c r="L44" s="30" t="str">
        <f>IF(ISERROR(FIND($A$2,Lines!L44))=TRUE,"",MID(Lines!L44,FIND($A$2,Lines!L44)+LEN($A$2)+1,FIND(",",_xlfn.CONCAT(Lines!L44,","),FIND($A$2,Lines!L44))-FIND($A$2,Lines!L44)-LEN($A$2)-1))</f>
        <v/>
      </c>
      <c r="M44" s="30" t="str">
        <f>IF(ISERROR(FIND($A$2,Lines!M44))=TRUE,"",MID(Lines!M44,FIND($A$2,Lines!M44)+LEN($A$2)+1,FIND(",",_xlfn.CONCAT(Lines!M44,","),FIND($A$2,Lines!M44))-FIND($A$2,Lines!M44)-LEN($A$2)-1))</f>
        <v/>
      </c>
      <c r="N44" s="30" t="str">
        <f>IF(ISERROR(FIND($A$2,Lines!N44))=TRUE,"",MID(Lines!N44,FIND($A$2,Lines!N44)+LEN($A$2)+1,FIND(",",_xlfn.CONCAT(Lines!N44,","),FIND($A$2,Lines!N44))-FIND($A$2,Lines!N44)-LEN($A$2)-1))</f>
        <v/>
      </c>
      <c r="O44" s="30" t="str">
        <f>IF(ISERROR(FIND($A$2,Lines!O44))=TRUE,"",MID(Lines!O44,FIND($A$2,Lines!O44)+LEN($A$2)+1,FIND(",",_xlfn.CONCAT(Lines!O44,","),FIND($A$2,Lines!O44))-FIND($A$2,Lines!O44)-LEN($A$2)-1))</f>
        <v/>
      </c>
      <c r="P44" s="30" t="str">
        <f>IF(ISERROR(FIND($A$2,Lines!P44))=TRUE,"",MID(Lines!P44,FIND($A$2,Lines!P44)+LEN($A$2)+1,FIND(",",_xlfn.CONCAT(Lines!P44,","),FIND($A$2,Lines!P44))-FIND($A$2,Lines!P44)-LEN($A$2)-1))</f>
        <v/>
      </c>
      <c r="Q44" s="30" t="str">
        <f>IF(ISERROR(FIND($A$2,Lines!Q44))=TRUE,"",MID(Lines!Q44,FIND($A$2,Lines!Q44)+LEN($A$2)+1,FIND(",",_xlfn.CONCAT(Lines!Q44,","),FIND($A$2,Lines!Q44))-FIND($A$2,Lines!Q44)-LEN($A$2)-1))</f>
        <v/>
      </c>
      <c r="R44" s="30" t="str">
        <f>IF(ISERROR(FIND($A$2,Lines!R44))=TRUE,"",MID(Lines!R44,FIND($A$2,Lines!R44)+LEN($A$2)+1,FIND(",",_xlfn.CONCAT(Lines!R44,","),FIND($A$2,Lines!R44))-FIND($A$2,Lines!R44)-LEN($A$2)-1))</f>
        <v/>
      </c>
      <c r="S44" s="30" t="str">
        <f>IF(ISERROR(FIND($A$2,Lines!S44))=TRUE,"",MID(Lines!S44,FIND($A$2,Lines!S44)+LEN($A$2)+1,FIND(",",_xlfn.CONCAT(Lines!S44,","),FIND($A$2,Lines!S44))-FIND($A$2,Lines!S44)-LEN($A$2)-1))</f>
        <v/>
      </c>
      <c r="T44" s="30" t="str">
        <f>IF(ISERROR(FIND($A$2,Lines!T44))=TRUE,"",MID(Lines!T44,FIND($A$2,Lines!T44)+LEN($A$2)+1,FIND(",",_xlfn.CONCAT(Lines!T44,","),FIND($A$2,Lines!T44))-FIND($A$2,Lines!T44)-LEN($A$2)-1))</f>
        <v/>
      </c>
      <c r="U44" s="30" t="str">
        <f>IF(ISERROR(FIND($A$2,Lines!U44))=TRUE,"",MID(Lines!U44,FIND($A$2,Lines!U44)+LEN($A$2)+1,FIND(",",_xlfn.CONCAT(Lines!U44,","),FIND($A$2,Lines!U44))-FIND($A$2,Lines!U44)-LEN($A$2)-1))</f>
        <v/>
      </c>
      <c r="V44" s="30" t="str">
        <f>IF(ISERROR(FIND($A$2,Lines!V44))=TRUE,"",MID(Lines!V44,FIND($A$2,Lines!V44)+LEN($A$2)+1,FIND(",",_xlfn.CONCAT(Lines!V44,","),FIND($A$2,Lines!V44))-FIND($A$2,Lines!V44)-LEN($A$2)-1))</f>
        <v/>
      </c>
      <c r="W44" s="36" t="str">
        <f>IF(ISERROR(FIND($A$2,Lines!W44))=TRUE,"",MID(Lines!W44,FIND($A$2,Lines!W44)+LEN($A$2)+1,FIND(",",_xlfn.CONCAT(Lines!W44,","),FIND($A$2,Lines!W44))-FIND($A$2,Lines!W44)-LEN($A$2)-1))</f>
        <v/>
      </c>
      <c r="X44" s="30" t="str">
        <f>IF(ISERROR(FIND($A$2,Lines!X44))=TRUE,"",MID(Lines!X44,FIND($A$2,Lines!X44)+LEN($A$2)+1,FIND(",",_xlfn.CONCAT(Lines!X44,","),FIND($A$2,Lines!X44))-FIND($A$2,Lines!X44)-LEN($A$2)-1))</f>
        <v/>
      </c>
      <c r="Y44" s="30" t="str">
        <f>IF(ISERROR(FIND($A$2,Lines!Y44))=TRUE,"",MID(Lines!Y44,FIND($A$2,Lines!Y44)+LEN($A$2)+1,FIND(",",_xlfn.CONCAT(Lines!Y44,","),FIND($A$2,Lines!Y44))-FIND($A$2,Lines!Y44)-LEN($A$2)-1))</f>
        <v/>
      </c>
      <c r="Z44" s="30" t="str">
        <f>IF(ISERROR(FIND($A$2,Lines!Z44))=TRUE,"",MID(Lines!Z44,FIND($A$2,Lines!Z44)+LEN($A$2)+1,FIND(",",_xlfn.CONCAT(Lines!Z44,","),FIND($A$2,Lines!Z44))-FIND($A$2,Lines!Z44)-LEN($A$2)-1))</f>
        <v/>
      </c>
      <c r="AA44" s="30" t="str">
        <f>IF(ISERROR(FIND($A$2,Lines!AA44))=TRUE,"",MID(Lines!AA44,FIND($A$2,Lines!AA44)+LEN($A$2)+1,FIND(",",_xlfn.CONCAT(Lines!AA44,","),FIND($A$2,Lines!AA44))-FIND($A$2,Lines!AA44)-LEN($A$2)-1))</f>
        <v/>
      </c>
      <c r="AB44" s="30" t="str">
        <f>IF(ISERROR(FIND($A$2,Lines!AB44))=TRUE,"",MID(Lines!AB44,FIND($A$2,Lines!AB44)+LEN($A$2)+1,FIND(",",_xlfn.CONCAT(Lines!AB44,","),FIND($A$2,Lines!AB44))-FIND($A$2,Lines!AB44)-LEN($A$2)-1))</f>
        <v/>
      </c>
      <c r="AC44" s="30" t="str">
        <f>IF(ISERROR(FIND($A$2,Lines!AC44))=TRUE,"",MID(Lines!AC44,FIND($A$2,Lines!AC44)+LEN($A$2)+1,FIND(",",_xlfn.CONCAT(Lines!AC44,","),FIND($A$2,Lines!AC44))-FIND($A$2,Lines!AC44)-LEN($A$2)-1))</f>
        <v/>
      </c>
      <c r="AD44" s="30" t="str">
        <f>IF(ISERROR(FIND($A$2,Lines!AD44))=TRUE,"",MID(Lines!AD44,FIND($A$2,Lines!AD44)+LEN($A$2)+1,FIND(",",_xlfn.CONCAT(Lines!AD44,","),FIND($A$2,Lines!AD44))-FIND($A$2,Lines!AD44)-LEN($A$2)-1))</f>
        <v/>
      </c>
      <c r="AE44" s="30" t="str">
        <f>IF(ISERROR(FIND($A$2,Lines!AE44))=TRUE,"",MID(Lines!AE44,FIND($A$2,Lines!AE44)+LEN($A$2)+1,FIND(",",_xlfn.CONCAT(Lines!AE44,","),FIND($A$2,Lines!AE44))-FIND($A$2,Lines!AE44)-LEN($A$2)-1))</f>
        <v/>
      </c>
      <c r="AF44" s="30" t="str">
        <f>IF(ISERROR(FIND($A$2,Lines!AF44))=TRUE,"",MID(Lines!AF44,FIND($A$2,Lines!AF44)+LEN($A$2)+1,FIND(",",_xlfn.CONCAT(Lines!AF44,","),FIND($A$2,Lines!AF44))-FIND($A$2,Lines!AF44)-LEN($A$2)-1))</f>
        <v/>
      </c>
      <c r="AG44" s="30" t="str">
        <f>IF(ISERROR(FIND($A$2,Lines!AG44))=TRUE,"",MID(Lines!AG44,FIND($A$2,Lines!AG44)+LEN($A$2)+1,FIND(",",_xlfn.CONCAT(Lines!AG44,","),FIND($A$2,Lines!AG44))-FIND($A$2,Lines!AG44)-LEN($A$2)-1))</f>
        <v/>
      </c>
      <c r="AH44" s="30" t="str">
        <f>IF(ISERROR(FIND($A$2,Lines!AH44))=TRUE,"",MID(Lines!AH44,FIND($A$2,Lines!AH44)+LEN($A$2)+1,FIND(",",_xlfn.CONCAT(Lines!AH44,","),FIND($A$2,Lines!AH44))-FIND($A$2,Lines!AH44)-LEN($A$2)-1))</f>
        <v/>
      </c>
      <c r="AI44" s="30" t="str">
        <f>IF(ISERROR(FIND($A$2,Lines!AI44))=TRUE,"",MID(Lines!AI44,FIND($A$2,Lines!AI44)+LEN($A$2)+1,FIND(",",_xlfn.CONCAT(Lines!AI44,","),FIND($A$2,Lines!AI44))-FIND($A$2,Lines!AI44)-LEN($A$2)-1))</f>
        <v/>
      </c>
      <c r="AJ44" s="30" t="str">
        <f>IF(ISERROR(FIND($A$2,Lines!AJ44))=TRUE,"",MID(Lines!AJ44,FIND($A$2,Lines!AJ44)+LEN($A$2)+1,FIND(",",_xlfn.CONCAT(Lines!AJ44,","),FIND($A$2,Lines!AJ44))-FIND($A$2,Lines!AJ44)-LEN($A$2)-1))</f>
        <v/>
      </c>
      <c r="AK44" s="30" t="str">
        <f>IF(ISERROR(FIND($A$2,Lines!AK44))=TRUE,"",MID(Lines!AK44,FIND($A$2,Lines!AK44)+LEN($A$2)+1,FIND(",",_xlfn.CONCAT(Lines!AK44,","),FIND($A$2,Lines!AK44))-FIND($A$2,Lines!AK44)-LEN($A$2)-1))</f>
        <v/>
      </c>
      <c r="AL44" s="30" t="str">
        <f>IF(ISERROR(FIND($A$2,Lines!AL44))=TRUE,"",MID(Lines!AL44,FIND($A$2,Lines!AL44)+LEN($A$2)+1,FIND(",",_xlfn.CONCAT(Lines!AL44,","),FIND($A$2,Lines!AL44))-FIND($A$2,Lines!AL44)-LEN($A$2)-1))</f>
        <v/>
      </c>
      <c r="AM44" s="30" t="str">
        <f>IF(ISERROR(FIND($A$2,Lines!AM44))=TRUE,"",MID(Lines!AM44,FIND($A$2,Lines!AM44)+LEN($A$2)+1,FIND(",",_xlfn.CONCAT(Lines!AM44,","),FIND($A$2,Lines!AM44))-FIND($A$2,Lines!AM44)-LEN($A$2)-1))</f>
        <v/>
      </c>
      <c r="AN44" s="30" t="str">
        <f>IF(ISERROR(FIND($A$2,Lines!AN44))=TRUE,"",MID(Lines!AN44,FIND($A$2,Lines!AN44)+LEN($A$2)+1,FIND(",",_xlfn.CONCAT(Lines!AN44,","),FIND($A$2,Lines!AN44))-FIND($A$2,Lines!AN44)-LEN($A$2)-1))</f>
        <v/>
      </c>
      <c r="AO44" s="45" t="str">
        <f>IF(ISERROR(FIND($A$2,Lines!AO44))=TRUE,"",MID(Lines!AO44,FIND($A$2,Lines!AO44)+LEN($A$2)+1,FIND(",",_xlfn.CONCAT(Lines!AO44,","),FIND($A$2,Lines!AO44))-FIND($A$2,Lines!AO44)-LEN($A$2)-1))</f>
        <v/>
      </c>
      <c r="AP44" s="65" t="str">
        <f>IF(ISERROR(FIND($A$2,Lines!AP44))=TRUE,"",MID(Lines!AP44,FIND($A$2,Lines!AP44)+LEN($A$2)+1,FIND(",",_xlfn.CONCAT(Lines!AP44,","),FIND($A$2,Lines!AP44))-FIND($A$2,Lines!AP44)-LEN($A$2)-1))</f>
        <v/>
      </c>
      <c r="AQ44" s="62" t="str">
        <f>IF(ISERROR(FIND($A$2,Lines!AQ44))=TRUE,"",MID(Lines!AQ44,FIND($A$2,Lines!AQ44)+LEN($A$2)+1,FIND(",",_xlfn.CONCAT(Lines!AQ44,","),FIND($A$2,Lines!AQ44))-FIND($A$2,Lines!AQ44)-LEN($A$2)-1))</f>
        <v/>
      </c>
      <c r="AR44" s="62" t="str">
        <f>IF(ISERROR(FIND($A$2,Lines!AR44))=TRUE,"",MID(Lines!AR44,FIND($A$2,Lines!AR44)+LEN($A$2)+1,FIND(",",_xlfn.CONCAT(Lines!AR44,","),FIND($A$2,Lines!AR44))-FIND($A$2,Lines!AR44)-LEN($A$2)-1))</f>
        <v/>
      </c>
      <c r="AS44" s="62" t="str">
        <f>IF(ISERROR(FIND($A$2,Lines!AS44))=TRUE,"",MID(Lines!AS44,FIND($A$2,Lines!AS44)+LEN($A$2)+1,FIND(",",_xlfn.CONCAT(Lines!AS44,","),FIND($A$2,Lines!AS44))-FIND($A$2,Lines!AS44)-LEN($A$2)-1))</f>
        <v/>
      </c>
      <c r="AT44" s="62" t="str">
        <f>IF(ISERROR(FIND($A$2,Lines!AT44))=TRUE,"",MID(Lines!AT44,FIND($A$2,Lines!AT44)+LEN($A$2)+1,FIND(",",_xlfn.CONCAT(Lines!AT44,","),FIND($A$2,Lines!AT44))-FIND($A$2,Lines!AT44)-LEN($A$2)-1))</f>
        <v/>
      </c>
    </row>
    <row r="45" spans="1:46" ht="20.25" customHeight="1">
      <c r="A45" s="2" t="s">
        <v>93</v>
      </c>
      <c r="B45" s="30" t="str">
        <f>IF(ISERROR(FIND($A$2,Lines!B45))=TRUE,"",MID(Lines!B45,FIND($A$2,Lines!B45)+LEN($A$2)+1,FIND(",",_xlfn.CONCAT(Lines!B45,","),FIND($A$2,Lines!B45))-FIND($A$2,Lines!B45)-LEN($A$2)-1))</f>
        <v/>
      </c>
      <c r="C45" s="30" t="str">
        <f>IF(ISERROR(FIND($A$2,Lines!C45))=TRUE,"",MID(Lines!C45,FIND($A$2,Lines!C45)+LEN($A$2)+1,FIND(",",_xlfn.CONCAT(Lines!C45,","),FIND($A$2,Lines!C45))-FIND($A$2,Lines!C45)-LEN($A$2)-1))</f>
        <v/>
      </c>
      <c r="D45" s="30" t="str">
        <f>IF(ISERROR(FIND($A$2,Lines!D45))=TRUE,"",MID(Lines!D45,FIND($A$2,Lines!D45)+LEN($A$2)+1,FIND(",",_xlfn.CONCAT(Lines!D45,","),FIND($A$2,Lines!D45))-FIND($A$2,Lines!D45)-LEN($A$2)-1))</f>
        <v/>
      </c>
      <c r="E45" s="30" t="str">
        <f>IF(ISERROR(FIND($A$2,Lines!E45))=TRUE,"",MID(Lines!E45,FIND($A$2,Lines!E45)+LEN($A$2)+1,FIND(",",_xlfn.CONCAT(Lines!E45,","),FIND($A$2,Lines!E45))-FIND($A$2,Lines!E45)-LEN($A$2)-1))</f>
        <v/>
      </c>
      <c r="F45" s="30" t="str">
        <f>IF(ISERROR(FIND($A$2,Lines!F45))=TRUE,"",MID(Lines!F45,FIND($A$2,Lines!F45)+LEN($A$2)+1,FIND(",",_xlfn.CONCAT(Lines!F45,","),FIND($A$2,Lines!F45))-FIND($A$2,Lines!F45)-LEN($A$2)-1))</f>
        <v/>
      </c>
      <c r="G45" s="30" t="str">
        <f>IF(ISERROR(FIND($A$2,Lines!G45))=TRUE,"",MID(Lines!G45,FIND($A$2,Lines!G45)+LEN($A$2)+1,FIND(",",_xlfn.CONCAT(Lines!G45,","),FIND($A$2,Lines!G45))-FIND($A$2,Lines!G45)-LEN($A$2)-1))</f>
        <v/>
      </c>
      <c r="H45" s="30" t="str">
        <f>IF(ISERROR(FIND($A$2,Lines!H45))=TRUE,"",MID(Lines!H45,FIND($A$2,Lines!H45)+LEN($A$2)+1,FIND(",",_xlfn.CONCAT(Lines!H45,","),FIND($A$2,Lines!H45))-FIND($A$2,Lines!H45)-LEN($A$2)-1))</f>
        <v/>
      </c>
      <c r="I45" s="30" t="str">
        <f>IF(ISERROR(FIND($A$2,Lines!I45))=TRUE,"",MID(Lines!I45,FIND($A$2,Lines!I45)+LEN($A$2)+1,FIND(",",_xlfn.CONCAT(Lines!I45,","),FIND($A$2,Lines!I45))-FIND($A$2,Lines!I45)-LEN($A$2)-1))</f>
        <v/>
      </c>
      <c r="J45" s="30" t="str">
        <f>IF(ISERROR(FIND($A$2,Lines!J45))=TRUE,"",MID(Lines!J45,FIND($A$2,Lines!J45)+LEN($A$2)+1,FIND(",",_xlfn.CONCAT(Lines!J45,","),FIND($A$2,Lines!J45))-FIND($A$2,Lines!J45)-LEN($A$2)-1))</f>
        <v/>
      </c>
      <c r="K45" s="30" t="str">
        <f>IF(ISERROR(FIND($A$2,Lines!K45))=TRUE,"",MID(Lines!K45,FIND($A$2,Lines!K45)+LEN($A$2)+1,FIND(",",_xlfn.CONCAT(Lines!K45,","),FIND($A$2,Lines!K45))-FIND($A$2,Lines!K45)-LEN($A$2)-1))</f>
        <v/>
      </c>
      <c r="L45" s="30" t="str">
        <f>IF(ISERROR(FIND($A$2,Lines!L45))=TRUE,"",MID(Lines!L45,FIND($A$2,Lines!L45)+LEN($A$2)+1,FIND(",",_xlfn.CONCAT(Lines!L45,","),FIND($A$2,Lines!L45))-FIND($A$2,Lines!L45)-LEN($A$2)-1))</f>
        <v/>
      </c>
      <c r="M45" s="30" t="str">
        <f>IF(ISERROR(FIND($A$2,Lines!M45))=TRUE,"",MID(Lines!M45,FIND($A$2,Lines!M45)+LEN($A$2)+1,FIND(",",_xlfn.CONCAT(Lines!M45,","),FIND($A$2,Lines!M45))-FIND($A$2,Lines!M45)-LEN($A$2)-1))</f>
        <v/>
      </c>
      <c r="N45" s="30" t="str">
        <f>IF(ISERROR(FIND($A$2,Lines!N45))=TRUE,"",MID(Lines!N45,FIND($A$2,Lines!N45)+LEN($A$2)+1,FIND(",",_xlfn.CONCAT(Lines!N45,","),FIND($A$2,Lines!N45))-FIND($A$2,Lines!N45)-LEN($A$2)-1))</f>
        <v/>
      </c>
      <c r="O45" s="30" t="str">
        <f>IF(ISERROR(FIND($A$2,Lines!O45))=TRUE,"",MID(Lines!O45,FIND($A$2,Lines!O45)+LEN($A$2)+1,FIND(",",_xlfn.CONCAT(Lines!O45,","),FIND($A$2,Lines!O45))-FIND($A$2,Lines!O45)-LEN($A$2)-1))</f>
        <v/>
      </c>
      <c r="P45" s="30" t="str">
        <f>IF(ISERROR(FIND($A$2,Lines!P45))=TRUE,"",MID(Lines!P45,FIND($A$2,Lines!P45)+LEN($A$2)+1,FIND(",",_xlfn.CONCAT(Lines!P45,","),FIND($A$2,Lines!P45))-FIND($A$2,Lines!P45)-LEN($A$2)-1))</f>
        <v/>
      </c>
      <c r="Q45" s="30" t="str">
        <f>IF(ISERROR(FIND($A$2,Lines!Q45))=TRUE,"",MID(Lines!Q45,FIND($A$2,Lines!Q45)+LEN($A$2)+1,FIND(",",_xlfn.CONCAT(Lines!Q45,","),FIND($A$2,Lines!Q45))-FIND($A$2,Lines!Q45)-LEN($A$2)-1))</f>
        <v/>
      </c>
      <c r="R45" s="30" t="str">
        <f>IF(ISERROR(FIND($A$2,Lines!R45))=TRUE,"",MID(Lines!R45,FIND($A$2,Lines!R45)+LEN($A$2)+1,FIND(",",_xlfn.CONCAT(Lines!R45,","),FIND($A$2,Lines!R45))-FIND($A$2,Lines!R45)-LEN($A$2)-1))</f>
        <v/>
      </c>
      <c r="S45" s="30" t="str">
        <f>IF(ISERROR(FIND($A$2,Lines!S45))=TRUE,"",MID(Lines!S45,FIND($A$2,Lines!S45)+LEN($A$2)+1,FIND(",",_xlfn.CONCAT(Lines!S45,","),FIND($A$2,Lines!S45))-FIND($A$2,Lines!S45)-LEN($A$2)-1))</f>
        <v/>
      </c>
      <c r="T45" s="30" t="str">
        <f>IF(ISERROR(FIND($A$2,Lines!T45))=TRUE,"",MID(Lines!T45,FIND($A$2,Lines!T45)+LEN($A$2)+1,FIND(",",_xlfn.CONCAT(Lines!T45,","),FIND($A$2,Lines!T45))-FIND($A$2,Lines!T45)-LEN($A$2)-1))</f>
        <v/>
      </c>
      <c r="U45" s="30" t="str">
        <f>IF(ISERROR(FIND($A$2,Lines!U45))=TRUE,"",MID(Lines!U45,FIND($A$2,Lines!U45)+LEN($A$2)+1,FIND(",",_xlfn.CONCAT(Lines!U45,","),FIND($A$2,Lines!U45))-FIND($A$2,Lines!U45)-LEN($A$2)-1))</f>
        <v/>
      </c>
      <c r="V45" s="30" t="str">
        <f>IF(ISERROR(FIND($A$2,Lines!V45))=TRUE,"",MID(Lines!V45,FIND($A$2,Lines!V45)+LEN($A$2)+1,FIND(",",_xlfn.CONCAT(Lines!V45,","),FIND($A$2,Lines!V45))-FIND($A$2,Lines!V45)-LEN($A$2)-1))</f>
        <v/>
      </c>
      <c r="W45" s="36" t="str">
        <f>IF(ISERROR(FIND($A$2,Lines!W45))=TRUE,"",MID(Lines!W45,FIND($A$2,Lines!W45)+LEN($A$2)+1,FIND(",",_xlfn.CONCAT(Lines!W45,","),FIND($A$2,Lines!W45))-FIND($A$2,Lines!W45)-LEN($A$2)-1))</f>
        <v/>
      </c>
      <c r="X45" s="30" t="str">
        <f>IF(ISERROR(FIND($A$2,Lines!X45))=TRUE,"",MID(Lines!X45,FIND($A$2,Lines!X45)+LEN($A$2)+1,FIND(",",_xlfn.CONCAT(Lines!X45,","),FIND($A$2,Lines!X45))-FIND($A$2,Lines!X45)-LEN($A$2)-1))</f>
        <v/>
      </c>
      <c r="Y45" s="30" t="str">
        <f>IF(ISERROR(FIND($A$2,Lines!Y45))=TRUE,"",MID(Lines!Y45,FIND($A$2,Lines!Y45)+LEN($A$2)+1,FIND(",",_xlfn.CONCAT(Lines!Y45,","),FIND($A$2,Lines!Y45))-FIND($A$2,Lines!Y45)-LEN($A$2)-1))</f>
        <v/>
      </c>
      <c r="Z45" s="30" t="str">
        <f>IF(ISERROR(FIND($A$2,Lines!Z45))=TRUE,"",MID(Lines!Z45,FIND($A$2,Lines!Z45)+LEN($A$2)+1,FIND(",",_xlfn.CONCAT(Lines!Z45,","),FIND($A$2,Lines!Z45))-FIND($A$2,Lines!Z45)-LEN($A$2)-1))</f>
        <v/>
      </c>
      <c r="AA45" s="30" t="str">
        <f>IF(ISERROR(FIND($A$2,Lines!AA45))=TRUE,"",MID(Lines!AA45,FIND($A$2,Lines!AA45)+LEN($A$2)+1,FIND(",",_xlfn.CONCAT(Lines!AA45,","),FIND($A$2,Lines!AA45))-FIND($A$2,Lines!AA45)-LEN($A$2)-1))</f>
        <v/>
      </c>
      <c r="AB45" s="30" t="str">
        <f>IF(ISERROR(FIND($A$2,Lines!AB45))=TRUE,"",MID(Lines!AB45,FIND($A$2,Lines!AB45)+LEN($A$2)+1,FIND(",",_xlfn.CONCAT(Lines!AB45,","),FIND($A$2,Lines!AB45))-FIND($A$2,Lines!AB45)-LEN($A$2)-1))</f>
        <v/>
      </c>
      <c r="AC45" s="30" t="str">
        <f>IF(ISERROR(FIND($A$2,Lines!AC45))=TRUE,"",MID(Lines!AC45,FIND($A$2,Lines!AC45)+LEN($A$2)+1,FIND(",",_xlfn.CONCAT(Lines!AC45,","),FIND($A$2,Lines!AC45))-FIND($A$2,Lines!AC45)-LEN($A$2)-1))</f>
        <v/>
      </c>
      <c r="AD45" s="30" t="str">
        <f>IF(ISERROR(FIND($A$2,Lines!AD45))=TRUE,"",MID(Lines!AD45,FIND($A$2,Lines!AD45)+LEN($A$2)+1,FIND(",",_xlfn.CONCAT(Lines!AD45,","),FIND($A$2,Lines!AD45))-FIND($A$2,Lines!AD45)-LEN($A$2)-1))</f>
        <v/>
      </c>
      <c r="AE45" s="30" t="str">
        <f>IF(ISERROR(FIND($A$2,Lines!AE45))=TRUE,"",MID(Lines!AE45,FIND($A$2,Lines!AE45)+LEN($A$2)+1,FIND(",",_xlfn.CONCAT(Lines!AE45,","),FIND($A$2,Lines!AE45))-FIND($A$2,Lines!AE45)-LEN($A$2)-1))</f>
        <v/>
      </c>
      <c r="AF45" s="30" t="str">
        <f>IF(ISERROR(FIND($A$2,Lines!AF45))=TRUE,"",MID(Lines!AF45,FIND($A$2,Lines!AF45)+LEN($A$2)+1,FIND(",",_xlfn.CONCAT(Lines!AF45,","),FIND($A$2,Lines!AF45))-FIND($A$2,Lines!AF45)-LEN($A$2)-1))</f>
        <v/>
      </c>
      <c r="AG45" s="30" t="str">
        <f>IF(ISERROR(FIND($A$2,Lines!AG45))=TRUE,"",MID(Lines!AG45,FIND($A$2,Lines!AG45)+LEN($A$2)+1,FIND(",",_xlfn.CONCAT(Lines!AG45,","),FIND($A$2,Lines!AG45))-FIND($A$2,Lines!AG45)-LEN($A$2)-1))</f>
        <v/>
      </c>
      <c r="AH45" s="30" t="str">
        <f>IF(ISERROR(FIND($A$2,Lines!AH45))=TRUE,"",MID(Lines!AH45,FIND($A$2,Lines!AH45)+LEN($A$2)+1,FIND(",",_xlfn.CONCAT(Lines!AH45,","),FIND($A$2,Lines!AH45))-FIND($A$2,Lines!AH45)-LEN($A$2)-1))</f>
        <v/>
      </c>
      <c r="AI45" s="30" t="str">
        <f>IF(ISERROR(FIND($A$2,Lines!AI45))=TRUE,"",MID(Lines!AI45,FIND($A$2,Lines!AI45)+LEN($A$2)+1,FIND(",",_xlfn.CONCAT(Lines!AI45,","),FIND($A$2,Lines!AI45))-FIND($A$2,Lines!AI45)-LEN($A$2)-1))</f>
        <v/>
      </c>
      <c r="AJ45" s="30" t="str">
        <f>IF(ISERROR(FIND($A$2,Lines!AJ45))=TRUE,"",MID(Lines!AJ45,FIND($A$2,Lines!AJ45)+LEN($A$2)+1,FIND(",",_xlfn.CONCAT(Lines!AJ45,","),FIND($A$2,Lines!AJ45))-FIND($A$2,Lines!AJ45)-LEN($A$2)-1))</f>
        <v/>
      </c>
      <c r="AK45" s="30" t="str">
        <f>IF(ISERROR(FIND($A$2,Lines!AK45))=TRUE,"",MID(Lines!AK45,FIND($A$2,Lines!AK45)+LEN($A$2)+1,FIND(",",_xlfn.CONCAT(Lines!AK45,","),FIND($A$2,Lines!AK45))-FIND($A$2,Lines!AK45)-LEN($A$2)-1))</f>
        <v/>
      </c>
      <c r="AL45" s="30" t="str">
        <f>IF(ISERROR(FIND($A$2,Lines!AL45))=TRUE,"",MID(Lines!AL45,FIND($A$2,Lines!AL45)+LEN($A$2)+1,FIND(",",_xlfn.CONCAT(Lines!AL45,","),FIND($A$2,Lines!AL45))-FIND($A$2,Lines!AL45)-LEN($A$2)-1))</f>
        <v/>
      </c>
      <c r="AM45" s="30" t="str">
        <f>IF(ISERROR(FIND($A$2,Lines!AM45))=TRUE,"",MID(Lines!AM45,FIND($A$2,Lines!AM45)+LEN($A$2)+1,FIND(",",_xlfn.CONCAT(Lines!AM45,","),FIND($A$2,Lines!AM45))-FIND($A$2,Lines!AM45)-LEN($A$2)-1))</f>
        <v/>
      </c>
      <c r="AN45" s="30" t="str">
        <f>IF(ISERROR(FIND($A$2,Lines!AN45))=TRUE,"",MID(Lines!AN45,FIND($A$2,Lines!AN45)+LEN($A$2)+1,FIND(",",_xlfn.CONCAT(Lines!AN45,","),FIND($A$2,Lines!AN45))-FIND($A$2,Lines!AN45)-LEN($A$2)-1))</f>
        <v/>
      </c>
      <c r="AO45" s="30" t="str">
        <f>IF(ISERROR(FIND($A$2,Lines!AO45))=TRUE,"",MID(Lines!AO45,FIND($A$2,Lines!AO45)+LEN($A$2)+1,FIND(",",_xlfn.CONCAT(Lines!AO45,","),FIND($A$2,Lines!AO45))-FIND($A$2,Lines!AO45)-LEN($A$2)-1))</f>
        <v/>
      </c>
      <c r="AP45" s="57" t="str">
        <f>IF(ISERROR(FIND($A$2,Lines!AP45))=TRUE,"",MID(Lines!AP45,FIND($A$2,Lines!AP45)+LEN($A$2)+1,FIND(",",_xlfn.CONCAT(Lines!AP45,","),FIND($A$2,Lines!AP45))-FIND($A$2,Lines!AP45)-LEN($A$2)-1))</f>
        <v/>
      </c>
      <c r="AQ45" s="66" t="str">
        <f>IF(ISERROR(FIND($A$2,Lines!AQ45))=TRUE,"",MID(Lines!AQ45,FIND($A$2,Lines!AQ45)+LEN($A$2)+1,FIND(",",_xlfn.CONCAT(Lines!AQ45,","),FIND($A$2,Lines!AQ45))-FIND($A$2,Lines!AQ45)-LEN($A$2)-1))</f>
        <v/>
      </c>
      <c r="AR45" s="44" t="str">
        <f>IF(ISERROR(FIND($A$2,Lines!AR45))=TRUE,"",MID(Lines!AR45,FIND($A$2,Lines!AR45)+LEN($A$2)+1,FIND(",",_xlfn.CONCAT(Lines!AR45,","),FIND($A$2,Lines!AR45))-FIND($A$2,Lines!AR45)-LEN($A$2)-1))</f>
        <v/>
      </c>
      <c r="AS45" s="44" t="str">
        <f>IF(ISERROR(FIND($A$2,Lines!AS45))=TRUE,"",MID(Lines!AS45,FIND($A$2,Lines!AS45)+LEN($A$2)+1,FIND(",",_xlfn.CONCAT(Lines!AS45,","),FIND($A$2,Lines!AS45))-FIND($A$2,Lines!AS45)-LEN($A$2)-1))</f>
        <v/>
      </c>
      <c r="AT45" s="44" t="str">
        <f>IF(ISERROR(FIND($A$2,Lines!AT45))=TRUE,"",MID(Lines!AT45,FIND($A$2,Lines!AT45)+LEN($A$2)+1,FIND(",",_xlfn.CONCAT(Lines!AT45,","),FIND($A$2,Lines!AT45))-FIND($A$2,Lines!AT45)-LEN($A$2)-1))</f>
        <v/>
      </c>
    </row>
    <row r="46" spans="1:46" ht="20.25" customHeight="1">
      <c r="A46" s="2" t="s">
        <v>94</v>
      </c>
      <c r="B46" s="30" t="str">
        <f>IF(ISERROR(FIND($A$2,Lines!B46))=TRUE,"",MID(Lines!B46,FIND($A$2,Lines!B46)+LEN($A$2)+1,FIND(",",_xlfn.CONCAT(Lines!B46,","),FIND($A$2,Lines!B46))-FIND($A$2,Lines!B46)-LEN($A$2)-1))</f>
        <v/>
      </c>
      <c r="C46" s="30" t="str">
        <f>IF(ISERROR(FIND($A$2,Lines!C46))=TRUE,"",MID(Lines!C46,FIND($A$2,Lines!C46)+LEN($A$2)+1,FIND(",",_xlfn.CONCAT(Lines!C46,","),FIND($A$2,Lines!C46))-FIND($A$2,Lines!C46)-LEN($A$2)-1))</f>
        <v/>
      </c>
      <c r="D46" s="30" t="str">
        <f>IF(ISERROR(FIND($A$2,Lines!D46))=TRUE,"",MID(Lines!D46,FIND($A$2,Lines!D46)+LEN($A$2)+1,FIND(",",_xlfn.CONCAT(Lines!D46,","),FIND($A$2,Lines!D46))-FIND($A$2,Lines!D46)-LEN($A$2)-1))</f>
        <v/>
      </c>
      <c r="E46" s="30" t="str">
        <f>IF(ISERROR(FIND($A$2,Lines!E46))=TRUE,"",MID(Lines!E46,FIND($A$2,Lines!E46)+LEN($A$2)+1,FIND(",",_xlfn.CONCAT(Lines!E46,","),FIND($A$2,Lines!E46))-FIND($A$2,Lines!E46)-LEN($A$2)-1))</f>
        <v/>
      </c>
      <c r="F46" s="30" t="str">
        <f>IF(ISERROR(FIND($A$2,Lines!F46))=TRUE,"",MID(Lines!F46,FIND($A$2,Lines!F46)+LEN($A$2)+1,FIND(",",_xlfn.CONCAT(Lines!F46,","),FIND($A$2,Lines!F46))-FIND($A$2,Lines!F46)-LEN($A$2)-1))</f>
        <v/>
      </c>
      <c r="G46" s="30" t="str">
        <f>IF(ISERROR(FIND($A$2,Lines!G46))=TRUE,"",MID(Lines!G46,FIND($A$2,Lines!G46)+LEN($A$2)+1,FIND(",",_xlfn.CONCAT(Lines!G46,","),FIND($A$2,Lines!G46))-FIND($A$2,Lines!G46)-LEN($A$2)-1))</f>
        <v/>
      </c>
      <c r="H46" s="30" t="str">
        <f>IF(ISERROR(FIND($A$2,Lines!H46))=TRUE,"",MID(Lines!H46,FIND($A$2,Lines!H46)+LEN($A$2)+1,FIND(",",_xlfn.CONCAT(Lines!H46,","),FIND($A$2,Lines!H46))-FIND($A$2,Lines!H46)-LEN($A$2)-1))</f>
        <v/>
      </c>
      <c r="I46" s="30" t="str">
        <f>IF(ISERROR(FIND($A$2,Lines!I46))=TRUE,"",MID(Lines!I46,FIND($A$2,Lines!I46)+LEN($A$2)+1,FIND(",",_xlfn.CONCAT(Lines!I46,","),FIND($A$2,Lines!I46))-FIND($A$2,Lines!I46)-LEN($A$2)-1))</f>
        <v/>
      </c>
      <c r="J46" s="30" t="str">
        <f>IF(ISERROR(FIND($A$2,Lines!J46))=TRUE,"",MID(Lines!J46,FIND($A$2,Lines!J46)+LEN($A$2)+1,FIND(",",_xlfn.CONCAT(Lines!J46,","),FIND($A$2,Lines!J46))-FIND($A$2,Lines!J46)-LEN($A$2)-1))</f>
        <v/>
      </c>
      <c r="K46" s="30" t="str">
        <f>IF(ISERROR(FIND($A$2,Lines!K46))=TRUE,"",MID(Lines!K46,FIND($A$2,Lines!K46)+LEN($A$2)+1,FIND(",",_xlfn.CONCAT(Lines!K46,","),FIND($A$2,Lines!K46))-FIND($A$2,Lines!K46)-LEN($A$2)-1))</f>
        <v/>
      </c>
      <c r="L46" s="30" t="str">
        <f>IF(ISERROR(FIND($A$2,Lines!L46))=TRUE,"",MID(Lines!L46,FIND($A$2,Lines!L46)+LEN($A$2)+1,FIND(",",_xlfn.CONCAT(Lines!L46,","),FIND($A$2,Lines!L46))-FIND($A$2,Lines!L46)-LEN($A$2)-1))</f>
        <v/>
      </c>
      <c r="M46" s="30" t="str">
        <f>IF(ISERROR(FIND($A$2,Lines!M46))=TRUE,"",MID(Lines!M46,FIND($A$2,Lines!M46)+LEN($A$2)+1,FIND(",",_xlfn.CONCAT(Lines!M46,","),FIND($A$2,Lines!M46))-FIND($A$2,Lines!M46)-LEN($A$2)-1))</f>
        <v/>
      </c>
      <c r="N46" s="30" t="str">
        <f>IF(ISERROR(FIND($A$2,Lines!N46))=TRUE,"",MID(Lines!N46,FIND($A$2,Lines!N46)+LEN($A$2)+1,FIND(",",_xlfn.CONCAT(Lines!N46,","),FIND($A$2,Lines!N46))-FIND($A$2,Lines!N46)-LEN($A$2)-1))</f>
        <v/>
      </c>
      <c r="O46" s="30" t="str">
        <f>IF(ISERROR(FIND($A$2,Lines!O46))=TRUE,"",MID(Lines!O46,FIND($A$2,Lines!O46)+LEN($A$2)+1,FIND(",",_xlfn.CONCAT(Lines!O46,","),FIND($A$2,Lines!O46))-FIND($A$2,Lines!O46)-LEN($A$2)-1))</f>
        <v/>
      </c>
      <c r="P46" s="30" t="str">
        <f>IF(ISERROR(FIND($A$2,Lines!P46))=TRUE,"",MID(Lines!P46,FIND($A$2,Lines!P46)+LEN($A$2)+1,FIND(",",_xlfn.CONCAT(Lines!P46,","),FIND($A$2,Lines!P46))-FIND($A$2,Lines!P46)-LEN($A$2)-1))</f>
        <v/>
      </c>
      <c r="Q46" s="30" t="str">
        <f>IF(ISERROR(FIND($A$2,Lines!Q46))=TRUE,"",MID(Lines!Q46,FIND($A$2,Lines!Q46)+LEN($A$2)+1,FIND(",",_xlfn.CONCAT(Lines!Q46,","),FIND($A$2,Lines!Q46))-FIND($A$2,Lines!Q46)-LEN($A$2)-1))</f>
        <v/>
      </c>
      <c r="R46" s="30" t="str">
        <f>IF(ISERROR(FIND($A$2,Lines!R46))=TRUE,"",MID(Lines!R46,FIND($A$2,Lines!R46)+LEN($A$2)+1,FIND(",",_xlfn.CONCAT(Lines!R46,","),FIND($A$2,Lines!R46))-FIND($A$2,Lines!R46)-LEN($A$2)-1))</f>
        <v/>
      </c>
      <c r="S46" s="30" t="str">
        <f>IF(ISERROR(FIND($A$2,Lines!S46))=TRUE,"",MID(Lines!S46,FIND($A$2,Lines!S46)+LEN($A$2)+1,FIND(",",_xlfn.CONCAT(Lines!S46,","),FIND($A$2,Lines!S46))-FIND($A$2,Lines!S46)-LEN($A$2)-1))</f>
        <v/>
      </c>
      <c r="T46" s="30" t="str">
        <f>IF(ISERROR(FIND($A$2,Lines!T46))=TRUE,"",MID(Lines!T46,FIND($A$2,Lines!T46)+LEN($A$2)+1,FIND(",",_xlfn.CONCAT(Lines!T46,","),FIND($A$2,Lines!T46))-FIND($A$2,Lines!T46)-LEN($A$2)-1))</f>
        <v/>
      </c>
      <c r="U46" s="30" t="str">
        <f>IF(ISERROR(FIND($A$2,Lines!U46))=TRUE,"",MID(Lines!U46,FIND($A$2,Lines!U46)+LEN($A$2)+1,FIND(",",_xlfn.CONCAT(Lines!U46,","),FIND($A$2,Lines!U46))-FIND($A$2,Lines!U46)-LEN($A$2)-1))</f>
        <v/>
      </c>
      <c r="V46" s="30" t="str">
        <f>IF(ISERROR(FIND($A$2,Lines!V46))=TRUE,"",MID(Lines!V46,FIND($A$2,Lines!V46)+LEN($A$2)+1,FIND(",",_xlfn.CONCAT(Lines!V46,","),FIND($A$2,Lines!V46))-FIND($A$2,Lines!V46)-LEN($A$2)-1))</f>
        <v/>
      </c>
      <c r="W46" s="36" t="str">
        <f>IF(ISERROR(FIND($A$2,Lines!W46))=TRUE,"",MID(Lines!W46,FIND($A$2,Lines!W46)+LEN($A$2)+1,FIND(",",_xlfn.CONCAT(Lines!W46,","),FIND($A$2,Lines!W46))-FIND($A$2,Lines!W46)-LEN($A$2)-1))</f>
        <v/>
      </c>
      <c r="X46" s="30" t="str">
        <f>IF(ISERROR(FIND($A$2,Lines!X46))=TRUE,"",MID(Lines!X46,FIND($A$2,Lines!X46)+LEN($A$2)+1,FIND(",",_xlfn.CONCAT(Lines!X46,","),FIND($A$2,Lines!X46))-FIND($A$2,Lines!X46)-LEN($A$2)-1))</f>
        <v/>
      </c>
      <c r="Y46" s="30" t="str">
        <f>IF(ISERROR(FIND($A$2,Lines!Y46))=TRUE,"",MID(Lines!Y46,FIND($A$2,Lines!Y46)+LEN($A$2)+1,FIND(",",_xlfn.CONCAT(Lines!Y46,","),FIND($A$2,Lines!Y46))-FIND($A$2,Lines!Y46)-LEN($A$2)-1))</f>
        <v/>
      </c>
      <c r="Z46" s="30" t="str">
        <f>IF(ISERROR(FIND($A$2,Lines!Z46))=TRUE,"",MID(Lines!Z46,FIND($A$2,Lines!Z46)+LEN($A$2)+1,FIND(",",_xlfn.CONCAT(Lines!Z46,","),FIND($A$2,Lines!Z46))-FIND($A$2,Lines!Z46)-LEN($A$2)-1))</f>
        <v/>
      </c>
      <c r="AA46" s="30" t="str">
        <f>IF(ISERROR(FIND($A$2,Lines!AA46))=TRUE,"",MID(Lines!AA46,FIND($A$2,Lines!AA46)+LEN($A$2)+1,FIND(",",_xlfn.CONCAT(Lines!AA46,","),FIND($A$2,Lines!AA46))-FIND($A$2,Lines!AA46)-LEN($A$2)-1))</f>
        <v/>
      </c>
      <c r="AB46" s="30" t="str">
        <f>IF(ISERROR(FIND($A$2,Lines!AB46))=TRUE,"",MID(Lines!AB46,FIND($A$2,Lines!AB46)+LEN($A$2)+1,FIND(",",_xlfn.CONCAT(Lines!AB46,","),FIND($A$2,Lines!AB46))-FIND($A$2,Lines!AB46)-LEN($A$2)-1))</f>
        <v/>
      </c>
      <c r="AC46" s="30" t="str">
        <f>IF(ISERROR(FIND($A$2,Lines!AC46))=TRUE,"",MID(Lines!AC46,FIND($A$2,Lines!AC46)+LEN($A$2)+1,FIND(",",_xlfn.CONCAT(Lines!AC46,","),FIND($A$2,Lines!AC46))-FIND($A$2,Lines!AC46)-LEN($A$2)-1))</f>
        <v/>
      </c>
      <c r="AD46" s="30" t="str">
        <f>IF(ISERROR(FIND($A$2,Lines!AD46))=TRUE,"",MID(Lines!AD46,FIND($A$2,Lines!AD46)+LEN($A$2)+1,FIND(",",_xlfn.CONCAT(Lines!AD46,","),FIND($A$2,Lines!AD46))-FIND($A$2,Lines!AD46)-LEN($A$2)-1))</f>
        <v/>
      </c>
      <c r="AE46" s="30" t="str">
        <f>IF(ISERROR(FIND($A$2,Lines!AE46))=TRUE,"",MID(Lines!AE46,FIND($A$2,Lines!AE46)+LEN($A$2)+1,FIND(",",_xlfn.CONCAT(Lines!AE46,","),FIND($A$2,Lines!AE46))-FIND($A$2,Lines!AE46)-LEN($A$2)-1))</f>
        <v/>
      </c>
      <c r="AF46" s="30" t="str">
        <f>IF(ISERROR(FIND($A$2,Lines!AF46))=TRUE,"",MID(Lines!AF46,FIND($A$2,Lines!AF46)+LEN($A$2)+1,FIND(",",_xlfn.CONCAT(Lines!AF46,","),FIND($A$2,Lines!AF46))-FIND($A$2,Lines!AF46)-LEN($A$2)-1))</f>
        <v/>
      </c>
      <c r="AG46" s="30" t="str">
        <f>IF(ISERROR(FIND($A$2,Lines!AG46))=TRUE,"",MID(Lines!AG46,FIND($A$2,Lines!AG46)+LEN($A$2)+1,FIND(",",_xlfn.CONCAT(Lines!AG46,","),FIND($A$2,Lines!AG46))-FIND($A$2,Lines!AG46)-LEN($A$2)-1))</f>
        <v/>
      </c>
      <c r="AH46" s="30" t="str">
        <f>IF(ISERROR(FIND($A$2,Lines!AH46))=TRUE,"",MID(Lines!AH46,FIND($A$2,Lines!AH46)+LEN($A$2)+1,FIND(",",_xlfn.CONCAT(Lines!AH46,","),FIND($A$2,Lines!AH46))-FIND($A$2,Lines!AH46)-LEN($A$2)-1))</f>
        <v/>
      </c>
      <c r="AI46" s="30" t="str">
        <f>IF(ISERROR(FIND($A$2,Lines!AI46))=TRUE,"",MID(Lines!AI46,FIND($A$2,Lines!AI46)+LEN($A$2)+1,FIND(",",_xlfn.CONCAT(Lines!AI46,","),FIND($A$2,Lines!AI46))-FIND($A$2,Lines!AI46)-LEN($A$2)-1))</f>
        <v/>
      </c>
      <c r="AJ46" s="30" t="str">
        <f>IF(ISERROR(FIND($A$2,Lines!AJ46))=TRUE,"",MID(Lines!AJ46,FIND($A$2,Lines!AJ46)+LEN($A$2)+1,FIND(",",_xlfn.CONCAT(Lines!AJ46,","),FIND($A$2,Lines!AJ46))-FIND($A$2,Lines!AJ46)-LEN($A$2)-1))</f>
        <v/>
      </c>
      <c r="AK46" s="30" t="str">
        <f>IF(ISERROR(FIND($A$2,Lines!AK46))=TRUE,"",MID(Lines!AK46,FIND($A$2,Lines!AK46)+LEN($A$2)+1,FIND(",",_xlfn.CONCAT(Lines!AK46,","),FIND($A$2,Lines!AK46))-FIND($A$2,Lines!AK46)-LEN($A$2)-1))</f>
        <v/>
      </c>
      <c r="AL46" s="30" t="str">
        <f>IF(ISERROR(FIND($A$2,Lines!AL46))=TRUE,"",MID(Lines!AL46,FIND($A$2,Lines!AL46)+LEN($A$2)+1,FIND(",",_xlfn.CONCAT(Lines!AL46,","),FIND($A$2,Lines!AL46))-FIND($A$2,Lines!AL46)-LEN($A$2)-1))</f>
        <v/>
      </c>
      <c r="AM46" s="30" t="str">
        <f>IF(ISERROR(FIND($A$2,Lines!AM46))=TRUE,"",MID(Lines!AM46,FIND($A$2,Lines!AM46)+LEN($A$2)+1,FIND(",",_xlfn.CONCAT(Lines!AM46,","),FIND($A$2,Lines!AM46))-FIND($A$2,Lines!AM46)-LEN($A$2)-1))</f>
        <v/>
      </c>
      <c r="AN46" s="30" t="str">
        <f>IF(ISERROR(FIND($A$2,Lines!AN46))=TRUE,"",MID(Lines!AN46,FIND($A$2,Lines!AN46)+LEN($A$2)+1,FIND(",",_xlfn.CONCAT(Lines!AN46,","),FIND($A$2,Lines!AN46))-FIND($A$2,Lines!AN46)-LEN($A$2)-1))</f>
        <v/>
      </c>
      <c r="AO46" s="30" t="str">
        <f>IF(ISERROR(FIND($A$2,Lines!AO46))=TRUE,"",MID(Lines!AO46,FIND($A$2,Lines!AO46)+LEN($A$2)+1,FIND(",",_xlfn.CONCAT(Lines!AO46,","),FIND($A$2,Lines!AO46))-FIND($A$2,Lines!AO46)-LEN($A$2)-1))</f>
        <v/>
      </c>
      <c r="AP46" s="57" t="str">
        <f>IF(ISERROR(FIND($A$2,Lines!AP46))=TRUE,"",MID(Lines!AP46,FIND($A$2,Lines!AP46)+LEN($A$2)+1,FIND(",",_xlfn.CONCAT(Lines!AP46,","),FIND($A$2,Lines!AP46))-FIND($A$2,Lines!AP46)-LEN($A$2)-1))</f>
        <v/>
      </c>
      <c r="AQ46" s="44" t="str">
        <f>IF(ISERROR(FIND($A$2,Lines!AQ46))=TRUE,"",MID(Lines!AQ46,FIND($A$2,Lines!AQ46)+LEN($A$2)+1,FIND(",",_xlfn.CONCAT(Lines!AQ46,","),FIND($A$2,Lines!AQ46))-FIND($A$2,Lines!AQ46)-LEN($A$2)-1))</f>
        <v/>
      </c>
      <c r="AR46" s="66" t="str">
        <f>IF(ISERROR(FIND($A$2,Lines!AR46))=TRUE,"",MID(Lines!AR46,FIND($A$2,Lines!AR46)+LEN($A$2)+1,FIND(",",_xlfn.CONCAT(Lines!AR46,","),FIND($A$2,Lines!AR46))-FIND($A$2,Lines!AR46)-LEN($A$2)-1))</f>
        <v/>
      </c>
      <c r="AS46" s="44" t="str">
        <f>IF(ISERROR(FIND($A$2,Lines!AS46))=TRUE,"",MID(Lines!AS46,FIND($A$2,Lines!AS46)+LEN($A$2)+1,FIND(",",_xlfn.CONCAT(Lines!AS46,","),FIND($A$2,Lines!AS46))-FIND($A$2,Lines!AS46)-LEN($A$2)-1))</f>
        <v/>
      </c>
      <c r="AT46" s="44" t="str">
        <f>IF(ISERROR(FIND($A$2,Lines!AT46))=TRUE,"",MID(Lines!AT46,FIND($A$2,Lines!AT46)+LEN($A$2)+1,FIND(",",_xlfn.CONCAT(Lines!AT46,","),FIND($A$2,Lines!AT46))-FIND($A$2,Lines!AT46)-LEN($A$2)-1))</f>
        <v/>
      </c>
    </row>
    <row r="47" spans="1:46" ht="20.25" customHeight="1">
      <c r="A47" s="2" t="s">
        <v>95</v>
      </c>
      <c r="B47" s="30" t="str">
        <f>IF(ISERROR(FIND($A$2,Lines!B47))=TRUE,"",MID(Lines!B47,FIND($A$2,Lines!B47)+LEN($A$2)+1,FIND(",",_xlfn.CONCAT(Lines!B47,","),FIND($A$2,Lines!B47))-FIND($A$2,Lines!B47)-LEN($A$2)-1))</f>
        <v/>
      </c>
      <c r="C47" s="30" t="str">
        <f>IF(ISERROR(FIND($A$2,Lines!C47))=TRUE,"",MID(Lines!C47,FIND($A$2,Lines!C47)+LEN($A$2)+1,FIND(",",_xlfn.CONCAT(Lines!C47,","),FIND($A$2,Lines!C47))-FIND($A$2,Lines!C47)-LEN($A$2)-1))</f>
        <v/>
      </c>
      <c r="D47" s="30" t="str">
        <f>IF(ISERROR(FIND($A$2,Lines!D47))=TRUE,"",MID(Lines!D47,FIND($A$2,Lines!D47)+LEN($A$2)+1,FIND(",",_xlfn.CONCAT(Lines!D47,","),FIND($A$2,Lines!D47))-FIND($A$2,Lines!D47)-LEN($A$2)-1))</f>
        <v/>
      </c>
      <c r="E47" s="30" t="str">
        <f>IF(ISERROR(FIND($A$2,Lines!E47))=TRUE,"",MID(Lines!E47,FIND($A$2,Lines!E47)+LEN($A$2)+1,FIND(",",_xlfn.CONCAT(Lines!E47,","),FIND($A$2,Lines!E47))-FIND($A$2,Lines!E47)-LEN($A$2)-1))</f>
        <v/>
      </c>
      <c r="F47" s="30" t="str">
        <f>IF(ISERROR(FIND($A$2,Lines!F47))=TRUE,"",MID(Lines!F47,FIND($A$2,Lines!F47)+LEN($A$2)+1,FIND(",",_xlfn.CONCAT(Lines!F47,","),FIND($A$2,Lines!F47))-FIND($A$2,Lines!F47)-LEN($A$2)-1))</f>
        <v/>
      </c>
      <c r="G47" s="30" t="str">
        <f>IF(ISERROR(FIND($A$2,Lines!G47))=TRUE,"",MID(Lines!G47,FIND($A$2,Lines!G47)+LEN($A$2)+1,FIND(",",_xlfn.CONCAT(Lines!G47,","),FIND($A$2,Lines!G47))-FIND($A$2,Lines!G47)-LEN($A$2)-1))</f>
        <v/>
      </c>
      <c r="H47" s="30" t="str">
        <f>IF(ISERROR(FIND($A$2,Lines!H47))=TRUE,"",MID(Lines!H47,FIND($A$2,Lines!H47)+LEN($A$2)+1,FIND(",",_xlfn.CONCAT(Lines!H47,","),FIND($A$2,Lines!H47))-FIND($A$2,Lines!H47)-LEN($A$2)-1))</f>
        <v/>
      </c>
      <c r="I47" s="30" t="str">
        <f>IF(ISERROR(FIND($A$2,Lines!I47))=TRUE,"",MID(Lines!I47,FIND($A$2,Lines!I47)+LEN($A$2)+1,FIND(",",_xlfn.CONCAT(Lines!I47,","),FIND($A$2,Lines!I47))-FIND($A$2,Lines!I47)-LEN($A$2)-1))</f>
        <v/>
      </c>
      <c r="J47" s="30" t="str">
        <f>IF(ISERROR(FIND($A$2,Lines!J47))=TRUE,"",MID(Lines!J47,FIND($A$2,Lines!J47)+LEN($A$2)+1,FIND(",",_xlfn.CONCAT(Lines!J47,","),FIND($A$2,Lines!J47))-FIND($A$2,Lines!J47)-LEN($A$2)-1))</f>
        <v/>
      </c>
      <c r="K47" s="30" t="str">
        <f>IF(ISERROR(FIND($A$2,Lines!K47))=TRUE,"",MID(Lines!K47,FIND($A$2,Lines!K47)+LEN($A$2)+1,FIND(",",_xlfn.CONCAT(Lines!K47,","),FIND($A$2,Lines!K47))-FIND($A$2,Lines!K47)-LEN($A$2)-1))</f>
        <v/>
      </c>
      <c r="L47" s="30" t="str">
        <f>IF(ISERROR(FIND($A$2,Lines!L47))=TRUE,"",MID(Lines!L47,FIND($A$2,Lines!L47)+LEN($A$2)+1,FIND(",",_xlfn.CONCAT(Lines!L47,","),FIND($A$2,Lines!L47))-FIND($A$2,Lines!L47)-LEN($A$2)-1))</f>
        <v/>
      </c>
      <c r="M47" s="30" t="str">
        <f>IF(ISERROR(FIND($A$2,Lines!M47))=TRUE,"",MID(Lines!M47,FIND($A$2,Lines!M47)+LEN($A$2)+1,FIND(",",_xlfn.CONCAT(Lines!M47,","),FIND($A$2,Lines!M47))-FIND($A$2,Lines!M47)-LEN($A$2)-1))</f>
        <v/>
      </c>
      <c r="N47" s="30" t="str">
        <f>IF(ISERROR(FIND($A$2,Lines!N47))=TRUE,"",MID(Lines!N47,FIND($A$2,Lines!N47)+LEN($A$2)+1,FIND(",",_xlfn.CONCAT(Lines!N47,","),FIND($A$2,Lines!N47))-FIND($A$2,Lines!N47)-LEN($A$2)-1))</f>
        <v/>
      </c>
      <c r="O47" s="30" t="str">
        <f>IF(ISERROR(FIND($A$2,Lines!O47))=TRUE,"",MID(Lines!O47,FIND($A$2,Lines!O47)+LEN($A$2)+1,FIND(",",_xlfn.CONCAT(Lines!O47,","),FIND($A$2,Lines!O47))-FIND($A$2,Lines!O47)-LEN($A$2)-1))</f>
        <v/>
      </c>
      <c r="P47" s="30" t="str">
        <f>IF(ISERROR(FIND($A$2,Lines!P47))=TRUE,"",MID(Lines!P47,FIND($A$2,Lines!P47)+LEN($A$2)+1,FIND(",",_xlfn.CONCAT(Lines!P47,","),FIND($A$2,Lines!P47))-FIND($A$2,Lines!P47)-LEN($A$2)-1))</f>
        <v/>
      </c>
      <c r="Q47" s="30" t="str">
        <f>IF(ISERROR(FIND($A$2,Lines!Q47))=TRUE,"",MID(Lines!Q47,FIND($A$2,Lines!Q47)+LEN($A$2)+1,FIND(",",_xlfn.CONCAT(Lines!Q47,","),FIND($A$2,Lines!Q47))-FIND($A$2,Lines!Q47)-LEN($A$2)-1))</f>
        <v/>
      </c>
      <c r="R47" s="30" t="str">
        <f>IF(ISERROR(FIND($A$2,Lines!R47))=TRUE,"",MID(Lines!R47,FIND($A$2,Lines!R47)+LEN($A$2)+1,FIND(",",_xlfn.CONCAT(Lines!R47,","),FIND($A$2,Lines!R47))-FIND($A$2,Lines!R47)-LEN($A$2)-1))</f>
        <v/>
      </c>
      <c r="S47" s="30" t="str">
        <f>IF(ISERROR(FIND($A$2,Lines!S47))=TRUE,"",MID(Lines!S47,FIND($A$2,Lines!S47)+LEN($A$2)+1,FIND(",",_xlfn.CONCAT(Lines!S47,","),FIND($A$2,Lines!S47))-FIND($A$2,Lines!S47)-LEN($A$2)-1))</f>
        <v/>
      </c>
      <c r="T47" s="30" t="str">
        <f>IF(ISERROR(FIND($A$2,Lines!T47))=TRUE,"",MID(Lines!T47,FIND($A$2,Lines!T47)+LEN($A$2)+1,FIND(",",_xlfn.CONCAT(Lines!T47,","),FIND($A$2,Lines!T47))-FIND($A$2,Lines!T47)-LEN($A$2)-1))</f>
        <v/>
      </c>
      <c r="U47" s="30" t="str">
        <f>IF(ISERROR(FIND($A$2,Lines!U47))=TRUE,"",MID(Lines!U47,FIND($A$2,Lines!U47)+LEN($A$2)+1,FIND(",",_xlfn.CONCAT(Lines!U47,","),FIND($A$2,Lines!U47))-FIND($A$2,Lines!U47)-LEN($A$2)-1))</f>
        <v/>
      </c>
      <c r="V47" s="30" t="str">
        <f>IF(ISERROR(FIND($A$2,Lines!V47))=TRUE,"",MID(Lines!V47,FIND($A$2,Lines!V47)+LEN($A$2)+1,FIND(",",_xlfn.CONCAT(Lines!V47,","),FIND($A$2,Lines!V47))-FIND($A$2,Lines!V47)-LEN($A$2)-1))</f>
        <v/>
      </c>
      <c r="W47" s="36" t="str">
        <f>IF(ISERROR(FIND($A$2,Lines!W47))=TRUE,"",MID(Lines!W47,FIND($A$2,Lines!W47)+LEN($A$2)+1,FIND(",",_xlfn.CONCAT(Lines!W47,","),FIND($A$2,Lines!W47))-FIND($A$2,Lines!W47)-LEN($A$2)-1))</f>
        <v/>
      </c>
      <c r="X47" s="30" t="str">
        <f>IF(ISERROR(FIND($A$2,Lines!X47))=TRUE,"",MID(Lines!X47,FIND($A$2,Lines!X47)+LEN($A$2)+1,FIND(",",_xlfn.CONCAT(Lines!X47,","),FIND($A$2,Lines!X47))-FIND($A$2,Lines!X47)-LEN($A$2)-1))</f>
        <v/>
      </c>
      <c r="Y47" s="30" t="str">
        <f>IF(ISERROR(FIND($A$2,Lines!Y47))=TRUE,"",MID(Lines!Y47,FIND($A$2,Lines!Y47)+LEN($A$2)+1,FIND(",",_xlfn.CONCAT(Lines!Y47,","),FIND($A$2,Lines!Y47))-FIND($A$2,Lines!Y47)-LEN($A$2)-1))</f>
        <v/>
      </c>
      <c r="Z47" s="30" t="str">
        <f>IF(ISERROR(FIND($A$2,Lines!Z47))=TRUE,"",MID(Lines!Z47,FIND($A$2,Lines!Z47)+LEN($A$2)+1,FIND(",",_xlfn.CONCAT(Lines!Z47,","),FIND($A$2,Lines!Z47))-FIND($A$2,Lines!Z47)-LEN($A$2)-1))</f>
        <v/>
      </c>
      <c r="AA47" s="30" t="str">
        <f>IF(ISERROR(FIND($A$2,Lines!AA47))=TRUE,"",MID(Lines!AA47,FIND($A$2,Lines!AA47)+LEN($A$2)+1,FIND(",",_xlfn.CONCAT(Lines!AA47,","),FIND($A$2,Lines!AA47))-FIND($A$2,Lines!AA47)-LEN($A$2)-1))</f>
        <v/>
      </c>
      <c r="AB47" s="30" t="str">
        <f>IF(ISERROR(FIND($A$2,Lines!AB47))=TRUE,"",MID(Lines!AB47,FIND($A$2,Lines!AB47)+LEN($A$2)+1,FIND(",",_xlfn.CONCAT(Lines!AB47,","),FIND($A$2,Lines!AB47))-FIND($A$2,Lines!AB47)-LEN($A$2)-1))</f>
        <v/>
      </c>
      <c r="AC47" s="30" t="str">
        <f>IF(ISERROR(FIND($A$2,Lines!AC47))=TRUE,"",MID(Lines!AC47,FIND($A$2,Lines!AC47)+LEN($A$2)+1,FIND(",",_xlfn.CONCAT(Lines!AC47,","),FIND($A$2,Lines!AC47))-FIND($A$2,Lines!AC47)-LEN($A$2)-1))</f>
        <v/>
      </c>
      <c r="AD47" s="30" t="str">
        <f>IF(ISERROR(FIND($A$2,Lines!AD47))=TRUE,"",MID(Lines!AD47,FIND($A$2,Lines!AD47)+LEN($A$2)+1,FIND(",",_xlfn.CONCAT(Lines!AD47,","),FIND($A$2,Lines!AD47))-FIND($A$2,Lines!AD47)-LEN($A$2)-1))</f>
        <v/>
      </c>
      <c r="AE47" s="30" t="str">
        <f>IF(ISERROR(FIND($A$2,Lines!AE47))=TRUE,"",MID(Lines!AE47,FIND($A$2,Lines!AE47)+LEN($A$2)+1,FIND(",",_xlfn.CONCAT(Lines!AE47,","),FIND($A$2,Lines!AE47))-FIND($A$2,Lines!AE47)-LEN($A$2)-1))</f>
        <v/>
      </c>
      <c r="AF47" s="30" t="str">
        <f>IF(ISERROR(FIND($A$2,Lines!AF47))=TRUE,"",MID(Lines!AF47,FIND($A$2,Lines!AF47)+LEN($A$2)+1,FIND(",",_xlfn.CONCAT(Lines!AF47,","),FIND($A$2,Lines!AF47))-FIND($A$2,Lines!AF47)-LEN($A$2)-1))</f>
        <v/>
      </c>
      <c r="AG47" s="30" t="str">
        <f>IF(ISERROR(FIND($A$2,Lines!AG47))=TRUE,"",MID(Lines!AG47,FIND($A$2,Lines!AG47)+LEN($A$2)+1,FIND(",",_xlfn.CONCAT(Lines!AG47,","),FIND($A$2,Lines!AG47))-FIND($A$2,Lines!AG47)-LEN($A$2)-1))</f>
        <v/>
      </c>
      <c r="AH47" s="30" t="str">
        <f>IF(ISERROR(FIND($A$2,Lines!AH47))=TRUE,"",MID(Lines!AH47,FIND($A$2,Lines!AH47)+LEN($A$2)+1,FIND(",",_xlfn.CONCAT(Lines!AH47,","),FIND($A$2,Lines!AH47))-FIND($A$2,Lines!AH47)-LEN($A$2)-1))</f>
        <v/>
      </c>
      <c r="AI47" s="30" t="str">
        <f>IF(ISERROR(FIND($A$2,Lines!AI47))=TRUE,"",MID(Lines!AI47,FIND($A$2,Lines!AI47)+LEN($A$2)+1,FIND(",",_xlfn.CONCAT(Lines!AI47,","),FIND($A$2,Lines!AI47))-FIND($A$2,Lines!AI47)-LEN($A$2)-1))</f>
        <v/>
      </c>
      <c r="AJ47" s="30" t="str">
        <f>IF(ISERROR(FIND($A$2,Lines!AJ47))=TRUE,"",MID(Lines!AJ47,FIND($A$2,Lines!AJ47)+LEN($A$2)+1,FIND(",",_xlfn.CONCAT(Lines!AJ47,","),FIND($A$2,Lines!AJ47))-FIND($A$2,Lines!AJ47)-LEN($A$2)-1))</f>
        <v/>
      </c>
      <c r="AK47" s="30" t="str">
        <f>IF(ISERROR(FIND($A$2,Lines!AK47))=TRUE,"",MID(Lines!AK47,FIND($A$2,Lines!AK47)+LEN($A$2)+1,FIND(",",_xlfn.CONCAT(Lines!AK47,","),FIND($A$2,Lines!AK47))-FIND($A$2,Lines!AK47)-LEN($A$2)-1))</f>
        <v/>
      </c>
      <c r="AL47" s="30" t="str">
        <f>IF(ISERROR(FIND($A$2,Lines!AL47))=TRUE,"",MID(Lines!AL47,FIND($A$2,Lines!AL47)+LEN($A$2)+1,FIND(",",_xlfn.CONCAT(Lines!AL47,","),FIND($A$2,Lines!AL47))-FIND($A$2,Lines!AL47)-LEN($A$2)-1))</f>
        <v/>
      </c>
      <c r="AM47" s="30" t="str">
        <f>IF(ISERROR(FIND($A$2,Lines!AM47))=TRUE,"",MID(Lines!AM47,FIND($A$2,Lines!AM47)+LEN($A$2)+1,FIND(",",_xlfn.CONCAT(Lines!AM47,","),FIND($A$2,Lines!AM47))-FIND($A$2,Lines!AM47)-LEN($A$2)-1))</f>
        <v/>
      </c>
      <c r="AN47" s="30" t="str">
        <f>IF(ISERROR(FIND($A$2,Lines!AN47))=TRUE,"",MID(Lines!AN47,FIND($A$2,Lines!AN47)+LEN($A$2)+1,FIND(",",_xlfn.CONCAT(Lines!AN47,","),FIND($A$2,Lines!AN47))-FIND($A$2,Lines!AN47)-LEN($A$2)-1))</f>
        <v/>
      </c>
      <c r="AO47" s="30" t="str">
        <f>IF(ISERROR(FIND($A$2,Lines!AO47))=TRUE,"",MID(Lines!AO47,FIND($A$2,Lines!AO47)+LEN($A$2)+1,FIND(",",_xlfn.CONCAT(Lines!AO47,","),FIND($A$2,Lines!AO47))-FIND($A$2,Lines!AO47)-LEN($A$2)-1))</f>
        <v/>
      </c>
      <c r="AP47" s="57" t="str">
        <f>IF(ISERROR(FIND($A$2,Lines!AP47))=TRUE,"",MID(Lines!AP47,FIND($A$2,Lines!AP47)+LEN($A$2)+1,FIND(",",_xlfn.CONCAT(Lines!AP47,","),FIND($A$2,Lines!AP47))-FIND($A$2,Lines!AP47)-LEN($A$2)-1))</f>
        <v/>
      </c>
      <c r="AQ47" s="44" t="str">
        <f>IF(ISERROR(FIND($A$2,Lines!AQ47))=TRUE,"",MID(Lines!AQ47,FIND($A$2,Lines!AQ47)+LEN($A$2)+1,FIND(",",_xlfn.CONCAT(Lines!AQ47,","),FIND($A$2,Lines!AQ47))-FIND($A$2,Lines!AQ47)-LEN($A$2)-1))</f>
        <v/>
      </c>
      <c r="AR47" s="44" t="str">
        <f>IF(ISERROR(FIND($A$2,Lines!AR47))=TRUE,"",MID(Lines!AR47,FIND($A$2,Lines!AR47)+LEN($A$2)+1,FIND(",",_xlfn.CONCAT(Lines!AR47,","),FIND($A$2,Lines!AR47))-FIND($A$2,Lines!AR47)-LEN($A$2)-1))</f>
        <v/>
      </c>
      <c r="AS47" s="66" t="str">
        <f>IF(ISERROR(FIND($A$2,Lines!AS47))=TRUE,"",MID(Lines!AS47,FIND($A$2,Lines!AS47)+LEN($A$2)+1,FIND(",",_xlfn.CONCAT(Lines!AS47,","),FIND($A$2,Lines!AS47))-FIND($A$2,Lines!AS47)-LEN($A$2)-1))</f>
        <v/>
      </c>
      <c r="AT47" s="44" t="str">
        <f>IF(ISERROR(FIND($A$2,Lines!AT47))=TRUE,"",MID(Lines!AT47,FIND($A$2,Lines!AT47)+LEN($A$2)+1,FIND(",",_xlfn.CONCAT(Lines!AT47,","),FIND($A$2,Lines!AT47))-FIND($A$2,Lines!AT47)-LEN($A$2)-1))</f>
        <v/>
      </c>
    </row>
    <row r="48" spans="1:46" ht="20.25" customHeight="1">
      <c r="A48" s="2" t="s">
        <v>96</v>
      </c>
      <c r="B48" s="30" t="str">
        <f>IF(ISERROR(FIND($A$2,Lines!B48))=TRUE,"",MID(Lines!B48,FIND($A$2,Lines!B48)+LEN($A$2)+1,FIND(",",_xlfn.CONCAT(Lines!B48,","),FIND($A$2,Lines!B48))-FIND($A$2,Lines!B48)-LEN($A$2)-1))</f>
        <v/>
      </c>
      <c r="C48" s="30" t="str">
        <f>IF(ISERROR(FIND($A$2,Lines!C48))=TRUE,"",MID(Lines!C48,FIND($A$2,Lines!C48)+LEN($A$2)+1,FIND(",",_xlfn.CONCAT(Lines!C48,","),FIND($A$2,Lines!C48))-FIND($A$2,Lines!C48)-LEN($A$2)-1))</f>
        <v/>
      </c>
      <c r="D48" s="30" t="str">
        <f>IF(ISERROR(FIND($A$2,Lines!D48))=TRUE,"",MID(Lines!D48,FIND($A$2,Lines!D48)+LEN($A$2)+1,FIND(",",_xlfn.CONCAT(Lines!D48,","),FIND($A$2,Lines!D48))-FIND($A$2,Lines!D48)-LEN($A$2)-1))</f>
        <v/>
      </c>
      <c r="E48" s="30" t="str">
        <f>IF(ISERROR(FIND($A$2,Lines!E48))=TRUE,"",MID(Lines!E48,FIND($A$2,Lines!E48)+LEN($A$2)+1,FIND(",",_xlfn.CONCAT(Lines!E48,","),FIND($A$2,Lines!E48))-FIND($A$2,Lines!E48)-LEN($A$2)-1))</f>
        <v/>
      </c>
      <c r="F48" s="30" t="str">
        <f>IF(ISERROR(FIND($A$2,Lines!F48))=TRUE,"",MID(Lines!F48,FIND($A$2,Lines!F48)+LEN($A$2)+1,FIND(",",_xlfn.CONCAT(Lines!F48,","),FIND($A$2,Lines!F48))-FIND($A$2,Lines!F48)-LEN($A$2)-1))</f>
        <v/>
      </c>
      <c r="G48" s="30" t="str">
        <f>IF(ISERROR(FIND($A$2,Lines!G48))=TRUE,"",MID(Lines!G48,FIND($A$2,Lines!G48)+LEN($A$2)+1,FIND(",",_xlfn.CONCAT(Lines!G48,","),FIND($A$2,Lines!G48))-FIND($A$2,Lines!G48)-LEN($A$2)-1))</f>
        <v/>
      </c>
      <c r="H48" s="30" t="str">
        <f>IF(ISERROR(FIND($A$2,Lines!H48))=TRUE,"",MID(Lines!H48,FIND($A$2,Lines!H48)+LEN($A$2)+1,FIND(",",_xlfn.CONCAT(Lines!H48,","),FIND($A$2,Lines!H48))-FIND($A$2,Lines!H48)-LEN($A$2)-1))</f>
        <v/>
      </c>
      <c r="I48" s="30" t="str">
        <f>IF(ISERROR(FIND($A$2,Lines!I48))=TRUE,"",MID(Lines!I48,FIND($A$2,Lines!I48)+LEN($A$2)+1,FIND(",",_xlfn.CONCAT(Lines!I48,","),FIND($A$2,Lines!I48))-FIND($A$2,Lines!I48)-LEN($A$2)-1))</f>
        <v/>
      </c>
      <c r="J48" s="30" t="str">
        <f>IF(ISERROR(FIND($A$2,Lines!J48))=TRUE,"",MID(Lines!J48,FIND($A$2,Lines!J48)+LEN($A$2)+1,FIND(",",_xlfn.CONCAT(Lines!J48,","),FIND($A$2,Lines!J48))-FIND($A$2,Lines!J48)-LEN($A$2)-1))</f>
        <v/>
      </c>
      <c r="K48" s="30" t="str">
        <f>IF(ISERROR(FIND($A$2,Lines!K48))=TRUE,"",MID(Lines!K48,FIND($A$2,Lines!K48)+LEN($A$2)+1,FIND(",",_xlfn.CONCAT(Lines!K48,","),FIND($A$2,Lines!K48))-FIND($A$2,Lines!K48)-LEN($A$2)-1))</f>
        <v/>
      </c>
      <c r="L48" s="30" t="str">
        <f>IF(ISERROR(FIND($A$2,Lines!L48))=TRUE,"",MID(Lines!L48,FIND($A$2,Lines!L48)+LEN($A$2)+1,FIND(",",_xlfn.CONCAT(Lines!L48,","),FIND($A$2,Lines!L48))-FIND($A$2,Lines!L48)-LEN($A$2)-1))</f>
        <v/>
      </c>
      <c r="M48" s="30" t="str">
        <f>IF(ISERROR(FIND($A$2,Lines!M48))=TRUE,"",MID(Lines!M48,FIND($A$2,Lines!M48)+LEN($A$2)+1,FIND(",",_xlfn.CONCAT(Lines!M48,","),FIND($A$2,Lines!M48))-FIND($A$2,Lines!M48)-LEN($A$2)-1))</f>
        <v/>
      </c>
      <c r="N48" s="30" t="str">
        <f>IF(ISERROR(FIND($A$2,Lines!N48))=TRUE,"",MID(Lines!N48,FIND($A$2,Lines!N48)+LEN($A$2)+1,FIND(",",_xlfn.CONCAT(Lines!N48,","),FIND($A$2,Lines!N48))-FIND($A$2,Lines!N48)-LEN($A$2)-1))</f>
        <v/>
      </c>
      <c r="O48" s="30" t="str">
        <f>IF(ISERROR(FIND($A$2,Lines!O48))=TRUE,"",MID(Lines!O48,FIND($A$2,Lines!O48)+LEN($A$2)+1,FIND(",",_xlfn.CONCAT(Lines!O48,","),FIND($A$2,Lines!O48))-FIND($A$2,Lines!O48)-LEN($A$2)-1))</f>
        <v/>
      </c>
      <c r="P48" s="30" t="str">
        <f>IF(ISERROR(FIND($A$2,Lines!P48))=TRUE,"",MID(Lines!P48,FIND($A$2,Lines!P48)+LEN($A$2)+1,FIND(",",_xlfn.CONCAT(Lines!P48,","),FIND($A$2,Lines!P48))-FIND($A$2,Lines!P48)-LEN($A$2)-1))</f>
        <v/>
      </c>
      <c r="Q48" s="30" t="str">
        <f>IF(ISERROR(FIND($A$2,Lines!Q48))=TRUE,"",MID(Lines!Q48,FIND($A$2,Lines!Q48)+LEN($A$2)+1,FIND(",",_xlfn.CONCAT(Lines!Q48,","),FIND($A$2,Lines!Q48))-FIND($A$2,Lines!Q48)-LEN($A$2)-1))</f>
        <v/>
      </c>
      <c r="R48" s="30" t="str">
        <f>IF(ISERROR(FIND($A$2,Lines!R48))=TRUE,"",MID(Lines!R48,FIND($A$2,Lines!R48)+LEN($A$2)+1,FIND(",",_xlfn.CONCAT(Lines!R48,","),FIND($A$2,Lines!R48))-FIND($A$2,Lines!R48)-LEN($A$2)-1))</f>
        <v/>
      </c>
      <c r="S48" s="30" t="str">
        <f>IF(ISERROR(FIND($A$2,Lines!S48))=TRUE,"",MID(Lines!S48,FIND($A$2,Lines!S48)+LEN($A$2)+1,FIND(",",_xlfn.CONCAT(Lines!S48,","),FIND($A$2,Lines!S48))-FIND($A$2,Lines!S48)-LEN($A$2)-1))</f>
        <v/>
      </c>
      <c r="T48" s="30" t="str">
        <f>IF(ISERROR(FIND($A$2,Lines!T48))=TRUE,"",MID(Lines!T48,FIND($A$2,Lines!T48)+LEN($A$2)+1,FIND(",",_xlfn.CONCAT(Lines!T48,","),FIND($A$2,Lines!T48))-FIND($A$2,Lines!T48)-LEN($A$2)-1))</f>
        <v/>
      </c>
      <c r="U48" s="30" t="str">
        <f>IF(ISERROR(FIND($A$2,Lines!U48))=TRUE,"",MID(Lines!U48,FIND($A$2,Lines!U48)+LEN($A$2)+1,FIND(",",_xlfn.CONCAT(Lines!U48,","),FIND($A$2,Lines!U48))-FIND($A$2,Lines!U48)-LEN($A$2)-1))</f>
        <v/>
      </c>
      <c r="V48" s="30" t="str">
        <f>IF(ISERROR(FIND($A$2,Lines!V48))=TRUE,"",MID(Lines!V48,FIND($A$2,Lines!V48)+LEN($A$2)+1,FIND(",",_xlfn.CONCAT(Lines!V48,","),FIND($A$2,Lines!V48))-FIND($A$2,Lines!V48)-LEN($A$2)-1))</f>
        <v/>
      </c>
      <c r="W48" s="36" t="str">
        <f>IF(ISERROR(FIND($A$2,Lines!W48))=TRUE,"",MID(Lines!W48,FIND($A$2,Lines!W48)+LEN($A$2)+1,FIND(",",_xlfn.CONCAT(Lines!W48,","),FIND($A$2,Lines!W48))-FIND($A$2,Lines!W48)-LEN($A$2)-1))</f>
        <v/>
      </c>
      <c r="X48" s="30" t="str">
        <f>IF(ISERROR(FIND($A$2,Lines!X48))=TRUE,"",MID(Lines!X48,FIND($A$2,Lines!X48)+LEN($A$2)+1,FIND(",",_xlfn.CONCAT(Lines!X48,","),FIND($A$2,Lines!X48))-FIND($A$2,Lines!X48)-LEN($A$2)-1))</f>
        <v/>
      </c>
      <c r="Y48" s="30" t="str">
        <f>IF(ISERROR(FIND($A$2,Lines!Y48))=TRUE,"",MID(Lines!Y48,FIND($A$2,Lines!Y48)+LEN($A$2)+1,FIND(",",_xlfn.CONCAT(Lines!Y48,","),FIND($A$2,Lines!Y48))-FIND($A$2,Lines!Y48)-LEN($A$2)-1))</f>
        <v/>
      </c>
      <c r="Z48" s="30" t="str">
        <f>IF(ISERROR(FIND($A$2,Lines!Z48))=TRUE,"",MID(Lines!Z48,FIND($A$2,Lines!Z48)+LEN($A$2)+1,FIND(",",_xlfn.CONCAT(Lines!Z48,","),FIND($A$2,Lines!Z48))-FIND($A$2,Lines!Z48)-LEN($A$2)-1))</f>
        <v/>
      </c>
      <c r="AA48" s="30" t="str">
        <f>IF(ISERROR(FIND($A$2,Lines!AA48))=TRUE,"",MID(Lines!AA48,FIND($A$2,Lines!AA48)+LEN($A$2)+1,FIND(",",_xlfn.CONCAT(Lines!AA48,","),FIND($A$2,Lines!AA48))-FIND($A$2,Lines!AA48)-LEN($A$2)-1))</f>
        <v/>
      </c>
      <c r="AB48" s="30" t="str">
        <f>IF(ISERROR(FIND($A$2,Lines!AB48))=TRUE,"",MID(Lines!AB48,FIND($A$2,Lines!AB48)+LEN($A$2)+1,FIND(",",_xlfn.CONCAT(Lines!AB48,","),FIND($A$2,Lines!AB48))-FIND($A$2,Lines!AB48)-LEN($A$2)-1))</f>
        <v/>
      </c>
      <c r="AC48" s="30" t="str">
        <f>IF(ISERROR(FIND($A$2,Lines!AC48))=TRUE,"",MID(Lines!AC48,FIND($A$2,Lines!AC48)+LEN($A$2)+1,FIND(",",_xlfn.CONCAT(Lines!AC48,","),FIND($A$2,Lines!AC48))-FIND($A$2,Lines!AC48)-LEN($A$2)-1))</f>
        <v/>
      </c>
      <c r="AD48" s="30" t="str">
        <f>IF(ISERROR(FIND($A$2,Lines!AD48))=TRUE,"",MID(Lines!AD48,FIND($A$2,Lines!AD48)+LEN($A$2)+1,FIND(",",_xlfn.CONCAT(Lines!AD48,","),FIND($A$2,Lines!AD48))-FIND($A$2,Lines!AD48)-LEN($A$2)-1))</f>
        <v/>
      </c>
      <c r="AE48" s="30" t="str">
        <f>IF(ISERROR(FIND($A$2,Lines!AE48))=TRUE,"",MID(Lines!AE48,FIND($A$2,Lines!AE48)+LEN($A$2)+1,FIND(",",_xlfn.CONCAT(Lines!AE48,","),FIND($A$2,Lines!AE48))-FIND($A$2,Lines!AE48)-LEN($A$2)-1))</f>
        <v/>
      </c>
      <c r="AF48" s="30" t="str">
        <f>IF(ISERROR(FIND($A$2,Lines!AF48))=TRUE,"",MID(Lines!AF48,FIND($A$2,Lines!AF48)+LEN($A$2)+1,FIND(",",_xlfn.CONCAT(Lines!AF48,","),FIND($A$2,Lines!AF48))-FIND($A$2,Lines!AF48)-LEN($A$2)-1))</f>
        <v/>
      </c>
      <c r="AG48" s="30" t="str">
        <f>IF(ISERROR(FIND($A$2,Lines!AG48))=TRUE,"",MID(Lines!AG48,FIND($A$2,Lines!AG48)+LEN($A$2)+1,FIND(",",_xlfn.CONCAT(Lines!AG48,","),FIND($A$2,Lines!AG48))-FIND($A$2,Lines!AG48)-LEN($A$2)-1))</f>
        <v/>
      </c>
      <c r="AH48" s="30" t="str">
        <f>IF(ISERROR(FIND($A$2,Lines!AH48))=TRUE,"",MID(Lines!AH48,FIND($A$2,Lines!AH48)+LEN($A$2)+1,FIND(",",_xlfn.CONCAT(Lines!AH48,","),FIND($A$2,Lines!AH48))-FIND($A$2,Lines!AH48)-LEN($A$2)-1))</f>
        <v/>
      </c>
      <c r="AI48" s="30" t="str">
        <f>IF(ISERROR(FIND($A$2,Lines!AI48))=TRUE,"",MID(Lines!AI48,FIND($A$2,Lines!AI48)+LEN($A$2)+1,FIND(",",_xlfn.CONCAT(Lines!AI48,","),FIND($A$2,Lines!AI48))-FIND($A$2,Lines!AI48)-LEN($A$2)-1))</f>
        <v/>
      </c>
      <c r="AJ48" s="30" t="str">
        <f>IF(ISERROR(FIND($A$2,Lines!AJ48))=TRUE,"",MID(Lines!AJ48,FIND($A$2,Lines!AJ48)+LEN($A$2)+1,FIND(",",_xlfn.CONCAT(Lines!AJ48,","),FIND($A$2,Lines!AJ48))-FIND($A$2,Lines!AJ48)-LEN($A$2)-1))</f>
        <v/>
      </c>
      <c r="AK48" s="30" t="str">
        <f>IF(ISERROR(FIND($A$2,Lines!AK48))=TRUE,"",MID(Lines!AK48,FIND($A$2,Lines!AK48)+LEN($A$2)+1,FIND(",",_xlfn.CONCAT(Lines!AK48,","),FIND($A$2,Lines!AK48))-FIND($A$2,Lines!AK48)-LEN($A$2)-1))</f>
        <v/>
      </c>
      <c r="AL48" s="30" t="str">
        <f>IF(ISERROR(FIND($A$2,Lines!AL48))=TRUE,"",MID(Lines!AL48,FIND($A$2,Lines!AL48)+LEN($A$2)+1,FIND(",",_xlfn.CONCAT(Lines!AL48,","),FIND($A$2,Lines!AL48))-FIND($A$2,Lines!AL48)-LEN($A$2)-1))</f>
        <v/>
      </c>
      <c r="AM48" s="30" t="str">
        <f>IF(ISERROR(FIND($A$2,Lines!AM48))=TRUE,"",MID(Lines!AM48,FIND($A$2,Lines!AM48)+LEN($A$2)+1,FIND(",",_xlfn.CONCAT(Lines!AM48,","),FIND($A$2,Lines!AM48))-FIND($A$2,Lines!AM48)-LEN($A$2)-1))</f>
        <v/>
      </c>
      <c r="AN48" s="30" t="str">
        <f>IF(ISERROR(FIND($A$2,Lines!AN48))=TRUE,"",MID(Lines!AN48,FIND($A$2,Lines!AN48)+LEN($A$2)+1,FIND(",",_xlfn.CONCAT(Lines!AN48,","),FIND($A$2,Lines!AN48))-FIND($A$2,Lines!AN48)-LEN($A$2)-1))</f>
        <v/>
      </c>
      <c r="AO48" s="30" t="str">
        <f>IF(ISERROR(FIND($A$2,Lines!AO48))=TRUE,"",MID(Lines!AO48,FIND($A$2,Lines!AO48)+LEN($A$2)+1,FIND(",",_xlfn.CONCAT(Lines!AO48,","),FIND($A$2,Lines!AO48))-FIND($A$2,Lines!AO48)-LEN($A$2)-1))</f>
        <v/>
      </c>
      <c r="AP48" s="57" t="str">
        <f>IF(ISERROR(FIND($A$2,Lines!AP48))=TRUE,"",MID(Lines!AP48,FIND($A$2,Lines!AP48)+LEN($A$2)+1,FIND(",",_xlfn.CONCAT(Lines!AP48,","),FIND($A$2,Lines!AP48))-FIND($A$2,Lines!AP48)-LEN($A$2)-1))</f>
        <v/>
      </c>
      <c r="AQ48" s="44" t="str">
        <f>IF(ISERROR(FIND($A$2,Lines!AQ48))=TRUE,"",MID(Lines!AQ48,FIND($A$2,Lines!AQ48)+LEN($A$2)+1,FIND(",",_xlfn.CONCAT(Lines!AQ48,","),FIND($A$2,Lines!AQ48))-FIND($A$2,Lines!AQ48)-LEN($A$2)-1))</f>
        <v/>
      </c>
      <c r="AR48" s="44" t="str">
        <f>IF(ISERROR(FIND($A$2,Lines!AR48))=TRUE,"",MID(Lines!AR48,FIND($A$2,Lines!AR48)+LEN($A$2)+1,FIND(",",_xlfn.CONCAT(Lines!AR48,","),FIND($A$2,Lines!AR48))-FIND($A$2,Lines!AR48)-LEN($A$2)-1))</f>
        <v/>
      </c>
      <c r="AS48" s="44" t="str">
        <f>IF(ISERROR(FIND($A$2,Lines!AS48))=TRUE,"",MID(Lines!AS48,FIND($A$2,Lines!AS48)+LEN($A$2)+1,FIND(",",_xlfn.CONCAT(Lines!AS48,","),FIND($A$2,Lines!AS48))-FIND($A$2,Lines!AS48)-LEN($A$2)-1))</f>
        <v/>
      </c>
      <c r="AT48" s="66" t="str">
        <f>IF(ISERROR(FIND($A$2,Lines!AT48))=TRUE,"",MID(Lines!AT48,FIND($A$2,Lines!AT48)+LEN($A$2)+1,FIND(",",_xlfn.CONCAT(Lines!AT48,","),FIND($A$2,Lines!AT48))-FIND($A$2,Lines!AT48)-LEN($A$2)-1))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57"/>
  <sheetViews>
    <sheetView zoomScale="120" zoomScaleNormal="120" zoomScalePageLayoutView="220" workbookViewId="0">
      <selection activeCell="G2" sqref="G2"/>
    </sheetView>
  </sheetViews>
  <sheetFormatPr baseColWidth="10" defaultColWidth="9.5" defaultRowHeight="20.25" customHeight="1"/>
  <cols>
    <col min="1" max="1" width="10.33203125" bestFit="1" customWidth="1"/>
    <col min="2" max="2" width="11.6640625" bestFit="1" customWidth="1"/>
    <col min="3" max="3" width="22.33203125" bestFit="1" customWidth="1"/>
    <col min="4" max="4" width="8.5" bestFit="1" customWidth="1"/>
    <col min="5" max="6" width="6.6640625" bestFit="1" customWidth="1"/>
    <col min="7" max="7" width="28.83203125" bestFit="1" customWidth="1"/>
    <col min="8" max="8" width="6.6640625" bestFit="1" customWidth="1"/>
    <col min="9" max="9" width="4.83203125" bestFit="1" customWidth="1"/>
    <col min="10" max="10" width="39.83203125" bestFit="1" customWidth="1"/>
    <col min="11" max="11" width="4.83203125" bestFit="1" customWidth="1"/>
    <col min="12" max="12" width="6.6640625" bestFit="1" customWidth="1"/>
    <col min="13" max="13" width="39.83203125" bestFit="1" customWidth="1"/>
    <col min="14" max="14" width="6.6640625" bestFit="1" customWidth="1"/>
    <col min="15" max="15" width="20.6640625" bestFit="1" customWidth="1"/>
    <col min="16" max="18" width="6.6640625" bestFit="1" customWidth="1"/>
    <col min="19" max="19" width="4.83203125" bestFit="1" customWidth="1"/>
    <col min="20" max="20" width="32.1640625" bestFit="1" customWidth="1"/>
    <col min="21" max="22" width="6.6640625" bestFit="1" customWidth="1"/>
    <col min="23" max="23" width="10.33203125" bestFit="1" customWidth="1"/>
    <col min="24" max="24" width="35.83203125" bestFit="1" customWidth="1"/>
    <col min="25" max="28" width="6.6640625" bestFit="1" customWidth="1"/>
    <col min="29" max="29" width="32.1640625" bestFit="1" customWidth="1"/>
    <col min="30" max="30" width="4.83203125" bestFit="1" customWidth="1"/>
    <col min="31" max="31" width="29.1640625" bestFit="1" customWidth="1"/>
    <col min="32" max="32" width="38.6640625" bestFit="1" customWidth="1"/>
    <col min="33" max="35" width="6.6640625" bestFit="1" customWidth="1"/>
    <col min="36" max="36" width="54.83203125" bestFit="1" customWidth="1"/>
    <col min="37" max="37" width="91.6640625" bestFit="1" customWidth="1"/>
    <col min="38" max="38" width="6.6640625" bestFit="1" customWidth="1"/>
    <col min="39" max="39" width="39.6640625" bestFit="1" customWidth="1"/>
    <col min="40" max="40" width="55.6640625" bestFit="1" customWidth="1"/>
    <col min="41" max="41" width="91.6640625" bestFit="1" customWidth="1"/>
    <col min="42" max="42" width="29.1640625" bestFit="1" customWidth="1"/>
    <col min="43" max="43" width="7.6640625" bestFit="1" customWidth="1"/>
    <col min="44" max="45" width="6.6640625" bestFit="1" customWidth="1"/>
    <col min="46" max="46" width="54.83203125" bestFit="1" customWidth="1"/>
  </cols>
  <sheetData>
    <row r="1" spans="1:46" ht="20.25" customHeight="1">
      <c r="B1" s="234" t="s">
        <v>106</v>
      </c>
      <c r="C1" s="234"/>
      <c r="D1" s="234"/>
      <c r="E1" s="234"/>
      <c r="F1" s="234"/>
      <c r="G1" s="1"/>
    </row>
    <row r="2" spans="1:46" ht="20.25" customHeight="1">
      <c r="A2" s="71" t="s">
        <v>130</v>
      </c>
      <c r="B2" s="1">
        <v>3</v>
      </c>
      <c r="G2" s="10" t="s">
        <v>110</v>
      </c>
      <c r="H2" s="10"/>
      <c r="I2" s="10"/>
      <c r="J2" s="10"/>
      <c r="K2" s="10"/>
      <c r="L2" s="9"/>
      <c r="M2" s="9"/>
      <c r="N2" s="9"/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IF(ISERROR(FIND($A$2,Lines!B4))=TRUE,"",Lines!B4)</f>
        <v/>
      </c>
      <c r="C4" s="26" t="str">
        <f>IF(ISERROR(FIND($A$2,Lines!C4))=TRUE,"",Lines!C4)</f>
        <v/>
      </c>
      <c r="D4" s="26" t="str">
        <f>IF(ISERROR(FIND($A$2,Lines!D4))=TRUE,"",Lines!D4)</f>
        <v/>
      </c>
      <c r="E4" s="26" t="str">
        <f>IF(ISERROR(FIND($A$2,Lines!E4))=TRUE,"",Lines!E4)</f>
        <v/>
      </c>
      <c r="F4" s="26" t="str">
        <f>IF(ISERROR(FIND($A$2,Lines!F4))=TRUE,"",Lines!F4)</f>
        <v/>
      </c>
      <c r="G4" s="26" t="str">
        <f>IF(ISERROR(FIND($A$2,Lines!G4))=TRUE,"",Lines!G4)</f>
        <v/>
      </c>
      <c r="H4" s="26" t="str">
        <f>IF(ISERROR(FIND($A$2,Lines!H4))=TRUE,"",Lines!H4)</f>
        <v/>
      </c>
      <c r="I4" s="26" t="str">
        <f>IF(ISERROR(FIND($A$2,Lines!I4))=TRUE,"",Lines!I4)</f>
        <v/>
      </c>
      <c r="J4" s="26" t="str">
        <f>IF(ISERROR(FIND($A$2,Lines!J4))=TRUE,"",Lines!J4)</f>
        <v/>
      </c>
      <c r="K4" s="26" t="str">
        <f>IF(ISERROR(FIND($A$2,Lines!K4))=TRUE,"",Lines!K4)</f>
        <v/>
      </c>
      <c r="L4" s="26" t="str">
        <f>IF(ISERROR(FIND($A$2,Lines!L4))=TRUE,"",Lines!L4)</f>
        <v/>
      </c>
      <c r="M4" s="27" t="str">
        <f>IF(ISERROR(FIND($A$2,Lines!M4))=TRUE,"",Lines!M4)</f>
        <v/>
      </c>
      <c r="N4" s="30" t="str">
        <f>IF(ISERROR(FIND($A$2,Lines!N4))=TRUE,"",Lines!N4)</f>
        <v/>
      </c>
      <c r="O4" s="30" t="str">
        <f>IF(ISERROR(FIND($A$2,Lines!O4))=TRUE,"",Lines!O4)</f>
        <v/>
      </c>
      <c r="P4" s="30" t="str">
        <f>IF(ISERROR(FIND($A$2,Lines!P4))=TRUE,"",Lines!P4)</f>
        <v/>
      </c>
      <c r="Q4" s="30" t="str">
        <f>IF(ISERROR(FIND($A$2,Lines!Q4))=TRUE,"",Lines!Q4)</f>
        <v/>
      </c>
      <c r="R4" s="30" t="str">
        <f>IF(ISERROR(FIND($A$2,Lines!R4))=TRUE,"",Lines!R4)</f>
        <v/>
      </c>
      <c r="S4" s="30" t="str">
        <f>IF(ISERROR(FIND($A$2,Lines!S4))=TRUE,"",Lines!S4)</f>
        <v/>
      </c>
      <c r="T4" s="30" t="str">
        <f>IF(ISERROR(FIND($A$2,Lines!T4))=TRUE,"",Lines!T4)</f>
        <v/>
      </c>
      <c r="U4" s="30" t="str">
        <f>IF(ISERROR(FIND($A$2,Lines!U4))=TRUE,"",Lines!U4)</f>
        <v/>
      </c>
      <c r="V4" s="30" t="str">
        <f>IF(ISERROR(FIND($A$2,Lines!V4))=TRUE,"",Lines!V4)</f>
        <v/>
      </c>
      <c r="W4" s="36" t="str">
        <f>IF(ISERROR(FIND($A$2,Lines!W4))=TRUE,"",Lines!W4)</f>
        <v/>
      </c>
      <c r="X4" s="30" t="str">
        <f>IF(ISERROR(FIND($A$2,Lines!X4))=TRUE,"",Lines!X4)</f>
        <v/>
      </c>
      <c r="Y4" s="30" t="str">
        <f>IF(ISERROR(FIND($A$2,Lines!Y4))=TRUE,"",Lines!Y4)</f>
        <v/>
      </c>
      <c r="Z4" s="30" t="str">
        <f>IF(ISERROR(FIND($A$2,Lines!Z4))=TRUE,"",Lines!Z4)</f>
        <v/>
      </c>
      <c r="AA4" s="30" t="str">
        <f>IF(ISERROR(FIND($A$2,Lines!AA4))=TRUE,"",Lines!AA4)</f>
        <v/>
      </c>
      <c r="AB4" s="30" t="str">
        <f>IF(ISERROR(FIND($A$2,Lines!AB4))=TRUE,"",Lines!AB4)</f>
        <v/>
      </c>
      <c r="AC4" s="30" t="str">
        <f>IF(ISERROR(FIND($A$2,Lines!AC4))=TRUE,"",Lines!AC4)</f>
        <v/>
      </c>
      <c r="AD4" s="30" t="str">
        <f>IF(ISERROR(FIND($A$2,Lines!AD4))=TRUE,"",Lines!AD4)</f>
        <v/>
      </c>
      <c r="AE4" s="30" t="str">
        <f>IF(ISERROR(FIND($A$2,Lines!AE4))=TRUE,"",Lines!AE4)</f>
        <v/>
      </c>
      <c r="AF4" s="30" t="str">
        <f>IF(ISERROR(FIND($A$2,Lines!AF4))=TRUE,"",Lines!AF4)</f>
        <v/>
      </c>
      <c r="AG4" s="30" t="str">
        <f>IF(ISERROR(FIND($A$2,Lines!AG4))=TRUE,"",Lines!AG4)</f>
        <v/>
      </c>
      <c r="AH4" s="30" t="str">
        <f>IF(ISERROR(FIND($A$2,Lines!AH4))=TRUE,"",Lines!AH4)</f>
        <v/>
      </c>
      <c r="AI4" s="30" t="str">
        <f>IF(ISERROR(FIND($A$2,Lines!AI4))=TRUE,"",Lines!AI4)</f>
        <v/>
      </c>
      <c r="AJ4" s="30" t="str">
        <f>IF(ISERROR(FIND($A$2,Lines!AJ4))=TRUE,"",Lines!AJ4)</f>
        <v/>
      </c>
      <c r="AK4" s="30" t="str">
        <f>IF(ISERROR(FIND($A$2,Lines!AK4))=TRUE,"",Lines!AK4)</f>
        <v/>
      </c>
      <c r="AL4" s="30" t="str">
        <f>IF(ISERROR(FIND($A$2,Lines!AL4))=TRUE,"",Lines!AL4)</f>
        <v/>
      </c>
      <c r="AM4" s="30" t="str">
        <f>IF(ISERROR(FIND($A$2,Lines!AM4))=TRUE,"",Lines!AM4)</f>
        <v/>
      </c>
      <c r="AN4" s="30" t="str">
        <f>IF(ISERROR(FIND($A$2,Lines!AN4))=TRUE,"",Lines!AN4)</f>
        <v/>
      </c>
      <c r="AO4" s="30" t="str">
        <f>IF(ISERROR(FIND($A$2,Lines!AO4))=TRUE,"",Lines!AO4)</f>
        <v/>
      </c>
      <c r="AP4" s="30" t="str">
        <f>IF(ISERROR(FIND($A$2,Lines!AP4))=TRUE,"",Lines!AP4)</f>
        <v/>
      </c>
      <c r="AQ4" s="30" t="str">
        <f>IF(ISERROR(FIND($A$2,Lines!AQ4))=TRUE,"",Lines!AQ4)</f>
        <v/>
      </c>
      <c r="AR4" s="30" t="str">
        <f>IF(ISERROR(FIND($A$2,Lines!AR4))=TRUE,"",Lines!AR4)</f>
        <v/>
      </c>
      <c r="AS4" s="30" t="str">
        <f>IF(ISERROR(FIND($A$2,Lines!AS4))=TRUE,"",Lines!AS4)</f>
        <v/>
      </c>
      <c r="AT4" s="30" t="str">
        <f>IF(ISERROR(FIND($A$2,Lines!AT4))=TRUE,"",Lines!AT4)</f>
        <v/>
      </c>
    </row>
    <row r="5" spans="1:46" ht="20.25" customHeight="1">
      <c r="A5" s="2" t="s">
        <v>56</v>
      </c>
      <c r="B5" s="26" t="str">
        <f>IF(ISERROR(FIND($A$2,Lines!B5))=TRUE,"",Lines!B5)</f>
        <v/>
      </c>
      <c r="C5" s="63" t="str">
        <f>IF(ISERROR(FIND($A$2,Lines!C5))=TRUE,"",Lines!C5)</f>
        <v/>
      </c>
      <c r="D5" s="26" t="str">
        <f>IF(ISERROR(FIND($A$2,Lines!D5))=TRUE,"",Lines!D5)</f>
        <v/>
      </c>
      <c r="E5" s="26" t="str">
        <f>IF(ISERROR(FIND($A$2,Lines!E5))=TRUE,"",Lines!E5)</f>
        <v/>
      </c>
      <c r="F5" s="106" t="str">
        <f>IF(ISERROR(FIND($A$2,Lines!F5))=TRUE,"",Lines!F5)</f>
        <v/>
      </c>
      <c r="G5" s="106" t="str">
        <f>IF(ISERROR(FIND($A$2,Lines!G5))=TRUE,"",Lines!G5)</f>
        <v/>
      </c>
      <c r="H5" s="106" t="str">
        <f>IF(ISERROR(FIND($A$2,Lines!H5))=TRUE,"",Lines!H5)</f>
        <v/>
      </c>
      <c r="I5" s="106" t="str">
        <f>IF(ISERROR(FIND($A$2,Lines!I5))=TRUE,"",Lines!I5)</f>
        <v/>
      </c>
      <c r="J5" s="106" t="str">
        <f>IF(ISERROR(FIND($A$2,Lines!J5))=TRUE,"",Lines!J5)</f>
        <v/>
      </c>
      <c r="K5" s="106" t="str">
        <f>IF(ISERROR(FIND($A$2,Lines!K5))=TRUE,"",Lines!K5)</f>
        <v/>
      </c>
      <c r="L5" s="106" t="str">
        <f>IF(ISERROR(FIND($A$2,Lines!L5))=TRUE,"",Lines!L5)</f>
        <v/>
      </c>
      <c r="M5" s="107" t="str">
        <f>IF(ISERROR(FIND($A$2,Lines!M5))=TRUE,"",Lines!M5)</f>
        <v/>
      </c>
      <c r="N5" s="74" t="str">
        <f>IF(ISERROR(FIND($A$2,Lines!N5))=TRUE,"",Lines!N5)</f>
        <v/>
      </c>
      <c r="O5" s="74" t="str">
        <f>IF(ISERROR(FIND($A$2,Lines!O5))=TRUE,"",Lines!O5)</f>
        <v/>
      </c>
      <c r="P5" s="74" t="str">
        <f>IF(ISERROR(FIND($A$2,Lines!P5))=TRUE,"",Lines!P5)</f>
        <v/>
      </c>
      <c r="Q5" s="74" t="str">
        <f>IF(ISERROR(FIND($A$2,Lines!Q5))=TRUE,"",Lines!Q5)</f>
        <v/>
      </c>
      <c r="R5" s="74" t="str">
        <f>IF(ISERROR(FIND($A$2,Lines!R5))=TRUE,"",Lines!R5)</f>
        <v/>
      </c>
      <c r="S5" s="74" t="str">
        <f>IF(ISERROR(FIND($A$2,Lines!S5))=TRUE,"",Lines!S5)</f>
        <v/>
      </c>
      <c r="T5" s="74" t="str">
        <f>IF(ISERROR(FIND($A$2,Lines!T5))=TRUE,"",Lines!T5)</f>
        <v/>
      </c>
      <c r="U5" s="74" t="str">
        <f>IF(ISERROR(FIND($A$2,Lines!U5))=TRUE,"",Lines!U5)</f>
        <v/>
      </c>
      <c r="V5" s="74" t="str">
        <f>IF(ISERROR(FIND($A$2,Lines!V5))=TRUE,"",Lines!V5)</f>
        <v/>
      </c>
      <c r="W5" s="145" t="str">
        <f>IF(ISERROR(FIND($A$2,Lines!W5))=TRUE,"",Lines!W5)</f>
        <v/>
      </c>
      <c r="X5" s="74" t="str">
        <f>IF(ISERROR(FIND($A$2,Lines!X5))=TRUE,"",Lines!X5)</f>
        <v/>
      </c>
      <c r="Y5" s="74" t="str">
        <f>IF(ISERROR(FIND($A$2,Lines!Y5))=TRUE,"",Lines!Y5)</f>
        <v/>
      </c>
      <c r="Z5" s="74" t="str">
        <f>IF(ISERROR(FIND($A$2,Lines!Z5))=TRUE,"",Lines!Z5)</f>
        <v/>
      </c>
      <c r="AA5" s="74" t="str">
        <f>IF(ISERROR(FIND($A$2,Lines!AA5))=TRUE,"",Lines!AA5)</f>
        <v/>
      </c>
      <c r="AB5" s="74" t="str">
        <f>IF(ISERROR(FIND($A$2,Lines!AB5))=TRUE,"",Lines!AB5)</f>
        <v/>
      </c>
      <c r="AC5" s="74" t="str">
        <f>IF(ISERROR(FIND($A$2,Lines!AC5))=TRUE,"",Lines!AC5)</f>
        <v/>
      </c>
      <c r="AD5" s="74" t="str">
        <f>IF(ISERROR(FIND($A$2,Lines!AD5))=TRUE,"",Lines!AD5)</f>
        <v/>
      </c>
      <c r="AE5" s="74" t="str">
        <f>IF(ISERROR(FIND($A$2,Lines!AE5))=TRUE,"",Lines!AE5)</f>
        <v/>
      </c>
      <c r="AF5" s="74" t="str">
        <f>IF(ISERROR(FIND($A$2,Lines!AF5))=TRUE,"",Lines!AF5)</f>
        <v/>
      </c>
      <c r="AG5" s="74" t="str">
        <f>IF(ISERROR(FIND($A$2,Lines!AG5))=TRUE,"",Lines!AG5)</f>
        <v/>
      </c>
      <c r="AH5" s="74" t="str">
        <f>IF(ISERROR(FIND($A$2,Lines!AH5))=TRUE,"",Lines!AH5)</f>
        <v/>
      </c>
      <c r="AI5" s="74" t="str">
        <f>IF(ISERROR(FIND($A$2,Lines!AI5))=TRUE,"",Lines!AI5)</f>
        <v/>
      </c>
      <c r="AJ5" s="74" t="str">
        <f>IF(ISERROR(FIND($A$2,Lines!AJ5))=TRUE,"",Lines!AJ5)</f>
        <v/>
      </c>
      <c r="AK5" s="74" t="str">
        <f>IF(ISERROR(FIND($A$2,Lines!AK5))=TRUE,"",Lines!AK5)</f>
        <v/>
      </c>
      <c r="AL5" s="74" t="str">
        <f>IF(ISERROR(FIND($A$2,Lines!AL5))=TRUE,"",Lines!AL5)</f>
        <v/>
      </c>
      <c r="AM5" s="74" t="str">
        <f>IF(ISERROR(FIND($A$2,Lines!AM5))=TRUE,"",Lines!AM5)</f>
        <v/>
      </c>
      <c r="AN5" s="74" t="str">
        <f>IF(ISERROR(FIND($A$2,Lines!AN5))=TRUE,"",Lines!AN5)</f>
        <v/>
      </c>
      <c r="AO5" s="74" t="str">
        <f>IF(ISERROR(FIND($A$2,Lines!AO5))=TRUE,"",Lines!AO5)</f>
        <v/>
      </c>
      <c r="AP5" s="74" t="str">
        <f>IF(ISERROR(FIND($A$2,Lines!AP5))=TRUE,"",Lines!AP5)</f>
        <v/>
      </c>
      <c r="AQ5" s="74" t="str">
        <f>IF(ISERROR(FIND($A$2,Lines!AQ5))=TRUE,"",Lines!AQ5)</f>
        <v/>
      </c>
      <c r="AR5" s="74" t="str">
        <f>IF(ISERROR(FIND($A$2,Lines!AR5))=TRUE,"",Lines!AR5)</f>
        <v/>
      </c>
      <c r="AS5" s="74" t="str">
        <f>IF(ISERROR(FIND($A$2,Lines!AS5))=TRUE,"",Lines!AS5)</f>
        <v/>
      </c>
      <c r="AT5" s="30" t="str">
        <f>IF(ISERROR(FIND($A$2,Lines!AT5))=TRUE,"",Lines!AT5)</f>
        <v/>
      </c>
    </row>
    <row r="6" spans="1:46" ht="20.25" customHeight="1">
      <c r="A6" s="2" t="s">
        <v>57</v>
      </c>
      <c r="B6" s="26" t="str">
        <f>IF(ISERROR(FIND($A$2,Lines!B6))=TRUE,"",Lines!B6)</f>
        <v/>
      </c>
      <c r="C6" s="26" t="str">
        <f>IF(ISERROR(FIND($A$2,Lines!C6))=TRUE,"",Lines!C6)</f>
        <v/>
      </c>
      <c r="D6" s="63" t="str">
        <f>IF(ISERROR(FIND($A$2,Lines!D6))=TRUE,"",Lines!D6)</f>
        <v/>
      </c>
      <c r="E6" s="26" t="str">
        <f>IF(ISERROR(FIND($A$2,Lines!E6))=TRUE,"",Lines!E6)</f>
        <v/>
      </c>
      <c r="F6" s="106" t="str">
        <f>IF(ISERROR(FIND($A$2,Lines!F6))=TRUE,"",Lines!F6)</f>
        <v/>
      </c>
      <c r="G6" s="106" t="str">
        <f>IF(ISERROR(FIND($A$2,Lines!G6))=TRUE,"",Lines!G6)</f>
        <v/>
      </c>
      <c r="H6" s="106" t="str">
        <f>IF(ISERROR(FIND($A$2,Lines!H6))=TRUE,"",Lines!H6)</f>
        <v/>
      </c>
      <c r="I6" s="106" t="str">
        <f>IF(ISERROR(FIND($A$2,Lines!I6))=TRUE,"",Lines!I6)</f>
        <v/>
      </c>
      <c r="J6" s="106" t="str">
        <f>IF(ISERROR(FIND($A$2,Lines!J6))=TRUE,"",Lines!J6)</f>
        <v/>
      </c>
      <c r="K6" s="106" t="str">
        <f>IF(ISERROR(FIND($A$2,Lines!K6))=TRUE,"",Lines!K6)</f>
        <v/>
      </c>
      <c r="L6" s="106" t="str">
        <f>IF(ISERROR(FIND($A$2,Lines!L6))=TRUE,"",Lines!L6)</f>
        <v/>
      </c>
      <c r="M6" s="107" t="str">
        <f>IF(ISERROR(FIND($A$2,Lines!M6))=TRUE,"",Lines!M6)</f>
        <v/>
      </c>
      <c r="N6" s="74" t="str">
        <f>IF(ISERROR(FIND($A$2,Lines!N6))=TRUE,"",Lines!N6)</f>
        <v/>
      </c>
      <c r="O6" s="74" t="str">
        <f>IF(ISERROR(FIND($A$2,Lines!O6))=TRUE,"",Lines!O6)</f>
        <v/>
      </c>
      <c r="P6" s="74" t="str">
        <f>IF(ISERROR(FIND($A$2,Lines!P6))=TRUE,"",Lines!P6)</f>
        <v/>
      </c>
      <c r="Q6" s="74" t="str">
        <f>IF(ISERROR(FIND($A$2,Lines!Q6))=TRUE,"",Lines!Q6)</f>
        <v/>
      </c>
      <c r="R6" s="74" t="str">
        <f>IF(ISERROR(FIND($A$2,Lines!R6))=TRUE,"",Lines!R6)</f>
        <v/>
      </c>
      <c r="S6" s="74" t="str">
        <f>IF(ISERROR(FIND($A$2,Lines!S6))=TRUE,"",Lines!S6)</f>
        <v/>
      </c>
      <c r="T6" s="74" t="str">
        <f>IF(ISERROR(FIND($A$2,Lines!T6))=TRUE,"",Lines!T6)</f>
        <v/>
      </c>
      <c r="U6" s="74" t="str">
        <f>IF(ISERROR(FIND($A$2,Lines!U6))=TRUE,"",Lines!U6)</f>
        <v/>
      </c>
      <c r="V6" s="74" t="str">
        <f>IF(ISERROR(FIND($A$2,Lines!V6))=TRUE,"",Lines!V6)</f>
        <v/>
      </c>
      <c r="W6" s="145" t="str">
        <f>IF(ISERROR(FIND($A$2,Lines!W6))=TRUE,"",Lines!W6)</f>
        <v/>
      </c>
      <c r="X6" s="74" t="str">
        <f>IF(ISERROR(FIND($A$2,Lines!X6))=TRUE,"",Lines!X6)</f>
        <v/>
      </c>
      <c r="Y6" s="74" t="str">
        <f>IF(ISERROR(FIND($A$2,Lines!Y6))=TRUE,"",Lines!Y6)</f>
        <v/>
      </c>
      <c r="Z6" s="74" t="str">
        <f>IF(ISERROR(FIND($A$2,Lines!Z6))=TRUE,"",Lines!Z6)</f>
        <v/>
      </c>
      <c r="AA6" s="74" t="str">
        <f>IF(ISERROR(FIND($A$2,Lines!AA6))=TRUE,"",Lines!AA6)</f>
        <v/>
      </c>
      <c r="AB6" s="74" t="str">
        <f>IF(ISERROR(FIND($A$2,Lines!AB6))=TRUE,"",Lines!AB6)</f>
        <v/>
      </c>
      <c r="AC6" s="74" t="str">
        <f>IF(ISERROR(FIND($A$2,Lines!AC6))=TRUE,"",Lines!AC6)</f>
        <v/>
      </c>
      <c r="AD6" s="74" t="str">
        <f>IF(ISERROR(FIND($A$2,Lines!AD6))=TRUE,"",Lines!AD6)</f>
        <v/>
      </c>
      <c r="AE6" s="74" t="str">
        <f>IF(ISERROR(FIND($A$2,Lines!AE6))=TRUE,"",Lines!AE6)</f>
        <v/>
      </c>
      <c r="AF6" s="74" t="str">
        <f>IF(ISERROR(FIND($A$2,Lines!AF6))=TRUE,"",Lines!AF6)</f>
        <v/>
      </c>
      <c r="AG6" s="74" t="str">
        <f>IF(ISERROR(FIND($A$2,Lines!AG6))=TRUE,"",Lines!AG6)</f>
        <v/>
      </c>
      <c r="AH6" s="74" t="str">
        <f>IF(ISERROR(FIND($A$2,Lines!AH6))=TRUE,"",Lines!AH6)</f>
        <v/>
      </c>
      <c r="AI6" s="74" t="str">
        <f>IF(ISERROR(FIND($A$2,Lines!AI6))=TRUE,"",Lines!AI6)</f>
        <v/>
      </c>
      <c r="AJ6" s="74" t="str">
        <f>IF(ISERROR(FIND($A$2,Lines!AJ6))=TRUE,"",Lines!AJ6)</f>
        <v/>
      </c>
      <c r="AK6" s="74" t="str">
        <f>IF(ISERROR(FIND($A$2,Lines!AK6))=TRUE,"",Lines!AK6)</f>
        <v/>
      </c>
      <c r="AL6" s="74" t="str">
        <f>IF(ISERROR(FIND($A$2,Lines!AL6))=TRUE,"",Lines!AL6)</f>
        <v/>
      </c>
      <c r="AM6" s="74" t="str">
        <f>IF(ISERROR(FIND($A$2,Lines!AM6))=TRUE,"",Lines!AM6)</f>
        <v/>
      </c>
      <c r="AN6" s="74" t="str">
        <f>IF(ISERROR(FIND($A$2,Lines!AN6))=TRUE,"",Lines!AN6)</f>
        <v/>
      </c>
      <c r="AO6" s="74" t="str">
        <f>IF(ISERROR(FIND($A$2,Lines!AO6))=TRUE,"",Lines!AO6)</f>
        <v/>
      </c>
      <c r="AP6" s="74" t="str">
        <f>IF(ISERROR(FIND($A$2,Lines!AP6))=TRUE,"",Lines!AP6)</f>
        <v/>
      </c>
      <c r="AQ6" s="74" t="str">
        <f>IF(ISERROR(FIND($A$2,Lines!AQ6))=TRUE,"",Lines!AQ6)</f>
        <v/>
      </c>
      <c r="AR6" s="74" t="str">
        <f>IF(ISERROR(FIND($A$2,Lines!AR6))=TRUE,"",Lines!AR6)</f>
        <v/>
      </c>
      <c r="AS6" s="74" t="str">
        <f>IF(ISERROR(FIND($A$2,Lines!AS6))=TRUE,"",Lines!AS6)</f>
        <v/>
      </c>
      <c r="AT6" s="30" t="str">
        <f>IF(ISERROR(FIND($A$2,Lines!AT6))=TRUE,"",Lines!AT6)</f>
        <v/>
      </c>
    </row>
    <row r="7" spans="1:46" ht="20.25" customHeight="1">
      <c r="A7" s="2" t="s">
        <v>58</v>
      </c>
      <c r="B7" s="26" t="str">
        <f>IF(ISERROR(FIND($A$2,Lines!B7))=TRUE,"",Lines!B7)</f>
        <v/>
      </c>
      <c r="C7" s="26" t="str">
        <f>IF(ISERROR(FIND($A$2,Lines!C7))=TRUE,"",Lines!C7)</f>
        <v/>
      </c>
      <c r="D7" s="26" t="str">
        <f>IF(ISERROR(FIND($A$2,Lines!D7))=TRUE,"",Lines!D7)</f>
        <v/>
      </c>
      <c r="E7" s="63" t="str">
        <f>IF(ISERROR(FIND($A$2,Lines!E7))=TRUE,"",Lines!E7)</f>
        <v/>
      </c>
      <c r="F7" s="106" t="str">
        <f>IF(ISERROR(FIND($A$2,Lines!F7))=TRUE,"",Lines!F7)</f>
        <v/>
      </c>
      <c r="G7" s="106" t="str">
        <f>IF(ISERROR(FIND($A$2,Lines!G7))=TRUE,"",Lines!G7)</f>
        <v/>
      </c>
      <c r="H7" s="106" t="str">
        <f>IF(ISERROR(FIND($A$2,Lines!H7))=TRUE,"",Lines!H7)</f>
        <v/>
      </c>
      <c r="I7" s="106" t="str">
        <f>IF(ISERROR(FIND($A$2,Lines!I7))=TRUE,"",Lines!I7)</f>
        <v/>
      </c>
      <c r="J7" s="106" t="str">
        <f>IF(ISERROR(FIND($A$2,Lines!J7))=TRUE,"",Lines!J7)</f>
        <v/>
      </c>
      <c r="K7" s="106" t="str">
        <f>IF(ISERROR(FIND($A$2,Lines!K7))=TRUE,"",Lines!K7)</f>
        <v/>
      </c>
      <c r="L7" s="106" t="str">
        <f>IF(ISERROR(FIND($A$2,Lines!L7))=TRUE,"",Lines!L7)</f>
        <v/>
      </c>
      <c r="M7" s="107" t="str">
        <f>IF(ISERROR(FIND($A$2,Lines!M7))=TRUE,"",Lines!M7)</f>
        <v/>
      </c>
      <c r="N7" s="74" t="str">
        <f>IF(ISERROR(FIND($A$2,Lines!N7))=TRUE,"",Lines!N7)</f>
        <v/>
      </c>
      <c r="O7" s="74" t="str">
        <f>IF(ISERROR(FIND($A$2,Lines!O7))=TRUE,"",Lines!O7)</f>
        <v/>
      </c>
      <c r="P7" s="74" t="str">
        <f>IF(ISERROR(FIND($A$2,Lines!P7))=TRUE,"",Lines!P7)</f>
        <v/>
      </c>
      <c r="Q7" s="74" t="str">
        <f>IF(ISERROR(FIND($A$2,Lines!Q7))=TRUE,"",Lines!Q7)</f>
        <v/>
      </c>
      <c r="R7" s="74" t="str">
        <f>IF(ISERROR(FIND($A$2,Lines!R7))=TRUE,"",Lines!R7)</f>
        <v/>
      </c>
      <c r="S7" s="74" t="str">
        <f>IF(ISERROR(FIND($A$2,Lines!S7))=TRUE,"",Lines!S7)</f>
        <v/>
      </c>
      <c r="T7" s="74" t="str">
        <f>IF(ISERROR(FIND($A$2,Lines!T7))=TRUE,"",Lines!T7)</f>
        <v/>
      </c>
      <c r="U7" s="74" t="str">
        <f>IF(ISERROR(FIND($A$2,Lines!U7))=TRUE,"",Lines!U7)</f>
        <v/>
      </c>
      <c r="V7" s="74" t="str">
        <f>IF(ISERROR(FIND($A$2,Lines!V7))=TRUE,"",Lines!V7)</f>
        <v/>
      </c>
      <c r="W7" s="145" t="str">
        <f>IF(ISERROR(FIND($A$2,Lines!W7))=TRUE,"",Lines!W7)</f>
        <v/>
      </c>
      <c r="X7" s="74" t="str">
        <f>IF(ISERROR(FIND($A$2,Lines!X7))=TRUE,"",Lines!X7)</f>
        <v/>
      </c>
      <c r="Y7" s="74" t="str">
        <f>IF(ISERROR(FIND($A$2,Lines!Y7))=TRUE,"",Lines!Y7)</f>
        <v/>
      </c>
      <c r="Z7" s="74" t="str">
        <f>IF(ISERROR(FIND($A$2,Lines!Z7))=TRUE,"",Lines!Z7)</f>
        <v/>
      </c>
      <c r="AA7" s="74" t="str">
        <f>IF(ISERROR(FIND($A$2,Lines!AA7))=TRUE,"",Lines!AA7)</f>
        <v/>
      </c>
      <c r="AB7" s="74" t="str">
        <f>IF(ISERROR(FIND($A$2,Lines!AB7))=TRUE,"",Lines!AB7)</f>
        <v/>
      </c>
      <c r="AC7" s="74" t="str">
        <f>IF(ISERROR(FIND($A$2,Lines!AC7))=TRUE,"",Lines!AC7)</f>
        <v/>
      </c>
      <c r="AD7" s="74" t="str">
        <f>IF(ISERROR(FIND($A$2,Lines!AD7))=TRUE,"",Lines!AD7)</f>
        <v/>
      </c>
      <c r="AE7" s="74" t="str">
        <f>IF(ISERROR(FIND($A$2,Lines!AE7))=TRUE,"",Lines!AE7)</f>
        <v/>
      </c>
      <c r="AF7" s="74" t="str">
        <f>IF(ISERROR(FIND($A$2,Lines!AF7))=TRUE,"",Lines!AF7)</f>
        <v/>
      </c>
      <c r="AG7" s="74" t="str">
        <f>IF(ISERROR(FIND($A$2,Lines!AG7))=TRUE,"",Lines!AG7)</f>
        <v/>
      </c>
      <c r="AH7" s="74" t="str">
        <f>IF(ISERROR(FIND($A$2,Lines!AH7))=TRUE,"",Lines!AH7)</f>
        <v/>
      </c>
      <c r="AI7" s="74" t="str">
        <f>IF(ISERROR(FIND($A$2,Lines!AI7))=TRUE,"",Lines!AI7)</f>
        <v/>
      </c>
      <c r="AJ7" s="74" t="str">
        <f>IF(ISERROR(FIND($A$2,Lines!AJ7))=TRUE,"",Lines!AJ7)</f>
        <v/>
      </c>
      <c r="AK7" s="74" t="str">
        <f>IF(ISERROR(FIND($A$2,Lines!AK7))=TRUE,"",Lines!AK7)</f>
        <v/>
      </c>
      <c r="AL7" s="74" t="str">
        <f>IF(ISERROR(FIND($A$2,Lines!AL7))=TRUE,"",Lines!AL7)</f>
        <v/>
      </c>
      <c r="AM7" s="74" t="str">
        <f>IF(ISERROR(FIND($A$2,Lines!AM7))=TRUE,"",Lines!AM7)</f>
        <v/>
      </c>
      <c r="AN7" s="74" t="str">
        <f>IF(ISERROR(FIND($A$2,Lines!AN7))=TRUE,"",Lines!AN7)</f>
        <v/>
      </c>
      <c r="AO7" s="74" t="str">
        <f>IF(ISERROR(FIND($A$2,Lines!AO7))=TRUE,"",Lines!AO7)</f>
        <v/>
      </c>
      <c r="AP7" s="74" t="str">
        <f>IF(ISERROR(FIND($A$2,Lines!AP7))=TRUE,"",Lines!AP7)</f>
        <v/>
      </c>
      <c r="AQ7" s="74" t="str">
        <f>IF(ISERROR(FIND($A$2,Lines!AQ7))=TRUE,"",Lines!AQ7)</f>
        <v/>
      </c>
      <c r="AR7" s="74" t="str">
        <f>IF(ISERROR(FIND($A$2,Lines!AR7))=TRUE,"",Lines!AR7)</f>
        <v/>
      </c>
      <c r="AS7" s="74" t="str">
        <f>IF(ISERROR(FIND($A$2,Lines!AS7))=TRUE,"",Lines!AS7)</f>
        <v/>
      </c>
      <c r="AT7" s="30" t="str">
        <f>IF(ISERROR(FIND($A$2,Lines!AT7))=TRUE,"",Lines!AT7)</f>
        <v/>
      </c>
    </row>
    <row r="8" spans="1:46" ht="20.25" customHeight="1">
      <c r="A8" s="2" t="s">
        <v>59</v>
      </c>
      <c r="B8" s="26" t="str">
        <f>IF(ISERROR(FIND($A$2,Lines!B8))=TRUE,"",Lines!B8)</f>
        <v/>
      </c>
      <c r="C8" s="26" t="str">
        <f>IF(ISERROR(FIND($A$2,Lines!C8))=TRUE,"",Lines!C8)</f>
        <v/>
      </c>
      <c r="D8" s="26" t="str">
        <f>IF(ISERROR(FIND($A$2,Lines!D8))=TRUE,"",Lines!D8)</f>
        <v/>
      </c>
      <c r="E8" s="26" t="str">
        <f>IF(ISERROR(FIND($A$2,Lines!E8))=TRUE,"",Lines!E8)</f>
        <v/>
      </c>
      <c r="F8" s="105" t="str">
        <f>IF(ISERROR(FIND($A$2,Lines!F8))=TRUE,"",Lines!F8)</f>
        <v/>
      </c>
      <c r="G8" s="106" t="str">
        <f>IF(ISERROR(FIND($A$2,Lines!G8))=TRUE,"",Lines!G8)</f>
        <v/>
      </c>
      <c r="H8" s="106" t="str">
        <f>IF(ISERROR(FIND($A$2,Lines!H8))=TRUE,"",Lines!H8)</f>
        <v/>
      </c>
      <c r="I8" s="106" t="str">
        <f>IF(ISERROR(FIND($A$2,Lines!I8))=TRUE,"",Lines!I8)</f>
        <v/>
      </c>
      <c r="J8" s="106" t="str">
        <f>IF(ISERROR(FIND($A$2,Lines!J8))=TRUE,"",Lines!J8)</f>
        <v/>
      </c>
      <c r="K8" s="106" t="str">
        <f>IF(ISERROR(FIND($A$2,Lines!K8))=TRUE,"",Lines!K8)</f>
        <v/>
      </c>
      <c r="L8" s="106" t="str">
        <f>IF(ISERROR(FIND($A$2,Lines!L8))=TRUE,"",Lines!L8)</f>
        <v/>
      </c>
      <c r="M8" s="107" t="str">
        <f>IF(ISERROR(FIND($A$2,Lines!M8))=TRUE,"",Lines!M8)</f>
        <v/>
      </c>
      <c r="N8" s="74" t="str">
        <f>IF(ISERROR(FIND($A$2,Lines!N8))=TRUE,"",Lines!N8)</f>
        <v/>
      </c>
      <c r="O8" s="74" t="str">
        <f>IF(ISERROR(FIND($A$2,Lines!O8))=TRUE,"",Lines!O8)</f>
        <v/>
      </c>
      <c r="P8" s="74" t="str">
        <f>IF(ISERROR(FIND($A$2,Lines!P8))=TRUE,"",Lines!P8)</f>
        <v/>
      </c>
      <c r="Q8" s="74" t="str">
        <f>IF(ISERROR(FIND($A$2,Lines!Q8))=TRUE,"",Lines!Q8)</f>
        <v/>
      </c>
      <c r="R8" s="74" t="str">
        <f>IF(ISERROR(FIND($A$2,Lines!R8))=TRUE,"",Lines!R8)</f>
        <v/>
      </c>
      <c r="S8" s="74" t="str">
        <f>IF(ISERROR(FIND($A$2,Lines!S8))=TRUE,"",Lines!S8)</f>
        <v/>
      </c>
      <c r="T8" s="74" t="str">
        <f>IF(ISERROR(FIND($A$2,Lines!T8))=TRUE,"",Lines!T8)</f>
        <v/>
      </c>
      <c r="U8" s="74" t="str">
        <f>IF(ISERROR(FIND($A$2,Lines!U8))=TRUE,"",Lines!U8)</f>
        <v/>
      </c>
      <c r="V8" s="74" t="str">
        <f>IF(ISERROR(FIND($A$2,Lines!V8))=TRUE,"",Lines!V8)</f>
        <v/>
      </c>
      <c r="W8" s="145" t="str">
        <f>IF(ISERROR(FIND($A$2,Lines!W8))=TRUE,"",Lines!W8)</f>
        <v/>
      </c>
      <c r="X8" s="74" t="str">
        <f>IF(ISERROR(FIND($A$2,Lines!X8))=TRUE,"",Lines!X8)</f>
        <v/>
      </c>
      <c r="Y8" s="74" t="str">
        <f>IF(ISERROR(FIND($A$2,Lines!Y8))=TRUE,"",Lines!Y8)</f>
        <v/>
      </c>
      <c r="Z8" s="74" t="str">
        <f>IF(ISERROR(FIND($A$2,Lines!Z8))=TRUE,"",Lines!Z8)</f>
        <v/>
      </c>
      <c r="AA8" s="74" t="str">
        <f>IF(ISERROR(FIND($A$2,Lines!AA8))=TRUE,"",Lines!AA8)</f>
        <v/>
      </c>
      <c r="AB8" s="74" t="str">
        <f>IF(ISERROR(FIND($A$2,Lines!AB8))=TRUE,"",Lines!AB8)</f>
        <v/>
      </c>
      <c r="AC8" s="74" t="str">
        <f>IF(ISERROR(FIND($A$2,Lines!AC8))=TRUE,"",Lines!AC8)</f>
        <v/>
      </c>
      <c r="AD8" s="74" t="str">
        <f>IF(ISERROR(FIND($A$2,Lines!AD8))=TRUE,"",Lines!AD8)</f>
        <v/>
      </c>
      <c r="AE8" s="74" t="str">
        <f>IF(ISERROR(FIND($A$2,Lines!AE8))=TRUE,"",Lines!AE8)</f>
        <v/>
      </c>
      <c r="AF8" s="74" t="str">
        <f>IF(ISERROR(FIND($A$2,Lines!AF8))=TRUE,"",Lines!AF8)</f>
        <v/>
      </c>
      <c r="AG8" s="74" t="str">
        <f>IF(ISERROR(FIND($A$2,Lines!AG8))=TRUE,"",Lines!AG8)</f>
        <v/>
      </c>
      <c r="AH8" s="74" t="str">
        <f>IF(ISERROR(FIND($A$2,Lines!AH8))=TRUE,"",Lines!AH8)</f>
        <v/>
      </c>
      <c r="AI8" s="74" t="str">
        <f>IF(ISERROR(FIND($A$2,Lines!AI8))=TRUE,"",Lines!AI8)</f>
        <v/>
      </c>
      <c r="AJ8" s="74" t="str">
        <f>IF(ISERROR(FIND($A$2,Lines!AJ8))=TRUE,"",Lines!AJ8)</f>
        <v/>
      </c>
      <c r="AK8" s="74" t="str">
        <f>IF(ISERROR(FIND($A$2,Lines!AK8))=TRUE,"",Lines!AK8)</f>
        <v/>
      </c>
      <c r="AL8" s="74" t="str">
        <f>IF(ISERROR(FIND($A$2,Lines!AL8))=TRUE,"",Lines!AL8)</f>
        <v/>
      </c>
      <c r="AM8" s="74" t="str">
        <f>IF(ISERROR(FIND($A$2,Lines!AM8))=TRUE,"",Lines!AM8)</f>
        <v/>
      </c>
      <c r="AN8" s="74" t="str">
        <f>IF(ISERROR(FIND($A$2,Lines!AN8))=TRUE,"",Lines!AN8)</f>
        <v/>
      </c>
      <c r="AO8" s="74" t="str">
        <f>IF(ISERROR(FIND($A$2,Lines!AO8))=TRUE,"",Lines!AO8)</f>
        <v/>
      </c>
      <c r="AP8" s="74" t="str">
        <f>IF(ISERROR(FIND($A$2,Lines!AP8))=TRUE,"",Lines!AP8)</f>
        <v/>
      </c>
      <c r="AQ8" s="74" t="str">
        <f>IF(ISERROR(FIND($A$2,Lines!AQ8))=TRUE,"",Lines!AQ8)</f>
        <v/>
      </c>
      <c r="AR8" s="74" t="str">
        <f>IF(ISERROR(FIND($A$2,Lines!AR8))=TRUE,"",Lines!AR8)</f>
        <v/>
      </c>
      <c r="AS8" s="74" t="str">
        <f>IF(ISERROR(FIND($A$2,Lines!AS8))=TRUE,"",Lines!AS8)</f>
        <v/>
      </c>
      <c r="AT8" s="30" t="str">
        <f>IF(ISERROR(FIND($A$2,Lines!AT8))=TRUE,"",Lines!AT8)</f>
        <v/>
      </c>
    </row>
    <row r="9" spans="1:46" ht="20.25" customHeight="1">
      <c r="A9" s="2" t="s">
        <v>60</v>
      </c>
      <c r="B9" s="26" t="str">
        <f>IF(ISERROR(FIND($A$2,Lines!B9))=TRUE,"",Lines!B9)</f>
        <v/>
      </c>
      <c r="C9" s="26" t="str">
        <f>IF(ISERROR(FIND($A$2,Lines!C9))=TRUE,"",Lines!C9)</f>
        <v/>
      </c>
      <c r="D9" s="26" t="str">
        <f>IF(ISERROR(FIND($A$2,Lines!D9))=TRUE,"",Lines!D9)</f>
        <v/>
      </c>
      <c r="E9" s="26" t="str">
        <f>IF(ISERROR(FIND($A$2,Lines!E9))=TRUE,"",Lines!E9)</f>
        <v/>
      </c>
      <c r="F9" s="106" t="str">
        <f>IF(ISERROR(FIND($A$2,Lines!F9))=TRUE,"",Lines!F9)</f>
        <v/>
      </c>
      <c r="G9" s="105" t="str">
        <f>IF(ISERROR(FIND($A$2,Lines!G9))=TRUE,"",Lines!G9)</f>
        <v/>
      </c>
      <c r="H9" s="106" t="str">
        <f>IF(ISERROR(FIND($A$2,Lines!H9))=TRUE,"",Lines!H9)</f>
        <v/>
      </c>
      <c r="I9" s="106" t="str">
        <f>IF(ISERROR(FIND($A$2,Lines!I9))=TRUE,"",Lines!I9)</f>
        <v/>
      </c>
      <c r="J9" s="106" t="str">
        <f>IF(ISERROR(FIND($A$2,Lines!J9))=TRUE,"",Lines!J9)</f>
        <v/>
      </c>
      <c r="K9" s="106" t="str">
        <f>IF(ISERROR(FIND($A$2,Lines!K9))=TRUE,"",Lines!K9)</f>
        <v/>
      </c>
      <c r="L9" s="106" t="str">
        <f>IF(ISERROR(FIND($A$2,Lines!L9))=TRUE,"",Lines!L9)</f>
        <v/>
      </c>
      <c r="M9" s="107" t="str">
        <f>IF(ISERROR(FIND($A$2,Lines!M9))=TRUE,"",Lines!M9)</f>
        <v/>
      </c>
      <c r="N9" s="74" t="str">
        <f>IF(ISERROR(FIND($A$2,Lines!N9))=TRUE,"",Lines!N9)</f>
        <v/>
      </c>
      <c r="O9" s="74" t="str">
        <f>IF(ISERROR(FIND($A$2,Lines!O9))=TRUE,"",Lines!O9)</f>
        <v/>
      </c>
      <c r="P9" s="74" t="str">
        <f>IF(ISERROR(FIND($A$2,Lines!P9))=TRUE,"",Lines!P9)</f>
        <v/>
      </c>
      <c r="Q9" s="74" t="str">
        <f>IF(ISERROR(FIND($A$2,Lines!Q9))=TRUE,"",Lines!Q9)</f>
        <v/>
      </c>
      <c r="R9" s="74" t="str">
        <f>IF(ISERROR(FIND($A$2,Lines!R9))=TRUE,"",Lines!R9)</f>
        <v/>
      </c>
      <c r="S9" s="74" t="str">
        <f>IF(ISERROR(FIND($A$2,Lines!S9))=TRUE,"",Lines!S9)</f>
        <v/>
      </c>
      <c r="T9" s="74" t="str">
        <f>IF(ISERROR(FIND($A$2,Lines!T9))=TRUE,"",Lines!T9)</f>
        <v/>
      </c>
      <c r="U9" s="74" t="str">
        <f>IF(ISERROR(FIND($A$2,Lines!U9))=TRUE,"",Lines!U9)</f>
        <v/>
      </c>
      <c r="V9" s="74" t="str">
        <f>IF(ISERROR(FIND($A$2,Lines!V9))=TRUE,"",Lines!V9)</f>
        <v/>
      </c>
      <c r="W9" s="145" t="str">
        <f>IF(ISERROR(FIND($A$2,Lines!W9))=TRUE,"",Lines!W9)</f>
        <v/>
      </c>
      <c r="X9" s="74" t="str">
        <f>IF(ISERROR(FIND($A$2,Lines!X9))=TRUE,"",Lines!X9)</f>
        <v/>
      </c>
      <c r="Y9" s="74" t="str">
        <f>IF(ISERROR(FIND($A$2,Lines!Y9))=TRUE,"",Lines!Y9)</f>
        <v/>
      </c>
      <c r="Z9" s="74" t="str">
        <f>IF(ISERROR(FIND($A$2,Lines!Z9))=TRUE,"",Lines!Z9)</f>
        <v/>
      </c>
      <c r="AA9" s="74" t="str">
        <f>IF(ISERROR(FIND($A$2,Lines!AA9))=TRUE,"",Lines!AA9)</f>
        <v/>
      </c>
      <c r="AB9" s="74" t="str">
        <f>IF(ISERROR(FIND($A$2,Lines!AB9))=TRUE,"",Lines!AB9)</f>
        <v/>
      </c>
      <c r="AC9" s="74" t="str">
        <f>IF(ISERROR(FIND($A$2,Lines!AC9))=TRUE,"",Lines!AC9)</f>
        <v/>
      </c>
      <c r="AD9" s="74" t="str">
        <f>IF(ISERROR(FIND($A$2,Lines!AD9))=TRUE,"",Lines!AD9)</f>
        <v/>
      </c>
      <c r="AE9" s="74" t="str">
        <f>IF(ISERROR(FIND($A$2,Lines!AE9))=TRUE,"",Lines!AE9)</f>
        <v/>
      </c>
      <c r="AF9" s="74" t="str">
        <f>IF(ISERROR(FIND($A$2,Lines!AF9))=TRUE,"",Lines!AF9)</f>
        <v/>
      </c>
      <c r="AG9" s="74" t="str">
        <f>IF(ISERROR(FIND($A$2,Lines!AG9))=TRUE,"",Lines!AG9)</f>
        <v/>
      </c>
      <c r="AH9" s="74" t="str">
        <f>IF(ISERROR(FIND($A$2,Lines!AH9))=TRUE,"",Lines!AH9)</f>
        <v/>
      </c>
      <c r="AI9" s="74" t="str">
        <f>IF(ISERROR(FIND($A$2,Lines!AI9))=TRUE,"",Lines!AI9)</f>
        <v/>
      </c>
      <c r="AJ9" s="74" t="str">
        <f>IF(ISERROR(FIND($A$2,Lines!AJ9))=TRUE,"",Lines!AJ9)</f>
        <v/>
      </c>
      <c r="AK9" s="74" t="str">
        <f>IF(ISERROR(FIND($A$2,Lines!AK9))=TRUE,"",Lines!AK9)</f>
        <v/>
      </c>
      <c r="AL9" s="74" t="str">
        <f>IF(ISERROR(FIND($A$2,Lines!AL9))=TRUE,"",Lines!AL9)</f>
        <v/>
      </c>
      <c r="AM9" s="74" t="str">
        <f>IF(ISERROR(FIND($A$2,Lines!AM9))=TRUE,"",Lines!AM9)</f>
        <v/>
      </c>
      <c r="AN9" s="74" t="str">
        <f>IF(ISERROR(FIND($A$2,Lines!AN9))=TRUE,"",Lines!AN9)</f>
        <v/>
      </c>
      <c r="AO9" s="74" t="str">
        <f>IF(ISERROR(FIND($A$2,Lines!AO9))=TRUE,"",Lines!AO9)</f>
        <v/>
      </c>
      <c r="AP9" s="74" t="str">
        <f>IF(ISERROR(FIND($A$2,Lines!AP9))=TRUE,"",Lines!AP9)</f>
        <v/>
      </c>
      <c r="AQ9" s="74" t="str">
        <f>IF(ISERROR(FIND($A$2,Lines!AQ9))=TRUE,"",Lines!AQ9)</f>
        <v/>
      </c>
      <c r="AR9" s="74" t="str">
        <f>IF(ISERROR(FIND($A$2,Lines!AR9))=TRUE,"",Lines!AR9)</f>
        <v/>
      </c>
      <c r="AS9" s="74" t="str">
        <f>IF(ISERROR(FIND($A$2,Lines!AS9))=TRUE,"",Lines!AS9)</f>
        <v/>
      </c>
      <c r="AT9" s="30" t="str">
        <f>IF(ISERROR(FIND($A$2,Lines!AT9))=TRUE,"",Lines!AT9)</f>
        <v/>
      </c>
    </row>
    <row r="10" spans="1:46" ht="20.25" customHeight="1">
      <c r="A10" s="2" t="s">
        <v>61</v>
      </c>
      <c r="B10" s="26" t="str">
        <f>IF(ISERROR(FIND($A$2,Lines!B10))=TRUE,"",Lines!B10)</f>
        <v/>
      </c>
      <c r="C10" s="26" t="str">
        <f>IF(ISERROR(FIND($A$2,Lines!C10))=TRUE,"",Lines!C10)</f>
        <v/>
      </c>
      <c r="D10" s="26" t="str">
        <f>IF(ISERROR(FIND($A$2,Lines!D10))=TRUE,"",Lines!D10)</f>
        <v/>
      </c>
      <c r="E10" s="26" t="str">
        <f>IF(ISERROR(FIND($A$2,Lines!E10))=TRUE,"",Lines!E10)</f>
        <v/>
      </c>
      <c r="F10" s="106" t="str">
        <f>IF(ISERROR(FIND($A$2,Lines!F10))=TRUE,"",Lines!F10)</f>
        <v/>
      </c>
      <c r="G10" s="106" t="str">
        <f>IF(ISERROR(FIND($A$2,Lines!G10))=TRUE,"",Lines!G10)</f>
        <v/>
      </c>
      <c r="H10" s="105" t="str">
        <f>IF(ISERROR(FIND($A$2,Lines!H10))=TRUE,"",Lines!H10)</f>
        <v/>
      </c>
      <c r="I10" s="106" t="str">
        <f>IF(ISERROR(FIND($A$2,Lines!I10))=TRUE,"",Lines!I10)</f>
        <v/>
      </c>
      <c r="J10" s="106" t="str">
        <f>IF(ISERROR(FIND($A$2,Lines!J10))=TRUE,"",Lines!J10)</f>
        <v/>
      </c>
      <c r="K10" s="106" t="str">
        <f>IF(ISERROR(FIND($A$2,Lines!K10))=TRUE,"",Lines!K10)</f>
        <v/>
      </c>
      <c r="L10" s="106" t="str">
        <f>IF(ISERROR(FIND($A$2,Lines!L10))=TRUE,"",Lines!L10)</f>
        <v/>
      </c>
      <c r="M10" s="107" t="str">
        <f>IF(ISERROR(FIND($A$2,Lines!M10))=TRUE,"",Lines!M10)</f>
        <v/>
      </c>
      <c r="N10" s="74" t="str">
        <f>IF(ISERROR(FIND($A$2,Lines!N10))=TRUE,"",Lines!N10)</f>
        <v/>
      </c>
      <c r="O10" s="74" t="str">
        <f>IF(ISERROR(FIND($A$2,Lines!O10))=TRUE,"",Lines!O10)</f>
        <v/>
      </c>
      <c r="P10" s="74" t="str">
        <f>IF(ISERROR(FIND($A$2,Lines!P10))=TRUE,"",Lines!P10)</f>
        <v/>
      </c>
      <c r="Q10" s="74" t="str">
        <f>IF(ISERROR(FIND($A$2,Lines!Q10))=TRUE,"",Lines!Q10)</f>
        <v/>
      </c>
      <c r="R10" s="74" t="str">
        <f>IF(ISERROR(FIND($A$2,Lines!R10))=TRUE,"",Lines!R10)</f>
        <v/>
      </c>
      <c r="S10" s="74" t="str">
        <f>IF(ISERROR(FIND($A$2,Lines!S10))=TRUE,"",Lines!S10)</f>
        <v/>
      </c>
      <c r="T10" s="74" t="str">
        <f>IF(ISERROR(FIND($A$2,Lines!T10))=TRUE,"",Lines!T10)</f>
        <v/>
      </c>
      <c r="U10" s="74" t="str">
        <f>IF(ISERROR(FIND($A$2,Lines!U10))=TRUE,"",Lines!U10)</f>
        <v/>
      </c>
      <c r="V10" s="74" t="str">
        <f>IF(ISERROR(FIND($A$2,Lines!V10))=TRUE,"",Lines!V10)</f>
        <v/>
      </c>
      <c r="W10" s="145" t="str">
        <f>IF(ISERROR(FIND($A$2,Lines!W10))=TRUE,"",Lines!W10)</f>
        <v/>
      </c>
      <c r="X10" s="74" t="str">
        <f>IF(ISERROR(FIND($A$2,Lines!X10))=TRUE,"",Lines!X10)</f>
        <v/>
      </c>
      <c r="Y10" s="74" t="str">
        <f>IF(ISERROR(FIND($A$2,Lines!Y10))=TRUE,"",Lines!Y10)</f>
        <v/>
      </c>
      <c r="Z10" s="74" t="str">
        <f>IF(ISERROR(FIND($A$2,Lines!Z10))=TRUE,"",Lines!Z10)</f>
        <v/>
      </c>
      <c r="AA10" s="74" t="str">
        <f>IF(ISERROR(FIND($A$2,Lines!AA10))=TRUE,"",Lines!AA10)</f>
        <v/>
      </c>
      <c r="AB10" s="74" t="str">
        <f>IF(ISERROR(FIND($A$2,Lines!AB10))=TRUE,"",Lines!AB10)</f>
        <v/>
      </c>
      <c r="AC10" s="74" t="str">
        <f>IF(ISERROR(FIND($A$2,Lines!AC10))=TRUE,"",Lines!AC10)</f>
        <v/>
      </c>
      <c r="AD10" s="74" t="str">
        <f>IF(ISERROR(FIND($A$2,Lines!AD10))=TRUE,"",Lines!AD10)</f>
        <v/>
      </c>
      <c r="AE10" s="74" t="str">
        <f>IF(ISERROR(FIND($A$2,Lines!AE10))=TRUE,"",Lines!AE10)</f>
        <v/>
      </c>
      <c r="AF10" s="74" t="str">
        <f>IF(ISERROR(FIND($A$2,Lines!AF10))=TRUE,"",Lines!AF10)</f>
        <v/>
      </c>
      <c r="AG10" s="74" t="str">
        <f>IF(ISERROR(FIND($A$2,Lines!AG10))=TRUE,"",Lines!AG10)</f>
        <v/>
      </c>
      <c r="AH10" s="74" t="str">
        <f>IF(ISERROR(FIND($A$2,Lines!AH10))=TRUE,"",Lines!AH10)</f>
        <v/>
      </c>
      <c r="AI10" s="74" t="str">
        <f>IF(ISERROR(FIND($A$2,Lines!AI10))=TRUE,"",Lines!AI10)</f>
        <v/>
      </c>
      <c r="AJ10" s="74" t="str">
        <f>IF(ISERROR(FIND($A$2,Lines!AJ10))=TRUE,"",Lines!AJ10)</f>
        <v/>
      </c>
      <c r="AK10" s="74" t="str">
        <f>IF(ISERROR(FIND($A$2,Lines!AK10))=TRUE,"",Lines!AK10)</f>
        <v/>
      </c>
      <c r="AL10" s="74" t="str">
        <f>IF(ISERROR(FIND($A$2,Lines!AL10))=TRUE,"",Lines!AL10)</f>
        <v/>
      </c>
      <c r="AM10" s="74" t="str">
        <f>IF(ISERROR(FIND($A$2,Lines!AM10))=TRUE,"",Lines!AM10)</f>
        <v/>
      </c>
      <c r="AN10" s="74" t="str">
        <f>IF(ISERROR(FIND($A$2,Lines!AN10))=TRUE,"",Lines!AN10)</f>
        <v/>
      </c>
      <c r="AO10" s="74" t="str">
        <f>IF(ISERROR(FIND($A$2,Lines!AO10))=TRUE,"",Lines!AO10)</f>
        <v/>
      </c>
      <c r="AP10" s="74" t="str">
        <f>IF(ISERROR(FIND($A$2,Lines!AP10))=TRUE,"",Lines!AP10)</f>
        <v/>
      </c>
      <c r="AQ10" s="74" t="str">
        <f>IF(ISERROR(FIND($A$2,Lines!AQ10))=TRUE,"",Lines!AQ10)</f>
        <v/>
      </c>
      <c r="AR10" s="74" t="str">
        <f>IF(ISERROR(FIND($A$2,Lines!AR10))=TRUE,"",Lines!AR10)</f>
        <v/>
      </c>
      <c r="AS10" s="74" t="str">
        <f>IF(ISERROR(FIND($A$2,Lines!AS10))=TRUE,"",Lines!AS10)</f>
        <v/>
      </c>
      <c r="AT10" s="30" t="str">
        <f>IF(ISERROR(FIND($A$2,Lines!AT10))=TRUE,"",Lines!AT10)</f>
        <v/>
      </c>
    </row>
    <row r="11" spans="1:46" ht="20.25" customHeight="1">
      <c r="A11" s="2" t="s">
        <v>54</v>
      </c>
      <c r="B11" s="26" t="str">
        <f>IF(ISERROR(FIND($A$2,Lines!B11))=TRUE,"",Lines!B11)</f>
        <v/>
      </c>
      <c r="C11" s="26" t="str">
        <f>IF(ISERROR(FIND($A$2,Lines!C11))=TRUE,"",Lines!C11)</f>
        <v/>
      </c>
      <c r="D11" s="26" t="str">
        <f>IF(ISERROR(FIND($A$2,Lines!D11))=TRUE,"",Lines!D11)</f>
        <v/>
      </c>
      <c r="E11" s="26" t="str">
        <f>IF(ISERROR(FIND($A$2,Lines!E11))=TRUE,"",Lines!E11)</f>
        <v/>
      </c>
      <c r="F11" s="106" t="str">
        <f>IF(ISERROR(FIND($A$2,Lines!F11))=TRUE,"",Lines!F11)</f>
        <v/>
      </c>
      <c r="G11" s="106" t="str">
        <f>IF(ISERROR(FIND($A$2,Lines!G11))=TRUE,"",Lines!G11)</f>
        <v/>
      </c>
      <c r="H11" s="106" t="str">
        <f>IF(ISERROR(FIND($A$2,Lines!H11))=TRUE,"",Lines!H11)</f>
        <v/>
      </c>
      <c r="I11" s="105" t="str">
        <f>IF(ISERROR(FIND($A$2,Lines!I11))=TRUE,"",Lines!I11)</f>
        <v/>
      </c>
      <c r="J11" s="106" t="str">
        <f>IF(ISERROR(FIND($A$2,Lines!J11))=TRUE,"",Lines!J11)</f>
        <v/>
      </c>
      <c r="K11" s="106" t="str">
        <f>IF(ISERROR(FIND($A$2,Lines!K11))=TRUE,"",Lines!K11)</f>
        <v/>
      </c>
      <c r="L11" s="106" t="str">
        <f>IF(ISERROR(FIND($A$2,Lines!L11))=TRUE,"",Lines!L11)</f>
        <v/>
      </c>
      <c r="M11" s="107" t="str">
        <f>IF(ISERROR(FIND($A$2,Lines!M11))=TRUE,"",Lines!M11)</f>
        <v/>
      </c>
      <c r="N11" s="74" t="str">
        <f>IF(ISERROR(FIND($A$2,Lines!N11))=TRUE,"",Lines!N11)</f>
        <v/>
      </c>
      <c r="O11" s="74" t="str">
        <f>IF(ISERROR(FIND($A$2,Lines!O11))=TRUE,"",Lines!O11)</f>
        <v/>
      </c>
      <c r="P11" s="74" t="str">
        <f>IF(ISERROR(FIND($A$2,Lines!P11))=TRUE,"",Lines!P11)</f>
        <v/>
      </c>
      <c r="Q11" s="74" t="str">
        <f>IF(ISERROR(FIND($A$2,Lines!Q11))=TRUE,"",Lines!Q11)</f>
        <v/>
      </c>
      <c r="R11" s="74" t="str">
        <f>IF(ISERROR(FIND($A$2,Lines!R11))=TRUE,"",Lines!R11)</f>
        <v/>
      </c>
      <c r="S11" s="74" t="str">
        <f>IF(ISERROR(FIND($A$2,Lines!S11))=TRUE,"",Lines!S11)</f>
        <v/>
      </c>
      <c r="T11" s="74" t="str">
        <f>IF(ISERROR(FIND($A$2,Lines!T11))=TRUE,"",Lines!T11)</f>
        <v/>
      </c>
      <c r="U11" s="74" t="str">
        <f>IF(ISERROR(FIND($A$2,Lines!U11))=TRUE,"",Lines!U11)</f>
        <v/>
      </c>
      <c r="V11" s="74" t="str">
        <f>IF(ISERROR(FIND($A$2,Lines!V11))=TRUE,"",Lines!V11)</f>
        <v/>
      </c>
      <c r="W11" s="145" t="str">
        <f>IF(ISERROR(FIND($A$2,Lines!W11))=TRUE,"",Lines!W11)</f>
        <v/>
      </c>
      <c r="X11" s="74" t="str">
        <f>IF(ISERROR(FIND($A$2,Lines!X11))=TRUE,"",Lines!X11)</f>
        <v/>
      </c>
      <c r="Y11" s="74" t="str">
        <f>IF(ISERROR(FIND($A$2,Lines!Y11))=TRUE,"",Lines!Y11)</f>
        <v/>
      </c>
      <c r="Z11" s="74" t="str">
        <f>IF(ISERROR(FIND($A$2,Lines!Z11))=TRUE,"",Lines!Z11)</f>
        <v/>
      </c>
      <c r="AA11" s="74" t="str">
        <f>IF(ISERROR(FIND($A$2,Lines!AA11))=TRUE,"",Lines!AA11)</f>
        <v/>
      </c>
      <c r="AB11" s="74" t="str">
        <f>IF(ISERROR(FIND($A$2,Lines!AB11))=TRUE,"",Lines!AB11)</f>
        <v/>
      </c>
      <c r="AC11" s="74" t="str">
        <f>IF(ISERROR(FIND($A$2,Lines!AC11))=TRUE,"",Lines!AC11)</f>
        <v/>
      </c>
      <c r="AD11" s="74" t="str">
        <f>IF(ISERROR(FIND($A$2,Lines!AD11))=TRUE,"",Lines!AD11)</f>
        <v/>
      </c>
      <c r="AE11" s="74" t="str">
        <f>IF(ISERROR(FIND($A$2,Lines!AE11))=TRUE,"",Lines!AE11)</f>
        <v/>
      </c>
      <c r="AF11" s="74" t="str">
        <f>IF(ISERROR(FIND($A$2,Lines!AF11))=TRUE,"",Lines!AF11)</f>
        <v/>
      </c>
      <c r="AG11" s="74" t="str">
        <f>IF(ISERROR(FIND($A$2,Lines!AG11))=TRUE,"",Lines!AG11)</f>
        <v/>
      </c>
      <c r="AH11" s="74" t="str">
        <f>IF(ISERROR(FIND($A$2,Lines!AH11))=TRUE,"",Lines!AH11)</f>
        <v/>
      </c>
      <c r="AI11" s="74" t="str">
        <f>IF(ISERROR(FIND($A$2,Lines!AI11))=TRUE,"",Lines!AI11)</f>
        <v/>
      </c>
      <c r="AJ11" s="74" t="str">
        <f>IF(ISERROR(FIND($A$2,Lines!AJ11))=TRUE,"",Lines!AJ11)</f>
        <v/>
      </c>
      <c r="AK11" s="74" t="str">
        <f>IF(ISERROR(FIND($A$2,Lines!AK11))=TRUE,"",Lines!AK11)</f>
        <v/>
      </c>
      <c r="AL11" s="74" t="str">
        <f>IF(ISERROR(FIND($A$2,Lines!AL11))=TRUE,"",Lines!AL11)</f>
        <v/>
      </c>
      <c r="AM11" s="74" t="str">
        <f>IF(ISERROR(FIND($A$2,Lines!AM11))=TRUE,"",Lines!AM11)</f>
        <v/>
      </c>
      <c r="AN11" s="74" t="str">
        <f>IF(ISERROR(FIND($A$2,Lines!AN11))=TRUE,"",Lines!AN11)</f>
        <v/>
      </c>
      <c r="AO11" s="74" t="str">
        <f>IF(ISERROR(FIND($A$2,Lines!AO11))=TRUE,"",Lines!AO11)</f>
        <v/>
      </c>
      <c r="AP11" s="74" t="str">
        <f>IF(ISERROR(FIND($A$2,Lines!AP11))=TRUE,"",Lines!AP11)</f>
        <v/>
      </c>
      <c r="AQ11" s="74" t="str">
        <f>IF(ISERROR(FIND($A$2,Lines!AQ11))=TRUE,"",Lines!AQ11)</f>
        <v/>
      </c>
      <c r="AR11" s="74" t="str">
        <f>IF(ISERROR(FIND($A$2,Lines!AR11))=TRUE,"",Lines!AR11)</f>
        <v/>
      </c>
      <c r="AS11" s="74" t="str">
        <f>IF(ISERROR(FIND($A$2,Lines!AS11))=TRUE,"",Lines!AS11)</f>
        <v/>
      </c>
      <c r="AT11" s="30" t="str">
        <f>IF(ISERROR(FIND($A$2,Lines!AT11))=TRUE,"",Lines!AT11)</f>
        <v/>
      </c>
    </row>
    <row r="12" spans="1:46" ht="20.25" customHeight="1">
      <c r="A12" s="2" t="s">
        <v>62</v>
      </c>
      <c r="B12" s="26" t="str">
        <f>IF(ISERROR(FIND($A$2,Lines!B12))=TRUE,"",Lines!B12)</f>
        <v/>
      </c>
      <c r="C12" s="26" t="str">
        <f>IF(ISERROR(FIND($A$2,Lines!C12))=TRUE,"",Lines!C12)</f>
        <v/>
      </c>
      <c r="D12" s="26" t="str">
        <f>IF(ISERROR(FIND($A$2,Lines!D12))=TRUE,"",Lines!D12)</f>
        <v/>
      </c>
      <c r="E12" s="26" t="str">
        <f>IF(ISERROR(FIND($A$2,Lines!E12))=TRUE,"",Lines!E12)</f>
        <v/>
      </c>
      <c r="F12" s="106" t="str">
        <f>IF(ISERROR(FIND($A$2,Lines!F12))=TRUE,"",Lines!F12)</f>
        <v/>
      </c>
      <c r="G12" s="106" t="str">
        <f>IF(ISERROR(FIND($A$2,Lines!G12))=TRUE,"",Lines!G12)</f>
        <v/>
      </c>
      <c r="H12" s="106" t="str">
        <f>IF(ISERROR(FIND($A$2,Lines!H12))=TRUE,"",Lines!H12)</f>
        <v/>
      </c>
      <c r="I12" s="106" t="str">
        <f>IF(ISERROR(FIND($A$2,Lines!I12))=TRUE,"",Lines!I12)</f>
        <v/>
      </c>
      <c r="J12" s="105" t="str">
        <f>IF(ISERROR(FIND($A$2,Lines!J12))=TRUE,"",Lines!J12)</f>
        <v/>
      </c>
      <c r="K12" s="106" t="str">
        <f>IF(ISERROR(FIND($A$2,Lines!K12))=TRUE,"",Lines!K12)</f>
        <v/>
      </c>
      <c r="L12" s="106" t="str">
        <f>IF(ISERROR(FIND($A$2,Lines!L12))=TRUE,"",Lines!L12)</f>
        <v/>
      </c>
      <c r="M12" s="107" t="str">
        <f>IF(ISERROR(FIND($A$2,Lines!M12))=TRUE,"",Lines!M12)</f>
        <v>±500(穆家--伊敏 , 伊穆直流 / 呼辽直流3000MW)</v>
      </c>
      <c r="N12" s="74" t="str">
        <f>IF(ISERROR(FIND($A$2,Lines!N12))=TRUE,"",Lines!N12)</f>
        <v/>
      </c>
      <c r="O12" s="74" t="str">
        <f>IF(ISERROR(FIND($A$2,Lines!O12))=TRUE,"",Lines!O12)</f>
        <v/>
      </c>
      <c r="P12" s="74" t="str">
        <f>IF(ISERROR(FIND($A$2,Lines!P12))=TRUE,"",Lines!P12)</f>
        <v/>
      </c>
      <c r="Q12" s="74" t="str">
        <f>IF(ISERROR(FIND($A$2,Lines!Q12))=TRUE,"",Lines!Q12)</f>
        <v/>
      </c>
      <c r="R12" s="74" t="str">
        <f>IF(ISERROR(FIND($A$2,Lines!R12))=TRUE,"",Lines!R12)</f>
        <v/>
      </c>
      <c r="S12" s="74" t="str">
        <f>IF(ISERROR(FIND($A$2,Lines!S12))=TRUE,"",Lines!S12)</f>
        <v/>
      </c>
      <c r="T12" s="74" t="str">
        <f>IF(ISERROR(FIND($A$2,Lines!T12))=TRUE,"",Lines!T12)</f>
        <v/>
      </c>
      <c r="U12" s="74" t="str">
        <f>IF(ISERROR(FIND($A$2,Lines!U12))=TRUE,"",Lines!U12)</f>
        <v/>
      </c>
      <c r="V12" s="74" t="str">
        <f>IF(ISERROR(FIND($A$2,Lines!V12))=TRUE,"",Lines!V12)</f>
        <v/>
      </c>
      <c r="W12" s="145" t="str">
        <f>IF(ISERROR(FIND($A$2,Lines!W12))=TRUE,"",Lines!W12)</f>
        <v/>
      </c>
      <c r="X12" s="74" t="str">
        <f>IF(ISERROR(FIND($A$2,Lines!X12))=TRUE,"",Lines!X12)</f>
        <v>500AC*3,±500高岭背靠背直流（3000MW）</v>
      </c>
      <c r="Y12" s="74" t="str">
        <f>IF(ISERROR(FIND($A$2,Lines!Y12))=TRUE,"",Lines!Y12)</f>
        <v/>
      </c>
      <c r="Z12" s="74" t="str">
        <f>IF(ISERROR(FIND($A$2,Lines!Z12))=TRUE,"",Lines!Z12)</f>
        <v/>
      </c>
      <c r="AA12" s="74" t="str">
        <f>IF(ISERROR(FIND($A$2,Lines!AA12))=TRUE,"",Lines!AA12)</f>
        <v/>
      </c>
      <c r="AB12" s="74" t="str">
        <f>IF(ISERROR(FIND($A$2,Lines!AB12))=TRUE,"",Lines!AB12)</f>
        <v/>
      </c>
      <c r="AC12" s="74" t="str">
        <f>IF(ISERROR(FIND($A$2,Lines!AC12))=TRUE,"",Lines!AC12)</f>
        <v/>
      </c>
      <c r="AD12" s="74" t="str">
        <f>IF(ISERROR(FIND($A$2,Lines!AD12))=TRUE,"",Lines!AD12)</f>
        <v/>
      </c>
      <c r="AE12" s="74" t="str">
        <f>IF(ISERROR(FIND($A$2,Lines!AE12))=TRUE,"",Lines!AE12)</f>
        <v/>
      </c>
      <c r="AF12" s="74" t="str">
        <f>IF(ISERROR(FIND($A$2,Lines!AF12))=TRUE,"",Lines!AF12)</f>
        <v/>
      </c>
      <c r="AG12" s="74" t="str">
        <f>IF(ISERROR(FIND($A$2,Lines!AG12))=TRUE,"",Lines!AG12)</f>
        <v/>
      </c>
      <c r="AH12" s="74" t="str">
        <f>IF(ISERROR(FIND($A$2,Lines!AH12))=TRUE,"",Lines!AH12)</f>
        <v/>
      </c>
      <c r="AI12" s="74" t="str">
        <f>IF(ISERROR(FIND($A$2,Lines!AI12))=TRUE,"",Lines!AI12)</f>
        <v/>
      </c>
      <c r="AJ12" s="74" t="str">
        <f>IF(ISERROR(FIND($A$2,Lines!AJ12))=TRUE,"",Lines!AJ12)</f>
        <v/>
      </c>
      <c r="AK12" s="74" t="str">
        <f>IF(ISERROR(FIND($A$2,Lines!AK12))=TRUE,"",Lines!AK12)</f>
        <v/>
      </c>
      <c r="AL12" s="74" t="str">
        <f>IF(ISERROR(FIND($A$2,Lines!AL12))=TRUE,"",Lines!AL12)</f>
        <v/>
      </c>
      <c r="AM12" s="74" t="str">
        <f>IF(ISERROR(FIND($A$2,Lines!AM12))=TRUE,"",Lines!AM12)</f>
        <v/>
      </c>
      <c r="AN12" s="74" t="str">
        <f>IF(ISERROR(FIND($A$2,Lines!AN12))=TRUE,"",Lines!AN12)</f>
        <v/>
      </c>
      <c r="AO12" s="74" t="str">
        <f>IF(ISERROR(FIND($A$2,Lines!AO12))=TRUE,"",Lines!AO12)</f>
        <v/>
      </c>
      <c r="AP12" s="74" t="str">
        <f>IF(ISERROR(FIND($A$2,Lines!AP12))=TRUE,"",Lines!AP12)</f>
        <v/>
      </c>
      <c r="AQ12" s="74" t="str">
        <f>IF(ISERROR(FIND($A$2,Lines!AQ12))=TRUE,"",Lines!AQ12)</f>
        <v/>
      </c>
      <c r="AR12" s="74" t="str">
        <f>IF(ISERROR(FIND($A$2,Lines!AR12))=TRUE,"",Lines!AR12)</f>
        <v/>
      </c>
      <c r="AS12" s="74" t="str">
        <f>IF(ISERROR(FIND($A$2,Lines!AS12))=TRUE,"",Lines!AS12)</f>
        <v/>
      </c>
      <c r="AT12" s="30" t="str">
        <f>IF(ISERROR(FIND($A$2,Lines!AT12))=TRUE,"",Lines!AT12)</f>
        <v/>
      </c>
    </row>
    <row r="13" spans="1:46" ht="20.25" customHeight="1">
      <c r="A13" s="2" t="s">
        <v>63</v>
      </c>
      <c r="B13" s="26" t="str">
        <f>IF(ISERROR(FIND($A$2,Lines!B13))=TRUE,"",Lines!B13)</f>
        <v/>
      </c>
      <c r="C13" s="26" t="str">
        <f>IF(ISERROR(FIND($A$2,Lines!C13))=TRUE,"",Lines!C13)</f>
        <v/>
      </c>
      <c r="D13" s="26" t="str">
        <f>IF(ISERROR(FIND($A$2,Lines!D13))=TRUE,"",Lines!D13)</f>
        <v/>
      </c>
      <c r="E13" s="26" t="str">
        <f>IF(ISERROR(FIND($A$2,Lines!E13))=TRUE,"",Lines!E13)</f>
        <v/>
      </c>
      <c r="F13" s="106" t="str">
        <f>IF(ISERROR(FIND($A$2,Lines!F13))=TRUE,"",Lines!F13)</f>
        <v/>
      </c>
      <c r="G13" s="106" t="str">
        <f>IF(ISERROR(FIND($A$2,Lines!G13))=TRUE,"",Lines!G13)</f>
        <v/>
      </c>
      <c r="H13" s="106" t="str">
        <f>IF(ISERROR(FIND($A$2,Lines!H13))=TRUE,"",Lines!H13)</f>
        <v/>
      </c>
      <c r="I13" s="106" t="str">
        <f>IF(ISERROR(FIND($A$2,Lines!I13))=TRUE,"",Lines!I13)</f>
        <v/>
      </c>
      <c r="J13" s="106" t="str">
        <f>IF(ISERROR(FIND($A$2,Lines!J13))=TRUE,"",Lines!J13)</f>
        <v/>
      </c>
      <c r="K13" s="105" t="str">
        <f>IF(ISERROR(FIND($A$2,Lines!K13))=TRUE,"",Lines!K13)</f>
        <v/>
      </c>
      <c r="L13" s="106" t="str">
        <f>IF(ISERROR(FIND($A$2,Lines!L13))=TRUE,"",Lines!L13)</f>
        <v/>
      </c>
      <c r="M13" s="107" t="str">
        <f>IF(ISERROR(FIND($A$2,Lines!M13))=TRUE,"",Lines!M13)</f>
        <v/>
      </c>
      <c r="N13" s="74" t="str">
        <f>IF(ISERROR(FIND($A$2,Lines!N13))=TRUE,"",Lines!N13)</f>
        <v/>
      </c>
      <c r="O13" s="74" t="str">
        <f>IF(ISERROR(FIND($A$2,Lines!O13))=TRUE,"",Lines!O13)</f>
        <v/>
      </c>
      <c r="P13" s="74" t="str">
        <f>IF(ISERROR(FIND($A$2,Lines!P13))=TRUE,"",Lines!P13)</f>
        <v/>
      </c>
      <c r="Q13" s="74" t="str">
        <f>IF(ISERROR(FIND($A$2,Lines!Q13))=TRUE,"",Lines!Q13)</f>
        <v/>
      </c>
      <c r="R13" s="74" t="str">
        <f>IF(ISERROR(FIND($A$2,Lines!R13))=TRUE,"",Lines!R13)</f>
        <v/>
      </c>
      <c r="S13" s="74" t="str">
        <f>IF(ISERROR(FIND($A$2,Lines!S13))=TRUE,"",Lines!S13)</f>
        <v/>
      </c>
      <c r="T13" s="74" t="str">
        <f>IF(ISERROR(FIND($A$2,Lines!T13))=TRUE,"",Lines!T13)</f>
        <v/>
      </c>
      <c r="U13" s="74" t="str">
        <f>IF(ISERROR(FIND($A$2,Lines!U13))=TRUE,"",Lines!U13)</f>
        <v/>
      </c>
      <c r="V13" s="74" t="str">
        <f>IF(ISERROR(FIND($A$2,Lines!V13))=TRUE,"",Lines!V13)</f>
        <v/>
      </c>
      <c r="W13" s="145" t="str">
        <f>IF(ISERROR(FIND($A$2,Lines!W13))=TRUE,"",Lines!W13)</f>
        <v/>
      </c>
      <c r="X13" s="74" t="str">
        <f>IF(ISERROR(FIND($A$2,Lines!X13))=TRUE,"",Lines!X13)</f>
        <v/>
      </c>
      <c r="Y13" s="74" t="str">
        <f>IF(ISERROR(FIND($A$2,Lines!Y13))=TRUE,"",Lines!Y13)</f>
        <v/>
      </c>
      <c r="Z13" s="74" t="str">
        <f>IF(ISERROR(FIND($A$2,Lines!Z13))=TRUE,"",Lines!Z13)</f>
        <v/>
      </c>
      <c r="AA13" s="74" t="str">
        <f>IF(ISERROR(FIND($A$2,Lines!AA13))=TRUE,"",Lines!AA13)</f>
        <v/>
      </c>
      <c r="AB13" s="74" t="str">
        <f>IF(ISERROR(FIND($A$2,Lines!AB13))=TRUE,"",Lines!AB13)</f>
        <v/>
      </c>
      <c r="AC13" s="74" t="str">
        <f>IF(ISERROR(FIND($A$2,Lines!AC13))=TRUE,"",Lines!AC13)</f>
        <v/>
      </c>
      <c r="AD13" s="74" t="str">
        <f>IF(ISERROR(FIND($A$2,Lines!AD13))=TRUE,"",Lines!AD13)</f>
        <v/>
      </c>
      <c r="AE13" s="74" t="str">
        <f>IF(ISERROR(FIND($A$2,Lines!AE13))=TRUE,"",Lines!AE13)</f>
        <v/>
      </c>
      <c r="AF13" s="74" t="str">
        <f>IF(ISERROR(FIND($A$2,Lines!AF13))=TRUE,"",Lines!AF13)</f>
        <v/>
      </c>
      <c r="AG13" s="74" t="str">
        <f>IF(ISERROR(FIND($A$2,Lines!AG13))=TRUE,"",Lines!AG13)</f>
        <v/>
      </c>
      <c r="AH13" s="74" t="str">
        <f>IF(ISERROR(FIND($A$2,Lines!AH13))=TRUE,"",Lines!AH13)</f>
        <v/>
      </c>
      <c r="AI13" s="74" t="str">
        <f>IF(ISERROR(FIND($A$2,Lines!AI13))=TRUE,"",Lines!AI13)</f>
        <v/>
      </c>
      <c r="AJ13" s="74" t="str">
        <f>IF(ISERROR(FIND($A$2,Lines!AJ13))=TRUE,"",Lines!AJ13)</f>
        <v/>
      </c>
      <c r="AK13" s="74" t="str">
        <f>IF(ISERROR(FIND($A$2,Lines!AK13))=TRUE,"",Lines!AK13)</f>
        <v/>
      </c>
      <c r="AL13" s="74" t="str">
        <f>IF(ISERROR(FIND($A$2,Lines!AL13))=TRUE,"",Lines!AL13)</f>
        <v/>
      </c>
      <c r="AM13" s="74" t="str">
        <f>IF(ISERROR(FIND($A$2,Lines!AM13))=TRUE,"",Lines!AM13)</f>
        <v/>
      </c>
      <c r="AN13" s="74" t="str">
        <f>IF(ISERROR(FIND($A$2,Lines!AN13))=TRUE,"",Lines!AN13)</f>
        <v/>
      </c>
      <c r="AO13" s="74" t="str">
        <f>IF(ISERROR(FIND($A$2,Lines!AO13))=TRUE,"",Lines!AO13)</f>
        <v/>
      </c>
      <c r="AP13" s="74" t="str">
        <f>IF(ISERROR(FIND($A$2,Lines!AP13))=TRUE,"",Lines!AP13)</f>
        <v/>
      </c>
      <c r="AQ13" s="74" t="str">
        <f>IF(ISERROR(FIND($A$2,Lines!AQ13))=TRUE,"",Lines!AQ13)</f>
        <v/>
      </c>
      <c r="AR13" s="74" t="str">
        <f>IF(ISERROR(FIND($A$2,Lines!AR13))=TRUE,"",Lines!AR13)</f>
        <v/>
      </c>
      <c r="AS13" s="74" t="str">
        <f>IF(ISERROR(FIND($A$2,Lines!AS13))=TRUE,"",Lines!AS13)</f>
        <v/>
      </c>
      <c r="AT13" s="30" t="str">
        <f>IF(ISERROR(FIND($A$2,Lines!AT13))=TRUE,"",Lines!AT13)</f>
        <v/>
      </c>
    </row>
    <row r="14" spans="1:46" ht="20.25" customHeight="1">
      <c r="A14" s="2" t="s">
        <v>64</v>
      </c>
      <c r="B14" s="26" t="str">
        <f>IF(ISERROR(FIND($A$2,Lines!B14))=TRUE,"",Lines!B14)</f>
        <v/>
      </c>
      <c r="C14" s="26" t="str">
        <f>IF(ISERROR(FIND($A$2,Lines!C14))=TRUE,"",Lines!C14)</f>
        <v/>
      </c>
      <c r="D14" s="26" t="str">
        <f>IF(ISERROR(FIND($A$2,Lines!D14))=TRUE,"",Lines!D14)</f>
        <v/>
      </c>
      <c r="E14" s="26" t="str">
        <f>IF(ISERROR(FIND($A$2,Lines!E14))=TRUE,"",Lines!E14)</f>
        <v/>
      </c>
      <c r="F14" s="106" t="str">
        <f>IF(ISERROR(FIND($A$2,Lines!F14))=TRUE,"",Lines!F14)</f>
        <v/>
      </c>
      <c r="G14" s="106" t="str">
        <f>IF(ISERROR(FIND($A$2,Lines!G14))=TRUE,"",Lines!G14)</f>
        <v/>
      </c>
      <c r="H14" s="106" t="str">
        <f>IF(ISERROR(FIND($A$2,Lines!H14))=TRUE,"",Lines!H14)</f>
        <v/>
      </c>
      <c r="I14" s="106" t="str">
        <f>IF(ISERROR(FIND($A$2,Lines!I14))=TRUE,"",Lines!I14)</f>
        <v/>
      </c>
      <c r="J14" s="106" t="str">
        <f>IF(ISERROR(FIND($A$2,Lines!J14))=TRUE,"",Lines!J14)</f>
        <v/>
      </c>
      <c r="K14" s="106" t="str">
        <f>IF(ISERROR(FIND($A$2,Lines!K14))=TRUE,"",Lines!K14)</f>
        <v/>
      </c>
      <c r="L14" s="105" t="str">
        <f>IF(ISERROR(FIND($A$2,Lines!L14))=TRUE,"",Lines!L14)</f>
        <v/>
      </c>
      <c r="M14" s="107" t="str">
        <f>IF(ISERROR(FIND($A$2,Lines!M14))=TRUE,"",Lines!M14)</f>
        <v/>
      </c>
      <c r="N14" s="74" t="str">
        <f>IF(ISERROR(FIND($A$2,Lines!N14))=TRUE,"",Lines!N14)</f>
        <v/>
      </c>
      <c r="O14" s="74" t="str">
        <f>IF(ISERROR(FIND($A$2,Lines!O14))=TRUE,"",Lines!O14)</f>
        <v/>
      </c>
      <c r="P14" s="74" t="str">
        <f>IF(ISERROR(FIND($A$2,Lines!P14))=TRUE,"",Lines!P14)</f>
        <v/>
      </c>
      <c r="Q14" s="74" t="str">
        <f>IF(ISERROR(FIND($A$2,Lines!Q14))=TRUE,"",Lines!Q14)</f>
        <v/>
      </c>
      <c r="R14" s="74" t="str">
        <f>IF(ISERROR(FIND($A$2,Lines!R14))=TRUE,"",Lines!R14)</f>
        <v/>
      </c>
      <c r="S14" s="74" t="str">
        <f>IF(ISERROR(FIND($A$2,Lines!S14))=TRUE,"",Lines!S14)</f>
        <v/>
      </c>
      <c r="T14" s="74" t="str">
        <f>IF(ISERROR(FIND($A$2,Lines!T14))=TRUE,"",Lines!T14)</f>
        <v/>
      </c>
      <c r="U14" s="74" t="str">
        <f>IF(ISERROR(FIND($A$2,Lines!U14))=TRUE,"",Lines!U14)</f>
        <v/>
      </c>
      <c r="V14" s="74" t="str">
        <f>IF(ISERROR(FIND($A$2,Lines!V14))=TRUE,"",Lines!V14)</f>
        <v/>
      </c>
      <c r="W14" s="145" t="str">
        <f>IF(ISERROR(FIND($A$2,Lines!W14))=TRUE,"",Lines!W14)</f>
        <v/>
      </c>
      <c r="X14" s="74" t="str">
        <f>IF(ISERROR(FIND($A$2,Lines!X14))=TRUE,"",Lines!X14)</f>
        <v/>
      </c>
      <c r="Y14" s="74" t="str">
        <f>IF(ISERROR(FIND($A$2,Lines!Y14))=TRUE,"",Lines!Y14)</f>
        <v/>
      </c>
      <c r="Z14" s="74" t="str">
        <f>IF(ISERROR(FIND($A$2,Lines!Z14))=TRUE,"",Lines!Z14)</f>
        <v/>
      </c>
      <c r="AA14" s="74" t="str">
        <f>IF(ISERROR(FIND($A$2,Lines!AA14))=TRUE,"",Lines!AA14)</f>
        <v/>
      </c>
      <c r="AB14" s="74" t="str">
        <f>IF(ISERROR(FIND($A$2,Lines!AB14))=TRUE,"",Lines!AB14)</f>
        <v/>
      </c>
      <c r="AC14" s="74" t="str">
        <f>IF(ISERROR(FIND($A$2,Lines!AC14))=TRUE,"",Lines!AC14)</f>
        <v/>
      </c>
      <c r="AD14" s="74" t="str">
        <f>IF(ISERROR(FIND($A$2,Lines!AD14))=TRUE,"",Lines!AD14)</f>
        <v/>
      </c>
      <c r="AE14" s="74" t="str">
        <f>IF(ISERROR(FIND($A$2,Lines!AE14))=TRUE,"",Lines!AE14)</f>
        <v/>
      </c>
      <c r="AF14" s="74" t="str">
        <f>IF(ISERROR(FIND($A$2,Lines!AF14))=TRUE,"",Lines!AF14)</f>
        <v/>
      </c>
      <c r="AG14" s="74" t="str">
        <f>IF(ISERROR(FIND($A$2,Lines!AG14))=TRUE,"",Lines!AG14)</f>
        <v/>
      </c>
      <c r="AH14" s="74" t="str">
        <f>IF(ISERROR(FIND($A$2,Lines!AH14))=TRUE,"",Lines!AH14)</f>
        <v/>
      </c>
      <c r="AI14" s="74" t="str">
        <f>IF(ISERROR(FIND($A$2,Lines!AI14))=TRUE,"",Lines!AI14)</f>
        <v/>
      </c>
      <c r="AJ14" s="74" t="str">
        <f>IF(ISERROR(FIND($A$2,Lines!AJ14))=TRUE,"",Lines!AJ14)</f>
        <v/>
      </c>
      <c r="AK14" s="74" t="str">
        <f>IF(ISERROR(FIND($A$2,Lines!AK14))=TRUE,"",Lines!AK14)</f>
        <v/>
      </c>
      <c r="AL14" s="74" t="str">
        <f>IF(ISERROR(FIND($A$2,Lines!AL14))=TRUE,"",Lines!AL14)</f>
        <v/>
      </c>
      <c r="AM14" s="74" t="str">
        <f>IF(ISERROR(FIND($A$2,Lines!AM14))=TRUE,"",Lines!AM14)</f>
        <v/>
      </c>
      <c r="AN14" s="74" t="str">
        <f>IF(ISERROR(FIND($A$2,Lines!AN14))=TRUE,"",Lines!AN14)</f>
        <v/>
      </c>
      <c r="AO14" s="74" t="str">
        <f>IF(ISERROR(FIND($A$2,Lines!AO14))=TRUE,"",Lines!AO14)</f>
        <v/>
      </c>
      <c r="AP14" s="74" t="str">
        <f>IF(ISERROR(FIND($A$2,Lines!AP14))=TRUE,"",Lines!AP14)</f>
        <v/>
      </c>
      <c r="AQ14" s="74" t="str">
        <f>IF(ISERROR(FIND($A$2,Lines!AQ14))=TRUE,"",Lines!AQ14)</f>
        <v/>
      </c>
      <c r="AR14" s="74" t="str">
        <f>IF(ISERROR(FIND($A$2,Lines!AR14))=TRUE,"",Lines!AR14)</f>
        <v/>
      </c>
      <c r="AS14" s="74" t="str">
        <f>IF(ISERROR(FIND($A$2,Lines!AS14))=TRUE,"",Lines!AS14)</f>
        <v/>
      </c>
      <c r="AT14" s="30" t="str">
        <f>IF(ISERROR(FIND($A$2,Lines!AT14))=TRUE,"",Lines!AT14)</f>
        <v/>
      </c>
    </row>
    <row r="15" spans="1:46" ht="20.25" customHeight="1">
      <c r="A15" s="2" t="s">
        <v>65</v>
      </c>
      <c r="B15" s="33" t="str">
        <f>IF(ISERROR(FIND($A$2,Lines!B15))=TRUE,"",Lines!B15)</f>
        <v/>
      </c>
      <c r="C15" s="33" t="str">
        <f>IF(ISERROR(FIND($A$2,Lines!C15))=TRUE,"",Lines!C15)</f>
        <v/>
      </c>
      <c r="D15" s="33" t="str">
        <f>IF(ISERROR(FIND($A$2,Lines!D15))=TRUE,"",Lines!D15)</f>
        <v/>
      </c>
      <c r="E15" s="33" t="str">
        <f>IF(ISERROR(FIND($A$2,Lines!E15))=TRUE,"",Lines!E15)</f>
        <v/>
      </c>
      <c r="F15" s="110" t="str">
        <f>IF(ISERROR(FIND($A$2,Lines!F15))=TRUE,"",Lines!F15)</f>
        <v/>
      </c>
      <c r="G15" s="110" t="str">
        <f>IF(ISERROR(FIND($A$2,Lines!G15))=TRUE,"",Lines!G15)</f>
        <v/>
      </c>
      <c r="H15" s="110" t="str">
        <f>IF(ISERROR(FIND($A$2,Lines!H15))=TRUE,"",Lines!H15)</f>
        <v/>
      </c>
      <c r="I15" s="110" t="str">
        <f>IF(ISERROR(FIND($A$2,Lines!I15))=TRUE,"",Lines!I15)</f>
        <v/>
      </c>
      <c r="J15" s="110" t="str">
        <f>IF(ISERROR(FIND($A$2,Lines!J15))=TRUE,"",Lines!J15)</f>
        <v>±500(穆家--伊敏 , 伊穆直流 / 呼辽直流3000MW)</v>
      </c>
      <c r="K15" s="110" t="str">
        <f>IF(ISERROR(FIND($A$2,Lines!K15))=TRUE,"",Lines!K15)</f>
        <v/>
      </c>
      <c r="L15" s="110" t="str">
        <f>IF(ISERROR(FIND($A$2,Lines!L15))=TRUE,"",Lines!L15)</f>
        <v/>
      </c>
      <c r="M15" s="111" t="str">
        <f>IF(ISERROR(FIND($A$2,Lines!M15))=TRUE,"",Lines!M15)</f>
        <v/>
      </c>
      <c r="N15" s="74" t="str">
        <f>IF(ISERROR(FIND($A$2,Lines!N15))=TRUE,"",Lines!N15)</f>
        <v/>
      </c>
      <c r="O15" s="74" t="str">
        <f>IF(ISERROR(FIND($A$2,Lines!O15))=TRUE,"",Lines!O15)</f>
        <v/>
      </c>
      <c r="P15" s="74" t="str">
        <f>IF(ISERROR(FIND($A$2,Lines!P15))=TRUE,"",Lines!P15)</f>
        <v/>
      </c>
      <c r="Q15" s="74" t="str">
        <f>IF(ISERROR(FIND($A$2,Lines!Q15))=TRUE,"",Lines!Q15)</f>
        <v/>
      </c>
      <c r="R15" s="74" t="str">
        <f>IF(ISERROR(FIND($A$2,Lines!R15))=TRUE,"",Lines!R15)</f>
        <v/>
      </c>
      <c r="S15" s="74" t="str">
        <f>IF(ISERROR(FIND($A$2,Lines!S15))=TRUE,"",Lines!S15)</f>
        <v/>
      </c>
      <c r="T15" s="74" t="str">
        <f>IF(ISERROR(FIND($A$2,Lines!T15))=TRUE,"",Lines!T15)</f>
        <v/>
      </c>
      <c r="U15" s="74" t="str">
        <f>IF(ISERROR(FIND($A$2,Lines!U15))=TRUE,"",Lines!U15)</f>
        <v/>
      </c>
      <c r="V15" s="74" t="str">
        <f>IF(ISERROR(FIND($A$2,Lines!V15))=TRUE,"",Lines!V15)</f>
        <v/>
      </c>
      <c r="W15" s="145" t="str">
        <f>IF(ISERROR(FIND($A$2,Lines!W15))=TRUE,"",Lines!W15)</f>
        <v/>
      </c>
      <c r="X15" s="74" t="str">
        <f>IF(ISERROR(FIND($A$2,Lines!X15))=TRUE,"",Lines!X15)</f>
        <v/>
      </c>
      <c r="Y15" s="74" t="str">
        <f>IF(ISERROR(FIND($A$2,Lines!Y15))=TRUE,"",Lines!Y15)</f>
        <v/>
      </c>
      <c r="Z15" s="74" t="str">
        <f>IF(ISERROR(FIND($A$2,Lines!Z15))=TRUE,"",Lines!Z15)</f>
        <v/>
      </c>
      <c r="AA15" s="74" t="str">
        <f>IF(ISERROR(FIND($A$2,Lines!AA15))=TRUE,"",Lines!AA15)</f>
        <v/>
      </c>
      <c r="AB15" s="74" t="str">
        <f>IF(ISERROR(FIND($A$2,Lines!AB15))=TRUE,"",Lines!AB15)</f>
        <v/>
      </c>
      <c r="AC15" s="74" t="str">
        <f>IF(ISERROR(FIND($A$2,Lines!AC15))=TRUE,"",Lines!AC15)</f>
        <v/>
      </c>
      <c r="AD15" s="74" t="str">
        <f>IF(ISERROR(FIND($A$2,Lines!AD15))=TRUE,"",Lines!AD15)</f>
        <v/>
      </c>
      <c r="AE15" s="74" t="str">
        <f>IF(ISERROR(FIND($A$2,Lines!AE15))=TRUE,"",Lines!AE15)</f>
        <v/>
      </c>
      <c r="AF15" s="74" t="str">
        <f>IF(ISERROR(FIND($A$2,Lines!AF15))=TRUE,"",Lines!AF15)</f>
        <v/>
      </c>
      <c r="AG15" s="74" t="str">
        <f>IF(ISERROR(FIND($A$2,Lines!AG15))=TRUE,"",Lines!AG15)</f>
        <v/>
      </c>
      <c r="AH15" s="74" t="str">
        <f>IF(ISERROR(FIND($A$2,Lines!AH15))=TRUE,"",Lines!AH15)</f>
        <v/>
      </c>
      <c r="AI15" s="74" t="str">
        <f>IF(ISERROR(FIND($A$2,Lines!AI15))=TRUE,"",Lines!AI15)</f>
        <v/>
      </c>
      <c r="AJ15" s="74" t="str">
        <f>IF(ISERROR(FIND($A$2,Lines!AJ15))=TRUE,"",Lines!AJ15)</f>
        <v/>
      </c>
      <c r="AK15" s="74" t="str">
        <f>IF(ISERROR(FIND($A$2,Lines!AK15))=TRUE,"",Lines!AK15)</f>
        <v/>
      </c>
      <c r="AL15" s="74" t="str">
        <f>IF(ISERROR(FIND($A$2,Lines!AL15))=TRUE,"",Lines!AL15)</f>
        <v/>
      </c>
      <c r="AM15" s="74" t="str">
        <f>IF(ISERROR(FIND($A$2,Lines!AM15))=TRUE,"",Lines!AM15)</f>
        <v/>
      </c>
      <c r="AN15" s="74" t="str">
        <f>IF(ISERROR(FIND($A$2,Lines!AN15))=TRUE,"",Lines!AN15)</f>
        <v/>
      </c>
      <c r="AO15" s="74" t="str">
        <f>IF(ISERROR(FIND($A$2,Lines!AO15))=TRUE,"",Lines!AO15)</f>
        <v/>
      </c>
      <c r="AP15" s="74" t="str">
        <f>IF(ISERROR(FIND($A$2,Lines!AP15))=TRUE,"",Lines!AP15)</f>
        <v/>
      </c>
      <c r="AQ15" s="74" t="str">
        <f>IF(ISERROR(FIND($A$2,Lines!AQ15))=TRUE,"",Lines!AQ15)</f>
        <v/>
      </c>
      <c r="AR15" s="74" t="str">
        <f>IF(ISERROR(FIND($A$2,Lines!AR15))=TRUE,"",Lines!AR15)</f>
        <v/>
      </c>
      <c r="AS15" s="74" t="str">
        <f>IF(ISERROR(FIND($A$2,Lines!AS15))=TRUE,"",Lines!AS15)</f>
        <v/>
      </c>
      <c r="AT15" s="30" t="str">
        <f>IF(ISERROR(FIND($A$2,Lines!AT15))=TRUE,"",Lines!AT15)</f>
        <v/>
      </c>
    </row>
    <row r="16" spans="1:46" ht="20.25" customHeight="1">
      <c r="A16" s="2" t="s">
        <v>12</v>
      </c>
      <c r="B16" s="30" t="str">
        <f>IF(ISERROR(FIND($A$2,Lines!B16))=TRUE,"",Lines!B16)</f>
        <v/>
      </c>
      <c r="C16" s="30" t="str">
        <f>IF(ISERROR(FIND($A$2,Lines!C16))=TRUE,"",Lines!C16)</f>
        <v/>
      </c>
      <c r="D16" s="30" t="str">
        <f>IF(ISERROR(FIND($A$2,Lines!D16))=TRUE,"",Lines!D16)</f>
        <v/>
      </c>
      <c r="E16" s="30" t="str">
        <f>IF(ISERROR(FIND($A$2,Lines!E16))=TRUE,"",Lines!E16)</f>
        <v/>
      </c>
      <c r="F16" s="74" t="str">
        <f>IF(ISERROR(FIND($A$2,Lines!F16))=TRUE,"",Lines!F16)</f>
        <v/>
      </c>
      <c r="G16" s="74" t="str">
        <f>IF(ISERROR(FIND($A$2,Lines!G16))=TRUE,"",Lines!G16)</f>
        <v/>
      </c>
      <c r="H16" s="74" t="str">
        <f>IF(ISERROR(FIND($A$2,Lines!H16))=TRUE,"",Lines!H16)</f>
        <v/>
      </c>
      <c r="I16" s="74" t="str">
        <f>IF(ISERROR(FIND($A$2,Lines!I16))=TRUE,"",Lines!I16)</f>
        <v/>
      </c>
      <c r="J16" s="74" t="str">
        <f>IF(ISERROR(FIND($A$2,Lines!J16))=TRUE,"",Lines!J16)</f>
        <v/>
      </c>
      <c r="K16" s="74" t="str">
        <f>IF(ISERROR(FIND($A$2,Lines!K16))=TRUE,"",Lines!K16)</f>
        <v/>
      </c>
      <c r="L16" s="74" t="str">
        <f>IF(ISERROR(FIND($A$2,Lines!L16))=TRUE,"",Lines!L16)</f>
        <v/>
      </c>
      <c r="M16" s="74" t="str">
        <f>IF(ISERROR(FIND($A$2,Lines!M16))=TRUE,"",Lines!M16)</f>
        <v/>
      </c>
      <c r="N16" s="146" t="str">
        <f>IF(ISERROR(FIND($A$2,Lines!N16))=TRUE,"",Lines!N16)</f>
        <v/>
      </c>
      <c r="O16" s="147" t="str">
        <f>IF(ISERROR(FIND($A$2,Lines!O16))=TRUE,"",Lines!O16)</f>
        <v/>
      </c>
      <c r="P16" s="148" t="str">
        <f>IF(ISERROR(FIND($A$2,Lines!P16))=TRUE,"",Lines!P16)</f>
        <v/>
      </c>
      <c r="Q16" s="148" t="str">
        <f>IF(ISERROR(FIND($A$2,Lines!Q16))=TRUE,"",Lines!Q16)</f>
        <v/>
      </c>
      <c r="R16" s="148" t="str">
        <f>IF(ISERROR(FIND($A$2,Lines!R16))=TRUE,"",Lines!R16)</f>
        <v/>
      </c>
      <c r="S16" s="148" t="str">
        <f>IF(ISERROR(FIND($A$2,Lines!S16))=TRUE,"",Lines!S16)</f>
        <v/>
      </c>
      <c r="T16" s="148" t="str">
        <f>IF(ISERROR(FIND($A$2,Lines!T16))=TRUE,"",Lines!T16)</f>
        <v/>
      </c>
      <c r="U16" s="148" t="str">
        <f>IF(ISERROR(FIND($A$2,Lines!U16))=TRUE,"",Lines!U16)</f>
        <v/>
      </c>
      <c r="V16" s="149" t="str">
        <f>IF(ISERROR(FIND($A$2,Lines!V16))=TRUE,"",Lines!V16)</f>
        <v/>
      </c>
      <c r="W16" s="145" t="str">
        <f>IF(ISERROR(FIND($A$2,Lines!W16))=TRUE,"",Lines!W16)</f>
        <v/>
      </c>
      <c r="X16" s="74" t="str">
        <f>IF(ISERROR(FIND($A$2,Lines!X16))=TRUE,"",Lines!X16)</f>
        <v/>
      </c>
      <c r="Y16" s="74" t="str">
        <f>IF(ISERROR(FIND($A$2,Lines!Y16))=TRUE,"",Lines!Y16)</f>
        <v/>
      </c>
      <c r="Z16" s="74" t="str">
        <f>IF(ISERROR(FIND($A$2,Lines!Z16))=TRUE,"",Lines!Z16)</f>
        <v/>
      </c>
      <c r="AA16" s="74" t="str">
        <f>IF(ISERROR(FIND($A$2,Lines!AA16))=TRUE,"",Lines!AA16)</f>
        <v/>
      </c>
      <c r="AB16" s="74" t="str">
        <f>IF(ISERROR(FIND($A$2,Lines!#REF!))=TRUE,"",Lines!#REF!)</f>
        <v/>
      </c>
      <c r="AC16" s="74" t="str">
        <f>IF(ISERROR(FIND($A$2,Lines!AC16))=TRUE,"",Lines!AC16)</f>
        <v/>
      </c>
      <c r="AD16" s="74" t="str">
        <f>IF(ISERROR(FIND($A$2,Lines!AD16))=TRUE,"",Lines!AD16)</f>
        <v/>
      </c>
      <c r="AE16" s="74" t="str">
        <f>IF(ISERROR(FIND($A$2,Lines!AE16))=TRUE,"",Lines!AE16)</f>
        <v/>
      </c>
      <c r="AF16" s="74" t="str">
        <f>IF(ISERROR(FIND($A$2,Lines!AF16))=TRUE,"",Lines!AF16)</f>
        <v/>
      </c>
      <c r="AG16" s="74" t="str">
        <f>IF(ISERROR(FIND($A$2,Lines!AG16))=TRUE,"",Lines!AG16)</f>
        <v/>
      </c>
      <c r="AH16" s="74" t="str">
        <f>IF(ISERROR(FIND($A$2,Lines!AH16))=TRUE,"",Lines!AH16)</f>
        <v/>
      </c>
      <c r="AI16" s="74" t="str">
        <f>IF(ISERROR(FIND($A$2,Lines!AI16))=TRUE,"",Lines!AI16)</f>
        <v/>
      </c>
      <c r="AJ16" s="74" t="str">
        <f>IF(ISERROR(FIND($A$2,Lines!AJ16))=TRUE,"",Lines!AJ16)</f>
        <v/>
      </c>
      <c r="AK16" s="74" t="str">
        <f>IF(ISERROR(FIND($A$2,Lines!AK16))=TRUE,"",Lines!AK16)</f>
        <v/>
      </c>
      <c r="AL16" s="74" t="str">
        <f>IF(ISERROR(FIND($A$2,Lines!AL16))=TRUE,"",Lines!AL16)</f>
        <v/>
      </c>
      <c r="AM16" s="74" t="str">
        <f>IF(ISERROR(FIND($A$2,Lines!AM16))=TRUE,"",Lines!AM16)</f>
        <v/>
      </c>
      <c r="AN16" s="74" t="str">
        <f>IF(ISERROR(FIND($A$2,Lines!AN16))=TRUE,"",Lines!AN16)</f>
        <v/>
      </c>
      <c r="AO16" s="74" t="str">
        <f>IF(ISERROR(FIND($A$2,Lines!AO16))=TRUE,"",Lines!AO16)</f>
        <v/>
      </c>
      <c r="AP16" s="74" t="str">
        <f>IF(ISERROR(FIND($A$2,Lines!AP16))=TRUE,"",Lines!AP16)</f>
        <v/>
      </c>
      <c r="AQ16" s="74" t="str">
        <f>IF(ISERROR(FIND($A$2,Lines!AQ16))=TRUE,"",Lines!AQ16)</f>
        <v/>
      </c>
      <c r="AR16" s="74" t="str">
        <f>IF(ISERROR(FIND($A$2,Lines!AR16))=TRUE,"",Lines!AR16)</f>
        <v/>
      </c>
      <c r="AS16" s="74" t="str">
        <f>IF(ISERROR(FIND($A$2,Lines!AS16))=TRUE,"",Lines!AS16)</f>
        <v/>
      </c>
      <c r="AT16" s="30" t="str">
        <f>IF(ISERROR(FIND($A$2,Lines!AT16))=TRUE,"",Lines!AT16)</f>
        <v/>
      </c>
    </row>
    <row r="17" spans="1:46" ht="20.25" customHeight="1">
      <c r="A17" s="2" t="s">
        <v>13</v>
      </c>
      <c r="B17" s="30" t="str">
        <f>IF(ISERROR(FIND($A$2,Lines!B17))=TRUE,"",Lines!B17)</f>
        <v/>
      </c>
      <c r="C17" s="30" t="str">
        <f>IF(ISERROR(FIND($A$2,Lines!C17))=TRUE,"",Lines!C17)</f>
        <v/>
      </c>
      <c r="D17" s="30" t="str">
        <f>IF(ISERROR(FIND($A$2,Lines!D17))=TRUE,"",Lines!D17)</f>
        <v/>
      </c>
      <c r="E17" s="30" t="str">
        <f>IF(ISERROR(FIND($A$2,Lines!E17))=TRUE,"",Lines!E17)</f>
        <v/>
      </c>
      <c r="F17" s="74" t="str">
        <f>IF(ISERROR(FIND($A$2,Lines!F17))=TRUE,"",Lines!F17)</f>
        <v/>
      </c>
      <c r="G17" s="74" t="str">
        <f>IF(ISERROR(FIND($A$2,Lines!G17))=TRUE,"",Lines!G17)</f>
        <v/>
      </c>
      <c r="H17" s="74" t="str">
        <f>IF(ISERROR(FIND($A$2,Lines!H17))=TRUE,"",Lines!H17)</f>
        <v/>
      </c>
      <c r="I17" s="74" t="str">
        <f>IF(ISERROR(FIND($A$2,Lines!I17))=TRUE,"",Lines!I17)</f>
        <v/>
      </c>
      <c r="J17" s="74" t="str">
        <f>IF(ISERROR(FIND($A$2,Lines!J17))=TRUE,"",Lines!J17)</f>
        <v/>
      </c>
      <c r="K17" s="74" t="str">
        <f>IF(ISERROR(FIND($A$2,Lines!K17))=TRUE,"",Lines!K17)</f>
        <v/>
      </c>
      <c r="L17" s="74" t="str">
        <f>IF(ISERROR(FIND($A$2,Lines!L17))=TRUE,"",Lines!L17)</f>
        <v/>
      </c>
      <c r="M17" s="74" t="str">
        <f>IF(ISERROR(FIND($A$2,Lines!M17))=TRUE,"",Lines!M17)</f>
        <v/>
      </c>
      <c r="N17" s="147" t="str">
        <f>IF(ISERROR(FIND($A$2,Lines!N17))=TRUE,"",Lines!N17)</f>
        <v/>
      </c>
      <c r="O17" s="150" t="str">
        <f>IF(ISERROR(FIND($A$2,Lines!O17))=TRUE,"",Lines!O17)</f>
        <v/>
      </c>
      <c r="P17" s="151" t="str">
        <f>IF(ISERROR(FIND($A$2,Lines!P17))=TRUE,"",Lines!P17)</f>
        <v/>
      </c>
      <c r="Q17" s="151" t="str">
        <f>IF(ISERROR(FIND($A$2,Lines!Q17))=TRUE,"",Lines!Q17)</f>
        <v/>
      </c>
      <c r="R17" s="151" t="str">
        <f>IF(ISERROR(FIND($A$2,Lines!R17))=TRUE,"",Lines!R17)</f>
        <v/>
      </c>
      <c r="S17" s="151" t="str">
        <f>IF(ISERROR(FIND($A$2,Lines!S17))=TRUE,"",Lines!S17)</f>
        <v/>
      </c>
      <c r="T17" s="151" t="str">
        <f>IF(ISERROR(FIND($A$2,Lines!T17))=TRUE,"",Lines!T17)</f>
        <v/>
      </c>
      <c r="U17" s="151" t="str">
        <f>IF(ISERROR(FIND($A$2,Lines!U17))=TRUE,"",Lines!U17)</f>
        <v/>
      </c>
      <c r="V17" s="152" t="str">
        <f>IF(ISERROR(FIND($A$2,Lines!V17))=TRUE,"",Lines!V17)</f>
        <v/>
      </c>
      <c r="W17" s="145" t="str">
        <f>IF(ISERROR(FIND($A$2,Lines!W17))=TRUE,"",Lines!W17)</f>
        <v/>
      </c>
      <c r="X17" s="74" t="str">
        <f>IF(ISERROR(FIND($A$2,Lines!X17))=TRUE,"",Lines!X17)</f>
        <v/>
      </c>
      <c r="Y17" s="74" t="str">
        <f>IF(ISERROR(FIND($A$2,Lines!Y17))=TRUE,"",Lines!Y17)</f>
        <v/>
      </c>
      <c r="Z17" s="74" t="str">
        <f>IF(ISERROR(FIND($A$2,Lines!Z17))=TRUE,"",Lines!Z17)</f>
        <v/>
      </c>
      <c r="AA17" s="74" t="str">
        <f>IF(ISERROR(FIND($A$2,Lines!AB16))=TRUE,"",Lines!AB16)</f>
        <v/>
      </c>
      <c r="AB17" s="74" t="str">
        <f>IF(ISERROR(FIND($A$2,Lines!AB17))=TRUE,"",Lines!AB17)</f>
        <v/>
      </c>
      <c r="AC17" s="74" t="str">
        <f>IF(ISERROR(FIND($A$2,Lines!AC17))=TRUE,"",Lines!AC17)</f>
        <v/>
      </c>
      <c r="AD17" s="74" t="str">
        <f>IF(ISERROR(FIND($A$2,Lines!AD17))=TRUE,"",Lines!AD17)</f>
        <v/>
      </c>
      <c r="AE17" s="74" t="str">
        <f>IF(ISERROR(FIND($A$2,Lines!AE17))=TRUE,"",Lines!AE17)</f>
        <v/>
      </c>
      <c r="AF17" s="74" t="str">
        <f>IF(ISERROR(FIND($A$2,Lines!AF17))=TRUE,"",Lines!AF17)</f>
        <v/>
      </c>
      <c r="AG17" s="74" t="str">
        <f>IF(ISERROR(FIND($A$2,Lines!AG17))=TRUE,"",Lines!AG17)</f>
        <v/>
      </c>
      <c r="AH17" s="74" t="str">
        <f>IF(ISERROR(FIND($A$2,Lines!AH17))=TRUE,"",Lines!AH17)</f>
        <v/>
      </c>
      <c r="AI17" s="74" t="str">
        <f>IF(ISERROR(FIND($A$2,Lines!AI17))=TRUE,"",Lines!AI17)</f>
        <v/>
      </c>
      <c r="AJ17" s="153" t="str">
        <f>IF(ISERROR(FIND($A$2,Lines!AJ17))=TRUE,"",Lines!AJ17)</f>
        <v>±500(德宝直流3000MW)</v>
      </c>
      <c r="AK17" s="74" t="str">
        <f>IF(ISERROR(FIND($A$2,Lines!AK17))=TRUE,"",Lines!AK17)</f>
        <v/>
      </c>
      <c r="AL17" s="74" t="str">
        <f>IF(ISERROR(FIND($A$2,Lines!AL17))=TRUE,"",Lines!AL17)</f>
        <v/>
      </c>
      <c r="AM17" s="74" t="str">
        <f>IF(ISERROR(FIND($A$2,Lines!AM17))=TRUE,"",Lines!AM17)</f>
        <v/>
      </c>
      <c r="AN17" s="74" t="str">
        <f>IF(ISERROR(FIND($A$2,Lines!AN17))=TRUE,"",Lines!AN17)</f>
        <v/>
      </c>
      <c r="AO17" s="74" t="str">
        <f>IF(ISERROR(FIND($A$2,Lines!AO17))=TRUE,"",Lines!AO17)</f>
        <v/>
      </c>
      <c r="AP17" s="74" t="str">
        <f>IF(ISERROR(FIND($A$2,Lines!AP17))=TRUE,"",Lines!AP17)</f>
        <v/>
      </c>
      <c r="AQ17" s="74" t="str">
        <f>IF(ISERROR(FIND($A$2,Lines!AQ17))=TRUE,"",Lines!AQ17)</f>
        <v/>
      </c>
      <c r="AR17" s="74" t="str">
        <f>IF(ISERROR(FIND($A$2,Lines!AR17))=TRUE,"",Lines!AR17)</f>
        <v/>
      </c>
      <c r="AS17" s="74" t="str">
        <f>IF(ISERROR(FIND($A$2,Lines!AS17))=TRUE,"",Lines!AS17)</f>
        <v/>
      </c>
      <c r="AT17" s="30" t="str">
        <f>IF(ISERROR(FIND($A$2,Lines!AT17))=TRUE,"",Lines!AT17)</f>
        <v/>
      </c>
    </row>
    <row r="18" spans="1:46" ht="20.25" customHeight="1">
      <c r="A18" s="2" t="s">
        <v>66</v>
      </c>
      <c r="B18" s="30" t="str">
        <f>IF(ISERROR(FIND($A$2,Lines!B18))=TRUE,"",Lines!B18)</f>
        <v/>
      </c>
      <c r="C18" s="30" t="str">
        <f>IF(ISERROR(FIND($A$2,Lines!C18))=TRUE,"",Lines!C18)</f>
        <v/>
      </c>
      <c r="D18" s="30" t="str">
        <f>IF(ISERROR(FIND($A$2,Lines!D18))=TRUE,"",Lines!D18)</f>
        <v/>
      </c>
      <c r="E18" s="30" t="str">
        <f>IF(ISERROR(FIND($A$2,Lines!E18))=TRUE,"",Lines!E18)</f>
        <v/>
      </c>
      <c r="F18" s="74" t="str">
        <f>IF(ISERROR(FIND($A$2,Lines!F18))=TRUE,"",Lines!F18)</f>
        <v/>
      </c>
      <c r="G18" s="74" t="str">
        <f>IF(ISERROR(FIND($A$2,Lines!G18))=TRUE,"",Lines!G18)</f>
        <v/>
      </c>
      <c r="H18" s="74" t="str">
        <f>IF(ISERROR(FIND($A$2,Lines!H18))=TRUE,"",Lines!H18)</f>
        <v/>
      </c>
      <c r="I18" s="74" t="str">
        <f>IF(ISERROR(FIND($A$2,Lines!I18))=TRUE,"",Lines!I18)</f>
        <v/>
      </c>
      <c r="J18" s="74" t="str">
        <f>IF(ISERROR(FIND($A$2,Lines!J18))=TRUE,"",Lines!J18)</f>
        <v/>
      </c>
      <c r="K18" s="74" t="str">
        <f>IF(ISERROR(FIND($A$2,Lines!K18))=TRUE,"",Lines!K18)</f>
        <v/>
      </c>
      <c r="L18" s="74" t="str">
        <f>IF(ISERROR(FIND($A$2,Lines!L18))=TRUE,"",Lines!L18)</f>
        <v/>
      </c>
      <c r="M18" s="74" t="str">
        <f>IF(ISERROR(FIND($A$2,Lines!M18))=TRUE,"",Lines!M18)</f>
        <v/>
      </c>
      <c r="N18" s="147" t="str">
        <f>IF(ISERROR(FIND($A$2,Lines!N18))=TRUE,"",Lines!N18)</f>
        <v/>
      </c>
      <c r="O18" s="151" t="str">
        <f>IF(ISERROR(FIND($A$2,Lines!O18))=TRUE,"",Lines!O18)</f>
        <v/>
      </c>
      <c r="P18" s="150" t="str">
        <f>IF(ISERROR(FIND($A$2,Lines!P18))=TRUE,"",Lines!P18)</f>
        <v/>
      </c>
      <c r="Q18" s="151" t="str">
        <f>IF(ISERROR(FIND($A$2,Lines!Q18))=TRUE,"",Lines!Q18)</f>
        <v/>
      </c>
      <c r="R18" s="151" t="str">
        <f>IF(ISERROR(FIND($A$2,Lines!R18))=TRUE,"",Lines!R18)</f>
        <v/>
      </c>
      <c r="S18" s="151" t="str">
        <f>IF(ISERROR(FIND($A$2,Lines!S18))=TRUE,"",Lines!S18)</f>
        <v/>
      </c>
      <c r="T18" s="151" t="str">
        <f>IF(ISERROR(FIND($A$2,Lines!T18))=TRUE,"",Lines!T18)</f>
        <v/>
      </c>
      <c r="U18" s="151" t="str">
        <f>IF(ISERROR(FIND($A$2,Lines!U18))=TRUE,"",Lines!U18)</f>
        <v/>
      </c>
      <c r="V18" s="152" t="str">
        <f>IF(ISERROR(FIND($A$2,Lines!V18))=TRUE,"",Lines!V18)</f>
        <v/>
      </c>
      <c r="W18" s="145" t="str">
        <f>IF(ISERROR(FIND($A$2,Lines!W18))=TRUE,"",Lines!W18)</f>
        <v/>
      </c>
      <c r="X18" s="74" t="str">
        <f>IF(ISERROR(FIND($A$2,Lines!X18))=TRUE,"",Lines!X18)</f>
        <v/>
      </c>
      <c r="Y18" s="74" t="str">
        <f>IF(ISERROR(FIND($A$2,Lines!Y18))=TRUE,"",Lines!Y18)</f>
        <v/>
      </c>
      <c r="Z18" s="74" t="str">
        <f>IF(ISERROR(FIND($A$2,Lines!Z18))=TRUE,"",Lines!Z18)</f>
        <v/>
      </c>
      <c r="AA18" s="74" t="str">
        <f>IF(ISERROR(FIND($A$2,Lines!AA18))=TRUE,"",Lines!AA18)</f>
        <v/>
      </c>
      <c r="AB18" s="74" t="str">
        <f>IF(ISERROR(FIND($A$2,Lines!AB18))=TRUE,"",Lines!AB18)</f>
        <v/>
      </c>
      <c r="AC18" s="74" t="str">
        <f>IF(ISERROR(FIND($A$2,Lines!AC18))=TRUE,"",Lines!AC18)</f>
        <v/>
      </c>
      <c r="AD18" s="74" t="str">
        <f>IF(ISERROR(FIND($A$2,Lines!AD18))=TRUE,"",Lines!AD18)</f>
        <v/>
      </c>
      <c r="AE18" s="74" t="str">
        <f>IF(ISERROR(FIND($A$2,Lines!AE18))=TRUE,"",Lines!AE18)</f>
        <v/>
      </c>
      <c r="AF18" s="74" t="str">
        <f>IF(ISERROR(FIND($A$2,Lines!AF18))=TRUE,"",Lines!AF18)</f>
        <v/>
      </c>
      <c r="AG18" s="74" t="str">
        <f>IF(ISERROR(FIND($A$2,Lines!AG18))=TRUE,"",Lines!AG18)</f>
        <v/>
      </c>
      <c r="AH18" s="74" t="str">
        <f>IF(ISERROR(FIND($A$2,Lines!AH18))=TRUE,"",Lines!AH18)</f>
        <v/>
      </c>
      <c r="AI18" s="74" t="str">
        <f>IF(ISERROR(FIND($A$2,Lines!AI18))=TRUE,"",Lines!AI18)</f>
        <v/>
      </c>
      <c r="AJ18" s="74" t="str">
        <f>IF(ISERROR(FIND($A$2,Lines!AJ18))=TRUE,"",Lines!AJ18)</f>
        <v/>
      </c>
      <c r="AK18" s="74" t="str">
        <f>IF(ISERROR(FIND($A$2,Lines!AK18))=TRUE,"",Lines!AK18)</f>
        <v/>
      </c>
      <c r="AL18" s="74" t="str">
        <f>IF(ISERROR(FIND($A$2,Lines!AL18))=TRUE,"",Lines!AL18)</f>
        <v/>
      </c>
      <c r="AM18" s="74" t="str">
        <f>IF(ISERROR(FIND($A$2,Lines!AM18))=TRUE,"",Lines!AM18)</f>
        <v/>
      </c>
      <c r="AN18" s="74" t="str">
        <f>IF(ISERROR(FIND($A$2,Lines!AN18))=TRUE,"",Lines!AN18)</f>
        <v/>
      </c>
      <c r="AO18" s="74" t="str">
        <f>IF(ISERROR(FIND($A$2,Lines!AO18))=TRUE,"",Lines!AO18)</f>
        <v/>
      </c>
      <c r="AP18" s="74" t="str">
        <f>IF(ISERROR(FIND($A$2,Lines!AP18))=TRUE,"",Lines!AP18)</f>
        <v/>
      </c>
      <c r="AQ18" s="74" t="str">
        <f>IF(ISERROR(FIND($A$2,Lines!AQ18))=TRUE,"",Lines!AQ18)</f>
        <v/>
      </c>
      <c r="AR18" s="74" t="str">
        <f>IF(ISERROR(FIND($A$2,Lines!AR18))=TRUE,"",Lines!AR18)</f>
        <v/>
      </c>
      <c r="AS18" s="74" t="str">
        <f>IF(ISERROR(FIND($A$2,Lines!AS18))=TRUE,"",Lines!AS18)</f>
        <v/>
      </c>
      <c r="AT18" s="30" t="str">
        <f>IF(ISERROR(FIND($A$2,Lines!AT18))=TRUE,"",Lines!AT18)</f>
        <v/>
      </c>
    </row>
    <row r="19" spans="1:46" ht="20.25" customHeight="1">
      <c r="A19" s="2" t="s">
        <v>67</v>
      </c>
      <c r="B19" s="30" t="str">
        <f>IF(ISERROR(FIND($A$2,Lines!B19))=TRUE,"",Lines!B19)</f>
        <v/>
      </c>
      <c r="C19" s="30" t="str">
        <f>IF(ISERROR(FIND($A$2,Lines!C19))=TRUE,"",Lines!C19)</f>
        <v/>
      </c>
      <c r="D19" s="30" t="str">
        <f>IF(ISERROR(FIND($A$2,Lines!D19))=TRUE,"",Lines!D19)</f>
        <v/>
      </c>
      <c r="E19" s="30" t="str">
        <f>IF(ISERROR(FIND($A$2,Lines!E19))=TRUE,"",Lines!E19)</f>
        <v/>
      </c>
      <c r="F19" s="74" t="str">
        <f>IF(ISERROR(FIND($A$2,Lines!F19))=TRUE,"",Lines!F19)</f>
        <v/>
      </c>
      <c r="G19" s="74" t="str">
        <f>IF(ISERROR(FIND($A$2,Lines!G19))=TRUE,"",Lines!G19)</f>
        <v/>
      </c>
      <c r="H19" s="74" t="str">
        <f>IF(ISERROR(FIND($A$2,Lines!H19))=TRUE,"",Lines!H19)</f>
        <v/>
      </c>
      <c r="I19" s="74" t="str">
        <f>IF(ISERROR(FIND($A$2,Lines!I19))=TRUE,"",Lines!I19)</f>
        <v/>
      </c>
      <c r="J19" s="74" t="str">
        <f>IF(ISERROR(FIND($A$2,Lines!J19))=TRUE,"",Lines!J19)</f>
        <v/>
      </c>
      <c r="K19" s="74" t="str">
        <f>IF(ISERROR(FIND($A$2,Lines!K19))=TRUE,"",Lines!K19)</f>
        <v/>
      </c>
      <c r="L19" s="74" t="str">
        <f>IF(ISERROR(FIND($A$2,Lines!L19))=TRUE,"",Lines!L19)</f>
        <v/>
      </c>
      <c r="M19" s="74" t="str">
        <f>IF(ISERROR(FIND($A$2,Lines!M19))=TRUE,"",Lines!M19)</f>
        <v/>
      </c>
      <c r="N19" s="147" t="str">
        <f>IF(ISERROR(FIND($A$2,Lines!N19))=TRUE,"",Lines!N19)</f>
        <v/>
      </c>
      <c r="O19" s="151" t="str">
        <f>IF(ISERROR(FIND($A$2,Lines!O19))=TRUE,"",Lines!O19)</f>
        <v/>
      </c>
      <c r="P19" s="151" t="str">
        <f>IF(ISERROR(FIND($A$2,Lines!P19))=TRUE,"",Lines!P19)</f>
        <v/>
      </c>
      <c r="Q19" s="150" t="str">
        <f>IF(ISERROR(FIND($A$2,Lines!Q19))=TRUE,"",Lines!Q19)</f>
        <v/>
      </c>
      <c r="R19" s="151" t="str">
        <f>IF(ISERROR(FIND($A$2,Lines!R19))=TRUE,"",Lines!R19)</f>
        <v/>
      </c>
      <c r="S19" s="151" t="str">
        <f>IF(ISERROR(FIND($A$2,Lines!S19))=TRUE,"",Lines!S19)</f>
        <v/>
      </c>
      <c r="T19" s="151" t="str">
        <f>IF(ISERROR(FIND($A$2,Lines!T19))=TRUE,"",Lines!T19)</f>
        <v/>
      </c>
      <c r="U19" s="151" t="str">
        <f>IF(ISERROR(FIND($A$2,Lines!U19))=TRUE,"",Lines!U19)</f>
        <v/>
      </c>
      <c r="V19" s="152" t="str">
        <f>IF(ISERROR(FIND($A$2,Lines!V19))=TRUE,"",Lines!V19)</f>
        <v/>
      </c>
      <c r="W19" s="145" t="str">
        <f>IF(ISERROR(FIND($A$2,Lines!W19))=TRUE,"",Lines!W19)</f>
        <v/>
      </c>
      <c r="X19" s="74" t="str">
        <f>IF(ISERROR(FIND($A$2,Lines!X19))=TRUE,"",Lines!X19)</f>
        <v/>
      </c>
      <c r="Y19" s="74" t="str">
        <f>IF(ISERROR(FIND($A$2,Lines!Y19))=TRUE,"",Lines!Y19)</f>
        <v/>
      </c>
      <c r="Z19" s="74" t="str">
        <f>IF(ISERROR(FIND($A$2,Lines!Z19))=TRUE,"",Lines!Z19)</f>
        <v/>
      </c>
      <c r="AA19" s="74" t="str">
        <f>IF(ISERROR(FIND($A$2,Lines!AA19))=TRUE,"",Lines!AA19)</f>
        <v/>
      </c>
      <c r="AB19" s="74" t="str">
        <f>IF(ISERROR(FIND($A$2,Lines!AB19))=TRUE,"",Lines!AB19)</f>
        <v/>
      </c>
      <c r="AC19" s="74" t="str">
        <f>IF(ISERROR(FIND($A$2,Lines!AC19))=TRUE,"",Lines!AC19)</f>
        <v/>
      </c>
      <c r="AD19" s="74" t="str">
        <f>IF(ISERROR(FIND($A$2,Lines!AD19))=TRUE,"",Lines!AD19)</f>
        <v/>
      </c>
      <c r="AE19" s="74" t="str">
        <f>IF(ISERROR(FIND($A$2,Lines!AE19))=TRUE,"",Lines!AE19)</f>
        <v/>
      </c>
      <c r="AF19" s="74" t="str">
        <f>IF(ISERROR(FIND($A$2,Lines!AF19))=TRUE,"",Lines!AF19)</f>
        <v/>
      </c>
      <c r="AG19" s="74" t="str">
        <f>IF(ISERROR(FIND($A$2,Lines!AG19))=TRUE,"",Lines!AG19)</f>
        <v/>
      </c>
      <c r="AH19" s="74" t="str">
        <f>IF(ISERROR(FIND($A$2,Lines!AH19))=TRUE,"",Lines!AH19)</f>
        <v/>
      </c>
      <c r="AI19" s="74" t="str">
        <f>IF(ISERROR(FIND($A$2,Lines!AI19))=TRUE,"",Lines!AI19)</f>
        <v/>
      </c>
      <c r="AJ19" s="74" t="str">
        <f>IF(ISERROR(FIND($A$2,Lines!AJ19))=TRUE,"",Lines!AJ19)</f>
        <v/>
      </c>
      <c r="AK19" s="74" t="str">
        <f>IF(ISERROR(FIND($A$2,Lines!AK19))=TRUE,"",Lines!AK19)</f>
        <v/>
      </c>
      <c r="AL19" s="74" t="str">
        <f>IF(ISERROR(FIND($A$2,Lines!AL19))=TRUE,"",Lines!AL19)</f>
        <v/>
      </c>
      <c r="AM19" s="74" t="str">
        <f>IF(ISERROR(FIND($A$2,Lines!AM19))=TRUE,"",Lines!AM19)</f>
        <v/>
      </c>
      <c r="AN19" s="74" t="str">
        <f>IF(ISERROR(FIND($A$2,Lines!AN19))=TRUE,"",Lines!AN19)</f>
        <v/>
      </c>
      <c r="AO19" s="74" t="str">
        <f>IF(ISERROR(FIND($A$2,Lines!AO19))=TRUE,"",Lines!AO19)</f>
        <v/>
      </c>
      <c r="AP19" s="74" t="str">
        <f>IF(ISERROR(FIND($A$2,Lines!AP19))=TRUE,"",Lines!AP19)</f>
        <v/>
      </c>
      <c r="AQ19" s="74" t="str">
        <f>IF(ISERROR(FIND($A$2,Lines!AQ19))=TRUE,"",Lines!AQ19)</f>
        <v/>
      </c>
      <c r="AR19" s="74" t="str">
        <f>IF(ISERROR(FIND($A$2,Lines!AR19))=TRUE,"",Lines!AR19)</f>
        <v/>
      </c>
      <c r="AS19" s="74" t="str">
        <f>IF(ISERROR(FIND($A$2,Lines!AS19))=TRUE,"",Lines!AS19)</f>
        <v/>
      </c>
      <c r="AT19" s="30" t="str">
        <f>IF(ISERROR(FIND($A$2,Lines!AT19))=TRUE,"",Lines!AT19)</f>
        <v/>
      </c>
    </row>
    <row r="20" spans="1:46" ht="20.25" customHeight="1">
      <c r="A20" s="2" t="s">
        <v>68</v>
      </c>
      <c r="B20" s="30" t="str">
        <f>IF(ISERROR(FIND($A$2,Lines!B20))=TRUE,"",Lines!B20)</f>
        <v/>
      </c>
      <c r="C20" s="30" t="str">
        <f>IF(ISERROR(FIND($A$2,Lines!C20))=TRUE,"",Lines!C20)</f>
        <v/>
      </c>
      <c r="D20" s="30" t="str">
        <f>IF(ISERROR(FIND($A$2,Lines!D20))=TRUE,"",Lines!D20)</f>
        <v/>
      </c>
      <c r="E20" s="30" t="str">
        <f>IF(ISERROR(FIND($A$2,Lines!E20))=TRUE,"",Lines!E20)</f>
        <v/>
      </c>
      <c r="F20" s="74" t="str">
        <f>IF(ISERROR(FIND($A$2,Lines!F20))=TRUE,"",Lines!F20)</f>
        <v/>
      </c>
      <c r="G20" s="74" t="str">
        <f>IF(ISERROR(FIND($A$2,Lines!G20))=TRUE,"",Lines!G20)</f>
        <v/>
      </c>
      <c r="H20" s="74" t="str">
        <f>IF(ISERROR(FIND($A$2,Lines!H20))=TRUE,"",Lines!H20)</f>
        <v/>
      </c>
      <c r="I20" s="74" t="str">
        <f>IF(ISERROR(FIND($A$2,Lines!I20))=TRUE,"",Lines!I20)</f>
        <v/>
      </c>
      <c r="J20" s="74" t="str">
        <f>IF(ISERROR(FIND($A$2,Lines!J20))=TRUE,"",Lines!J20)</f>
        <v/>
      </c>
      <c r="K20" s="74" t="str">
        <f>IF(ISERROR(FIND($A$2,Lines!K20))=TRUE,"",Lines!K20)</f>
        <v/>
      </c>
      <c r="L20" s="74" t="str">
        <f>IF(ISERROR(FIND($A$2,Lines!L20))=TRUE,"",Lines!L20)</f>
        <v/>
      </c>
      <c r="M20" s="74" t="str">
        <f>IF(ISERROR(FIND($A$2,Lines!M20))=TRUE,"",Lines!M20)</f>
        <v/>
      </c>
      <c r="N20" s="147" t="str">
        <f>IF(ISERROR(FIND($A$2,Lines!N20))=TRUE,"",Lines!N20)</f>
        <v/>
      </c>
      <c r="O20" s="151" t="str">
        <f>IF(ISERROR(FIND($A$2,Lines!O20))=TRUE,"",Lines!O20)</f>
        <v/>
      </c>
      <c r="P20" s="151" t="str">
        <f>IF(ISERROR(FIND($A$2,Lines!P20))=TRUE,"",Lines!P20)</f>
        <v/>
      </c>
      <c r="Q20" s="151" t="str">
        <f>IF(ISERROR(FIND($A$2,Lines!Q20))=TRUE,"",Lines!Q20)</f>
        <v/>
      </c>
      <c r="R20" s="150" t="str">
        <f>IF(ISERROR(FIND($A$2,Lines!R20))=TRUE,"",Lines!R20)</f>
        <v/>
      </c>
      <c r="S20" s="151" t="str">
        <f>IF(ISERROR(FIND($A$2,Lines!S20))=TRUE,"",Lines!S20)</f>
        <v/>
      </c>
      <c r="T20" s="151" t="str">
        <f>IF(ISERROR(FIND($A$2,Lines!T20))=TRUE,"",Lines!T20)</f>
        <v/>
      </c>
      <c r="U20" s="151" t="str">
        <f>IF(ISERROR(FIND($A$2,Lines!U20))=TRUE,"",Lines!U20)</f>
        <v/>
      </c>
      <c r="V20" s="152" t="str">
        <f>IF(ISERROR(FIND($A$2,Lines!V20))=TRUE,"",Lines!V20)</f>
        <v/>
      </c>
      <c r="W20" s="145" t="str">
        <f>IF(ISERROR(FIND($A$2,Lines!W20))=TRUE,"",Lines!W20)</f>
        <v/>
      </c>
      <c r="X20" s="74" t="str">
        <f>IF(ISERROR(FIND($A$2,Lines!X20))=TRUE,"",Lines!X20)</f>
        <v/>
      </c>
      <c r="Y20" s="74" t="str">
        <f>IF(ISERROR(FIND($A$2,Lines!Y20))=TRUE,"",Lines!Y20)</f>
        <v/>
      </c>
      <c r="Z20" s="74" t="str">
        <f>IF(ISERROR(FIND($A$2,Lines!Z20))=TRUE,"",Lines!Z20)</f>
        <v/>
      </c>
      <c r="AA20" s="74" t="str">
        <f>IF(ISERROR(FIND($A$2,Lines!AA20))=TRUE,"",Lines!AA20)</f>
        <v/>
      </c>
      <c r="AB20" s="74" t="str">
        <f>IF(ISERROR(FIND($A$2,Lines!AB20))=TRUE,"",Lines!AB20)</f>
        <v/>
      </c>
      <c r="AC20" s="74" t="str">
        <f>IF(ISERROR(FIND($A$2,Lines!AC20))=TRUE,"",Lines!AC20)</f>
        <v/>
      </c>
      <c r="AD20" s="74" t="str">
        <f>IF(ISERROR(FIND($A$2,Lines!AD20))=TRUE,"",Lines!AD20)</f>
        <v/>
      </c>
      <c r="AE20" s="74" t="str">
        <f>IF(ISERROR(FIND($A$2,Lines!AE20))=TRUE,"",Lines!AE20)</f>
        <v/>
      </c>
      <c r="AF20" s="74" t="str">
        <f>IF(ISERROR(FIND($A$2,Lines!AF20))=TRUE,"",Lines!AF20)</f>
        <v/>
      </c>
      <c r="AG20" s="74" t="str">
        <f>IF(ISERROR(FIND($A$2,Lines!AG20))=TRUE,"",Lines!AG20)</f>
        <v/>
      </c>
      <c r="AH20" s="74" t="str">
        <f>IF(ISERROR(FIND($A$2,Lines!AH20))=TRUE,"",Lines!AH20)</f>
        <v/>
      </c>
      <c r="AI20" s="74" t="str">
        <f>IF(ISERROR(FIND($A$2,Lines!AI20))=TRUE,"",Lines!AI20)</f>
        <v/>
      </c>
      <c r="AJ20" s="74" t="str">
        <f>IF(ISERROR(FIND($A$2,Lines!AJ20))=TRUE,"",Lines!AJ20)</f>
        <v/>
      </c>
      <c r="AK20" s="74" t="str">
        <f>IF(ISERROR(FIND($A$2,Lines!AK20))=TRUE,"",Lines!AK20)</f>
        <v/>
      </c>
      <c r="AL20" s="74" t="str">
        <f>IF(ISERROR(FIND($A$2,Lines!AL20))=TRUE,"",Lines!AL20)</f>
        <v/>
      </c>
      <c r="AM20" s="74" t="str">
        <f>IF(ISERROR(FIND($A$2,Lines!AM20))=TRUE,"",Lines!AM20)</f>
        <v/>
      </c>
      <c r="AN20" s="74" t="str">
        <f>IF(ISERROR(FIND($A$2,Lines!AN20))=TRUE,"",Lines!AN20)</f>
        <v/>
      </c>
      <c r="AO20" s="74" t="str">
        <f>IF(ISERROR(FIND($A$2,Lines!AO20))=TRUE,"",Lines!AO20)</f>
        <v/>
      </c>
      <c r="AP20" s="74" t="str">
        <f>IF(ISERROR(FIND($A$2,Lines!AP20))=TRUE,"",Lines!AP20)</f>
        <v/>
      </c>
      <c r="AQ20" s="74" t="str">
        <f>IF(ISERROR(FIND($A$2,Lines!AQ20))=TRUE,"",Lines!AQ20)</f>
        <v/>
      </c>
      <c r="AR20" s="74" t="str">
        <f>IF(ISERROR(FIND($A$2,Lines!AR20))=TRUE,"",Lines!AR20)</f>
        <v/>
      </c>
      <c r="AS20" s="74" t="str">
        <f>IF(ISERROR(FIND($A$2,Lines!AS20))=TRUE,"",Lines!AS20)</f>
        <v/>
      </c>
      <c r="AT20" s="30" t="str">
        <f>IF(ISERROR(FIND($A$2,Lines!AT20))=TRUE,"",Lines!AT20)</f>
        <v/>
      </c>
    </row>
    <row r="21" spans="1:46" ht="20.25" customHeight="1">
      <c r="A21" s="2" t="s">
        <v>69</v>
      </c>
      <c r="B21" s="30" t="str">
        <f>IF(ISERROR(FIND($A$2,Lines!B21))=TRUE,"",Lines!B21)</f>
        <v/>
      </c>
      <c r="C21" s="30" t="str">
        <f>IF(ISERROR(FIND($A$2,Lines!C21))=TRUE,"",Lines!C21)</f>
        <v/>
      </c>
      <c r="D21" s="30" t="str">
        <f>IF(ISERROR(FIND($A$2,Lines!D21))=TRUE,"",Lines!D21)</f>
        <v/>
      </c>
      <c r="E21" s="30" t="str">
        <f>IF(ISERROR(FIND($A$2,Lines!E21))=TRUE,"",Lines!E21)</f>
        <v/>
      </c>
      <c r="F21" s="74" t="str">
        <f>IF(ISERROR(FIND($A$2,Lines!F21))=TRUE,"",Lines!F21)</f>
        <v/>
      </c>
      <c r="G21" s="74" t="str">
        <f>IF(ISERROR(FIND($A$2,Lines!G21))=TRUE,"",Lines!G21)</f>
        <v/>
      </c>
      <c r="H21" s="74" t="str">
        <f>IF(ISERROR(FIND($A$2,Lines!H21))=TRUE,"",Lines!H21)</f>
        <v/>
      </c>
      <c r="I21" s="74" t="str">
        <f>IF(ISERROR(FIND($A$2,Lines!I21))=TRUE,"",Lines!I21)</f>
        <v/>
      </c>
      <c r="J21" s="74" t="str">
        <f>IF(ISERROR(FIND($A$2,Lines!J21))=TRUE,"",Lines!J21)</f>
        <v/>
      </c>
      <c r="K21" s="74" t="str">
        <f>IF(ISERROR(FIND($A$2,Lines!K21))=TRUE,"",Lines!K21)</f>
        <v/>
      </c>
      <c r="L21" s="74" t="str">
        <f>IF(ISERROR(FIND($A$2,Lines!L21))=TRUE,"",Lines!L21)</f>
        <v/>
      </c>
      <c r="M21" s="74" t="str">
        <f>IF(ISERROR(FIND($A$2,Lines!M21))=TRUE,"",Lines!M21)</f>
        <v/>
      </c>
      <c r="N21" s="147" t="str">
        <f>IF(ISERROR(FIND($A$2,Lines!N21))=TRUE,"",Lines!N21)</f>
        <v/>
      </c>
      <c r="O21" s="151" t="str">
        <f>IF(ISERROR(FIND($A$2,Lines!O21))=TRUE,"",Lines!O21)</f>
        <v/>
      </c>
      <c r="P21" s="151" t="str">
        <f>IF(ISERROR(FIND($A$2,Lines!P21))=TRUE,"",Lines!P21)</f>
        <v/>
      </c>
      <c r="Q21" s="151" t="str">
        <f>IF(ISERROR(FIND($A$2,Lines!Q21))=TRUE,"",Lines!Q21)</f>
        <v/>
      </c>
      <c r="R21" s="151" t="str">
        <f>IF(ISERROR(FIND($A$2,Lines!R21))=TRUE,"",Lines!R21)</f>
        <v/>
      </c>
      <c r="S21" s="150" t="str">
        <f>IF(ISERROR(FIND($A$2,Lines!S21))=TRUE,"",Lines!S21)</f>
        <v/>
      </c>
      <c r="T21" s="151" t="str">
        <f>IF(ISERROR(FIND($A$2,Lines!T21))=TRUE,"",Lines!T21)</f>
        <v/>
      </c>
      <c r="U21" s="151" t="str">
        <f>IF(ISERROR(FIND($A$2,Lines!U21))=TRUE,"",Lines!U21)</f>
        <v/>
      </c>
      <c r="V21" s="152" t="str">
        <f>IF(ISERROR(FIND($A$2,Lines!V21))=TRUE,"",Lines!V21)</f>
        <v/>
      </c>
      <c r="W21" s="145" t="str">
        <f>IF(ISERROR(FIND($A$2,Lines!W21))=TRUE,"",Lines!W21)</f>
        <v/>
      </c>
      <c r="X21" s="74" t="str">
        <f>IF(ISERROR(FIND($A$2,Lines!X21))=TRUE,"",Lines!X21)</f>
        <v/>
      </c>
      <c r="Y21" s="74" t="str">
        <f>IF(ISERROR(FIND($A$2,Lines!Y21))=TRUE,"",Lines!Y21)</f>
        <v/>
      </c>
      <c r="Z21" s="74" t="str">
        <f>IF(ISERROR(FIND($A$2,Lines!Z21))=TRUE,"",Lines!Z21)</f>
        <v/>
      </c>
      <c r="AA21" s="74" t="str">
        <f>IF(ISERROR(FIND($A$2,Lines!AA21))=TRUE,"",Lines!AA21)</f>
        <v/>
      </c>
      <c r="AB21" s="74" t="str">
        <f>IF(ISERROR(FIND($A$2,Lines!AB21))=TRUE,"",Lines!AB21)</f>
        <v/>
      </c>
      <c r="AC21" s="74" t="str">
        <f>IF(ISERROR(FIND($A$2,Lines!AC21))=TRUE,"",Lines!AC21)</f>
        <v/>
      </c>
      <c r="AD21" s="74" t="str">
        <f>IF(ISERROR(FIND($A$2,Lines!AD21))=TRUE,"",Lines!AD21)</f>
        <v/>
      </c>
      <c r="AE21" s="74" t="str">
        <f>IF(ISERROR(FIND($A$2,Lines!AE21))=TRUE,"",Lines!AE21)</f>
        <v/>
      </c>
      <c r="AF21" s="74" t="str">
        <f>IF(ISERROR(FIND($A$2,Lines!AF21))=TRUE,"",Lines!AF21)</f>
        <v/>
      </c>
      <c r="AG21" s="74" t="str">
        <f>IF(ISERROR(FIND($A$2,Lines!AG21))=TRUE,"",Lines!AG21)</f>
        <v/>
      </c>
      <c r="AH21" s="74" t="str">
        <f>IF(ISERROR(FIND($A$2,Lines!AH21))=TRUE,"",Lines!AH21)</f>
        <v/>
      </c>
      <c r="AI21" s="74" t="str">
        <f>IF(ISERROR(FIND($A$2,Lines!AI21))=TRUE,"",Lines!AI21)</f>
        <v/>
      </c>
      <c r="AJ21" s="74" t="str">
        <f>IF(ISERROR(FIND($A$2,Lines!AJ21))=TRUE,"",Lines!AJ21)</f>
        <v/>
      </c>
      <c r="AK21" s="74" t="str">
        <f>IF(ISERROR(FIND($A$2,Lines!AK21))=TRUE,"",Lines!AK21)</f>
        <v/>
      </c>
      <c r="AL21" s="74" t="str">
        <f>IF(ISERROR(FIND($A$2,Lines!AL21))=TRUE,"",Lines!AL21)</f>
        <v/>
      </c>
      <c r="AM21" s="74" t="str">
        <f>IF(ISERROR(FIND($A$2,Lines!AM21))=TRUE,"",Lines!AM21)</f>
        <v/>
      </c>
      <c r="AN21" s="74" t="str">
        <f>IF(ISERROR(FIND($A$2,Lines!AN21))=TRUE,"",Lines!AN21)</f>
        <v/>
      </c>
      <c r="AO21" s="74" t="str">
        <f>IF(ISERROR(FIND($A$2,Lines!AO21))=TRUE,"",Lines!AO21)</f>
        <v/>
      </c>
      <c r="AP21" s="74" t="str">
        <f>IF(ISERROR(FIND($A$2,Lines!AP21))=TRUE,"",Lines!AP21)</f>
        <v/>
      </c>
      <c r="AQ21" s="74" t="str">
        <f>IF(ISERROR(FIND($A$2,Lines!AQ21))=TRUE,"",Lines!AQ21)</f>
        <v/>
      </c>
      <c r="AR21" s="74" t="str">
        <f>IF(ISERROR(FIND($A$2,Lines!AR21))=TRUE,"",Lines!AR21)</f>
        <v/>
      </c>
      <c r="AS21" s="74" t="str">
        <f>IF(ISERROR(FIND($A$2,Lines!AS21))=TRUE,"",Lines!AS21)</f>
        <v/>
      </c>
      <c r="AT21" s="30" t="str">
        <f>IF(ISERROR(FIND($A$2,Lines!AT21))=TRUE,"",Lines!AT21)</f>
        <v/>
      </c>
    </row>
    <row r="22" spans="1:46" ht="20.25" customHeight="1">
      <c r="A22" s="2" t="s">
        <v>70</v>
      </c>
      <c r="B22" s="30" t="str">
        <f>IF(ISERROR(FIND($A$2,Lines!B22))=TRUE,"",Lines!B22)</f>
        <v/>
      </c>
      <c r="C22" s="30" t="str">
        <f>IF(ISERROR(FIND($A$2,Lines!C22))=TRUE,"",Lines!C22)</f>
        <v/>
      </c>
      <c r="D22" s="30" t="str">
        <f>IF(ISERROR(FIND($A$2,Lines!D22))=TRUE,"",Lines!D22)</f>
        <v/>
      </c>
      <c r="E22" s="30" t="str">
        <f>IF(ISERROR(FIND($A$2,Lines!E22))=TRUE,"",Lines!E22)</f>
        <v/>
      </c>
      <c r="F22" s="74" t="str">
        <f>IF(ISERROR(FIND($A$2,Lines!F22))=TRUE,"",Lines!F22)</f>
        <v/>
      </c>
      <c r="G22" s="74" t="str">
        <f>IF(ISERROR(FIND($A$2,Lines!G22))=TRUE,"",Lines!G22)</f>
        <v/>
      </c>
      <c r="H22" s="74" t="str">
        <f>IF(ISERROR(FIND($A$2,Lines!H22))=TRUE,"",Lines!H22)</f>
        <v/>
      </c>
      <c r="I22" s="74" t="str">
        <f>IF(ISERROR(FIND($A$2,Lines!I22))=TRUE,"",Lines!I22)</f>
        <v/>
      </c>
      <c r="J22" s="74" t="str">
        <f>IF(ISERROR(FIND($A$2,Lines!J22))=TRUE,"",Lines!J22)</f>
        <v/>
      </c>
      <c r="K22" s="74" t="str">
        <f>IF(ISERROR(FIND($A$2,Lines!K22))=TRUE,"",Lines!K22)</f>
        <v/>
      </c>
      <c r="L22" s="74" t="str">
        <f>IF(ISERROR(FIND($A$2,Lines!L22))=TRUE,"",Lines!L22)</f>
        <v/>
      </c>
      <c r="M22" s="74" t="str">
        <f>IF(ISERROR(FIND($A$2,Lines!M22))=TRUE,"",Lines!M22)</f>
        <v/>
      </c>
      <c r="N22" s="147" t="str">
        <f>IF(ISERROR(FIND($A$2,Lines!N22))=TRUE,"",Lines!N22)</f>
        <v/>
      </c>
      <c r="O22" s="151" t="str">
        <f>IF(ISERROR(FIND($A$2,Lines!O22))=TRUE,"",Lines!O22)</f>
        <v/>
      </c>
      <c r="P22" s="151" t="str">
        <f>IF(ISERROR(FIND($A$2,Lines!P22))=TRUE,"",Lines!P22)</f>
        <v/>
      </c>
      <c r="Q22" s="151" t="str">
        <f>IF(ISERROR(FIND($A$2,Lines!Q22))=TRUE,"",Lines!Q22)</f>
        <v/>
      </c>
      <c r="R22" s="151" t="str">
        <f>IF(ISERROR(FIND($A$2,Lines!R22))=TRUE,"",Lines!R22)</f>
        <v/>
      </c>
      <c r="S22" s="151" t="str">
        <f>IF(ISERROR(FIND($A$2,Lines!S22))=TRUE,"",Lines!S22)</f>
        <v/>
      </c>
      <c r="T22" s="150" t="str">
        <f>IF(ISERROR(FIND($A$2,Lines!T22))=TRUE,"",Lines!T22)</f>
        <v/>
      </c>
      <c r="U22" s="151" t="str">
        <f>IF(ISERROR(FIND($A$2,Lines!U22))=TRUE,"",Lines!U22)</f>
        <v/>
      </c>
      <c r="V22" s="152" t="str">
        <f>IF(ISERROR(FIND($A$2,Lines!V22))=TRUE,"",Lines!V22)</f>
        <v/>
      </c>
      <c r="W22" s="145" t="str">
        <f>IF(ISERROR(FIND($A$2,Lines!W22))=TRUE,"",Lines!W22)</f>
        <v/>
      </c>
      <c r="X22" s="74" t="str">
        <f>IF(ISERROR(FIND($A$2,Lines!X22))=TRUE,"",Lines!X22)</f>
        <v/>
      </c>
      <c r="Y22" s="74" t="str">
        <f>IF(ISERROR(FIND($A$2,Lines!Y22))=TRUE,"",Lines!Y22)</f>
        <v/>
      </c>
      <c r="Z22" s="74" t="str">
        <f>IF(ISERROR(FIND($A$2,Lines!Z22))=TRUE,"",Lines!Z22)</f>
        <v/>
      </c>
      <c r="AA22" s="74" t="str">
        <f>IF(ISERROR(FIND($A$2,Lines!AA22))=TRUE,"",Lines!AA22)</f>
        <v/>
      </c>
      <c r="AB22" s="74" t="str">
        <f>IF(ISERROR(FIND($A$2,Lines!AB22))=TRUE,"",Lines!AB22)</f>
        <v/>
      </c>
      <c r="AC22" s="74" t="str">
        <f>IF(ISERROR(FIND($A$2,Lines!AC22))=TRUE,"",Lines!AC22)</f>
        <v>±660(直流 银东4000MW）(~±500kV)</v>
      </c>
      <c r="AD22" s="74" t="str">
        <f>IF(ISERROR(FIND($A$2,Lines!AD22))=TRUE,"",Lines!AD22)</f>
        <v/>
      </c>
      <c r="AE22" s="74" t="str">
        <f>IF(ISERROR(FIND($A$2,Lines!AE22))=TRUE,"",Lines!AE22)</f>
        <v/>
      </c>
      <c r="AF22" s="74" t="str">
        <f>IF(ISERROR(FIND($A$2,Lines!AF22))=TRUE,"",Lines!AF22)</f>
        <v/>
      </c>
      <c r="AG22" s="74" t="str">
        <f>IF(ISERROR(FIND($A$2,Lines!AG22))=TRUE,"",Lines!AG22)</f>
        <v/>
      </c>
      <c r="AH22" s="74" t="str">
        <f>IF(ISERROR(FIND($A$2,Lines!AH22))=TRUE,"",Lines!AH22)</f>
        <v/>
      </c>
      <c r="AI22" s="74" t="str">
        <f>IF(ISERROR(FIND($A$2,Lines!AI22))=TRUE,"",Lines!AI22)</f>
        <v/>
      </c>
      <c r="AJ22" s="74" t="str">
        <f>IF(ISERROR(FIND($A$2,Lines!AJ22))=TRUE,"",Lines!AJ22)</f>
        <v/>
      </c>
      <c r="AK22" s="74" t="str">
        <f>IF(ISERROR(FIND($A$2,Lines!AK22))=TRUE,"",Lines!AK22)</f>
        <v/>
      </c>
      <c r="AL22" s="74" t="str">
        <f>IF(ISERROR(FIND($A$2,Lines!AL22))=TRUE,"",Lines!AL22)</f>
        <v/>
      </c>
      <c r="AM22" s="74" t="str">
        <f>IF(ISERROR(FIND($A$2,Lines!AM22))=TRUE,"",Lines!AM22)</f>
        <v/>
      </c>
      <c r="AN22" s="74" t="str">
        <f>IF(ISERROR(FIND($A$2,Lines!AN22))=TRUE,"",Lines!AN22)</f>
        <v/>
      </c>
      <c r="AO22" s="74" t="str">
        <f>IF(ISERROR(FIND($A$2,Lines!AO22))=TRUE,"",Lines!AO22)</f>
        <v/>
      </c>
      <c r="AP22" s="74" t="str">
        <f>IF(ISERROR(FIND($A$2,Lines!AP22))=TRUE,"",Lines!AP22)</f>
        <v/>
      </c>
      <c r="AQ22" s="74" t="str">
        <f>IF(ISERROR(FIND($A$2,Lines!AQ22))=TRUE,"",Lines!AQ22)</f>
        <v/>
      </c>
      <c r="AR22" s="74" t="str">
        <f>IF(ISERROR(FIND($A$2,Lines!AR22))=TRUE,"",Lines!AR22)</f>
        <v/>
      </c>
      <c r="AS22" s="74" t="str">
        <f>IF(ISERROR(FIND($A$2,Lines!AS22))=TRUE,"",Lines!AS22)</f>
        <v/>
      </c>
      <c r="AT22" s="30" t="str">
        <f>IF(ISERROR(FIND($A$2,Lines!AT22))=TRUE,"",Lines!AT22)</f>
        <v/>
      </c>
    </row>
    <row r="23" spans="1:46" ht="20.25" customHeight="1">
      <c r="A23" s="2" t="s">
        <v>71</v>
      </c>
      <c r="B23" s="30" t="str">
        <f>IF(ISERROR(FIND($A$2,Lines!B23))=TRUE,"",Lines!B23)</f>
        <v/>
      </c>
      <c r="C23" s="30" t="str">
        <f>IF(ISERROR(FIND($A$2,Lines!C23))=TRUE,"",Lines!C23)</f>
        <v/>
      </c>
      <c r="D23" s="30" t="str">
        <f>IF(ISERROR(FIND($A$2,Lines!D23))=TRUE,"",Lines!D23)</f>
        <v/>
      </c>
      <c r="E23" s="30" t="str">
        <f>IF(ISERROR(FIND($A$2,Lines!E23))=TRUE,"",Lines!E23)</f>
        <v/>
      </c>
      <c r="F23" s="74" t="str">
        <f>IF(ISERROR(FIND($A$2,Lines!F23))=TRUE,"",Lines!F23)</f>
        <v/>
      </c>
      <c r="G23" s="74" t="str">
        <f>IF(ISERROR(FIND($A$2,Lines!G23))=TRUE,"",Lines!G23)</f>
        <v/>
      </c>
      <c r="H23" s="74" t="str">
        <f>IF(ISERROR(FIND($A$2,Lines!H23))=TRUE,"",Lines!H23)</f>
        <v/>
      </c>
      <c r="I23" s="74" t="str">
        <f>IF(ISERROR(FIND($A$2,Lines!I23))=TRUE,"",Lines!I23)</f>
        <v/>
      </c>
      <c r="J23" s="74" t="str">
        <f>IF(ISERROR(FIND($A$2,Lines!J23))=TRUE,"",Lines!J23)</f>
        <v/>
      </c>
      <c r="K23" s="74" t="str">
        <f>IF(ISERROR(FIND($A$2,Lines!K23))=TRUE,"",Lines!K23)</f>
        <v/>
      </c>
      <c r="L23" s="74" t="str">
        <f>IF(ISERROR(FIND($A$2,Lines!L23))=TRUE,"",Lines!L23)</f>
        <v/>
      </c>
      <c r="M23" s="74" t="str">
        <f>IF(ISERROR(FIND($A$2,Lines!M23))=TRUE,"",Lines!M23)</f>
        <v/>
      </c>
      <c r="N23" s="147" t="str">
        <f>IF(ISERROR(FIND($A$2,Lines!N23))=TRUE,"",Lines!N23)</f>
        <v/>
      </c>
      <c r="O23" s="151" t="str">
        <f>IF(ISERROR(FIND($A$2,Lines!O23))=TRUE,"",Lines!O23)</f>
        <v/>
      </c>
      <c r="P23" s="151" t="str">
        <f>IF(ISERROR(FIND($A$2,Lines!P23))=TRUE,"",Lines!P23)</f>
        <v/>
      </c>
      <c r="Q23" s="151" t="str">
        <f>IF(ISERROR(FIND($A$2,Lines!Q23))=TRUE,"",Lines!Q23)</f>
        <v/>
      </c>
      <c r="R23" s="151" t="str">
        <f>IF(ISERROR(FIND($A$2,Lines!R23))=TRUE,"",Lines!R23)</f>
        <v/>
      </c>
      <c r="S23" s="151" t="str">
        <f>IF(ISERROR(FIND($A$2,Lines!S23))=TRUE,"",Lines!S23)</f>
        <v/>
      </c>
      <c r="T23" s="151" t="str">
        <f>IF(ISERROR(FIND($A$2,Lines!T23))=TRUE,"",Lines!T23)</f>
        <v/>
      </c>
      <c r="U23" s="150" t="str">
        <f>IF(ISERROR(FIND($A$2,Lines!U23))=TRUE,"",Lines!U23)</f>
        <v/>
      </c>
      <c r="V23" s="152" t="str">
        <f>IF(ISERROR(FIND($A$2,Lines!V23))=TRUE,"",Lines!V23)</f>
        <v/>
      </c>
      <c r="W23" s="145" t="str">
        <f>IF(ISERROR(FIND($A$2,Lines!W23))=TRUE,"",Lines!W23)</f>
        <v/>
      </c>
      <c r="X23" s="74" t="str">
        <f>IF(ISERROR(FIND($A$2,Lines!X23))=TRUE,"",Lines!X23)</f>
        <v/>
      </c>
      <c r="Y23" s="74" t="str">
        <f>IF(ISERROR(FIND($A$2,Lines!Y23))=TRUE,"",Lines!Y23)</f>
        <v/>
      </c>
      <c r="Z23" s="74" t="str">
        <f>IF(ISERROR(FIND($A$2,Lines!Z23))=TRUE,"",Lines!Z23)</f>
        <v/>
      </c>
      <c r="AA23" s="74" t="str">
        <f>IF(ISERROR(FIND($A$2,Lines!AA23))=TRUE,"",Lines!AA23)</f>
        <v/>
      </c>
      <c r="AB23" s="74" t="str">
        <f>IF(ISERROR(FIND($A$2,Lines!AB23))=TRUE,"",Lines!AB23)</f>
        <v/>
      </c>
      <c r="AC23" s="74" t="str">
        <f>IF(ISERROR(FIND($A$2,Lines!AC23))=TRUE,"",Lines!AC23)</f>
        <v/>
      </c>
      <c r="AD23" s="74" t="str">
        <f>IF(ISERROR(FIND($A$2,Lines!AD23))=TRUE,"",Lines!AD23)</f>
        <v/>
      </c>
      <c r="AE23" s="74" t="str">
        <f>IF(ISERROR(FIND($A$2,Lines!AE23))=TRUE,"",Lines!AE23)</f>
        <v/>
      </c>
      <c r="AF23" s="74" t="str">
        <f>IF(ISERROR(FIND($A$2,Lines!AF23))=TRUE,"",Lines!AF23)</f>
        <v/>
      </c>
      <c r="AG23" s="74" t="str">
        <f>IF(ISERROR(FIND($A$2,Lines!AG23))=TRUE,"",Lines!AG23)</f>
        <v/>
      </c>
      <c r="AH23" s="74" t="str">
        <f>IF(ISERROR(FIND($A$2,Lines!AH23))=TRUE,"",Lines!AH23)</f>
        <v/>
      </c>
      <c r="AI23" s="74" t="str">
        <f>IF(ISERROR(FIND($A$2,Lines!AI23))=TRUE,"",Lines!AI23)</f>
        <v/>
      </c>
      <c r="AJ23" s="74" t="str">
        <f>IF(ISERROR(FIND($A$2,Lines!AJ23))=TRUE,"",Lines!AJ23)</f>
        <v/>
      </c>
      <c r="AK23" s="74" t="str">
        <f>IF(ISERROR(FIND($A$2,Lines!AK23))=TRUE,"",Lines!AK23)</f>
        <v/>
      </c>
      <c r="AL23" s="74" t="str">
        <f>IF(ISERROR(FIND($A$2,Lines!AL23))=TRUE,"",Lines!AL23)</f>
        <v/>
      </c>
      <c r="AM23" s="74" t="str">
        <f>IF(ISERROR(FIND($A$2,Lines!AM23))=TRUE,"",Lines!AM23)</f>
        <v/>
      </c>
      <c r="AN23" s="74" t="str">
        <f>IF(ISERROR(FIND($A$2,Lines!AN23))=TRUE,"",Lines!AN23)</f>
        <v/>
      </c>
      <c r="AO23" s="74" t="str">
        <f>IF(ISERROR(FIND($A$2,Lines!AO23))=TRUE,"",Lines!AO23)</f>
        <v/>
      </c>
      <c r="AP23" s="74" t="str">
        <f>IF(ISERROR(FIND($A$2,Lines!AP23))=TRUE,"",Lines!AP23)</f>
        <v/>
      </c>
      <c r="AQ23" s="74" t="str">
        <f>IF(ISERROR(FIND($A$2,Lines!AQ23))=TRUE,"",Lines!AQ23)</f>
        <v/>
      </c>
      <c r="AR23" s="74" t="str">
        <f>IF(ISERROR(FIND($A$2,Lines!AR23))=TRUE,"",Lines!AR23)</f>
        <v/>
      </c>
      <c r="AS23" s="74" t="str">
        <f>IF(ISERROR(FIND($A$2,Lines!AS23))=TRUE,"",Lines!AS23)</f>
        <v/>
      </c>
      <c r="AT23" s="30" t="str">
        <f>IF(ISERROR(FIND($A$2,Lines!AT23))=TRUE,"",Lines!AT23)</f>
        <v/>
      </c>
    </row>
    <row r="24" spans="1:46" ht="20.25" customHeight="1">
      <c r="A24" s="2" t="s">
        <v>72</v>
      </c>
      <c r="B24" s="30" t="str">
        <f>IF(ISERROR(FIND($A$2,Lines!B24))=TRUE,"",Lines!B24)</f>
        <v/>
      </c>
      <c r="C24" s="30" t="str">
        <f>IF(ISERROR(FIND($A$2,Lines!C24))=TRUE,"",Lines!C24)</f>
        <v/>
      </c>
      <c r="D24" s="30" t="str">
        <f>IF(ISERROR(FIND($A$2,Lines!D24))=TRUE,"",Lines!D24)</f>
        <v/>
      </c>
      <c r="E24" s="30" t="str">
        <f>IF(ISERROR(FIND($A$2,Lines!E24))=TRUE,"",Lines!E24)</f>
        <v/>
      </c>
      <c r="F24" s="74" t="str">
        <f>IF(ISERROR(FIND($A$2,Lines!F24))=TRUE,"",Lines!F24)</f>
        <v/>
      </c>
      <c r="G24" s="74" t="str">
        <f>IF(ISERROR(FIND($A$2,Lines!G24))=TRUE,"",Lines!G24)</f>
        <v/>
      </c>
      <c r="H24" s="74" t="str">
        <f>IF(ISERROR(FIND($A$2,Lines!H24))=TRUE,"",Lines!H24)</f>
        <v/>
      </c>
      <c r="I24" s="74" t="str">
        <f>IF(ISERROR(FIND($A$2,Lines!I24))=TRUE,"",Lines!I24)</f>
        <v/>
      </c>
      <c r="J24" s="74" t="str">
        <f>IF(ISERROR(FIND($A$2,Lines!J24))=TRUE,"",Lines!J24)</f>
        <v/>
      </c>
      <c r="K24" s="74" t="str">
        <f>IF(ISERROR(FIND($A$2,Lines!K24))=TRUE,"",Lines!K24)</f>
        <v/>
      </c>
      <c r="L24" s="74" t="str">
        <f>IF(ISERROR(FIND($A$2,Lines!L24))=TRUE,"",Lines!L24)</f>
        <v/>
      </c>
      <c r="M24" s="74" t="str">
        <f>IF(ISERROR(FIND($A$2,Lines!M24))=TRUE,"",Lines!M24)</f>
        <v/>
      </c>
      <c r="N24" s="154" t="str">
        <f>IF(ISERROR(FIND($A$2,Lines!N24))=TRUE,"",Lines!N24)</f>
        <v/>
      </c>
      <c r="O24" s="155" t="str">
        <f>IF(ISERROR(FIND($A$2,Lines!O24))=TRUE,"",Lines!O24)</f>
        <v/>
      </c>
      <c r="P24" s="155" t="str">
        <f>IF(ISERROR(FIND($A$2,Lines!P24))=TRUE,"",Lines!P24)</f>
        <v/>
      </c>
      <c r="Q24" s="155" t="str">
        <f>IF(ISERROR(FIND($A$2,Lines!Q24))=TRUE,"",Lines!Q24)</f>
        <v/>
      </c>
      <c r="R24" s="155" t="str">
        <f>IF(ISERROR(FIND($A$2,Lines!R24))=TRUE,"",Lines!R24)</f>
        <v/>
      </c>
      <c r="S24" s="155" t="str">
        <f>IF(ISERROR(FIND($A$2,Lines!S24))=TRUE,"",Lines!S24)</f>
        <v/>
      </c>
      <c r="T24" s="155" t="str">
        <f>IF(ISERROR(FIND($A$2,Lines!T24))=TRUE,"",Lines!T24)</f>
        <v/>
      </c>
      <c r="U24" s="155" t="str">
        <f>IF(ISERROR(FIND($A$2,Lines!U24))=TRUE,"",Lines!U24)</f>
        <v/>
      </c>
      <c r="V24" s="156" t="str">
        <f>IF(ISERROR(FIND($A$2,Lines!V24))=TRUE,"",Lines!V24)</f>
        <v/>
      </c>
      <c r="W24" s="145" t="str">
        <f>IF(ISERROR(FIND($A$2,Lines!W24))=TRUE,"",Lines!W24)</f>
        <v/>
      </c>
      <c r="X24" s="74" t="str">
        <f>IF(ISERROR(FIND($A$2,Lines!X24))=TRUE,"",Lines!X24)</f>
        <v/>
      </c>
      <c r="Y24" s="74" t="str">
        <f>IF(ISERROR(FIND($A$2,Lines!Y24))=TRUE,"",Lines!Y24)</f>
        <v/>
      </c>
      <c r="Z24" s="74" t="str">
        <f>IF(ISERROR(FIND($A$2,Lines!Z24))=TRUE,"",Lines!Z24)</f>
        <v/>
      </c>
      <c r="AA24" s="74" t="str">
        <f>IF(ISERROR(FIND($A$2,Lines!AA24))=TRUE,"",Lines!AA24)</f>
        <v/>
      </c>
      <c r="AB24" s="74" t="str">
        <f>IF(ISERROR(FIND($A$2,Lines!AB24))=TRUE,"",Lines!AB24)</f>
        <v/>
      </c>
      <c r="AC24" s="74" t="str">
        <f>IF(ISERROR(FIND($A$2,Lines!AC24))=TRUE,"",Lines!AC24)</f>
        <v/>
      </c>
      <c r="AD24" s="74" t="str">
        <f>IF(ISERROR(FIND($A$2,Lines!AD24))=TRUE,"",Lines!AD24)</f>
        <v/>
      </c>
      <c r="AE24" s="74" t="str">
        <f>IF(ISERROR(FIND($A$2,Lines!AE24))=TRUE,"",Lines!AE24)</f>
        <v/>
      </c>
      <c r="AF24" s="74" t="str">
        <f>IF(ISERROR(FIND($A$2,Lines!AF24))=TRUE,"",Lines!AF24)</f>
        <v/>
      </c>
      <c r="AG24" s="74" t="str">
        <f>IF(ISERROR(FIND($A$2,Lines!AG24))=TRUE,"",Lines!AG24)</f>
        <v/>
      </c>
      <c r="AH24" s="74" t="str">
        <f>IF(ISERROR(FIND($A$2,Lines!AH24))=TRUE,"",Lines!AH24)</f>
        <v/>
      </c>
      <c r="AI24" s="74" t="str">
        <f>IF(ISERROR(FIND($A$2,Lines!AI24))=TRUE,"",Lines!AI24)</f>
        <v/>
      </c>
      <c r="AJ24" s="74" t="str">
        <f>IF(ISERROR(FIND($A$2,Lines!AJ24))=TRUE,"",Lines!AJ24)</f>
        <v/>
      </c>
      <c r="AK24" s="74" t="str">
        <f>IF(ISERROR(FIND($A$2,Lines!AK24))=TRUE,"",Lines!AK24)</f>
        <v/>
      </c>
      <c r="AL24" s="74" t="str">
        <f>IF(ISERROR(FIND($A$2,Lines!AL24))=TRUE,"",Lines!AL24)</f>
        <v/>
      </c>
      <c r="AM24" s="74" t="str">
        <f>IF(ISERROR(FIND($A$2,Lines!AM24))=TRUE,"",Lines!AM24)</f>
        <v/>
      </c>
      <c r="AN24" s="74" t="str">
        <f>IF(ISERROR(FIND($A$2,Lines!AN24))=TRUE,"",Lines!AN24)</f>
        <v/>
      </c>
      <c r="AO24" s="74" t="str">
        <f>IF(ISERROR(FIND($A$2,Lines!AO24))=TRUE,"",Lines!AO24)</f>
        <v/>
      </c>
      <c r="AP24" s="74" t="str">
        <f>IF(ISERROR(FIND($A$2,Lines!AP24))=TRUE,"",Lines!AP24)</f>
        <v/>
      </c>
      <c r="AQ24" s="74" t="str">
        <f>IF(ISERROR(FIND($A$2,Lines!AQ24))=TRUE,"",Lines!AQ24)</f>
        <v/>
      </c>
      <c r="AR24" s="74" t="str">
        <f>IF(ISERROR(FIND($A$2,Lines!AR24))=TRUE,"",Lines!AR24)</f>
        <v/>
      </c>
      <c r="AS24" s="74" t="str">
        <f>IF(ISERROR(FIND($A$2,Lines!AS24))=TRUE,"",Lines!AS24)</f>
        <v/>
      </c>
      <c r="AT24" s="30" t="str">
        <f>IF(ISERROR(FIND($A$2,Lines!AT24))=TRUE,"",Lines!AT24)</f>
        <v/>
      </c>
    </row>
    <row r="25" spans="1:46" ht="20.25" customHeight="1">
      <c r="A25" s="2" t="s">
        <v>73</v>
      </c>
      <c r="B25" s="36" t="str">
        <f>IF(ISERROR(FIND($A$2,Lines!B25))=TRUE,"",Lines!B25)</f>
        <v/>
      </c>
      <c r="C25" s="36" t="str">
        <f>IF(ISERROR(FIND($A$2,Lines!C25))=TRUE,"",Lines!C25)</f>
        <v/>
      </c>
      <c r="D25" s="36" t="str">
        <f>IF(ISERROR(FIND($A$2,Lines!D25))=TRUE,"",Lines!D25)</f>
        <v/>
      </c>
      <c r="E25" s="36" t="str">
        <f>IF(ISERROR(FIND($A$2,Lines!E25))=TRUE,"",Lines!E25)</f>
        <v/>
      </c>
      <c r="F25" s="145" t="str">
        <f>IF(ISERROR(FIND($A$2,Lines!F25))=TRUE,"",Lines!F25)</f>
        <v/>
      </c>
      <c r="G25" s="145" t="str">
        <f>IF(ISERROR(FIND($A$2,Lines!G25))=TRUE,"",Lines!G25)</f>
        <v/>
      </c>
      <c r="H25" s="145" t="str">
        <f>IF(ISERROR(FIND($A$2,Lines!H25))=TRUE,"",Lines!H25)</f>
        <v/>
      </c>
      <c r="I25" s="145" t="str">
        <f>IF(ISERROR(FIND($A$2,Lines!I25))=TRUE,"",Lines!I25)</f>
        <v/>
      </c>
      <c r="J25" s="145" t="str">
        <f>IF(ISERROR(FIND($A$2,Lines!J25))=TRUE,"",Lines!J25)</f>
        <v/>
      </c>
      <c r="K25" s="145" t="str">
        <f>IF(ISERROR(FIND($A$2,Lines!K25))=TRUE,"",Lines!K25)</f>
        <v/>
      </c>
      <c r="L25" s="145" t="str">
        <f>IF(ISERROR(FIND($A$2,Lines!L25))=TRUE,"",Lines!L25)</f>
        <v/>
      </c>
      <c r="M25" s="145" t="str">
        <f>IF(ISERROR(FIND($A$2,Lines!M25))=TRUE,"",Lines!M25)</f>
        <v/>
      </c>
      <c r="N25" s="145" t="str">
        <f>IF(ISERROR(FIND($A$2,Lines!N25))=TRUE,"",Lines!N25)</f>
        <v/>
      </c>
      <c r="O25" s="145" t="str">
        <f>IF(ISERROR(FIND($A$2,Lines!O25))=TRUE,"",Lines!O25)</f>
        <v/>
      </c>
      <c r="P25" s="145" t="str">
        <f>IF(ISERROR(FIND($A$2,Lines!P25))=TRUE,"",Lines!P25)</f>
        <v/>
      </c>
      <c r="Q25" s="145" t="str">
        <f>IF(ISERROR(FIND($A$2,Lines!Q25))=TRUE,"",Lines!Q25)</f>
        <v/>
      </c>
      <c r="R25" s="145" t="str">
        <f>IF(ISERROR(FIND($A$2,Lines!R25))=TRUE,"",Lines!R25)</f>
        <v/>
      </c>
      <c r="S25" s="145" t="str">
        <f>IF(ISERROR(FIND($A$2,Lines!S25))=TRUE,"",Lines!S25)</f>
        <v/>
      </c>
      <c r="T25" s="145" t="str">
        <f>IF(ISERROR(FIND($A$2,Lines!T25))=TRUE,"",Lines!T25)</f>
        <v/>
      </c>
      <c r="U25" s="145" t="str">
        <f>IF(ISERROR(FIND($A$2,Lines!U25))=TRUE,"",Lines!U25)</f>
        <v/>
      </c>
      <c r="V25" s="145" t="str">
        <f>IF(ISERROR(FIND($A$2,Lines!V25))=TRUE,"",Lines!V25)</f>
        <v/>
      </c>
      <c r="W25" s="145" t="str">
        <f>IF(ISERROR(FIND($A$2,Lines!W25))=TRUE,"",Lines!W25)</f>
        <v/>
      </c>
      <c r="X25" s="145" t="str">
        <f>IF(ISERROR(FIND($A$2,Lines!X25))=TRUE,"",Lines!X25)</f>
        <v/>
      </c>
      <c r="Y25" s="145" t="str">
        <f>IF(ISERROR(FIND($A$2,Lines!Y25))=TRUE,"",Lines!Y25)</f>
        <v/>
      </c>
      <c r="Z25" s="145" t="str">
        <f>IF(ISERROR(FIND($A$2,Lines!Z25))=TRUE,"",Lines!Z25)</f>
        <v/>
      </c>
      <c r="AA25" s="145" t="str">
        <f>IF(ISERROR(FIND($A$2,Lines!AA25))=TRUE,"",Lines!AA25)</f>
        <v/>
      </c>
      <c r="AB25" s="145" t="str">
        <f>IF(ISERROR(FIND($A$2,Lines!AB25))=TRUE,"",Lines!AB25)</f>
        <v/>
      </c>
      <c r="AC25" s="145" t="str">
        <f>IF(ISERROR(FIND($A$2,Lines!AC25))=TRUE,"",Lines!AC25)</f>
        <v/>
      </c>
      <c r="AD25" s="145" t="str">
        <f>IF(ISERROR(FIND($A$2,Lines!AD25))=TRUE,"",Lines!AD25)</f>
        <v/>
      </c>
      <c r="AE25" s="145" t="str">
        <f>IF(ISERROR(FIND($A$2,Lines!AE25))=TRUE,"",Lines!AE25)</f>
        <v/>
      </c>
      <c r="AF25" s="145" t="str">
        <f>IF(ISERROR(FIND($A$2,Lines!AF25))=TRUE,"",Lines!AF25)</f>
        <v/>
      </c>
      <c r="AG25" s="145" t="str">
        <f>IF(ISERROR(FIND($A$2,Lines!AG25))=TRUE,"",Lines!AG25)</f>
        <v/>
      </c>
      <c r="AH25" s="145" t="str">
        <f>IF(ISERROR(FIND($A$2,Lines!AH25))=TRUE,"",Lines!AH25)</f>
        <v/>
      </c>
      <c r="AI25" s="145" t="str">
        <f>IF(ISERROR(FIND($A$2,Lines!AI25))=TRUE,"",Lines!AI25)</f>
        <v/>
      </c>
      <c r="AJ25" s="145" t="str">
        <f>IF(ISERROR(FIND($A$2,Lines!AJ25))=TRUE,"",Lines!AJ25)</f>
        <v/>
      </c>
      <c r="AK25" s="145" t="str">
        <f>IF(ISERROR(FIND($A$2,Lines!AK25))=TRUE,"",Lines!AK25)</f>
        <v/>
      </c>
      <c r="AL25" s="145" t="str">
        <f>IF(ISERROR(FIND($A$2,Lines!AL25))=TRUE,"",Lines!AL25)</f>
        <v/>
      </c>
      <c r="AM25" s="145" t="str">
        <f>IF(ISERROR(FIND($A$2,Lines!AM25))=TRUE,"",Lines!AM25)</f>
        <v/>
      </c>
      <c r="AN25" s="145" t="str">
        <f>IF(ISERROR(FIND($A$2,Lines!AN25))=TRUE,"",Lines!AN25)</f>
        <v/>
      </c>
      <c r="AO25" s="145" t="str">
        <f>IF(ISERROR(FIND($A$2,Lines!AO25))=TRUE,"",Lines!AO25)</f>
        <v/>
      </c>
      <c r="AP25" s="145" t="str">
        <f>IF(ISERROR(FIND($A$2,Lines!AP25))=TRUE,"",Lines!AP25)</f>
        <v/>
      </c>
      <c r="AQ25" s="145" t="str">
        <f>IF(ISERROR(FIND($A$2,Lines!AQ25))=TRUE,"",Lines!AQ25)</f>
        <v/>
      </c>
      <c r="AR25" s="145" t="str">
        <f>IF(ISERROR(FIND($A$2,Lines!AR25))=TRUE,"",Lines!AR25)</f>
        <v/>
      </c>
      <c r="AS25" s="145" t="str">
        <f>IF(ISERROR(FIND($A$2,Lines!AS25))=TRUE,"",Lines!AS25)</f>
        <v/>
      </c>
      <c r="AT25" s="36" t="str">
        <f>IF(ISERROR(FIND($A$2,Lines!AT25))=TRUE,"",Lines!AT25)</f>
        <v/>
      </c>
    </row>
    <row r="26" spans="1:46" ht="20.25" customHeight="1">
      <c r="A26" s="2" t="s">
        <v>74</v>
      </c>
      <c r="B26" s="30" t="str">
        <f>IF(ISERROR(FIND($A$2,Lines!B26))=TRUE,"",Lines!B26)</f>
        <v/>
      </c>
      <c r="C26" s="30" t="str">
        <f>IF(ISERROR(FIND($A$2,Lines!C26))=TRUE,"",Lines!C26)</f>
        <v/>
      </c>
      <c r="D26" s="30" t="str">
        <f>IF(ISERROR(FIND($A$2,Lines!D26))=TRUE,"",Lines!D26)</f>
        <v/>
      </c>
      <c r="E26" s="30" t="str">
        <f>IF(ISERROR(FIND($A$2,Lines!E26))=TRUE,"",Lines!E26)</f>
        <v/>
      </c>
      <c r="F26" s="74" t="str">
        <f>IF(ISERROR(FIND($A$2,Lines!F26))=TRUE,"",Lines!F26)</f>
        <v/>
      </c>
      <c r="G26" s="74" t="str">
        <f>IF(ISERROR(FIND($A$2,Lines!G26))=TRUE,"",Lines!G26)</f>
        <v/>
      </c>
      <c r="H26" s="74" t="str">
        <f>IF(ISERROR(FIND($A$2,Lines!H26))=TRUE,"",Lines!H26)</f>
        <v/>
      </c>
      <c r="I26" s="74" t="str">
        <f>IF(ISERROR(FIND($A$2,Lines!I26))=TRUE,"",Lines!I26)</f>
        <v/>
      </c>
      <c r="J26" s="74" t="str">
        <f>IF(ISERROR(FIND($A$2,Lines!J26))=TRUE,"",Lines!J26)</f>
        <v>500AC*3,±500高岭背靠背直流（3000MW）</v>
      </c>
      <c r="K26" s="74" t="str">
        <f>IF(ISERROR(FIND($A$2,Lines!K26))=TRUE,"",Lines!K26)</f>
        <v/>
      </c>
      <c r="L26" s="74" t="str">
        <f>IF(ISERROR(FIND($A$2,Lines!L26))=TRUE,"",Lines!L26)</f>
        <v/>
      </c>
      <c r="M26" s="74" t="str">
        <f>IF(ISERROR(FIND($A$2,Lines!M26))=TRUE,"",Lines!M26)</f>
        <v/>
      </c>
      <c r="N26" s="74" t="str">
        <f>IF(ISERROR(FIND($A$2,Lines!N26))=TRUE,"",Lines!N26)</f>
        <v/>
      </c>
      <c r="O26" s="74" t="str">
        <f>IF(ISERROR(FIND($A$2,Lines!O26))=TRUE,"",Lines!O26)</f>
        <v/>
      </c>
      <c r="P26" s="74" t="str">
        <f>IF(ISERROR(FIND($A$2,Lines!P26))=TRUE,"",Lines!P26)</f>
        <v/>
      </c>
      <c r="Q26" s="74" t="str">
        <f>IF(ISERROR(FIND($A$2,Lines!Q26))=TRUE,"",Lines!Q26)</f>
        <v/>
      </c>
      <c r="R26" s="74" t="str">
        <f>IF(ISERROR(FIND($A$2,Lines!R26))=TRUE,"",Lines!R26)</f>
        <v/>
      </c>
      <c r="S26" s="74" t="str">
        <f>IF(ISERROR(FIND($A$2,Lines!S26))=TRUE,"",Lines!S26)</f>
        <v/>
      </c>
      <c r="T26" s="74" t="str">
        <f>IF(ISERROR(FIND($A$2,Lines!T26))=TRUE,"",Lines!T26)</f>
        <v/>
      </c>
      <c r="U26" s="74" t="str">
        <f>IF(ISERROR(FIND($A$2,Lines!U26))=TRUE,"",Lines!U26)</f>
        <v/>
      </c>
      <c r="V26" s="74" t="str">
        <f>IF(ISERROR(FIND($A$2,Lines!V26))=TRUE,"",Lines!V26)</f>
        <v/>
      </c>
      <c r="W26" s="145" t="str">
        <f>IF(ISERROR(FIND($A$2,Lines!W26))=TRUE,"",Lines!W26)</f>
        <v/>
      </c>
      <c r="X26" s="146" t="str">
        <f>IF(ISERROR(FIND($A$2,Lines!X26))=TRUE,"",Lines!X26)</f>
        <v/>
      </c>
      <c r="Y26" s="157" t="str">
        <f>IF(ISERROR(FIND($A$2,Lines!Y26))=TRUE,"",Lines!Y26)</f>
        <v/>
      </c>
      <c r="Z26" s="157" t="str">
        <f>IF(ISERROR(FIND($A$2,Lines!Z26))=TRUE,"",Lines!Z26)</f>
        <v/>
      </c>
      <c r="AA26" s="157" t="str">
        <f>IF(ISERROR(FIND($A$2,Lines!AA26))=TRUE,"",Lines!AA26)</f>
        <v/>
      </c>
      <c r="AB26" s="157" t="str">
        <f>IF(ISERROR(FIND($A$2,Lines!AB26))=TRUE,"",Lines!AB26)</f>
        <v/>
      </c>
      <c r="AC26" s="157" t="str">
        <f>IF(ISERROR(FIND($A$2,Lines!AC26))=TRUE,"",Lines!AC26)</f>
        <v/>
      </c>
      <c r="AD26" s="158" t="str">
        <f>IF(ISERROR(FIND($A$2,Lines!AD26))=TRUE,"",Lines!AD26)</f>
        <v/>
      </c>
      <c r="AE26" s="74" t="str">
        <f>IF(ISERROR(FIND($A$2,Lines!AE26))=TRUE,"",Lines!AE26)</f>
        <v/>
      </c>
      <c r="AF26" s="74" t="str">
        <f>IF(ISERROR(FIND($A$2,Lines!AF26))=TRUE,"",Lines!AF26)</f>
        <v/>
      </c>
      <c r="AG26" s="74" t="str">
        <f>IF(ISERROR(FIND($A$2,Lines!AG26))=TRUE,"",Lines!AG26)</f>
        <v/>
      </c>
      <c r="AH26" s="74" t="str">
        <f>IF(ISERROR(FIND($A$2,Lines!AH26))=TRUE,"",Lines!AH26)</f>
        <v/>
      </c>
      <c r="AI26" s="74" t="str">
        <f>IF(ISERROR(FIND($A$2,Lines!AI26))=TRUE,"",Lines!AI26)</f>
        <v/>
      </c>
      <c r="AJ26" s="74" t="str">
        <f>IF(ISERROR(FIND($A$2,Lines!AJ26))=TRUE,"",Lines!AJ26)</f>
        <v/>
      </c>
      <c r="AK26" s="74" t="str">
        <f>IF(ISERROR(FIND($A$2,Lines!AK26))=TRUE,"",Lines!AK26)</f>
        <v/>
      </c>
      <c r="AL26" s="74" t="str">
        <f>IF(ISERROR(FIND($A$2,Lines!AL26))=TRUE,"",Lines!AL26)</f>
        <v/>
      </c>
      <c r="AM26" s="74" t="str">
        <f>IF(ISERROR(FIND($A$2,Lines!AM26))=TRUE,"",Lines!AM26)</f>
        <v/>
      </c>
      <c r="AN26" s="74" t="str">
        <f>IF(ISERROR(FIND($A$2,Lines!AN26))=TRUE,"",Lines!AN26)</f>
        <v/>
      </c>
      <c r="AO26" s="74" t="str">
        <f>IF(ISERROR(FIND($A$2,Lines!AO26))=TRUE,"",Lines!AO26)</f>
        <v/>
      </c>
      <c r="AP26" s="74" t="str">
        <f>IF(ISERROR(FIND($A$2,Lines!AP26))=TRUE,"",Lines!AP26)</f>
        <v/>
      </c>
      <c r="AQ26" s="74" t="str">
        <f>IF(ISERROR(FIND($A$2,Lines!AQ26))=TRUE,"",Lines!AQ26)</f>
        <v/>
      </c>
      <c r="AR26" s="74" t="str">
        <f>IF(ISERROR(FIND($A$2,Lines!AR26))=TRUE,"",Lines!AR26)</f>
        <v/>
      </c>
      <c r="AS26" s="74" t="str">
        <f>IF(ISERROR(FIND($A$2,Lines!AS26))=TRUE,"",Lines!AS26)</f>
        <v/>
      </c>
      <c r="AT26" s="30" t="str">
        <f>IF(ISERROR(FIND($A$2,Lines!AT26))=TRUE,"",Lines!AT26)</f>
        <v/>
      </c>
    </row>
    <row r="27" spans="1:46" ht="20.25" customHeight="1">
      <c r="A27" s="2" t="s">
        <v>75</v>
      </c>
      <c r="B27" s="30" t="str">
        <f>IF(ISERROR(FIND($A$2,Lines!B27))=TRUE,"",Lines!B27)</f>
        <v/>
      </c>
      <c r="C27" s="30" t="str">
        <f>IF(ISERROR(FIND($A$2,Lines!C27))=TRUE,"",Lines!C27)</f>
        <v/>
      </c>
      <c r="D27" s="30" t="str">
        <f>IF(ISERROR(FIND($A$2,Lines!D27))=TRUE,"",Lines!D27)</f>
        <v/>
      </c>
      <c r="E27" s="30" t="str">
        <f>IF(ISERROR(FIND($A$2,Lines!E27))=TRUE,"",Lines!E27)</f>
        <v/>
      </c>
      <c r="F27" s="74" t="str">
        <f>IF(ISERROR(FIND($A$2,Lines!F27))=TRUE,"",Lines!F27)</f>
        <v/>
      </c>
      <c r="G27" s="74" t="str">
        <f>IF(ISERROR(FIND($A$2,Lines!G27))=TRUE,"",Lines!G27)</f>
        <v/>
      </c>
      <c r="H27" s="74" t="str">
        <f>IF(ISERROR(FIND($A$2,Lines!H27))=TRUE,"",Lines!H27)</f>
        <v/>
      </c>
      <c r="I27" s="74" t="str">
        <f>IF(ISERROR(FIND($A$2,Lines!I27))=TRUE,"",Lines!I27)</f>
        <v/>
      </c>
      <c r="J27" s="74" t="str">
        <f>IF(ISERROR(FIND($A$2,Lines!J27))=TRUE,"",Lines!J27)</f>
        <v/>
      </c>
      <c r="K27" s="74" t="str">
        <f>IF(ISERROR(FIND($A$2,Lines!K27))=TRUE,"",Lines!K27)</f>
        <v/>
      </c>
      <c r="L27" s="74" t="str">
        <f>IF(ISERROR(FIND($A$2,Lines!L27))=TRUE,"",Lines!L27)</f>
        <v/>
      </c>
      <c r="M27" s="74" t="str">
        <f>IF(ISERROR(FIND($A$2,Lines!M27))=TRUE,"",Lines!M27)</f>
        <v/>
      </c>
      <c r="N27" s="74" t="str">
        <f>IF(ISERROR(FIND($A$2,Lines!N27))=TRUE,"",Lines!N27)</f>
        <v/>
      </c>
      <c r="O27" s="74" t="str">
        <f>IF(ISERROR(FIND($A$2,Lines!O27))=TRUE,"",Lines!O27)</f>
        <v/>
      </c>
      <c r="P27" s="74" t="str">
        <f>IF(ISERROR(FIND($A$2,Lines!P27))=TRUE,"",Lines!P27)</f>
        <v/>
      </c>
      <c r="Q27" s="74" t="str">
        <f>IF(ISERROR(FIND($A$2,Lines!Q27))=TRUE,"",Lines!Q27)</f>
        <v/>
      </c>
      <c r="R27" s="74" t="str">
        <f>IF(ISERROR(FIND($A$2,Lines!R27))=TRUE,"",Lines!R27)</f>
        <v/>
      </c>
      <c r="S27" s="74" t="str">
        <f>IF(ISERROR(FIND($A$2,Lines!S27))=TRUE,"",Lines!S27)</f>
        <v/>
      </c>
      <c r="T27" s="74" t="str">
        <f>IF(ISERROR(FIND($A$2,Lines!T27))=TRUE,"",Lines!T27)</f>
        <v/>
      </c>
      <c r="U27" s="74" t="str">
        <f>IF(ISERROR(FIND($A$2,Lines!U27))=TRUE,"",Lines!U27)</f>
        <v/>
      </c>
      <c r="V27" s="74" t="str">
        <f>IF(ISERROR(FIND($A$2,Lines!V27))=TRUE,"",Lines!V27)</f>
        <v/>
      </c>
      <c r="W27" s="145" t="str">
        <f>IF(ISERROR(FIND($A$2,Lines!W27))=TRUE,"",Lines!W27)</f>
        <v/>
      </c>
      <c r="X27" s="159" t="str">
        <f>IF(ISERROR(FIND($A$2,Lines!X27))=TRUE,"",Lines!X27)</f>
        <v/>
      </c>
      <c r="Y27" s="150" t="str">
        <f>IF(ISERROR(FIND($A$2,Lines!Y27))=TRUE,"",Lines!Y27)</f>
        <v/>
      </c>
      <c r="Z27" s="160" t="str">
        <f>IF(ISERROR(FIND($A$2,Lines!Z27))=TRUE,"",Lines!Z27)</f>
        <v/>
      </c>
      <c r="AA27" s="160" t="str">
        <f>IF(ISERROR(FIND($A$2,Lines!AA27))=TRUE,"",Lines!AA27)</f>
        <v/>
      </c>
      <c r="AB27" s="160" t="str">
        <f>IF(ISERROR(FIND($A$2,Lines!AB27))=TRUE,"",Lines!AB27)</f>
        <v/>
      </c>
      <c r="AC27" s="160" t="str">
        <f>IF(ISERROR(FIND($A$2,Lines!AC27))=TRUE,"",Lines!AC27)</f>
        <v/>
      </c>
      <c r="AD27" s="161" t="str">
        <f>IF(ISERROR(FIND($A$2,Lines!AD27))=TRUE,"",Lines!AD27)</f>
        <v/>
      </c>
      <c r="AE27" s="74" t="str">
        <f>IF(ISERROR(FIND($A$2,Lines!AE27))=TRUE,"",Lines!AE27)</f>
        <v/>
      </c>
      <c r="AF27" s="74" t="str">
        <f>IF(ISERROR(FIND($A$2,Lines!AF27))=TRUE,"",Lines!AF27)</f>
        <v/>
      </c>
      <c r="AG27" s="74" t="str">
        <f>IF(ISERROR(FIND($A$2,Lines!AG27))=TRUE,"",Lines!AG27)</f>
        <v/>
      </c>
      <c r="AH27" s="74" t="str">
        <f>IF(ISERROR(FIND($A$2,Lines!AH27))=TRUE,"",Lines!AH27)</f>
        <v/>
      </c>
      <c r="AI27" s="74" t="str">
        <f>IF(ISERROR(FIND($A$2,Lines!AI27))=TRUE,"",Lines!AI27)</f>
        <v/>
      </c>
      <c r="AJ27" s="74" t="str">
        <f>IF(ISERROR(FIND($A$2,Lines!AJ27))=TRUE,"",Lines!AJ27)</f>
        <v/>
      </c>
      <c r="AK27" s="74" t="str">
        <f>IF(ISERROR(FIND($A$2,Lines!AK27))=TRUE,"",Lines!AK27)</f>
        <v/>
      </c>
      <c r="AL27" s="74" t="str">
        <f>IF(ISERROR(FIND($A$2,Lines!AL27))=TRUE,"",Lines!AL27)</f>
        <v/>
      </c>
      <c r="AM27" s="74" t="str">
        <f>IF(ISERROR(FIND($A$2,Lines!AM27))=TRUE,"",Lines!AM27)</f>
        <v/>
      </c>
      <c r="AN27" s="74" t="str">
        <f>IF(ISERROR(FIND($A$2,Lines!AN27))=TRUE,"",Lines!AN27)</f>
        <v/>
      </c>
      <c r="AO27" s="74" t="str">
        <f>IF(ISERROR(FIND($A$2,Lines!AO27))=TRUE,"",Lines!AO27)</f>
        <v/>
      </c>
      <c r="AP27" s="74" t="str">
        <f>IF(ISERROR(FIND($A$2,Lines!AP27))=TRUE,"",Lines!AP27)</f>
        <v/>
      </c>
      <c r="AQ27" s="74" t="str">
        <f>IF(ISERROR(FIND($A$2,Lines!AQ27))=TRUE,"",Lines!AQ27)</f>
        <v/>
      </c>
      <c r="AR27" s="74" t="str">
        <f>IF(ISERROR(FIND($A$2,Lines!AR27))=TRUE,"",Lines!AR27)</f>
        <v/>
      </c>
      <c r="AS27" s="74" t="str">
        <f>IF(ISERROR(FIND($A$2,Lines!AS27))=TRUE,"",Lines!AS27)</f>
        <v/>
      </c>
      <c r="AT27" s="30" t="str">
        <f>IF(ISERROR(FIND($A$2,Lines!AT27))=TRUE,"",Lines!AT27)</f>
        <v/>
      </c>
    </row>
    <row r="28" spans="1:46" ht="20.25" customHeight="1">
      <c r="A28" s="2" t="s">
        <v>76</v>
      </c>
      <c r="B28" s="30" t="str">
        <f>IF(ISERROR(FIND($A$2,Lines!B28))=TRUE,"",Lines!B28)</f>
        <v/>
      </c>
      <c r="C28" s="30" t="str">
        <f>IF(ISERROR(FIND($A$2,Lines!C28))=TRUE,"",Lines!C28)</f>
        <v/>
      </c>
      <c r="D28" s="30" t="str">
        <f>IF(ISERROR(FIND($A$2,Lines!D28))=TRUE,"",Lines!D28)</f>
        <v/>
      </c>
      <c r="E28" s="30" t="str">
        <f>IF(ISERROR(FIND($A$2,Lines!E28))=TRUE,"",Lines!E28)</f>
        <v/>
      </c>
      <c r="F28" s="74" t="str">
        <f>IF(ISERROR(FIND($A$2,Lines!F28))=TRUE,"",Lines!F28)</f>
        <v/>
      </c>
      <c r="G28" s="74" t="str">
        <f>IF(ISERROR(FIND($A$2,Lines!G28))=TRUE,"",Lines!G28)</f>
        <v/>
      </c>
      <c r="H28" s="74" t="str">
        <f>IF(ISERROR(FIND($A$2,Lines!H28))=TRUE,"",Lines!H28)</f>
        <v/>
      </c>
      <c r="I28" s="74" t="str">
        <f>IF(ISERROR(FIND($A$2,Lines!I28))=TRUE,"",Lines!I28)</f>
        <v/>
      </c>
      <c r="J28" s="74" t="str">
        <f>IF(ISERROR(FIND($A$2,Lines!J28))=TRUE,"",Lines!J28)</f>
        <v/>
      </c>
      <c r="K28" s="74" t="str">
        <f>IF(ISERROR(FIND($A$2,Lines!K28))=TRUE,"",Lines!K28)</f>
        <v/>
      </c>
      <c r="L28" s="74" t="str">
        <f>IF(ISERROR(FIND($A$2,Lines!L28))=TRUE,"",Lines!L28)</f>
        <v/>
      </c>
      <c r="M28" s="74" t="str">
        <f>IF(ISERROR(FIND($A$2,Lines!M28))=TRUE,"",Lines!M28)</f>
        <v/>
      </c>
      <c r="N28" s="74" t="str">
        <f>IF(ISERROR(FIND($A$2,Lines!N28))=TRUE,"",Lines!N28)</f>
        <v/>
      </c>
      <c r="O28" s="74" t="str">
        <f>IF(ISERROR(FIND($A$2,Lines!O28))=TRUE,"",Lines!O28)</f>
        <v/>
      </c>
      <c r="P28" s="74" t="str">
        <f>IF(ISERROR(FIND($A$2,Lines!P28))=TRUE,"",Lines!P28)</f>
        <v/>
      </c>
      <c r="Q28" s="74" t="str">
        <f>IF(ISERROR(FIND($A$2,Lines!Q28))=TRUE,"",Lines!Q28)</f>
        <v/>
      </c>
      <c r="R28" s="74" t="str">
        <f>IF(ISERROR(FIND($A$2,Lines!R28))=TRUE,"",Lines!R28)</f>
        <v/>
      </c>
      <c r="S28" s="74" t="str">
        <f>IF(ISERROR(FIND($A$2,Lines!S28))=TRUE,"",Lines!S28)</f>
        <v/>
      </c>
      <c r="T28" s="74" t="str">
        <f>IF(ISERROR(FIND($A$2,Lines!T28))=TRUE,"",Lines!T28)</f>
        <v/>
      </c>
      <c r="U28" s="74" t="str">
        <f>IF(ISERROR(FIND($A$2,Lines!U28))=TRUE,"",Lines!U28)</f>
        <v/>
      </c>
      <c r="V28" s="74" t="str">
        <f>IF(ISERROR(FIND($A$2,Lines!V28))=TRUE,"",Lines!V28)</f>
        <v/>
      </c>
      <c r="W28" s="145" t="str">
        <f>IF(ISERROR(FIND($A$2,Lines!W28))=TRUE,"",Lines!W28)</f>
        <v/>
      </c>
      <c r="X28" s="159" t="str">
        <f>IF(ISERROR(FIND($A$2,Lines!X28))=TRUE,"",Lines!X28)</f>
        <v/>
      </c>
      <c r="Y28" s="160" t="str">
        <f>IF(ISERROR(FIND($A$2,Lines!Y28))=TRUE,"",Lines!Y28)</f>
        <v/>
      </c>
      <c r="Z28" s="150" t="str">
        <f>IF(ISERROR(FIND($A$2,Lines!Z28))=TRUE,"",Lines!Z28)</f>
        <v/>
      </c>
      <c r="AA28" s="160" t="str">
        <f>IF(ISERROR(FIND($A$2,Lines!AA28))=TRUE,"",Lines!AA28)</f>
        <v/>
      </c>
      <c r="AB28" s="160" t="str">
        <f>IF(ISERROR(FIND($A$2,Lines!AB28))=TRUE,"",Lines!AB28)</f>
        <v/>
      </c>
      <c r="AC28" s="160" t="str">
        <f>IF(ISERROR(FIND($A$2,Lines!AC28))=TRUE,"",Lines!AC28)</f>
        <v/>
      </c>
      <c r="AD28" s="161" t="str">
        <f>IF(ISERROR(FIND($A$2,Lines!AD28))=TRUE,"",Lines!AD28)</f>
        <v/>
      </c>
      <c r="AE28" s="74" t="str">
        <f>IF(ISERROR(FIND($A$2,Lines!AE28))=TRUE,"",Lines!AE28)</f>
        <v/>
      </c>
      <c r="AF28" s="74" t="str">
        <f>IF(ISERROR(FIND($A$2,Lines!AF28))=TRUE,"",Lines!AF28)</f>
        <v/>
      </c>
      <c r="AG28" s="74" t="str">
        <f>IF(ISERROR(FIND($A$2,Lines!AG28))=TRUE,"",Lines!AG28)</f>
        <v/>
      </c>
      <c r="AH28" s="74" t="str">
        <f>IF(ISERROR(FIND($A$2,Lines!AH28))=TRUE,"",Lines!AH28)</f>
        <v/>
      </c>
      <c r="AI28" s="74" t="str">
        <f>IF(ISERROR(FIND($A$2,Lines!AI28))=TRUE,"",Lines!AI28)</f>
        <v/>
      </c>
      <c r="AJ28" s="74" t="str">
        <f>IF(ISERROR(FIND($A$2,Lines!AJ28))=TRUE,"",Lines!AJ28)</f>
        <v/>
      </c>
      <c r="AK28" s="74" t="str">
        <f>IF(ISERROR(FIND($A$2,Lines!AK28))=TRUE,"",Lines!AK28)</f>
        <v/>
      </c>
      <c r="AL28" s="74" t="str">
        <f>IF(ISERROR(FIND($A$2,Lines!AL28))=TRUE,"",Lines!AL28)</f>
        <v/>
      </c>
      <c r="AM28" s="74" t="str">
        <f>IF(ISERROR(FIND($A$2,Lines!AM28))=TRUE,"",Lines!AM28)</f>
        <v/>
      </c>
      <c r="AN28" s="74" t="str">
        <f>IF(ISERROR(FIND($A$2,Lines!AN28))=TRUE,"",Lines!AN28)</f>
        <v/>
      </c>
      <c r="AO28" s="74" t="str">
        <f>IF(ISERROR(FIND($A$2,Lines!AO28))=TRUE,"",Lines!AO28)</f>
        <v/>
      </c>
      <c r="AP28" s="74" t="str">
        <f>IF(ISERROR(FIND($A$2,Lines!AP28))=TRUE,"",Lines!AP28)</f>
        <v/>
      </c>
      <c r="AQ28" s="74" t="str">
        <f>IF(ISERROR(FIND($A$2,Lines!AQ28))=TRUE,"",Lines!AQ28)</f>
        <v/>
      </c>
      <c r="AR28" s="74" t="str">
        <f>IF(ISERROR(FIND($A$2,Lines!AR28))=TRUE,"",Lines!AR28)</f>
        <v/>
      </c>
      <c r="AS28" s="74" t="str">
        <f>IF(ISERROR(FIND($A$2,Lines!AS28))=TRUE,"",Lines!AS28)</f>
        <v/>
      </c>
      <c r="AT28" s="30" t="str">
        <f>IF(ISERROR(FIND($A$2,Lines!AT28))=TRUE,"",Lines!AT28)</f>
        <v/>
      </c>
    </row>
    <row r="29" spans="1:46" ht="20.25" customHeight="1">
      <c r="A29" s="2" t="s">
        <v>77</v>
      </c>
      <c r="B29" s="30" t="str">
        <f>IF(ISERROR(FIND($A$2,Lines!B29))=TRUE,"",Lines!B29)</f>
        <v/>
      </c>
      <c r="C29" s="30" t="str">
        <f>IF(ISERROR(FIND($A$2,Lines!C29))=TRUE,"",Lines!C29)</f>
        <v/>
      </c>
      <c r="D29" s="30" t="str">
        <f>IF(ISERROR(FIND($A$2,Lines!D29))=TRUE,"",Lines!D29)</f>
        <v/>
      </c>
      <c r="E29" s="30" t="str">
        <f>IF(ISERROR(FIND($A$2,Lines!E29))=TRUE,"",Lines!E29)</f>
        <v/>
      </c>
      <c r="F29" s="74" t="str">
        <f>IF(ISERROR(FIND($A$2,Lines!F29))=TRUE,"",Lines!F29)</f>
        <v/>
      </c>
      <c r="G29" s="74" t="str">
        <f>IF(ISERROR(FIND($A$2,Lines!G29))=TRUE,"",Lines!G29)</f>
        <v/>
      </c>
      <c r="H29" s="74" t="str">
        <f>IF(ISERROR(FIND($A$2,Lines!H29))=TRUE,"",Lines!H29)</f>
        <v/>
      </c>
      <c r="I29" s="74" t="str">
        <f>IF(ISERROR(FIND($A$2,Lines!I29))=TRUE,"",Lines!I29)</f>
        <v/>
      </c>
      <c r="J29" s="74" t="str">
        <f>IF(ISERROR(FIND($A$2,Lines!J29))=TRUE,"",Lines!J29)</f>
        <v/>
      </c>
      <c r="K29" s="74" t="str">
        <f>IF(ISERROR(FIND($A$2,Lines!K29))=TRUE,"",Lines!K29)</f>
        <v/>
      </c>
      <c r="L29" s="74" t="str">
        <f>IF(ISERROR(FIND($A$2,Lines!L29))=TRUE,"",Lines!L29)</f>
        <v/>
      </c>
      <c r="M29" s="74" t="str">
        <f>IF(ISERROR(FIND($A$2,Lines!M29))=TRUE,"",Lines!M29)</f>
        <v/>
      </c>
      <c r="N29" s="74" t="str">
        <f>IF(ISERROR(FIND($A$2,Lines!N29))=TRUE,"",Lines!N29)</f>
        <v/>
      </c>
      <c r="O29" s="74" t="str">
        <f>IF(ISERROR(FIND($A$2,Lines!O29))=TRUE,"",Lines!O29)</f>
        <v/>
      </c>
      <c r="P29" s="74" t="str">
        <f>IF(ISERROR(FIND($A$2,Lines!P29))=TRUE,"",Lines!P29)</f>
        <v/>
      </c>
      <c r="Q29" s="74" t="str">
        <f>IF(ISERROR(FIND($A$2,Lines!Q29))=TRUE,"",Lines!Q29)</f>
        <v/>
      </c>
      <c r="R29" s="74" t="str">
        <f>IF(ISERROR(FIND($A$2,Lines!R29))=TRUE,"",Lines!R29)</f>
        <v/>
      </c>
      <c r="S29" s="74" t="str">
        <f>IF(ISERROR(FIND($A$2,Lines!S29))=TRUE,"",Lines!S29)</f>
        <v/>
      </c>
      <c r="T29" s="74" t="str">
        <f>IF(ISERROR(FIND($A$2,Lines!T29))=TRUE,"",Lines!T29)</f>
        <v/>
      </c>
      <c r="U29" s="74" t="str">
        <f>IF(ISERROR(FIND($A$2,Lines!U29))=TRUE,"",Lines!U29)</f>
        <v/>
      </c>
      <c r="V29" s="74" t="str">
        <f>IF(ISERROR(FIND($A$2,Lines!V29))=TRUE,"",Lines!V29)</f>
        <v/>
      </c>
      <c r="W29" s="145" t="str">
        <f>IF(ISERROR(FIND($A$2,Lines!W29))=TRUE,"",Lines!W29)</f>
        <v/>
      </c>
      <c r="X29" s="157" t="str">
        <f>IF(ISERROR(FIND($A$2,Lines!X29))=TRUE,"",Lines!X29)</f>
        <v/>
      </c>
      <c r="Y29" s="160" t="str">
        <f>IF(ISERROR(FIND($A$2,Lines!Y29))=TRUE,"",Lines!Y29)</f>
        <v/>
      </c>
      <c r="Z29" s="160" t="str">
        <f>IF(ISERROR(FIND($A$2,Lines!Z29))=TRUE,"",Lines!Z29)</f>
        <v/>
      </c>
      <c r="AA29" s="150" t="str">
        <f>IF(ISERROR(FIND($A$2,Lines!AA29))=TRUE,"",Lines!AA29)</f>
        <v/>
      </c>
      <c r="AB29" s="160" t="str">
        <f>IF(ISERROR(FIND($A$2,Lines!AB29))=TRUE,"",Lines!AB29)</f>
        <v/>
      </c>
      <c r="AC29" s="160" t="str">
        <f>IF(ISERROR(FIND($A$2,Lines!AC29))=TRUE,"",Lines!AC29)</f>
        <v/>
      </c>
      <c r="AD29" s="161" t="str">
        <f>IF(ISERROR(FIND($A$2,Lines!AD29))=TRUE,"",Lines!AD29)</f>
        <v/>
      </c>
      <c r="AE29" s="74" t="str">
        <f>IF(ISERROR(FIND($A$2,Lines!AE29))=TRUE,"",Lines!AE29)</f>
        <v/>
      </c>
      <c r="AF29" s="74" t="str">
        <f>IF(ISERROR(FIND($A$2,Lines!AF29))=TRUE,"",Lines!AF29)</f>
        <v/>
      </c>
      <c r="AG29" s="74" t="str">
        <f>IF(ISERROR(FIND($A$2,Lines!AG29))=TRUE,"",Lines!AG29)</f>
        <v/>
      </c>
      <c r="AH29" s="74" t="str">
        <f>IF(ISERROR(FIND($A$2,Lines!AH29))=TRUE,"",Lines!AH29)</f>
        <v/>
      </c>
      <c r="AI29" s="74" t="str">
        <f>IF(ISERROR(FIND($A$2,Lines!AI29))=TRUE,"",Lines!AI29)</f>
        <v/>
      </c>
      <c r="AJ29" s="74" t="str">
        <f>IF(ISERROR(FIND($A$2,Lines!AJ29))=TRUE,"",Lines!AJ29)</f>
        <v/>
      </c>
      <c r="AK29" s="74" t="str">
        <f>IF(ISERROR(FIND($A$2,Lines!AK29))=TRUE,"",Lines!AK29)</f>
        <v/>
      </c>
      <c r="AL29" s="74" t="str">
        <f>IF(ISERROR(FIND($A$2,Lines!AL29))=TRUE,"",Lines!AL29)</f>
        <v/>
      </c>
      <c r="AM29" s="74" t="str">
        <f>IF(ISERROR(FIND($A$2,Lines!AM29))=TRUE,"",Lines!AM29)</f>
        <v/>
      </c>
      <c r="AN29" s="74" t="str">
        <f>IF(ISERROR(FIND($A$2,Lines!AN29))=TRUE,"",Lines!AN29)</f>
        <v/>
      </c>
      <c r="AO29" s="74" t="str">
        <f>IF(ISERROR(FIND($A$2,Lines!AO29))=TRUE,"",Lines!AO29)</f>
        <v/>
      </c>
      <c r="AP29" s="74" t="str">
        <f>IF(ISERROR(FIND($A$2,Lines!AP29))=TRUE,"",Lines!AP29)</f>
        <v/>
      </c>
      <c r="AQ29" s="74" t="str">
        <f>IF(ISERROR(FIND($A$2,Lines!AQ29))=TRUE,"",Lines!AQ29)</f>
        <v/>
      </c>
      <c r="AR29" s="74" t="str">
        <f>IF(ISERROR(FIND($A$2,Lines!AR29))=TRUE,"",Lines!AR29)</f>
        <v/>
      </c>
      <c r="AS29" s="74" t="str">
        <f>IF(ISERROR(FIND($A$2,Lines!AS29))=TRUE,"",Lines!AS29)</f>
        <v/>
      </c>
      <c r="AT29" s="30" t="str">
        <f>IF(ISERROR(FIND($A$2,Lines!AT29))=TRUE,"",Lines!AT29)</f>
        <v/>
      </c>
    </row>
    <row r="30" spans="1:46" ht="20.25" customHeight="1">
      <c r="A30" s="2" t="s">
        <v>78</v>
      </c>
      <c r="B30" s="30" t="str">
        <f>IF(ISERROR(FIND($A$2,Lines!B30))=TRUE,"",Lines!B30)</f>
        <v/>
      </c>
      <c r="C30" s="30" t="str">
        <f>IF(ISERROR(FIND($A$2,Lines!C30))=TRUE,"",Lines!C30)</f>
        <v/>
      </c>
      <c r="D30" s="30" t="str">
        <f>IF(ISERROR(FIND($A$2,Lines!D30))=TRUE,"",Lines!D30)</f>
        <v/>
      </c>
      <c r="E30" s="30" t="str">
        <f>IF(ISERROR(FIND($A$2,Lines!E30))=TRUE,"",Lines!E30)</f>
        <v/>
      </c>
      <c r="F30" s="74" t="str">
        <f>IF(ISERROR(FIND($A$2,Lines!F30))=TRUE,"",Lines!F30)</f>
        <v/>
      </c>
      <c r="G30" s="74" t="str">
        <f>IF(ISERROR(FIND($A$2,Lines!G30))=TRUE,"",Lines!G30)</f>
        <v/>
      </c>
      <c r="H30" s="74" t="str">
        <f>IF(ISERROR(FIND($A$2,Lines!H30))=TRUE,"",Lines!H30)</f>
        <v/>
      </c>
      <c r="I30" s="74" t="str">
        <f>IF(ISERROR(FIND($A$2,Lines!I30))=TRUE,"",Lines!I30)</f>
        <v/>
      </c>
      <c r="J30" s="74" t="str">
        <f>IF(ISERROR(FIND($A$2,Lines!J30))=TRUE,"",Lines!J30)</f>
        <v/>
      </c>
      <c r="K30" s="74" t="str">
        <f>IF(ISERROR(FIND($A$2,Lines!K30))=TRUE,"",Lines!K30)</f>
        <v/>
      </c>
      <c r="L30" s="74" t="str">
        <f>IF(ISERROR(FIND($A$2,Lines!L30))=TRUE,"",Lines!L30)</f>
        <v/>
      </c>
      <c r="M30" s="74" t="str">
        <f>IF(ISERROR(FIND($A$2,Lines!M30))=TRUE,"",Lines!M30)</f>
        <v/>
      </c>
      <c r="N30" s="74" t="str">
        <f>IF(ISERROR(FIND($A$2,Lines!N30))=TRUE,"",Lines!N30)</f>
        <v/>
      </c>
      <c r="O30" s="74" t="str">
        <f>IF(ISERROR(FIND($A$2,Lines!O30))=TRUE,"",Lines!O30)</f>
        <v/>
      </c>
      <c r="P30" s="74" t="str">
        <f>IF(ISERROR(FIND($A$2,Lines!P30))=TRUE,"",Lines!P30)</f>
        <v/>
      </c>
      <c r="Q30" s="74" t="str">
        <f>IF(ISERROR(FIND($A$2,Lines!Q30))=TRUE,"",Lines!Q30)</f>
        <v/>
      </c>
      <c r="R30" s="74" t="str">
        <f>IF(ISERROR(FIND($A$2,Lines!R30))=TRUE,"",Lines!R30)</f>
        <v/>
      </c>
      <c r="S30" s="74" t="str">
        <f>IF(ISERROR(FIND($A$2,Lines!S30))=TRUE,"",Lines!S30)</f>
        <v/>
      </c>
      <c r="T30" s="74" t="str">
        <f>IF(ISERROR(FIND($A$2,Lines!T30))=TRUE,"",Lines!T30)</f>
        <v/>
      </c>
      <c r="U30" s="74" t="str">
        <f>IF(ISERROR(FIND($A$2,Lines!U30))=TRUE,"",Lines!U30)</f>
        <v/>
      </c>
      <c r="V30" s="74" t="str">
        <f>IF(ISERROR(FIND($A$2,Lines!V30))=TRUE,"",Lines!V30)</f>
        <v/>
      </c>
      <c r="W30" s="145" t="str">
        <f>IF(ISERROR(FIND($A$2,Lines!W30))=TRUE,"",Lines!W30)</f>
        <v/>
      </c>
      <c r="X30" s="159" t="str">
        <f>IF(ISERROR(FIND($A$2,Lines!X30))=TRUE,"",Lines!X30)</f>
        <v/>
      </c>
      <c r="Y30" s="160" t="str">
        <f>IF(ISERROR(FIND($A$2,Lines!Y30))=TRUE,"",Lines!Y30)</f>
        <v/>
      </c>
      <c r="Z30" s="160" t="str">
        <f>IF(ISERROR(FIND($A$2,Lines!Z30))=TRUE,"",Lines!Z30)</f>
        <v/>
      </c>
      <c r="AA30" s="160" t="str">
        <f>IF(ISERROR(FIND($A$2,Lines!AA30))=TRUE,"",Lines!AA30)</f>
        <v/>
      </c>
      <c r="AB30" s="150" t="str">
        <f>IF(ISERROR(FIND($A$2,Lines!AB30))=TRUE,"",Lines!AB30)</f>
        <v/>
      </c>
      <c r="AC30" s="160" t="str">
        <f>IF(ISERROR(FIND($A$2,Lines!AC30))=TRUE,"",Lines!AC30)</f>
        <v/>
      </c>
      <c r="AD30" s="162" t="str">
        <f>IF(ISERROR(FIND($A$2,Lines!AD30))=TRUE,"",Lines!AD30)</f>
        <v/>
      </c>
      <c r="AE30" s="74" t="str">
        <f>IF(ISERROR(FIND($A$2,Lines!AE30))=TRUE,"",Lines!AE30)</f>
        <v/>
      </c>
      <c r="AF30" s="74" t="str">
        <f>IF(ISERROR(FIND($A$2,Lines!AF30))=TRUE,"",Lines!AF30)</f>
        <v/>
      </c>
      <c r="AG30" s="74" t="str">
        <f>IF(ISERROR(FIND($A$2,Lines!AG30))=TRUE,"",Lines!AG30)</f>
        <v/>
      </c>
      <c r="AH30" s="74" t="str">
        <f>IF(ISERROR(FIND($A$2,Lines!AH30))=TRUE,"",Lines!AH30)</f>
        <v/>
      </c>
      <c r="AI30" s="74" t="str">
        <f>IF(ISERROR(FIND($A$2,Lines!AI30))=TRUE,"",Lines!AI30)</f>
        <v/>
      </c>
      <c r="AJ30" s="74" t="str">
        <f>IF(ISERROR(FIND($A$2,Lines!AJ30))=TRUE,"",Lines!AJ30)</f>
        <v/>
      </c>
      <c r="AK30" s="74" t="str">
        <f>IF(ISERROR(FIND($A$2,Lines!AK30))=TRUE,"",Lines!AK30)</f>
        <v/>
      </c>
      <c r="AL30" s="74" t="str">
        <f>IF(ISERROR(FIND($A$2,Lines!AL30))=TRUE,"",Lines!AL30)</f>
        <v/>
      </c>
      <c r="AM30" s="74" t="str">
        <f>IF(ISERROR(FIND($A$2,Lines!AM30))=TRUE,"",Lines!AM30)</f>
        <v/>
      </c>
      <c r="AN30" s="74" t="str">
        <f>IF(ISERROR(FIND($A$2,Lines!AN30))=TRUE,"",Lines!AN30)</f>
        <v/>
      </c>
      <c r="AO30" s="74" t="str">
        <f>IF(ISERROR(FIND($A$2,Lines!AO30))=TRUE,"",Lines!AO30)</f>
        <v/>
      </c>
      <c r="AP30" s="74" t="str">
        <f>IF(ISERROR(FIND($A$2,Lines!AP30))=TRUE,"",Lines!AP30)</f>
        <v/>
      </c>
      <c r="AQ30" s="74" t="str">
        <f>IF(ISERROR(FIND($A$2,Lines!AQ30))=TRUE,"",Lines!AQ30)</f>
        <v/>
      </c>
      <c r="AR30" s="74" t="str">
        <f>IF(ISERROR(FIND($A$2,Lines!AR30))=TRUE,"",Lines!AR30)</f>
        <v/>
      </c>
      <c r="AS30" s="74" t="str">
        <f>IF(ISERROR(FIND($A$2,Lines!AS30))=TRUE,"",Lines!AS30)</f>
        <v/>
      </c>
      <c r="AT30" s="30" t="str">
        <f>IF(ISERROR(FIND($A$2,Lines!AT30))=TRUE,"",Lines!AT30)</f>
        <v/>
      </c>
    </row>
    <row r="31" spans="1:46" ht="20.25" customHeight="1">
      <c r="A31" s="2" t="s">
        <v>79</v>
      </c>
      <c r="B31" s="30" t="str">
        <f>IF(ISERROR(FIND($A$2,Lines!B31))=TRUE,"",Lines!B31)</f>
        <v/>
      </c>
      <c r="C31" s="30" t="str">
        <f>IF(ISERROR(FIND($A$2,Lines!C31))=TRUE,"",Lines!C31)</f>
        <v/>
      </c>
      <c r="D31" s="30" t="str">
        <f>IF(ISERROR(FIND($A$2,Lines!D31))=TRUE,"",Lines!D31)</f>
        <v/>
      </c>
      <c r="E31" s="30" t="str">
        <f>IF(ISERROR(FIND($A$2,Lines!E31))=TRUE,"",Lines!E31)</f>
        <v/>
      </c>
      <c r="F31" s="74" t="str">
        <f>IF(ISERROR(FIND($A$2,Lines!F31))=TRUE,"",Lines!F31)</f>
        <v/>
      </c>
      <c r="G31" s="74" t="str">
        <f>IF(ISERROR(FIND($A$2,Lines!G31))=TRUE,"",Lines!G31)</f>
        <v/>
      </c>
      <c r="H31" s="74" t="str">
        <f>IF(ISERROR(FIND($A$2,Lines!H31))=TRUE,"",Lines!H31)</f>
        <v/>
      </c>
      <c r="I31" s="74" t="str">
        <f>IF(ISERROR(FIND($A$2,Lines!I31))=TRUE,"",Lines!I31)</f>
        <v/>
      </c>
      <c r="J31" s="74" t="str">
        <f>IF(ISERROR(FIND($A$2,Lines!J31))=TRUE,"",Lines!J31)</f>
        <v/>
      </c>
      <c r="K31" s="74" t="str">
        <f>IF(ISERROR(FIND($A$2,Lines!K31))=TRUE,"",Lines!K31)</f>
        <v/>
      </c>
      <c r="L31" s="74" t="str">
        <f>IF(ISERROR(FIND($A$2,Lines!L31))=TRUE,"",Lines!L31)</f>
        <v/>
      </c>
      <c r="M31" s="74" t="str">
        <f>IF(ISERROR(FIND($A$2,Lines!M31))=TRUE,"",Lines!M31)</f>
        <v/>
      </c>
      <c r="N31" s="74" t="str">
        <f>IF(ISERROR(FIND($A$2,Lines!N31))=TRUE,"",Lines!N31)</f>
        <v/>
      </c>
      <c r="O31" s="74" t="str">
        <f>IF(ISERROR(FIND($A$2,Lines!O31))=TRUE,"",Lines!O31)</f>
        <v/>
      </c>
      <c r="P31" s="74" t="str">
        <f>IF(ISERROR(FIND($A$2,Lines!P31))=TRUE,"",Lines!P31)</f>
        <v/>
      </c>
      <c r="Q31" s="74" t="str">
        <f>IF(ISERROR(FIND($A$2,Lines!Q31))=TRUE,"",Lines!Q31)</f>
        <v/>
      </c>
      <c r="R31" s="74" t="str">
        <f>IF(ISERROR(FIND($A$2,Lines!R31))=TRUE,"",Lines!R31)</f>
        <v/>
      </c>
      <c r="S31" s="74" t="str">
        <f>IF(ISERROR(FIND($A$2,Lines!S31))=TRUE,"",Lines!S31)</f>
        <v/>
      </c>
      <c r="T31" s="74" t="str">
        <f>IF(ISERROR(FIND($A$2,Lines!T31))=TRUE,"",Lines!T31)</f>
        <v>±660(~±500kV)(直流 银东4000MW）</v>
      </c>
      <c r="U31" s="74" t="str">
        <f>IF(ISERROR(FIND($A$2,Lines!U31))=TRUE,"",Lines!U31)</f>
        <v/>
      </c>
      <c r="V31" s="74" t="str">
        <f>IF(ISERROR(FIND($A$2,Lines!V31))=TRUE,"",Lines!V31)</f>
        <v/>
      </c>
      <c r="W31" s="145" t="str">
        <f>IF(ISERROR(FIND($A$2,Lines!W31))=TRUE,"",Lines!W31)</f>
        <v/>
      </c>
      <c r="X31" s="157" t="str">
        <f>IF(ISERROR(FIND($A$2,Lines!X31))=TRUE,"",Lines!X31)</f>
        <v/>
      </c>
      <c r="Y31" s="160" t="str">
        <f>IF(ISERROR(FIND($A$2,Lines!Y31))=TRUE,"",Lines!Y31)</f>
        <v/>
      </c>
      <c r="Z31" s="160" t="str">
        <f>IF(ISERROR(FIND($A$2,Lines!Z31))=TRUE,"",Lines!Z31)</f>
        <v/>
      </c>
      <c r="AA31" s="160" t="str">
        <f>IF(ISERROR(FIND($A$2,Lines!AA31))=TRUE,"",Lines!AA31)</f>
        <v/>
      </c>
      <c r="AB31" s="160" t="str">
        <f>IF(ISERROR(FIND($A$2,Lines!AB31))=TRUE,"",Lines!AB31)</f>
        <v/>
      </c>
      <c r="AC31" s="150" t="str">
        <f>IF(ISERROR(FIND($A$2,Lines!AC31))=TRUE,"",Lines!AC31)</f>
        <v/>
      </c>
      <c r="AD31" s="161" t="str">
        <f>IF(ISERROR(FIND($A$2,Lines!AD31))=TRUE,"",Lines!AD31)</f>
        <v/>
      </c>
      <c r="AE31" s="74" t="str">
        <f>IF(ISERROR(FIND($A$2,Lines!AE31))=TRUE,"",Lines!AE31)</f>
        <v/>
      </c>
      <c r="AF31" s="74" t="str">
        <f>IF(ISERROR(FIND($A$2,Lines!AF31))=TRUE,"",Lines!AF31)</f>
        <v/>
      </c>
      <c r="AG31" s="74" t="str">
        <f>IF(ISERROR(FIND($A$2,Lines!AG31))=TRUE,"",Lines!AG31)</f>
        <v/>
      </c>
      <c r="AH31" s="74" t="str">
        <f>IF(ISERROR(FIND($A$2,Lines!AH31))=TRUE,"",Lines!AH31)</f>
        <v/>
      </c>
      <c r="AI31" s="74" t="str">
        <f>IF(ISERROR(FIND($A$2,Lines!AI31))=TRUE,"",Lines!AI31)</f>
        <v/>
      </c>
      <c r="AJ31" s="74" t="str">
        <f>IF(ISERROR(FIND($A$2,Lines!AJ31))=TRUE,"",Lines!AJ31)</f>
        <v/>
      </c>
      <c r="AK31" s="74" t="str">
        <f>IF(ISERROR(FIND($A$2,Lines!AK31))=TRUE,"",Lines!AK31)</f>
        <v/>
      </c>
      <c r="AL31" s="74" t="str">
        <f>IF(ISERROR(FIND($A$2,Lines!AL31))=TRUE,"",Lines!AL31)</f>
        <v/>
      </c>
      <c r="AM31" s="74" t="str">
        <f>IF(ISERROR(FIND($A$2,Lines!AM31))=TRUE,"",Lines!AM31)</f>
        <v/>
      </c>
      <c r="AN31" s="74" t="str">
        <f>IF(ISERROR(FIND($A$2,Lines!AN31))=TRUE,"",Lines!AN31)</f>
        <v/>
      </c>
      <c r="AO31" s="74" t="str">
        <f>IF(ISERROR(FIND($A$2,Lines!AO31))=TRUE,"",Lines!AO31)</f>
        <v/>
      </c>
      <c r="AP31" s="74" t="str">
        <f>IF(ISERROR(FIND($A$2,Lines!AP31))=TRUE,"",Lines!AP31)</f>
        <v/>
      </c>
      <c r="AQ31" s="74" t="str">
        <f>IF(ISERROR(FIND($A$2,Lines!AQ31))=TRUE,"",Lines!AQ31)</f>
        <v/>
      </c>
      <c r="AR31" s="74" t="str">
        <f>IF(ISERROR(FIND($A$2,Lines!AR31))=TRUE,"",Lines!AR31)</f>
        <v/>
      </c>
      <c r="AS31" s="74" t="str">
        <f>IF(ISERROR(FIND($A$2,Lines!AS31))=TRUE,"",Lines!AS31)</f>
        <v/>
      </c>
      <c r="AT31" s="30" t="str">
        <f>IF(ISERROR(FIND($A$2,Lines!AT31))=TRUE,"",Lines!AT31)</f>
        <v/>
      </c>
    </row>
    <row r="32" spans="1:46" ht="20.25" customHeight="1">
      <c r="A32" s="2" t="s">
        <v>80</v>
      </c>
      <c r="B32" s="30" t="str">
        <f>IF(ISERROR(FIND($A$2,Lines!B32))=TRUE,"",Lines!B32)</f>
        <v/>
      </c>
      <c r="C32" s="30" t="str">
        <f>IF(ISERROR(FIND($A$2,Lines!C32))=TRUE,"",Lines!C32)</f>
        <v/>
      </c>
      <c r="D32" s="30" t="str">
        <f>IF(ISERROR(FIND($A$2,Lines!D32))=TRUE,"",Lines!D32)</f>
        <v/>
      </c>
      <c r="E32" s="30" t="str">
        <f>IF(ISERROR(FIND($A$2,Lines!E32))=TRUE,"",Lines!E32)</f>
        <v/>
      </c>
      <c r="F32" s="74" t="str">
        <f>IF(ISERROR(FIND($A$2,Lines!F32))=TRUE,"",Lines!F32)</f>
        <v/>
      </c>
      <c r="G32" s="74" t="str">
        <f>IF(ISERROR(FIND($A$2,Lines!G32))=TRUE,"",Lines!G32)</f>
        <v/>
      </c>
      <c r="H32" s="74" t="str">
        <f>IF(ISERROR(FIND($A$2,Lines!H32))=TRUE,"",Lines!H32)</f>
        <v/>
      </c>
      <c r="I32" s="74" t="str">
        <f>IF(ISERROR(FIND($A$2,Lines!I32))=TRUE,"",Lines!I32)</f>
        <v/>
      </c>
      <c r="J32" s="74" t="str">
        <f>IF(ISERROR(FIND($A$2,Lines!J32))=TRUE,"",Lines!J32)</f>
        <v/>
      </c>
      <c r="K32" s="74" t="str">
        <f>IF(ISERROR(FIND($A$2,Lines!K32))=TRUE,"",Lines!K32)</f>
        <v/>
      </c>
      <c r="L32" s="74" t="str">
        <f>IF(ISERROR(FIND($A$2,Lines!L32))=TRUE,"",Lines!L32)</f>
        <v/>
      </c>
      <c r="M32" s="74" t="str">
        <f>IF(ISERROR(FIND($A$2,Lines!M32))=TRUE,"",Lines!M32)</f>
        <v/>
      </c>
      <c r="N32" s="74" t="str">
        <f>IF(ISERROR(FIND($A$2,Lines!N32))=TRUE,"",Lines!N32)</f>
        <v/>
      </c>
      <c r="O32" s="74" t="str">
        <f>IF(ISERROR(FIND($A$2,Lines!O32))=TRUE,"",Lines!O32)</f>
        <v/>
      </c>
      <c r="P32" s="74" t="str">
        <f>IF(ISERROR(FIND($A$2,Lines!P32))=TRUE,"",Lines!P32)</f>
        <v/>
      </c>
      <c r="Q32" s="74" t="str">
        <f>IF(ISERROR(FIND($A$2,Lines!Q32))=TRUE,"",Lines!Q32)</f>
        <v/>
      </c>
      <c r="R32" s="74" t="str">
        <f>IF(ISERROR(FIND($A$2,Lines!R32))=TRUE,"",Lines!R32)</f>
        <v/>
      </c>
      <c r="S32" s="74" t="str">
        <f>IF(ISERROR(FIND($A$2,Lines!S32))=TRUE,"",Lines!S32)</f>
        <v/>
      </c>
      <c r="T32" s="74" t="str">
        <f>IF(ISERROR(FIND($A$2,Lines!T32))=TRUE,"",Lines!T32)</f>
        <v/>
      </c>
      <c r="U32" s="74" t="str">
        <f>IF(ISERROR(FIND($A$2,Lines!U32))=TRUE,"",Lines!U32)</f>
        <v/>
      </c>
      <c r="V32" s="74" t="str">
        <f>IF(ISERROR(FIND($A$2,Lines!V32))=TRUE,"",Lines!V32)</f>
        <v/>
      </c>
      <c r="W32" s="145" t="str">
        <f>IF(ISERROR(FIND($A$2,Lines!W32))=TRUE,"",Lines!W32)</f>
        <v/>
      </c>
      <c r="X32" s="158" t="str">
        <f>IF(ISERROR(FIND($A$2,Lines!X32))=TRUE,"",Lines!X32)</f>
        <v/>
      </c>
      <c r="Y32" s="162" t="str">
        <f>IF(ISERROR(FIND($A$2,Lines!Y32))=TRUE,"",Lines!Y32)</f>
        <v/>
      </c>
      <c r="Z32" s="162" t="str">
        <f>IF(ISERROR(FIND($A$2,Lines!Z32))=TRUE,"",Lines!Z32)</f>
        <v/>
      </c>
      <c r="AA32" s="162" t="str">
        <f>IF(ISERROR(FIND($A$2,Lines!AA32))=TRUE,"",Lines!AA32)</f>
        <v/>
      </c>
      <c r="AB32" s="162" t="str">
        <f>IF(ISERROR(FIND($A$2,Lines!AB32))=TRUE,"",Lines!AB32)</f>
        <v/>
      </c>
      <c r="AC32" s="162" t="str">
        <f>IF(ISERROR(FIND($A$2,Lines!AC32))=TRUE,"",Lines!AC32)</f>
        <v/>
      </c>
      <c r="AD32" s="156" t="str">
        <f>IF(ISERROR(FIND($A$2,Lines!AD32))=TRUE,"",Lines!AD32)</f>
        <v/>
      </c>
      <c r="AE32" s="74" t="str">
        <f>IF(ISERROR(FIND($A$2,Lines!AE32))=TRUE,"",Lines!AE32)</f>
        <v/>
      </c>
      <c r="AF32" s="74" t="str">
        <f>IF(ISERROR(FIND($A$2,Lines!AF32))=TRUE,"",Lines!AF32)</f>
        <v/>
      </c>
      <c r="AG32" s="74" t="str">
        <f>IF(ISERROR(FIND($A$2,Lines!AG32))=TRUE,"",Lines!AG32)</f>
        <v/>
      </c>
      <c r="AH32" s="74" t="str">
        <f>IF(ISERROR(FIND($A$2,Lines!AH32))=TRUE,"",Lines!AH32)</f>
        <v/>
      </c>
      <c r="AI32" s="74" t="str">
        <f>IF(ISERROR(FIND($A$2,Lines!AI32))=TRUE,"",Lines!AI32)</f>
        <v/>
      </c>
      <c r="AJ32" s="74" t="str">
        <f>IF(ISERROR(FIND($A$2,Lines!AJ32))=TRUE,"",Lines!AJ32)</f>
        <v/>
      </c>
      <c r="AK32" s="74" t="str">
        <f>IF(ISERROR(FIND($A$2,Lines!AK32))=TRUE,"",Lines!AK32)</f>
        <v/>
      </c>
      <c r="AL32" s="74" t="str">
        <f>IF(ISERROR(FIND($A$2,Lines!AL32))=TRUE,"",Lines!AL32)</f>
        <v/>
      </c>
      <c r="AM32" s="74" t="str">
        <f>IF(ISERROR(FIND($A$2,Lines!AM32))=TRUE,"",Lines!AM32)</f>
        <v/>
      </c>
      <c r="AN32" s="74" t="str">
        <f>IF(ISERROR(FIND($A$2,Lines!AN32))=TRUE,"",Lines!AN32)</f>
        <v/>
      </c>
      <c r="AO32" s="74" t="str">
        <f>IF(ISERROR(FIND($A$2,Lines!AO32))=TRUE,"",Lines!AO32)</f>
        <v/>
      </c>
      <c r="AP32" s="74" t="str">
        <f>IF(ISERROR(FIND($A$2,Lines!AP32))=TRUE,"",Lines!AP32)</f>
        <v/>
      </c>
      <c r="AQ32" s="74" t="str">
        <f>IF(ISERROR(FIND($A$2,Lines!AQ32))=TRUE,"",Lines!AQ32)</f>
        <v/>
      </c>
      <c r="AR32" s="74" t="str">
        <f>IF(ISERROR(FIND($A$2,Lines!AR32))=TRUE,"",Lines!AR32)</f>
        <v/>
      </c>
      <c r="AS32" s="74" t="str">
        <f>IF(ISERROR(FIND($A$2,Lines!AS32))=TRUE,"",Lines!AS32)</f>
        <v/>
      </c>
      <c r="AT32" s="30" t="str">
        <f>IF(ISERROR(FIND($A$2,Lines!AT32))=TRUE,"",Lines!AT32)</f>
        <v/>
      </c>
    </row>
    <row r="33" spans="1:46" ht="20.25" customHeight="1">
      <c r="A33" s="2" t="s">
        <v>81</v>
      </c>
      <c r="B33" s="30" t="str">
        <f>IF(ISERROR(FIND($A$2,Lines!B33))=TRUE,"",Lines!B33)</f>
        <v/>
      </c>
      <c r="C33" s="30" t="str">
        <f>IF(ISERROR(FIND($A$2,Lines!C33))=TRUE,"",Lines!C33)</f>
        <v/>
      </c>
      <c r="D33" s="30" t="str">
        <f>IF(ISERROR(FIND($A$2,Lines!D33))=TRUE,"",Lines!D33)</f>
        <v/>
      </c>
      <c r="E33" s="30" t="str">
        <f>IF(ISERROR(FIND($A$2,Lines!E33))=TRUE,"",Lines!E33)</f>
        <v/>
      </c>
      <c r="F33" s="74" t="str">
        <f>IF(ISERROR(FIND($A$2,Lines!F33))=TRUE,"",Lines!F33)</f>
        <v/>
      </c>
      <c r="G33" s="74" t="str">
        <f>IF(ISERROR(FIND($A$2,Lines!G33))=TRUE,"",Lines!G33)</f>
        <v/>
      </c>
      <c r="H33" s="74" t="str">
        <f>IF(ISERROR(FIND($A$2,Lines!H33))=TRUE,"",Lines!H33)</f>
        <v/>
      </c>
      <c r="I33" s="74" t="str">
        <f>IF(ISERROR(FIND($A$2,Lines!I33))=TRUE,"",Lines!I33)</f>
        <v/>
      </c>
      <c r="J33" s="74" t="str">
        <f>IF(ISERROR(FIND($A$2,Lines!J33))=TRUE,"",Lines!J33)</f>
        <v/>
      </c>
      <c r="K33" s="74" t="str">
        <f>IF(ISERROR(FIND($A$2,Lines!K33))=TRUE,"",Lines!K33)</f>
        <v/>
      </c>
      <c r="L33" s="74" t="str">
        <f>IF(ISERROR(FIND($A$2,Lines!L33))=TRUE,"",Lines!L33)</f>
        <v/>
      </c>
      <c r="M33" s="74" t="str">
        <f>IF(ISERROR(FIND($A$2,Lines!M33))=TRUE,"",Lines!M33)</f>
        <v/>
      </c>
      <c r="N33" s="74" t="str">
        <f>IF(ISERROR(FIND($A$2,Lines!N33))=TRUE,"",Lines!N33)</f>
        <v/>
      </c>
      <c r="O33" s="74" t="str">
        <f>IF(ISERROR(FIND($A$2,Lines!O33))=TRUE,"",Lines!O33)</f>
        <v/>
      </c>
      <c r="P33" s="74" t="str">
        <f>IF(ISERROR(FIND($A$2,Lines!P33))=TRUE,"",Lines!P33)</f>
        <v/>
      </c>
      <c r="Q33" s="74" t="str">
        <f>IF(ISERROR(FIND($A$2,Lines!Q33))=TRUE,"",Lines!Q33)</f>
        <v/>
      </c>
      <c r="R33" s="74" t="str">
        <f>IF(ISERROR(FIND($A$2,Lines!R33))=TRUE,"",Lines!R33)</f>
        <v/>
      </c>
      <c r="S33" s="74" t="str">
        <f>IF(ISERROR(FIND($A$2,Lines!S33))=TRUE,"",Lines!S33)</f>
        <v/>
      </c>
      <c r="T33" s="74" t="str">
        <f>IF(ISERROR(FIND($A$2,Lines!T33))=TRUE,"",Lines!T33)</f>
        <v/>
      </c>
      <c r="U33" s="74" t="str">
        <f>IF(ISERROR(FIND($A$2,Lines!U33))=TRUE,"",Lines!U33)</f>
        <v/>
      </c>
      <c r="V33" s="74" t="str">
        <f>IF(ISERROR(FIND($A$2,Lines!V33))=TRUE,"",Lines!V33)</f>
        <v/>
      </c>
      <c r="W33" s="145" t="str">
        <f>IF(ISERROR(FIND($A$2,Lines!W33))=TRUE,"",Lines!W33)</f>
        <v/>
      </c>
      <c r="X33" s="74" t="str">
        <f>IF(ISERROR(FIND($A$2,Lines!X33))=TRUE,"",Lines!X33)</f>
        <v/>
      </c>
      <c r="Y33" s="74" t="str">
        <f>IF(ISERROR(FIND($A$2,Lines!Y33))=TRUE,"",Lines!Y33)</f>
        <v/>
      </c>
      <c r="Z33" s="74" t="str">
        <f>IF(ISERROR(FIND($A$2,Lines!Z33))=TRUE,"",Lines!Z33)</f>
        <v/>
      </c>
      <c r="AA33" s="74" t="str">
        <f>IF(ISERROR(FIND($A$2,Lines!AA33))=TRUE,"",Lines!AA33)</f>
        <v/>
      </c>
      <c r="AB33" s="74" t="str">
        <f>IF(ISERROR(FIND($A$2,Lines!AB33))=TRUE,"",Lines!AB33)</f>
        <v/>
      </c>
      <c r="AC33" s="74" t="str">
        <f>IF(ISERROR(FIND($A$2,Lines!AC33))=TRUE,"",Lines!AC33)</f>
        <v/>
      </c>
      <c r="AD33" s="74" t="str">
        <f>IF(ISERROR(FIND($A$2,Lines!AD33))=TRUE,"",Lines!AD33)</f>
        <v/>
      </c>
      <c r="AE33" s="146" t="str">
        <f>IF(ISERROR(FIND($A$2,Lines!AE33))=TRUE,"",Lines!AE33)</f>
        <v/>
      </c>
      <c r="AF33" s="163" t="str">
        <f>IF(ISERROR(FIND($A$2,Lines!AF33))=TRUE,"",Lines!AF33)</f>
        <v/>
      </c>
      <c r="AG33" s="163" t="str">
        <f>IF(ISERROR(FIND($A$2,Lines!AG33))=TRUE,"",Lines!AG33)</f>
        <v/>
      </c>
      <c r="AH33" s="163" t="str">
        <f>IF(ISERROR(FIND($A$2,Lines!AH33))=TRUE,"",Lines!AH33)</f>
        <v/>
      </c>
      <c r="AI33" s="163" t="str">
        <f>IF(ISERROR(FIND($A$2,Lines!AI33))=TRUE,"",Lines!AI33)</f>
        <v/>
      </c>
      <c r="AJ33" s="164" t="str">
        <f>IF(ISERROR(FIND($A$2,Lines!AJ33))=TRUE,"",Lines!AJ33)</f>
        <v/>
      </c>
      <c r="AK33" s="74" t="str">
        <f>IF(ISERROR(FIND($A$2,Lines!AK33))=TRUE,"",Lines!AK33)</f>
        <v>±500(江城直流3000MW)</v>
      </c>
      <c r="AL33" s="74" t="str">
        <f>IF(ISERROR(FIND($A$2,Lines!AL33))=TRUE,"",Lines!AL33)</f>
        <v/>
      </c>
      <c r="AM33" s="74" t="str">
        <f>IF(ISERROR(FIND($A$2,Lines!AM33))=TRUE,"",Lines!AM33)</f>
        <v/>
      </c>
      <c r="AN33" s="74" t="str">
        <f>IF(ISERROR(FIND($A$2,Lines!AN33))=TRUE,"",Lines!AN33)</f>
        <v/>
      </c>
      <c r="AO33" s="74" t="str">
        <f>IF(ISERROR(FIND($A$2,Lines!AO33))=TRUE,"",Lines!AO33)</f>
        <v/>
      </c>
      <c r="AP33" s="74" t="str">
        <f>IF(ISERROR(FIND($A$2,Lines!AP33))=TRUE,"",Lines!AP33)</f>
        <v>2±500+2±500（3000MW+3000MW）</v>
      </c>
      <c r="AQ33" s="74" t="str">
        <f>IF(ISERROR(FIND($A$2,Lines!AQ33))=TRUE,"",Lines!AQ33)</f>
        <v>1*±500</v>
      </c>
      <c r="AR33" s="74" t="str">
        <f>IF(ISERROR(FIND($A$2,Lines!AR33))=TRUE,"",Lines!AR33)</f>
        <v/>
      </c>
      <c r="AS33" s="74" t="str">
        <f>IF(ISERROR(FIND($A$2,Lines!AS33))=TRUE,"",Lines!AS33)</f>
        <v/>
      </c>
      <c r="AT33" s="30" t="str">
        <f>IF(ISERROR(FIND($A$2,Lines!AT33))=TRUE,"",Lines!AT33)</f>
        <v/>
      </c>
    </row>
    <row r="34" spans="1:46" ht="20.25" customHeight="1">
      <c r="A34" s="2" t="s">
        <v>82</v>
      </c>
      <c r="B34" s="30" t="str">
        <f>IF(ISERROR(FIND($A$2,Lines!B34))=TRUE,"",Lines!B34)</f>
        <v/>
      </c>
      <c r="C34" s="30" t="str">
        <f>IF(ISERROR(FIND($A$2,Lines!C34))=TRUE,"",Lines!C34)</f>
        <v/>
      </c>
      <c r="D34" s="30" t="str">
        <f>IF(ISERROR(FIND($A$2,Lines!D34))=TRUE,"",Lines!D34)</f>
        <v/>
      </c>
      <c r="E34" s="30" t="str">
        <f>IF(ISERROR(FIND($A$2,Lines!E34))=TRUE,"",Lines!E34)</f>
        <v/>
      </c>
      <c r="F34" s="74" t="str">
        <f>IF(ISERROR(FIND($A$2,Lines!F34))=TRUE,"",Lines!F34)</f>
        <v/>
      </c>
      <c r="G34" s="74" t="str">
        <f>IF(ISERROR(FIND($A$2,Lines!G34))=TRUE,"",Lines!G34)</f>
        <v/>
      </c>
      <c r="H34" s="74" t="str">
        <f>IF(ISERROR(FIND($A$2,Lines!H34))=TRUE,"",Lines!H34)</f>
        <v/>
      </c>
      <c r="I34" s="74" t="str">
        <f>IF(ISERROR(FIND($A$2,Lines!I34))=TRUE,"",Lines!I34)</f>
        <v/>
      </c>
      <c r="J34" s="74" t="str">
        <f>IF(ISERROR(FIND($A$2,Lines!J34))=TRUE,"",Lines!J34)</f>
        <v/>
      </c>
      <c r="K34" s="74" t="str">
        <f>IF(ISERROR(FIND($A$2,Lines!K34))=TRUE,"",Lines!K34)</f>
        <v/>
      </c>
      <c r="L34" s="74" t="str">
        <f>IF(ISERROR(FIND($A$2,Lines!L34))=TRUE,"",Lines!L34)</f>
        <v/>
      </c>
      <c r="M34" s="74" t="str">
        <f>IF(ISERROR(FIND($A$2,Lines!M34))=TRUE,"",Lines!M34)</f>
        <v/>
      </c>
      <c r="N34" s="74" t="str">
        <f>IF(ISERROR(FIND($A$2,Lines!N34))=TRUE,"",Lines!N34)</f>
        <v/>
      </c>
      <c r="O34" s="74" t="str">
        <f>IF(ISERROR(FIND($A$2,Lines!O34))=TRUE,"",Lines!O34)</f>
        <v/>
      </c>
      <c r="P34" s="74" t="str">
        <f>IF(ISERROR(FIND($A$2,Lines!P34))=TRUE,"",Lines!P34)</f>
        <v/>
      </c>
      <c r="Q34" s="74" t="str">
        <f>IF(ISERROR(FIND($A$2,Lines!Q34))=TRUE,"",Lines!Q34)</f>
        <v/>
      </c>
      <c r="R34" s="74" t="str">
        <f>IF(ISERROR(FIND($A$2,Lines!R34))=TRUE,"",Lines!R34)</f>
        <v/>
      </c>
      <c r="S34" s="74" t="str">
        <f>IF(ISERROR(FIND($A$2,Lines!S34))=TRUE,"",Lines!S34)</f>
        <v/>
      </c>
      <c r="T34" s="74" t="str">
        <f>IF(ISERROR(FIND($A$2,Lines!T34))=TRUE,"",Lines!T34)</f>
        <v/>
      </c>
      <c r="U34" s="74" t="str">
        <f>IF(ISERROR(FIND($A$2,Lines!U34))=TRUE,"",Lines!U34)</f>
        <v/>
      </c>
      <c r="V34" s="74" t="str">
        <f>IF(ISERROR(FIND($A$2,Lines!V34))=TRUE,"",Lines!V34)</f>
        <v/>
      </c>
      <c r="W34" s="145" t="str">
        <f>IF(ISERROR(FIND($A$2,Lines!W34))=TRUE,"",Lines!W34)</f>
        <v/>
      </c>
      <c r="X34" s="74" t="str">
        <f>IF(ISERROR(FIND($A$2,Lines!X34))=TRUE,"",Lines!X34)</f>
        <v/>
      </c>
      <c r="Y34" s="74" t="str">
        <f>IF(ISERROR(FIND($A$2,Lines!Y34))=TRUE,"",Lines!Y34)</f>
        <v/>
      </c>
      <c r="Z34" s="74" t="str">
        <f>IF(ISERROR(FIND($A$2,Lines!Z34))=TRUE,"",Lines!Z34)</f>
        <v/>
      </c>
      <c r="AA34" s="74" t="str">
        <f>IF(ISERROR(FIND($A$2,Lines!AA34))=TRUE,"",Lines!AA34)</f>
        <v/>
      </c>
      <c r="AB34" s="74" t="str">
        <f>IF(ISERROR(FIND($A$2,Lines!AB34))=TRUE,"",Lines!AB34)</f>
        <v/>
      </c>
      <c r="AC34" s="74" t="str">
        <f>IF(ISERROR(FIND($A$2,Lines!AC34))=TRUE,"",Lines!AC34)</f>
        <v/>
      </c>
      <c r="AD34" s="74" t="str">
        <f>IF(ISERROR(FIND($A$2,Lines!AD34))=TRUE,"",Lines!AD34)</f>
        <v/>
      </c>
      <c r="AE34" s="165" t="str">
        <f>IF(ISERROR(FIND($A$2,Lines!AE34))=TRUE,"",Lines!AE34)</f>
        <v/>
      </c>
      <c r="AF34" s="150" t="str">
        <f>IF(ISERROR(FIND($A$2,Lines!AF34))=TRUE,"",Lines!AF34)</f>
        <v/>
      </c>
      <c r="AG34" s="166" t="str">
        <f>IF(ISERROR(FIND($A$2,Lines!AG34))=TRUE,"",Lines!AG34)</f>
        <v/>
      </c>
      <c r="AH34" s="166" t="str">
        <f>IF(ISERROR(FIND($A$2,Lines!AH34))=TRUE,"",Lines!AH34)</f>
        <v/>
      </c>
      <c r="AI34" s="166" t="str">
        <f>IF(ISERROR(FIND($A$2,Lines!AI34))=TRUE,"",Lines!AI34)</f>
        <v/>
      </c>
      <c r="AJ34" s="167" t="str">
        <f>IF(ISERROR(FIND($A$2,Lines!AJ34))=TRUE,"",Lines!AJ34)</f>
        <v/>
      </c>
      <c r="AK34" s="74" t="str">
        <f>IF(ISERROR(FIND($A$2,Lines!AK34))=TRUE,"",Lines!AK34)</f>
        <v>500AC*2, ±500鲤鱼江送南方电网（1900MW）</v>
      </c>
      <c r="AL34" s="74" t="str">
        <f>IF(ISERROR(FIND($A$2,Lines!AL34))=TRUE,"",Lines!AL34)</f>
        <v/>
      </c>
      <c r="AM34" s="74" t="str">
        <f>IF(ISERROR(FIND($A$2,Lines!AM34))=TRUE,"",Lines!AM34)</f>
        <v/>
      </c>
      <c r="AN34" s="74" t="str">
        <f>IF(ISERROR(FIND($A$2,Lines!AN34))=TRUE,"",Lines!AN34)</f>
        <v/>
      </c>
      <c r="AO34" s="74" t="str">
        <f>IF(ISERROR(FIND($A$2,Lines!AO34))=TRUE,"",Lines!AO34)</f>
        <v/>
      </c>
      <c r="AP34" s="74" t="str">
        <f>IF(ISERROR(FIND($A$2,Lines!AP34))=TRUE,"",Lines!AP34)</f>
        <v/>
      </c>
      <c r="AQ34" s="74" t="str">
        <f>IF(ISERROR(FIND($A$2,Lines!AQ34))=TRUE,"",Lines!AQ34)</f>
        <v/>
      </c>
      <c r="AR34" s="74" t="str">
        <f>IF(ISERROR(FIND($A$2,Lines!AR34))=TRUE,"",Lines!AR34)</f>
        <v/>
      </c>
      <c r="AS34" s="74" t="str">
        <f>IF(ISERROR(FIND($A$2,Lines!AS34))=TRUE,"",Lines!AS34)</f>
        <v/>
      </c>
      <c r="AT34" s="30" t="str">
        <f>IF(ISERROR(FIND($A$2,Lines!AT34))=TRUE,"",Lines!AT34)</f>
        <v/>
      </c>
    </row>
    <row r="35" spans="1:46" ht="20.25" customHeight="1">
      <c r="A35" s="2" t="s">
        <v>83</v>
      </c>
      <c r="B35" s="30" t="str">
        <f>IF(ISERROR(FIND($A$2,Lines!B35))=TRUE,"",Lines!B35)</f>
        <v/>
      </c>
      <c r="C35" s="30" t="str">
        <f>IF(ISERROR(FIND($A$2,Lines!C35))=TRUE,"",Lines!C35)</f>
        <v/>
      </c>
      <c r="D35" s="30" t="str">
        <f>IF(ISERROR(FIND($A$2,Lines!D35))=TRUE,"",Lines!D35)</f>
        <v/>
      </c>
      <c r="E35" s="30" t="str">
        <f>IF(ISERROR(FIND($A$2,Lines!E35))=TRUE,"",Lines!E35)</f>
        <v/>
      </c>
      <c r="F35" s="74" t="str">
        <f>IF(ISERROR(FIND($A$2,Lines!F35))=TRUE,"",Lines!F35)</f>
        <v/>
      </c>
      <c r="G35" s="74" t="str">
        <f>IF(ISERROR(FIND($A$2,Lines!G35))=TRUE,"",Lines!G35)</f>
        <v/>
      </c>
      <c r="H35" s="74" t="str">
        <f>IF(ISERROR(FIND($A$2,Lines!H35))=TRUE,"",Lines!H35)</f>
        <v/>
      </c>
      <c r="I35" s="74" t="str">
        <f>IF(ISERROR(FIND($A$2,Lines!I35))=TRUE,"",Lines!I35)</f>
        <v/>
      </c>
      <c r="J35" s="74" t="str">
        <f>IF(ISERROR(FIND($A$2,Lines!J35))=TRUE,"",Lines!J35)</f>
        <v/>
      </c>
      <c r="K35" s="74" t="str">
        <f>IF(ISERROR(FIND($A$2,Lines!K35))=TRUE,"",Lines!K35)</f>
        <v/>
      </c>
      <c r="L35" s="74" t="str">
        <f>IF(ISERROR(FIND($A$2,Lines!L35))=TRUE,"",Lines!L35)</f>
        <v/>
      </c>
      <c r="M35" s="74" t="str">
        <f>IF(ISERROR(FIND($A$2,Lines!M35))=TRUE,"",Lines!M35)</f>
        <v/>
      </c>
      <c r="N35" s="74" t="str">
        <f>IF(ISERROR(FIND($A$2,Lines!N35))=TRUE,"",Lines!N35)</f>
        <v/>
      </c>
      <c r="O35" s="74" t="str">
        <f>IF(ISERROR(FIND($A$2,Lines!O35))=TRUE,"",Lines!O35)</f>
        <v/>
      </c>
      <c r="P35" s="74" t="str">
        <f>IF(ISERROR(FIND($A$2,Lines!P35))=TRUE,"",Lines!P35)</f>
        <v/>
      </c>
      <c r="Q35" s="74" t="str">
        <f>IF(ISERROR(FIND($A$2,Lines!Q35))=TRUE,"",Lines!Q35)</f>
        <v/>
      </c>
      <c r="R35" s="74" t="str">
        <f>IF(ISERROR(FIND($A$2,Lines!R35))=TRUE,"",Lines!R35)</f>
        <v/>
      </c>
      <c r="S35" s="74" t="str">
        <f>IF(ISERROR(FIND($A$2,Lines!S35))=TRUE,"",Lines!S35)</f>
        <v/>
      </c>
      <c r="T35" s="74" t="str">
        <f>IF(ISERROR(FIND($A$2,Lines!T35))=TRUE,"",Lines!T35)</f>
        <v/>
      </c>
      <c r="U35" s="74" t="str">
        <f>IF(ISERROR(FIND($A$2,Lines!U35))=TRUE,"",Lines!U35)</f>
        <v/>
      </c>
      <c r="V35" s="74" t="str">
        <f>IF(ISERROR(FIND($A$2,Lines!V35))=TRUE,"",Lines!V35)</f>
        <v/>
      </c>
      <c r="W35" s="145" t="str">
        <f>IF(ISERROR(FIND($A$2,Lines!W35))=TRUE,"",Lines!W35)</f>
        <v/>
      </c>
      <c r="X35" s="74" t="str">
        <f>IF(ISERROR(FIND($A$2,Lines!X35))=TRUE,"",Lines!X35)</f>
        <v/>
      </c>
      <c r="Y35" s="74" t="str">
        <f>IF(ISERROR(FIND($A$2,Lines!Y35))=TRUE,"",Lines!Y35)</f>
        <v/>
      </c>
      <c r="Z35" s="74" t="str">
        <f>IF(ISERROR(FIND($A$2,Lines!Z35))=TRUE,"",Lines!Z35)</f>
        <v/>
      </c>
      <c r="AA35" s="74" t="str">
        <f>IF(ISERROR(FIND($A$2,Lines!AA35))=TRUE,"",Lines!AA35)</f>
        <v/>
      </c>
      <c r="AB35" s="74" t="str">
        <f>IF(ISERROR(FIND($A$2,Lines!AB35))=TRUE,"",Lines!AB35)</f>
        <v/>
      </c>
      <c r="AC35" s="74" t="str">
        <f>IF(ISERROR(FIND($A$2,Lines!AC35))=TRUE,"",Lines!AC35)</f>
        <v/>
      </c>
      <c r="AD35" s="74" t="str">
        <f>IF(ISERROR(FIND($A$2,Lines!AD35))=TRUE,"",Lines!AD35)</f>
        <v/>
      </c>
      <c r="AE35" s="165" t="str">
        <f>IF(ISERROR(FIND($A$2,Lines!AE35))=TRUE,"",Lines!AE35)</f>
        <v/>
      </c>
      <c r="AF35" s="166" t="str">
        <f>IF(ISERROR(FIND($A$2,Lines!AF35))=TRUE,"",Lines!AF35)</f>
        <v/>
      </c>
      <c r="AG35" s="150" t="str">
        <f>IF(ISERROR(FIND($A$2,Lines!AG35))=TRUE,"",Lines!AG35)</f>
        <v/>
      </c>
      <c r="AH35" s="166" t="str">
        <f>IF(ISERROR(FIND($A$2,Lines!AH35))=TRUE,"",Lines!AH35)</f>
        <v/>
      </c>
      <c r="AI35" s="166" t="str">
        <f>IF(ISERROR(FIND($A$2,Lines!AI35))=TRUE,"",Lines!AI35)</f>
        <v/>
      </c>
      <c r="AJ35" s="167" t="str">
        <f>IF(ISERROR(FIND($A$2,Lines!AJ35))=TRUE,"",Lines!AJ35)</f>
        <v/>
      </c>
      <c r="AK35" s="74" t="str">
        <f>IF(ISERROR(FIND($A$2,Lines!AK35))=TRUE,"",Lines!AK35)</f>
        <v/>
      </c>
      <c r="AL35" s="74" t="str">
        <f>IF(ISERROR(FIND($A$2,Lines!AL35))=TRUE,"",Lines!AL35)</f>
        <v/>
      </c>
      <c r="AM35" s="74" t="str">
        <f>IF(ISERROR(FIND($A$2,Lines!AM35))=TRUE,"",Lines!AM35)</f>
        <v/>
      </c>
      <c r="AN35" s="74" t="str">
        <f>IF(ISERROR(FIND($A$2,Lines!AN35))=TRUE,"",Lines!AN35)</f>
        <v/>
      </c>
      <c r="AO35" s="74" t="str">
        <f>IF(ISERROR(FIND($A$2,Lines!AO35))=TRUE,"",Lines!AO35)</f>
        <v/>
      </c>
      <c r="AP35" s="74" t="str">
        <f>IF(ISERROR(FIND($A$2,Lines!AP35))=TRUE,"",Lines!AP35)</f>
        <v/>
      </c>
      <c r="AQ35" s="74" t="str">
        <f>IF(ISERROR(FIND($A$2,Lines!AQ35))=TRUE,"",Lines!AQ35)</f>
        <v/>
      </c>
      <c r="AR35" s="74" t="str">
        <f>IF(ISERROR(FIND($A$2,Lines!AR35))=TRUE,"",Lines!AR35)</f>
        <v/>
      </c>
      <c r="AS35" s="74" t="str">
        <f>IF(ISERROR(FIND($A$2,Lines!AS35))=TRUE,"",Lines!AS35)</f>
        <v/>
      </c>
      <c r="AT35" s="30" t="str">
        <f>IF(ISERROR(FIND($A$2,Lines!AT35))=TRUE,"",Lines!AT35)</f>
        <v/>
      </c>
    </row>
    <row r="36" spans="1:46" ht="20.25" customHeight="1">
      <c r="A36" s="2" t="s">
        <v>84</v>
      </c>
      <c r="B36" s="30" t="str">
        <f>IF(ISERROR(FIND($A$2,Lines!B36))=TRUE,"",Lines!B36)</f>
        <v/>
      </c>
      <c r="C36" s="30" t="str">
        <f>IF(ISERROR(FIND($A$2,Lines!C36))=TRUE,"",Lines!C36)</f>
        <v/>
      </c>
      <c r="D36" s="30" t="str">
        <f>IF(ISERROR(FIND($A$2,Lines!D36))=TRUE,"",Lines!D36)</f>
        <v/>
      </c>
      <c r="E36" s="30" t="str">
        <f>IF(ISERROR(FIND($A$2,Lines!E36))=TRUE,"",Lines!E36)</f>
        <v/>
      </c>
      <c r="F36" s="74" t="str">
        <f>IF(ISERROR(FIND($A$2,Lines!F36))=TRUE,"",Lines!F36)</f>
        <v/>
      </c>
      <c r="G36" s="74" t="str">
        <f>IF(ISERROR(FIND($A$2,Lines!G36))=TRUE,"",Lines!G36)</f>
        <v/>
      </c>
      <c r="H36" s="74" t="str">
        <f>IF(ISERROR(FIND($A$2,Lines!H36))=TRUE,"",Lines!H36)</f>
        <v/>
      </c>
      <c r="I36" s="74" t="str">
        <f>IF(ISERROR(FIND($A$2,Lines!I36))=TRUE,"",Lines!I36)</f>
        <v/>
      </c>
      <c r="J36" s="74" t="str">
        <f>IF(ISERROR(FIND($A$2,Lines!J36))=TRUE,"",Lines!J36)</f>
        <v/>
      </c>
      <c r="K36" s="74" t="str">
        <f>IF(ISERROR(FIND($A$2,Lines!K36))=TRUE,"",Lines!K36)</f>
        <v/>
      </c>
      <c r="L36" s="74" t="str">
        <f>IF(ISERROR(FIND($A$2,Lines!L36))=TRUE,"",Lines!L36)</f>
        <v/>
      </c>
      <c r="M36" s="74" t="str">
        <f>IF(ISERROR(FIND($A$2,Lines!M36))=TRUE,"",Lines!M36)</f>
        <v/>
      </c>
      <c r="N36" s="74" t="str">
        <f>IF(ISERROR(FIND($A$2,Lines!N36))=TRUE,"",Lines!N36)</f>
        <v/>
      </c>
      <c r="O36" s="74" t="str">
        <f>IF(ISERROR(FIND($A$2,Lines!O36))=TRUE,"",Lines!O36)</f>
        <v/>
      </c>
      <c r="P36" s="74" t="str">
        <f>IF(ISERROR(FIND($A$2,Lines!P36))=TRUE,"",Lines!P36)</f>
        <v/>
      </c>
      <c r="Q36" s="74" t="str">
        <f>IF(ISERROR(FIND($A$2,Lines!Q36))=TRUE,"",Lines!Q36)</f>
        <v/>
      </c>
      <c r="R36" s="74" t="str">
        <f>IF(ISERROR(FIND($A$2,Lines!R36))=TRUE,"",Lines!R36)</f>
        <v/>
      </c>
      <c r="S36" s="74" t="str">
        <f>IF(ISERROR(FIND($A$2,Lines!S36))=TRUE,"",Lines!S36)</f>
        <v/>
      </c>
      <c r="T36" s="74" t="str">
        <f>IF(ISERROR(FIND($A$2,Lines!T36))=TRUE,"",Lines!T36)</f>
        <v/>
      </c>
      <c r="U36" s="74" t="str">
        <f>IF(ISERROR(FIND($A$2,Lines!U36))=TRUE,"",Lines!U36)</f>
        <v/>
      </c>
      <c r="V36" s="74" t="str">
        <f>IF(ISERROR(FIND($A$2,Lines!V36))=TRUE,"",Lines!V36)</f>
        <v/>
      </c>
      <c r="W36" s="145" t="str">
        <f>IF(ISERROR(FIND($A$2,Lines!W36))=TRUE,"",Lines!W36)</f>
        <v/>
      </c>
      <c r="X36" s="74" t="str">
        <f>IF(ISERROR(FIND($A$2,Lines!X36))=TRUE,"",Lines!X36)</f>
        <v/>
      </c>
      <c r="Y36" s="74" t="str">
        <f>IF(ISERROR(FIND($A$2,Lines!Y36))=TRUE,"",Lines!Y36)</f>
        <v/>
      </c>
      <c r="Z36" s="74" t="str">
        <f>IF(ISERROR(FIND($A$2,Lines!Z36))=TRUE,"",Lines!Z36)</f>
        <v/>
      </c>
      <c r="AA36" s="74" t="str">
        <f>IF(ISERROR(FIND($A$2,Lines!AA36))=TRUE,"",Lines!AA36)</f>
        <v/>
      </c>
      <c r="AB36" s="74" t="str">
        <f>IF(ISERROR(FIND($A$2,Lines!AB36))=TRUE,"",Lines!AB36)</f>
        <v/>
      </c>
      <c r="AC36" s="74" t="str">
        <f>IF(ISERROR(FIND($A$2,Lines!AC36))=TRUE,"",Lines!AC36)</f>
        <v/>
      </c>
      <c r="AD36" s="74" t="str">
        <f>IF(ISERROR(FIND($A$2,Lines!AD36))=TRUE,"",Lines!AD36)</f>
        <v/>
      </c>
      <c r="AE36" s="165" t="str">
        <f>IF(ISERROR(FIND($A$2,Lines!AE36))=TRUE,"",Lines!AE36)</f>
        <v/>
      </c>
      <c r="AF36" s="166" t="str">
        <f>IF(ISERROR(FIND($A$2,Lines!AF36))=TRUE,"",Lines!AF36)</f>
        <v/>
      </c>
      <c r="AG36" s="166" t="str">
        <f>IF(ISERROR(FIND($A$2,Lines!AG36))=TRUE,"",Lines!AG36)</f>
        <v/>
      </c>
      <c r="AH36" s="150" t="str">
        <f>IF(ISERROR(FIND($A$2,Lines!AH36))=TRUE,"",Lines!AH36)</f>
        <v/>
      </c>
      <c r="AI36" s="166" t="str">
        <f>IF(ISERROR(FIND($A$2,Lines!AI36))=TRUE,"",Lines!AI36)</f>
        <v/>
      </c>
      <c r="AJ36" s="167" t="str">
        <f>IF(ISERROR(FIND($A$2,Lines!AJ36))=TRUE,"",Lines!AJ36)</f>
        <v/>
      </c>
      <c r="AK36" s="74" t="str">
        <f>IF(ISERROR(FIND($A$2,Lines!AK36))=TRUE,"",Lines!AK36)</f>
        <v/>
      </c>
      <c r="AL36" s="74" t="str">
        <f>IF(ISERROR(FIND($A$2,Lines!AL36))=TRUE,"",Lines!AL36)</f>
        <v/>
      </c>
      <c r="AM36" s="74" t="str">
        <f>IF(ISERROR(FIND($A$2,Lines!AM36))=TRUE,"",Lines!AM36)</f>
        <v/>
      </c>
      <c r="AN36" s="74" t="str">
        <f>IF(ISERROR(FIND($A$2,Lines!AN36))=TRUE,"",Lines!AN36)</f>
        <v/>
      </c>
      <c r="AO36" s="74" t="str">
        <f>IF(ISERROR(FIND($A$2,Lines!AO36))=TRUE,"",Lines!AO36)</f>
        <v/>
      </c>
      <c r="AP36" s="74" t="str">
        <f>IF(ISERROR(FIND($A$2,Lines!AP36))=TRUE,"",Lines!AP36)</f>
        <v/>
      </c>
      <c r="AQ36" s="74" t="str">
        <f>IF(ISERROR(FIND($A$2,Lines!AQ36))=TRUE,"",Lines!AQ36)</f>
        <v/>
      </c>
      <c r="AR36" s="74" t="str">
        <f>IF(ISERROR(FIND($A$2,Lines!AR36))=TRUE,"",Lines!AR36)</f>
        <v/>
      </c>
      <c r="AS36" s="74" t="str">
        <f>IF(ISERROR(FIND($A$2,Lines!AS36))=TRUE,"",Lines!AS36)</f>
        <v/>
      </c>
      <c r="AT36" s="30" t="str">
        <f>IF(ISERROR(FIND($A$2,Lines!AT36))=TRUE,"",Lines!AT36)</f>
        <v/>
      </c>
    </row>
    <row r="37" spans="1:46" ht="20.25" customHeight="1">
      <c r="A37" s="2" t="s">
        <v>85</v>
      </c>
      <c r="B37" s="30" t="str">
        <f>IF(ISERROR(FIND($A$2,Lines!B37))=TRUE,"",Lines!B37)</f>
        <v/>
      </c>
      <c r="C37" s="30" t="str">
        <f>IF(ISERROR(FIND($A$2,Lines!C37))=TRUE,"",Lines!C37)</f>
        <v/>
      </c>
      <c r="D37" s="30" t="str">
        <f>IF(ISERROR(FIND($A$2,Lines!D37))=TRUE,"",Lines!D37)</f>
        <v/>
      </c>
      <c r="E37" s="30" t="str">
        <f>IF(ISERROR(FIND($A$2,Lines!E37))=TRUE,"",Lines!E37)</f>
        <v/>
      </c>
      <c r="F37" s="74" t="str">
        <f>IF(ISERROR(FIND($A$2,Lines!F37))=TRUE,"",Lines!F37)</f>
        <v/>
      </c>
      <c r="G37" s="74" t="str">
        <f>IF(ISERROR(FIND($A$2,Lines!G37))=TRUE,"",Lines!G37)</f>
        <v/>
      </c>
      <c r="H37" s="74" t="str">
        <f>IF(ISERROR(FIND($A$2,Lines!H37))=TRUE,"",Lines!H37)</f>
        <v/>
      </c>
      <c r="I37" s="74" t="str">
        <f>IF(ISERROR(FIND($A$2,Lines!I37))=TRUE,"",Lines!I37)</f>
        <v/>
      </c>
      <c r="J37" s="74" t="str">
        <f>IF(ISERROR(FIND($A$2,Lines!J37))=TRUE,"",Lines!J37)</f>
        <v/>
      </c>
      <c r="K37" s="74" t="str">
        <f>IF(ISERROR(FIND($A$2,Lines!K37))=TRUE,"",Lines!K37)</f>
        <v/>
      </c>
      <c r="L37" s="74" t="str">
        <f>IF(ISERROR(FIND($A$2,Lines!L37))=TRUE,"",Lines!L37)</f>
        <v/>
      </c>
      <c r="M37" s="74" t="str">
        <f>IF(ISERROR(FIND($A$2,Lines!M37))=TRUE,"",Lines!M37)</f>
        <v/>
      </c>
      <c r="N37" s="74" t="str">
        <f>IF(ISERROR(FIND($A$2,Lines!N37))=TRUE,"",Lines!N37)</f>
        <v/>
      </c>
      <c r="O37" s="74" t="str">
        <f>IF(ISERROR(FIND($A$2,Lines!O37))=TRUE,"",Lines!O37)</f>
        <v/>
      </c>
      <c r="P37" s="74" t="str">
        <f>IF(ISERROR(FIND($A$2,Lines!P37))=TRUE,"",Lines!P37)</f>
        <v/>
      </c>
      <c r="Q37" s="74" t="str">
        <f>IF(ISERROR(FIND($A$2,Lines!Q37))=TRUE,"",Lines!Q37)</f>
        <v/>
      </c>
      <c r="R37" s="74" t="str">
        <f>IF(ISERROR(FIND($A$2,Lines!R37))=TRUE,"",Lines!R37)</f>
        <v/>
      </c>
      <c r="S37" s="74" t="str">
        <f>IF(ISERROR(FIND($A$2,Lines!S37))=TRUE,"",Lines!S37)</f>
        <v/>
      </c>
      <c r="T37" s="74" t="str">
        <f>IF(ISERROR(FIND($A$2,Lines!T37))=TRUE,"",Lines!T37)</f>
        <v/>
      </c>
      <c r="U37" s="74" t="str">
        <f>IF(ISERROR(FIND($A$2,Lines!U37))=TRUE,"",Lines!U37)</f>
        <v/>
      </c>
      <c r="V37" s="74" t="str">
        <f>IF(ISERROR(FIND($A$2,Lines!V37))=TRUE,"",Lines!V37)</f>
        <v/>
      </c>
      <c r="W37" s="145" t="str">
        <f>IF(ISERROR(FIND($A$2,Lines!W37))=TRUE,"",Lines!W37)</f>
        <v/>
      </c>
      <c r="X37" s="74" t="str">
        <f>IF(ISERROR(FIND($A$2,Lines!X37))=TRUE,"",Lines!X37)</f>
        <v/>
      </c>
      <c r="Y37" s="74" t="str">
        <f>IF(ISERROR(FIND($A$2,Lines!Y37))=TRUE,"",Lines!Y37)</f>
        <v/>
      </c>
      <c r="Z37" s="74" t="str">
        <f>IF(ISERROR(FIND($A$2,Lines!Z37))=TRUE,"",Lines!Z37)</f>
        <v/>
      </c>
      <c r="AA37" s="74" t="str">
        <f>IF(ISERROR(FIND($A$2,Lines!AA37))=TRUE,"",Lines!AA37)</f>
        <v/>
      </c>
      <c r="AB37" s="74" t="str">
        <f>IF(ISERROR(FIND($A$2,Lines!AB37))=TRUE,"",Lines!AB37)</f>
        <v/>
      </c>
      <c r="AC37" s="74" t="str">
        <f>IF(ISERROR(FIND($A$2,Lines!AC37))=TRUE,"",Lines!AC37)</f>
        <v/>
      </c>
      <c r="AD37" s="74" t="str">
        <f>IF(ISERROR(FIND($A$2,Lines!AD37))=TRUE,"",Lines!AD37)</f>
        <v/>
      </c>
      <c r="AE37" s="165" t="str">
        <f>IF(ISERROR(FIND($A$2,Lines!AE37))=TRUE,"",Lines!AE37)</f>
        <v/>
      </c>
      <c r="AF37" s="166" t="str">
        <f>IF(ISERROR(FIND($A$2,Lines!AF37))=TRUE,"",Lines!AF37)</f>
        <v/>
      </c>
      <c r="AG37" s="166" t="str">
        <f>IF(ISERROR(FIND($A$2,Lines!AG37))=TRUE,"",Lines!AG37)</f>
        <v/>
      </c>
      <c r="AH37" s="166" t="str">
        <f>IF(ISERROR(FIND($A$2,Lines!AH37))=TRUE,"",Lines!AH37)</f>
        <v/>
      </c>
      <c r="AI37" s="150" t="str">
        <f>IF(ISERROR(FIND($A$2,Lines!AI37))=TRUE,"",Lines!AI37)</f>
        <v/>
      </c>
      <c r="AJ37" s="167" t="str">
        <f>IF(ISERROR(FIND($A$2,Lines!AJ37))=TRUE,"",Lines!AJ37)</f>
        <v/>
      </c>
      <c r="AK37" s="74" t="str">
        <f>IF(ISERROR(FIND($A$2,Lines!AK37))=TRUE,"",Lines!AK37)</f>
        <v/>
      </c>
      <c r="AL37" s="74" t="str">
        <f>IF(ISERROR(FIND($A$2,Lines!AL37))=TRUE,"",Lines!AL37)</f>
        <v/>
      </c>
      <c r="AM37" s="74" t="str">
        <f>IF(ISERROR(FIND($A$2,Lines!AM37))=TRUE,"",Lines!AM37)</f>
        <v/>
      </c>
      <c r="AN37" s="74" t="str">
        <f>IF(ISERROR(FIND($A$2,Lines!AN37))=TRUE,"",Lines!AN37)</f>
        <v/>
      </c>
      <c r="AO37" s="74" t="str">
        <f>IF(ISERROR(FIND($A$2,Lines!AO37))=TRUE,"",Lines!AO37)</f>
        <v/>
      </c>
      <c r="AP37" s="74" t="str">
        <f>IF(ISERROR(FIND($A$2,Lines!AP37))=TRUE,"",Lines!AP37)</f>
        <v/>
      </c>
      <c r="AQ37" s="74" t="str">
        <f>IF(ISERROR(FIND($A$2,Lines!AQ37))=TRUE,"",Lines!AQ37)</f>
        <v/>
      </c>
      <c r="AR37" s="74" t="str">
        <f>IF(ISERROR(FIND($A$2,Lines!AR37))=TRUE,"",Lines!AR37)</f>
        <v/>
      </c>
      <c r="AS37" s="74" t="str">
        <f>IF(ISERROR(FIND($A$2,Lines!AS37))=TRUE,"",Lines!AS37)</f>
        <v/>
      </c>
      <c r="AT37" s="30" t="str">
        <f>IF(ISERROR(FIND($A$2,Lines!AT37))=TRUE,"",Lines!AT37)</f>
        <v/>
      </c>
    </row>
    <row r="38" spans="1:46" ht="20.25" customHeight="1">
      <c r="A38" s="2" t="s">
        <v>86</v>
      </c>
      <c r="B38" s="30" t="str">
        <f>IF(ISERROR(FIND($A$2,Lines!B38))=TRUE,"",Lines!B38)</f>
        <v/>
      </c>
      <c r="C38" s="30" t="str">
        <f>IF(ISERROR(FIND($A$2,Lines!C38))=TRUE,"",Lines!C38)</f>
        <v/>
      </c>
      <c r="D38" s="30" t="str">
        <f>IF(ISERROR(FIND($A$2,Lines!D38))=TRUE,"",Lines!D38)</f>
        <v/>
      </c>
      <c r="E38" s="30" t="str">
        <f>IF(ISERROR(FIND($A$2,Lines!E38))=TRUE,"",Lines!E38)</f>
        <v/>
      </c>
      <c r="F38" s="74" t="str">
        <f>IF(ISERROR(FIND($A$2,Lines!F38))=TRUE,"",Lines!F38)</f>
        <v/>
      </c>
      <c r="G38" s="74" t="str">
        <f>IF(ISERROR(FIND($A$2,Lines!G38))=TRUE,"",Lines!G38)</f>
        <v/>
      </c>
      <c r="H38" s="74" t="str">
        <f>IF(ISERROR(FIND($A$2,Lines!H38))=TRUE,"",Lines!H38)</f>
        <v/>
      </c>
      <c r="I38" s="74" t="str">
        <f>IF(ISERROR(FIND($A$2,Lines!I38))=TRUE,"",Lines!I38)</f>
        <v/>
      </c>
      <c r="J38" s="74" t="str">
        <f>IF(ISERROR(FIND($A$2,Lines!J38))=TRUE,"",Lines!J38)</f>
        <v/>
      </c>
      <c r="K38" s="74" t="str">
        <f>IF(ISERROR(FIND($A$2,Lines!K38))=TRUE,"",Lines!K38)</f>
        <v/>
      </c>
      <c r="L38" s="74" t="str">
        <f>IF(ISERROR(FIND($A$2,Lines!L38))=TRUE,"",Lines!L38)</f>
        <v/>
      </c>
      <c r="M38" s="74" t="str">
        <f>IF(ISERROR(FIND($A$2,Lines!M38))=TRUE,"",Lines!M38)</f>
        <v/>
      </c>
      <c r="N38" s="74" t="str">
        <f>IF(ISERROR(FIND($A$2,Lines!N38))=TRUE,"",Lines!N38)</f>
        <v/>
      </c>
      <c r="O38" s="153" t="str">
        <f>IF(ISERROR(FIND($A$2,Lines!O38))=TRUE,"",Lines!O38)</f>
        <v>±500(德宝直流3000MW)</v>
      </c>
      <c r="P38" s="74" t="str">
        <f>IF(ISERROR(FIND($A$2,Lines!P38))=TRUE,"",Lines!P38)</f>
        <v/>
      </c>
      <c r="Q38" s="74" t="str">
        <f>IF(ISERROR(FIND($A$2,Lines!Q38))=TRUE,"",Lines!Q38)</f>
        <v/>
      </c>
      <c r="R38" s="74" t="str">
        <f>IF(ISERROR(FIND($A$2,Lines!R38))=TRUE,"",Lines!R38)</f>
        <v/>
      </c>
      <c r="S38" s="74" t="str">
        <f>IF(ISERROR(FIND($A$2,Lines!S38))=TRUE,"",Lines!S38)</f>
        <v/>
      </c>
      <c r="T38" s="74" t="str">
        <f>IF(ISERROR(FIND($A$2,Lines!T38))=TRUE,"",Lines!T38)</f>
        <v/>
      </c>
      <c r="U38" s="74" t="str">
        <f>IF(ISERROR(FIND($A$2,Lines!U38))=TRUE,"",Lines!U38)</f>
        <v/>
      </c>
      <c r="V38" s="74" t="str">
        <f>IF(ISERROR(FIND($A$2,Lines!V38))=TRUE,"",Lines!V38)</f>
        <v/>
      </c>
      <c r="W38" s="145" t="str">
        <f>IF(ISERROR(FIND($A$2,Lines!W38))=TRUE,"",Lines!W38)</f>
        <v/>
      </c>
      <c r="X38" s="74" t="str">
        <f>IF(ISERROR(FIND($A$2,Lines!X38))=TRUE,"",Lines!X38)</f>
        <v/>
      </c>
      <c r="Y38" s="74" t="str">
        <f>IF(ISERROR(FIND($A$2,Lines!Y38))=TRUE,"",Lines!Y38)</f>
        <v/>
      </c>
      <c r="Z38" s="74" t="str">
        <f>IF(ISERROR(FIND($A$2,Lines!Z38))=TRUE,"",Lines!Z38)</f>
        <v/>
      </c>
      <c r="AA38" s="74" t="str">
        <f>IF(ISERROR(FIND($A$2,Lines!AA38))=TRUE,"",Lines!AA38)</f>
        <v/>
      </c>
      <c r="AB38" s="74" t="str">
        <f>IF(ISERROR(FIND($A$2,Lines!AB38))=TRUE,"",Lines!AB38)</f>
        <v/>
      </c>
      <c r="AC38" s="74" t="str">
        <f>IF(ISERROR(FIND($A$2,Lines!AC38))=TRUE,"",Lines!AC38)</f>
        <v/>
      </c>
      <c r="AD38" s="74" t="str">
        <f>IF(ISERROR(FIND($A$2,Lines!AD38))=TRUE,"",Lines!AD38)</f>
        <v/>
      </c>
      <c r="AE38" s="168" t="str">
        <f>IF(ISERROR(FIND($A$2,Lines!AE38))=TRUE,"",Lines!AE38)</f>
        <v/>
      </c>
      <c r="AF38" s="169" t="str">
        <f>IF(ISERROR(FIND($A$2,Lines!AF38))=TRUE,"",Lines!AF38)</f>
        <v/>
      </c>
      <c r="AG38" s="169" t="str">
        <f>IF(ISERROR(FIND($A$2,Lines!AG38))=TRUE,"",Lines!AG38)</f>
        <v/>
      </c>
      <c r="AH38" s="169" t="str">
        <f>IF(ISERROR(FIND($A$2,Lines!AH38))=TRUE,"",Lines!AH38)</f>
        <v/>
      </c>
      <c r="AI38" s="169" t="str">
        <f>IF(ISERROR(FIND($A$2,Lines!AI38))=TRUE,"",Lines!AI38)</f>
        <v/>
      </c>
      <c r="AJ38" s="156" t="str">
        <f>IF(ISERROR(FIND($A$2,Lines!AJ38))=TRUE,"",Lines!AJ38)</f>
        <v/>
      </c>
      <c r="AK38" s="74" t="str">
        <f>IF(ISERROR(FIND($A$2,Lines!AK38))=TRUE,"",Lines!AK38)</f>
        <v/>
      </c>
      <c r="AL38" s="74" t="str">
        <f>IF(ISERROR(FIND($A$2,Lines!AL38))=TRUE,"",Lines!AL38)</f>
        <v/>
      </c>
      <c r="AM38" s="74" t="str">
        <f>IF(ISERROR(FIND($A$2,Lines!AM38))=TRUE,"",Lines!AM38)</f>
        <v/>
      </c>
      <c r="AN38" s="74" t="str">
        <f>IF(ISERROR(FIND($A$2,Lines!AN38))=TRUE,"",Lines!AN38)</f>
        <v/>
      </c>
      <c r="AO38" s="74" t="str">
        <f>IF(ISERROR(FIND($A$2,Lines!AO38))=TRUE,"",Lines!AO38)</f>
        <v/>
      </c>
      <c r="AP38" s="74" t="str">
        <f>IF(ISERROR(FIND($A$2,Lines!AP38))=TRUE,"",Lines!AP38)</f>
        <v/>
      </c>
      <c r="AQ38" s="74" t="str">
        <f>IF(ISERROR(FIND($A$2,Lines!AQ38))=TRUE,"",Lines!AQ38)</f>
        <v/>
      </c>
      <c r="AR38" s="74" t="str">
        <f>IF(ISERROR(FIND($A$2,Lines!AR38))=TRUE,"",Lines!AR38)</f>
        <v/>
      </c>
      <c r="AS38" s="74" t="str">
        <f>IF(ISERROR(FIND($A$2,Lines!AS38))=TRUE,"",Lines!AS38)</f>
        <v/>
      </c>
      <c r="AT38" s="30" t="str">
        <f>IF(ISERROR(FIND($A$2,Lines!AT38))=TRUE,"",Lines!AT38)</f>
        <v>±800(溪洛渡左岸—浙江金华8000MW)+±500江城直流（3000MW）</v>
      </c>
    </row>
    <row r="39" spans="1:46" ht="20.25" customHeight="1">
      <c r="A39" s="2" t="s">
        <v>87</v>
      </c>
      <c r="B39" s="30" t="str">
        <f>IF(ISERROR(FIND($A$2,Lines!B39))=TRUE,"",Lines!B39)</f>
        <v/>
      </c>
      <c r="C39" s="30" t="str">
        <f>IF(ISERROR(FIND($A$2,Lines!C39))=TRUE,"",Lines!C39)</f>
        <v/>
      </c>
      <c r="D39" s="30" t="str">
        <f>IF(ISERROR(FIND($A$2,Lines!D39))=TRUE,"",Lines!D39)</f>
        <v/>
      </c>
      <c r="E39" s="30" t="str">
        <f>IF(ISERROR(FIND($A$2,Lines!E39))=TRUE,"",Lines!E39)</f>
        <v/>
      </c>
      <c r="F39" s="74" t="str">
        <f>IF(ISERROR(FIND($A$2,Lines!F39))=TRUE,"",Lines!F39)</f>
        <v/>
      </c>
      <c r="G39" s="74" t="str">
        <f>IF(ISERROR(FIND($A$2,Lines!G39))=TRUE,"",Lines!G39)</f>
        <v/>
      </c>
      <c r="H39" s="74" t="str">
        <f>IF(ISERROR(FIND($A$2,Lines!H39))=TRUE,"",Lines!H39)</f>
        <v/>
      </c>
      <c r="I39" s="74" t="str">
        <f>IF(ISERROR(FIND($A$2,Lines!I39))=TRUE,"",Lines!I39)</f>
        <v/>
      </c>
      <c r="J39" s="74" t="str">
        <f>IF(ISERROR(FIND($A$2,Lines!J39))=TRUE,"",Lines!J39)</f>
        <v/>
      </c>
      <c r="K39" s="74" t="str">
        <f>IF(ISERROR(FIND($A$2,Lines!K39))=TRUE,"",Lines!K39)</f>
        <v/>
      </c>
      <c r="L39" s="74" t="str">
        <f>IF(ISERROR(FIND($A$2,Lines!L39))=TRUE,"",Lines!L39)</f>
        <v/>
      </c>
      <c r="M39" s="74" t="str">
        <f>IF(ISERROR(FIND($A$2,Lines!M39))=TRUE,"",Lines!M39)</f>
        <v/>
      </c>
      <c r="N39" s="74" t="str">
        <f>IF(ISERROR(FIND($A$2,Lines!N39))=TRUE,"",Lines!N39)</f>
        <v/>
      </c>
      <c r="O39" s="74" t="str">
        <f>IF(ISERROR(FIND($A$2,Lines!O39))=TRUE,"",Lines!O39)</f>
        <v/>
      </c>
      <c r="P39" s="74" t="str">
        <f>IF(ISERROR(FIND($A$2,Lines!P39))=TRUE,"",Lines!P39)</f>
        <v/>
      </c>
      <c r="Q39" s="74" t="str">
        <f>IF(ISERROR(FIND($A$2,Lines!Q39))=TRUE,"",Lines!Q39)</f>
        <v/>
      </c>
      <c r="R39" s="74" t="str">
        <f>IF(ISERROR(FIND($A$2,Lines!R39))=TRUE,"",Lines!R39)</f>
        <v/>
      </c>
      <c r="S39" s="74" t="str">
        <f>IF(ISERROR(FIND($A$2,Lines!S39))=TRUE,"",Lines!S39)</f>
        <v/>
      </c>
      <c r="T39" s="74" t="str">
        <f>IF(ISERROR(FIND($A$2,Lines!T39))=TRUE,"",Lines!T39)</f>
        <v/>
      </c>
      <c r="U39" s="74" t="str">
        <f>IF(ISERROR(FIND($A$2,Lines!U39))=TRUE,"",Lines!U39)</f>
        <v/>
      </c>
      <c r="V39" s="74" t="str">
        <f>IF(ISERROR(FIND($A$2,Lines!V39))=TRUE,"",Lines!V39)</f>
        <v/>
      </c>
      <c r="W39" s="145" t="str">
        <f>IF(ISERROR(FIND($A$2,Lines!W39))=TRUE,"",Lines!W39)</f>
        <v/>
      </c>
      <c r="X39" s="74" t="str">
        <f>IF(ISERROR(FIND($A$2,Lines!X39))=TRUE,"",Lines!X39)</f>
        <v/>
      </c>
      <c r="Y39" s="74" t="str">
        <f>IF(ISERROR(FIND($A$2,Lines!Y39))=TRUE,"",Lines!Y39)</f>
        <v/>
      </c>
      <c r="Z39" s="74" t="str">
        <f>IF(ISERROR(FIND($A$2,Lines!Z39))=TRUE,"",Lines!Z39)</f>
        <v/>
      </c>
      <c r="AA39" s="74" t="str">
        <f>IF(ISERROR(FIND($A$2,Lines!AA39))=TRUE,"",Lines!AA39)</f>
        <v/>
      </c>
      <c r="AB39" s="74" t="str">
        <f>IF(ISERROR(FIND($A$2,Lines!AB39))=TRUE,"",Lines!AB39)</f>
        <v/>
      </c>
      <c r="AC39" s="74" t="str">
        <f>IF(ISERROR(FIND($A$2,Lines!AC39))=TRUE,"",Lines!AC39)</f>
        <v/>
      </c>
      <c r="AD39" s="74" t="str">
        <f>IF(ISERROR(FIND($A$2,Lines!AD39))=TRUE,"",Lines!AD39)</f>
        <v/>
      </c>
      <c r="AE39" s="74" t="str">
        <f>IF(ISERROR(FIND($A$2,Lines!AE39))=TRUE,"",Lines!AE39)</f>
        <v>±500(江城直流3000MW)</v>
      </c>
      <c r="AF39" s="74" t="str">
        <f>IF(ISERROR(FIND($A$2,Lines!AF39))=TRUE,"",Lines!AF39)</f>
        <v>500AC*2, ±500鲤鱼江送南方电网（1900MW）</v>
      </c>
      <c r="AG39" s="74" t="str">
        <f>IF(ISERROR(FIND($A$2,Lines!AG39))=TRUE,"",Lines!AG39)</f>
        <v/>
      </c>
      <c r="AH39" s="74" t="str">
        <f>IF(ISERROR(FIND($A$2,Lines!AH39))=TRUE,"",Lines!AH39)</f>
        <v/>
      </c>
      <c r="AI39" s="74" t="str">
        <f>IF(ISERROR(FIND($A$2,Lines!AI39))=TRUE,"",Lines!AI39)</f>
        <v/>
      </c>
      <c r="AJ39" s="74" t="str">
        <f>IF(ISERROR(FIND($A$2,Lines!AJ39))=TRUE,"",Lines!AJ39)</f>
        <v/>
      </c>
      <c r="AK39" s="146" t="str">
        <f>IF(ISERROR(FIND($A$2,Lines!AK39))=TRUE,"",Lines!AK39)</f>
        <v/>
      </c>
      <c r="AL39" s="170" t="str">
        <f>IF(ISERROR(FIND($A$2,Lines!AL39))=TRUE,"",Lines!AL39)</f>
        <v/>
      </c>
      <c r="AM39" s="170" t="str">
        <f>IF(ISERROR(FIND($A$2,Lines!AM39))=TRUE,"",Lines!AM39)</f>
        <v/>
      </c>
      <c r="AN39" s="170" t="str">
        <f>IF(ISERROR(FIND($A$2,Lines!AN39))=TRUE,"",Lines!AN39)</f>
        <v>500AC*4, ±500(高肇直流3000MW,天广线1800MW,兴安直流3000MW)</v>
      </c>
      <c r="AO39" s="171" t="str">
        <f>IF(ISERROR(FIND($A$2,Lines!AO39))=TRUE,"",Lines!AO39)</f>
        <v>500AC*4, ±500(2*溪洛渡右岸6400MW)+ ±800(楚穗线5000MW,糯扎渡5000MW)+ ±800（滇西北-广东5000MW）</v>
      </c>
      <c r="AP39" s="74" t="str">
        <f>IF(ISERROR(FIND($A$2,Lines!AP39))=TRUE,"",Lines!AP39)</f>
        <v/>
      </c>
      <c r="AQ39" s="74" t="str">
        <f>IF(ISERROR(FIND($A$2,Lines!AQ39))=TRUE,"",Lines!AQ39)</f>
        <v/>
      </c>
      <c r="AR39" s="74" t="str">
        <f>IF(ISERROR(FIND($A$2,Lines!AR39))=TRUE,"",Lines!AR39)</f>
        <v/>
      </c>
      <c r="AS39" s="74" t="str">
        <f>IF(ISERROR(FIND($A$2,Lines!AS39))=TRUE,"",Lines!AS39)</f>
        <v/>
      </c>
      <c r="AT39" s="30" t="str">
        <f>IF(ISERROR(FIND($A$2,Lines!AT39))=TRUE,"",Lines!AT39)</f>
        <v/>
      </c>
    </row>
    <row r="40" spans="1:46" ht="20.25" customHeight="1">
      <c r="A40" s="2" t="s">
        <v>88</v>
      </c>
      <c r="B40" s="30" t="str">
        <f>IF(ISERROR(FIND($A$2,Lines!B40))=TRUE,"",Lines!B40)</f>
        <v/>
      </c>
      <c r="C40" s="30" t="str">
        <f>IF(ISERROR(FIND($A$2,Lines!C40))=TRUE,"",Lines!C40)</f>
        <v/>
      </c>
      <c r="D40" s="30" t="str">
        <f>IF(ISERROR(FIND($A$2,Lines!D40))=TRUE,"",Lines!D40)</f>
        <v/>
      </c>
      <c r="E40" s="30" t="str">
        <f>IF(ISERROR(FIND($A$2,Lines!E40))=TRUE,"",Lines!E40)</f>
        <v/>
      </c>
      <c r="F40" s="74" t="str">
        <f>IF(ISERROR(FIND($A$2,Lines!F40))=TRUE,"",Lines!F40)</f>
        <v/>
      </c>
      <c r="G40" s="74" t="str">
        <f>IF(ISERROR(FIND($A$2,Lines!G40))=TRUE,"",Lines!G40)</f>
        <v/>
      </c>
      <c r="H40" s="74" t="str">
        <f>IF(ISERROR(FIND($A$2,Lines!H40))=TRUE,"",Lines!H40)</f>
        <v/>
      </c>
      <c r="I40" s="74" t="str">
        <f>IF(ISERROR(FIND($A$2,Lines!I40))=TRUE,"",Lines!I40)</f>
        <v/>
      </c>
      <c r="J40" s="74" t="str">
        <f>IF(ISERROR(FIND($A$2,Lines!J40))=TRUE,"",Lines!J40)</f>
        <v/>
      </c>
      <c r="K40" s="74" t="str">
        <f>IF(ISERROR(FIND($A$2,Lines!K40))=TRUE,"",Lines!K40)</f>
        <v/>
      </c>
      <c r="L40" s="74" t="str">
        <f>IF(ISERROR(FIND($A$2,Lines!L40))=TRUE,"",Lines!L40)</f>
        <v/>
      </c>
      <c r="M40" s="74" t="str">
        <f>IF(ISERROR(FIND($A$2,Lines!M40))=TRUE,"",Lines!M40)</f>
        <v/>
      </c>
      <c r="N40" s="74" t="str">
        <f>IF(ISERROR(FIND($A$2,Lines!N40))=TRUE,"",Lines!N40)</f>
        <v/>
      </c>
      <c r="O40" s="74" t="str">
        <f>IF(ISERROR(FIND($A$2,Lines!O40))=TRUE,"",Lines!O40)</f>
        <v/>
      </c>
      <c r="P40" s="74" t="str">
        <f>IF(ISERROR(FIND($A$2,Lines!P40))=TRUE,"",Lines!P40)</f>
        <v/>
      </c>
      <c r="Q40" s="74" t="str">
        <f>IF(ISERROR(FIND($A$2,Lines!Q40))=TRUE,"",Lines!Q40)</f>
        <v/>
      </c>
      <c r="R40" s="74" t="str">
        <f>IF(ISERROR(FIND($A$2,Lines!R40))=TRUE,"",Lines!R40)</f>
        <v/>
      </c>
      <c r="S40" s="74" t="str">
        <f>IF(ISERROR(FIND($A$2,Lines!S40))=TRUE,"",Lines!S40)</f>
        <v/>
      </c>
      <c r="T40" s="74" t="str">
        <f>IF(ISERROR(FIND($A$2,Lines!T40))=TRUE,"",Lines!T40)</f>
        <v/>
      </c>
      <c r="U40" s="74" t="str">
        <f>IF(ISERROR(FIND($A$2,Lines!U40))=TRUE,"",Lines!U40)</f>
        <v/>
      </c>
      <c r="V40" s="74" t="str">
        <f>IF(ISERROR(FIND($A$2,Lines!V40))=TRUE,"",Lines!V40)</f>
        <v/>
      </c>
      <c r="W40" s="145" t="str">
        <f>IF(ISERROR(FIND($A$2,Lines!W40))=TRUE,"",Lines!W40)</f>
        <v/>
      </c>
      <c r="X40" s="74" t="str">
        <f>IF(ISERROR(FIND($A$2,Lines!X40))=TRUE,"",Lines!X40)</f>
        <v/>
      </c>
      <c r="Y40" s="74" t="str">
        <f>IF(ISERROR(FIND($A$2,Lines!Y40))=TRUE,"",Lines!Y40)</f>
        <v/>
      </c>
      <c r="Z40" s="74" t="str">
        <f>IF(ISERROR(FIND($A$2,Lines!Z40))=TRUE,"",Lines!Z40)</f>
        <v/>
      </c>
      <c r="AA40" s="74" t="str">
        <f>IF(ISERROR(FIND($A$2,Lines!AA40))=TRUE,"",Lines!AA40)</f>
        <v/>
      </c>
      <c r="AB40" s="74" t="str">
        <f>IF(ISERROR(FIND($A$2,Lines!AB40))=TRUE,"",Lines!AB40)</f>
        <v/>
      </c>
      <c r="AC40" s="74" t="str">
        <f>IF(ISERROR(FIND($A$2,Lines!AC40))=TRUE,"",Lines!AC40)</f>
        <v/>
      </c>
      <c r="AD40" s="74" t="str">
        <f>IF(ISERROR(FIND($A$2,Lines!AD40))=TRUE,"",Lines!AD40)</f>
        <v/>
      </c>
      <c r="AE40" s="74" t="str">
        <f>IF(ISERROR(FIND($A$2,Lines!AE40))=TRUE,"",Lines!AE40)</f>
        <v/>
      </c>
      <c r="AF40" s="74" t="str">
        <f>IF(ISERROR(FIND($A$2,Lines!AF40))=TRUE,"",Lines!AF40)</f>
        <v/>
      </c>
      <c r="AG40" s="74" t="str">
        <f>IF(ISERROR(FIND($A$2,Lines!AG40))=TRUE,"",Lines!AG40)</f>
        <v/>
      </c>
      <c r="AH40" s="74" t="str">
        <f>IF(ISERROR(FIND($A$2,Lines!AH40))=TRUE,"",Lines!AH40)</f>
        <v/>
      </c>
      <c r="AI40" s="74" t="str">
        <f>IF(ISERROR(FIND($A$2,Lines!AI40))=TRUE,"",Lines!AI40)</f>
        <v/>
      </c>
      <c r="AJ40" s="74" t="str">
        <f>IF(ISERROR(FIND($A$2,Lines!AJ40))=TRUE,"",Lines!AJ40)</f>
        <v/>
      </c>
      <c r="AK40" s="172" t="str">
        <f>IF(ISERROR(FIND($A$2,Lines!AK40))=TRUE,"",Lines!AK40)</f>
        <v/>
      </c>
      <c r="AL40" s="150" t="str">
        <f>IF(ISERROR(FIND($A$2,Lines!AL40))=TRUE,"",Lines!AL40)</f>
        <v/>
      </c>
      <c r="AM40" s="173" t="str">
        <f>IF(ISERROR(FIND($A$2,Lines!AM40))=TRUE,"",Lines!AM40)</f>
        <v/>
      </c>
      <c r="AN40" s="173" t="str">
        <f>IF(ISERROR(FIND($A$2,Lines!AN40))=TRUE,"",Lines!AN40)</f>
        <v/>
      </c>
      <c r="AO40" s="174" t="str">
        <f>IF(ISERROR(FIND($A$2,Lines!AO40))=TRUE,"",Lines!AO40)</f>
        <v/>
      </c>
      <c r="AP40" s="74" t="str">
        <f>IF(ISERROR(FIND($A$2,Lines!AP40))=TRUE,"",Lines!AP40)</f>
        <v/>
      </c>
      <c r="AQ40" s="74" t="str">
        <f>IF(ISERROR(FIND($A$2,Lines!AQ40))=TRUE,"",Lines!AQ40)</f>
        <v/>
      </c>
      <c r="AR40" s="74" t="str">
        <f>IF(ISERROR(FIND($A$2,Lines!AR40))=TRUE,"",Lines!AR40)</f>
        <v/>
      </c>
      <c r="AS40" s="74" t="str">
        <f>IF(ISERROR(FIND($A$2,Lines!AS40))=TRUE,"",Lines!AS40)</f>
        <v/>
      </c>
      <c r="AT40" s="30" t="str">
        <f>IF(ISERROR(FIND($A$2,Lines!AT40))=TRUE,"",Lines!AT40)</f>
        <v/>
      </c>
    </row>
    <row r="41" spans="1:46" ht="20.25" customHeight="1">
      <c r="A41" s="2" t="s">
        <v>89</v>
      </c>
      <c r="B41" s="30" t="str">
        <f>IF(ISERROR(FIND($A$2,Lines!B41))=TRUE,"",Lines!B41)</f>
        <v/>
      </c>
      <c r="C41" s="30" t="str">
        <f>IF(ISERROR(FIND($A$2,Lines!C41))=TRUE,"",Lines!C41)</f>
        <v/>
      </c>
      <c r="D41" s="30" t="str">
        <f>IF(ISERROR(FIND($A$2,Lines!D41))=TRUE,"",Lines!D41)</f>
        <v/>
      </c>
      <c r="E41" s="30" t="str">
        <f>IF(ISERROR(FIND($A$2,Lines!E41))=TRUE,"",Lines!E41)</f>
        <v/>
      </c>
      <c r="F41" s="74" t="str">
        <f>IF(ISERROR(FIND($A$2,Lines!F41))=TRUE,"",Lines!F41)</f>
        <v/>
      </c>
      <c r="G41" s="74" t="str">
        <f>IF(ISERROR(FIND($A$2,Lines!G41))=TRUE,"",Lines!G41)</f>
        <v/>
      </c>
      <c r="H41" s="74" t="str">
        <f>IF(ISERROR(FIND($A$2,Lines!H41))=TRUE,"",Lines!H41)</f>
        <v/>
      </c>
      <c r="I41" s="74" t="str">
        <f>IF(ISERROR(FIND($A$2,Lines!I41))=TRUE,"",Lines!I41)</f>
        <v/>
      </c>
      <c r="J41" s="74" t="str">
        <f>IF(ISERROR(FIND($A$2,Lines!J41))=TRUE,"",Lines!J41)</f>
        <v/>
      </c>
      <c r="K41" s="74" t="str">
        <f>IF(ISERROR(FIND($A$2,Lines!K41))=TRUE,"",Lines!K41)</f>
        <v/>
      </c>
      <c r="L41" s="74" t="str">
        <f>IF(ISERROR(FIND($A$2,Lines!L41))=TRUE,"",Lines!L41)</f>
        <v/>
      </c>
      <c r="M41" s="74" t="str">
        <f>IF(ISERROR(FIND($A$2,Lines!M41))=TRUE,"",Lines!M41)</f>
        <v/>
      </c>
      <c r="N41" s="74" t="str">
        <f>IF(ISERROR(FIND($A$2,Lines!N41))=TRUE,"",Lines!N41)</f>
        <v/>
      </c>
      <c r="O41" s="74" t="str">
        <f>IF(ISERROR(FIND($A$2,Lines!O41))=TRUE,"",Lines!O41)</f>
        <v/>
      </c>
      <c r="P41" s="74" t="str">
        <f>IF(ISERROR(FIND($A$2,Lines!P41))=TRUE,"",Lines!P41)</f>
        <v/>
      </c>
      <c r="Q41" s="74" t="str">
        <f>IF(ISERROR(FIND($A$2,Lines!Q41))=TRUE,"",Lines!Q41)</f>
        <v/>
      </c>
      <c r="R41" s="74" t="str">
        <f>IF(ISERROR(FIND($A$2,Lines!R41))=TRUE,"",Lines!R41)</f>
        <v/>
      </c>
      <c r="S41" s="74" t="str">
        <f>IF(ISERROR(FIND($A$2,Lines!S41))=TRUE,"",Lines!S41)</f>
        <v/>
      </c>
      <c r="T41" s="74" t="str">
        <f>IF(ISERROR(FIND($A$2,Lines!T41))=TRUE,"",Lines!T41)</f>
        <v/>
      </c>
      <c r="U41" s="74" t="str">
        <f>IF(ISERROR(FIND($A$2,Lines!U41))=TRUE,"",Lines!U41)</f>
        <v/>
      </c>
      <c r="V41" s="74" t="str">
        <f>IF(ISERROR(FIND($A$2,Lines!V41))=TRUE,"",Lines!V41)</f>
        <v/>
      </c>
      <c r="W41" s="145" t="str">
        <f>IF(ISERROR(FIND($A$2,Lines!W41))=TRUE,"",Lines!W41)</f>
        <v/>
      </c>
      <c r="X41" s="74" t="str">
        <f>IF(ISERROR(FIND($A$2,Lines!X41))=TRUE,"",Lines!X41)</f>
        <v/>
      </c>
      <c r="Y41" s="74" t="str">
        <f>IF(ISERROR(FIND($A$2,Lines!Y41))=TRUE,"",Lines!Y41)</f>
        <v/>
      </c>
      <c r="Z41" s="74" t="str">
        <f>IF(ISERROR(FIND($A$2,Lines!Z41))=TRUE,"",Lines!Z41)</f>
        <v/>
      </c>
      <c r="AA41" s="74" t="str">
        <f>IF(ISERROR(FIND($A$2,Lines!AA41))=TRUE,"",Lines!AA41)</f>
        <v/>
      </c>
      <c r="AB41" s="74" t="str">
        <f>IF(ISERROR(FIND($A$2,Lines!AB41))=TRUE,"",Lines!AB41)</f>
        <v/>
      </c>
      <c r="AC41" s="74" t="str">
        <f>IF(ISERROR(FIND($A$2,Lines!AC41))=TRUE,"",Lines!AC41)</f>
        <v/>
      </c>
      <c r="AD41" s="74" t="str">
        <f>IF(ISERROR(FIND($A$2,Lines!AD41))=TRUE,"",Lines!AD41)</f>
        <v/>
      </c>
      <c r="AE41" s="74" t="str">
        <f>IF(ISERROR(FIND($A$2,Lines!AE41))=TRUE,"",Lines!AE41)</f>
        <v/>
      </c>
      <c r="AF41" s="74" t="str">
        <f>IF(ISERROR(FIND($A$2,Lines!AF41))=TRUE,"",Lines!AF41)</f>
        <v/>
      </c>
      <c r="AG41" s="74" t="str">
        <f>IF(ISERROR(FIND($A$2,Lines!AG41))=TRUE,"",Lines!AG41)</f>
        <v/>
      </c>
      <c r="AH41" s="74" t="str">
        <f>IF(ISERROR(FIND($A$2,Lines!AH41))=TRUE,"",Lines!AH41)</f>
        <v/>
      </c>
      <c r="AI41" s="74" t="str">
        <f>IF(ISERROR(FIND($A$2,Lines!AI41))=TRUE,"",Lines!AI41)</f>
        <v/>
      </c>
      <c r="AJ41" s="74" t="str">
        <f>IF(ISERROR(FIND($A$2,Lines!AJ41))=TRUE,"",Lines!AJ41)</f>
        <v/>
      </c>
      <c r="AK41" s="172" t="str">
        <f>IF(ISERROR(FIND($A$2,Lines!AK41))=TRUE,"",Lines!AK41)</f>
        <v/>
      </c>
      <c r="AL41" s="173" t="str">
        <f>IF(ISERROR(FIND($A$2,Lines!AL41))=TRUE,"",Lines!AL41)</f>
        <v/>
      </c>
      <c r="AM41" s="150" t="str">
        <f>IF(ISERROR(FIND($A$2,Lines!AM41))=TRUE,"",Lines!AM41)</f>
        <v/>
      </c>
      <c r="AN41" s="173" t="str">
        <f>IF(ISERROR(FIND($A$2,Lines!AN41))=TRUE,"",Lines!AN41)</f>
        <v/>
      </c>
      <c r="AO41" s="174" t="str">
        <f>IF(ISERROR(FIND($A$2,Lines!AO41))=TRUE,"",Lines!AO41)</f>
        <v>500AC*4, 220AC*2, ±500（金中直流3200MW）</v>
      </c>
      <c r="AP41" s="74" t="str">
        <f>IF(ISERROR(FIND($A$2,Lines!AP41))=TRUE,"",Lines!AP41)</f>
        <v/>
      </c>
      <c r="AQ41" s="74" t="str">
        <f>IF(ISERROR(FIND($A$2,Lines!AQ41))=TRUE,"",Lines!AQ41)</f>
        <v/>
      </c>
      <c r="AR41" s="74" t="str">
        <f>IF(ISERROR(FIND($A$2,Lines!AR41))=TRUE,"",Lines!AR41)</f>
        <v/>
      </c>
      <c r="AS41" s="74" t="str">
        <f>IF(ISERROR(FIND($A$2,Lines!AS41))=TRUE,"",Lines!AS41)</f>
        <v/>
      </c>
      <c r="AT41" s="30" t="str">
        <f>IF(ISERROR(FIND($A$2,Lines!AT41))=TRUE,"",Lines!AT41)</f>
        <v/>
      </c>
    </row>
    <row r="42" spans="1:46" ht="20.25" customHeight="1">
      <c r="A42" s="2" t="s">
        <v>90</v>
      </c>
      <c r="B42" s="30" t="str">
        <f>IF(ISERROR(FIND($A$2,Lines!B42))=TRUE,"",Lines!B42)</f>
        <v/>
      </c>
      <c r="C42" s="30" t="str">
        <f>IF(ISERROR(FIND($A$2,Lines!C42))=TRUE,"",Lines!C42)</f>
        <v/>
      </c>
      <c r="D42" s="30" t="str">
        <f>IF(ISERROR(FIND($A$2,Lines!D42))=TRUE,"",Lines!D42)</f>
        <v/>
      </c>
      <c r="E42" s="30" t="str">
        <f>IF(ISERROR(FIND($A$2,Lines!E42))=TRUE,"",Lines!E42)</f>
        <v/>
      </c>
      <c r="F42" s="74" t="str">
        <f>IF(ISERROR(FIND($A$2,Lines!F42))=TRUE,"",Lines!F42)</f>
        <v/>
      </c>
      <c r="G42" s="74" t="str">
        <f>IF(ISERROR(FIND($A$2,Lines!G42))=TRUE,"",Lines!G42)</f>
        <v/>
      </c>
      <c r="H42" s="74" t="str">
        <f>IF(ISERROR(FIND($A$2,Lines!H42))=TRUE,"",Lines!H42)</f>
        <v/>
      </c>
      <c r="I42" s="74" t="str">
        <f>IF(ISERROR(FIND($A$2,Lines!I42))=TRUE,"",Lines!I42)</f>
        <v/>
      </c>
      <c r="J42" s="74" t="str">
        <f>IF(ISERROR(FIND($A$2,Lines!J42))=TRUE,"",Lines!J42)</f>
        <v/>
      </c>
      <c r="K42" s="74" t="str">
        <f>IF(ISERROR(FIND($A$2,Lines!K42))=TRUE,"",Lines!K42)</f>
        <v/>
      </c>
      <c r="L42" s="74" t="str">
        <f>IF(ISERROR(FIND($A$2,Lines!L42))=TRUE,"",Lines!L42)</f>
        <v/>
      </c>
      <c r="M42" s="74" t="str">
        <f>IF(ISERROR(FIND($A$2,Lines!M42))=TRUE,"",Lines!M42)</f>
        <v/>
      </c>
      <c r="N42" s="74" t="str">
        <f>IF(ISERROR(FIND($A$2,Lines!N42))=TRUE,"",Lines!N42)</f>
        <v/>
      </c>
      <c r="O42" s="74" t="str">
        <f>IF(ISERROR(FIND($A$2,Lines!O42))=TRUE,"",Lines!O42)</f>
        <v/>
      </c>
      <c r="P42" s="74" t="str">
        <f>IF(ISERROR(FIND($A$2,Lines!P42))=TRUE,"",Lines!P42)</f>
        <v/>
      </c>
      <c r="Q42" s="74" t="str">
        <f>IF(ISERROR(FIND($A$2,Lines!Q42))=TRUE,"",Lines!Q42)</f>
        <v/>
      </c>
      <c r="R42" s="74" t="str">
        <f>IF(ISERROR(FIND($A$2,Lines!R42))=TRUE,"",Lines!R42)</f>
        <v/>
      </c>
      <c r="S42" s="74" t="str">
        <f>IF(ISERROR(FIND($A$2,Lines!S42))=TRUE,"",Lines!S42)</f>
        <v/>
      </c>
      <c r="T42" s="74" t="str">
        <f>IF(ISERROR(FIND($A$2,Lines!T42))=TRUE,"",Lines!T42)</f>
        <v/>
      </c>
      <c r="U42" s="74" t="str">
        <f>IF(ISERROR(FIND($A$2,Lines!U42))=TRUE,"",Lines!U42)</f>
        <v/>
      </c>
      <c r="V42" s="74" t="str">
        <f>IF(ISERROR(FIND($A$2,Lines!V42))=TRUE,"",Lines!V42)</f>
        <v/>
      </c>
      <c r="W42" s="145" t="str">
        <f>IF(ISERROR(FIND($A$2,Lines!W42))=TRUE,"",Lines!W42)</f>
        <v/>
      </c>
      <c r="X42" s="74" t="str">
        <f>IF(ISERROR(FIND($A$2,Lines!X42))=TRUE,"",Lines!X42)</f>
        <v/>
      </c>
      <c r="Y42" s="74" t="str">
        <f>IF(ISERROR(FIND($A$2,Lines!Y42))=TRUE,"",Lines!Y42)</f>
        <v/>
      </c>
      <c r="Z42" s="74" t="str">
        <f>IF(ISERROR(FIND($A$2,Lines!Z42))=TRUE,"",Lines!Z42)</f>
        <v/>
      </c>
      <c r="AA42" s="74" t="str">
        <f>IF(ISERROR(FIND($A$2,Lines!AA42))=TRUE,"",Lines!AA42)</f>
        <v/>
      </c>
      <c r="AB42" s="74" t="str">
        <f>IF(ISERROR(FIND($A$2,Lines!AB42))=TRUE,"",Lines!AB42)</f>
        <v/>
      </c>
      <c r="AC42" s="74" t="str">
        <f>IF(ISERROR(FIND($A$2,Lines!AC42))=TRUE,"",Lines!AC42)</f>
        <v/>
      </c>
      <c r="AD42" s="74" t="str">
        <f>IF(ISERROR(FIND($A$2,Lines!AD42))=TRUE,"",Lines!AD42)</f>
        <v/>
      </c>
      <c r="AE42" s="74" t="str">
        <f>IF(ISERROR(FIND($A$2,Lines!AE42))=TRUE,"",Lines!AE42)</f>
        <v/>
      </c>
      <c r="AF42" s="74" t="str">
        <f>IF(ISERROR(FIND($A$2,Lines!AF42))=TRUE,"",Lines!AF42)</f>
        <v/>
      </c>
      <c r="AG42" s="74" t="str">
        <f>IF(ISERROR(FIND($A$2,Lines!AG42))=TRUE,"",Lines!AG42)</f>
        <v/>
      </c>
      <c r="AH42" s="74" t="str">
        <f>IF(ISERROR(FIND($A$2,Lines!AH42))=TRUE,"",Lines!AH42)</f>
        <v/>
      </c>
      <c r="AI42" s="74" t="str">
        <f>IF(ISERROR(FIND($A$2,Lines!AI42))=TRUE,"",Lines!AI42)</f>
        <v/>
      </c>
      <c r="AJ42" s="74" t="str">
        <f>IF(ISERROR(FIND($A$2,Lines!AJ42))=TRUE,"",Lines!AJ42)</f>
        <v/>
      </c>
      <c r="AK42" s="172" t="str">
        <f>IF(ISERROR(FIND($A$2,Lines!AK42))=TRUE,"",Lines!AK42)</f>
        <v>500AC*4, ±500(高肇直流3000MW,天广线1800MW,兴安直流3000MW)</v>
      </c>
      <c r="AL42" s="173" t="str">
        <f>IF(ISERROR(FIND($A$2,Lines!AL42))=TRUE,"",Lines!AL42)</f>
        <v/>
      </c>
      <c r="AM42" s="173" t="str">
        <f>IF(ISERROR(FIND($A$2,Lines!AM42))=TRUE,"",Lines!AM42)</f>
        <v/>
      </c>
      <c r="AN42" s="150" t="str">
        <f>IF(ISERROR(FIND($A$2,Lines!AN42))=TRUE,"",Lines!AN42)</f>
        <v/>
      </c>
      <c r="AO42" s="174" t="str">
        <f>IF(ISERROR(FIND($A$2,Lines!AO42))=TRUE,"",Lines!AO42)</f>
        <v/>
      </c>
      <c r="AP42" s="74" t="str">
        <f>IF(ISERROR(FIND($A$2,Lines!AP42))=TRUE,"",Lines!AP42)</f>
        <v/>
      </c>
      <c r="AQ42" s="74" t="str">
        <f>IF(ISERROR(FIND($A$2,Lines!AQ42))=TRUE,"",Lines!AQ42)</f>
        <v/>
      </c>
      <c r="AR42" s="74" t="str">
        <f>IF(ISERROR(FIND($A$2,Lines!AR42))=TRUE,"",Lines!AR42)</f>
        <v/>
      </c>
      <c r="AS42" s="74" t="str">
        <f>IF(ISERROR(FIND($A$2,Lines!AS42))=TRUE,"",Lines!AS42)</f>
        <v/>
      </c>
      <c r="AT42" s="30" t="str">
        <f>IF(ISERROR(FIND($A$2,Lines!AT42))=TRUE,"",Lines!AT42)</f>
        <v/>
      </c>
    </row>
    <row r="43" spans="1:46" ht="20.25" customHeight="1">
      <c r="A43" s="2" t="s">
        <v>91</v>
      </c>
      <c r="B43" s="30" t="str">
        <f>IF(ISERROR(FIND($A$2,Lines!B43))=TRUE,"",Lines!B43)</f>
        <v/>
      </c>
      <c r="C43" s="30" t="str">
        <f>IF(ISERROR(FIND($A$2,Lines!C43))=TRUE,"",Lines!C43)</f>
        <v/>
      </c>
      <c r="D43" s="30" t="str">
        <f>IF(ISERROR(FIND($A$2,Lines!D43))=TRUE,"",Lines!D43)</f>
        <v/>
      </c>
      <c r="E43" s="30" t="str">
        <f>IF(ISERROR(FIND($A$2,Lines!E43))=TRUE,"",Lines!E43)</f>
        <v/>
      </c>
      <c r="F43" s="74" t="str">
        <f>IF(ISERROR(FIND($A$2,Lines!F43))=TRUE,"",Lines!F43)</f>
        <v/>
      </c>
      <c r="G43" s="74" t="str">
        <f>IF(ISERROR(FIND($A$2,Lines!G43))=TRUE,"",Lines!G43)</f>
        <v/>
      </c>
      <c r="H43" s="74" t="str">
        <f>IF(ISERROR(FIND($A$2,Lines!H43))=TRUE,"",Lines!H43)</f>
        <v/>
      </c>
      <c r="I43" s="74" t="str">
        <f>IF(ISERROR(FIND($A$2,Lines!I43))=TRUE,"",Lines!I43)</f>
        <v/>
      </c>
      <c r="J43" s="74" t="str">
        <f>IF(ISERROR(FIND($A$2,Lines!J43))=TRUE,"",Lines!J43)</f>
        <v/>
      </c>
      <c r="K43" s="74" t="str">
        <f>IF(ISERROR(FIND($A$2,Lines!K43))=TRUE,"",Lines!K43)</f>
        <v/>
      </c>
      <c r="L43" s="74" t="str">
        <f>IF(ISERROR(FIND($A$2,Lines!L43))=TRUE,"",Lines!L43)</f>
        <v/>
      </c>
      <c r="M43" s="74" t="str">
        <f>IF(ISERROR(FIND($A$2,Lines!M43))=TRUE,"",Lines!M43)</f>
        <v/>
      </c>
      <c r="N43" s="74" t="str">
        <f>IF(ISERROR(FIND($A$2,Lines!N43))=TRUE,"",Lines!N43)</f>
        <v/>
      </c>
      <c r="O43" s="74" t="str">
        <f>IF(ISERROR(FIND($A$2,Lines!O43))=TRUE,"",Lines!O43)</f>
        <v/>
      </c>
      <c r="P43" s="74" t="str">
        <f>IF(ISERROR(FIND($A$2,Lines!P43))=TRUE,"",Lines!P43)</f>
        <v/>
      </c>
      <c r="Q43" s="74" t="str">
        <f>IF(ISERROR(FIND($A$2,Lines!Q43))=TRUE,"",Lines!Q43)</f>
        <v/>
      </c>
      <c r="R43" s="74" t="str">
        <f>IF(ISERROR(FIND($A$2,Lines!R43))=TRUE,"",Lines!R43)</f>
        <v/>
      </c>
      <c r="S43" s="74" t="str">
        <f>IF(ISERROR(FIND($A$2,Lines!S43))=TRUE,"",Lines!S43)</f>
        <v/>
      </c>
      <c r="T43" s="74" t="str">
        <f>IF(ISERROR(FIND($A$2,Lines!T43))=TRUE,"",Lines!T43)</f>
        <v/>
      </c>
      <c r="U43" s="74" t="str">
        <f>IF(ISERROR(FIND($A$2,Lines!U43))=TRUE,"",Lines!U43)</f>
        <v/>
      </c>
      <c r="V43" s="74" t="str">
        <f>IF(ISERROR(FIND($A$2,Lines!V43))=TRUE,"",Lines!V43)</f>
        <v/>
      </c>
      <c r="W43" s="145" t="str">
        <f>IF(ISERROR(FIND($A$2,Lines!W43))=TRUE,"",Lines!W43)</f>
        <v/>
      </c>
      <c r="X43" s="74" t="str">
        <f>IF(ISERROR(FIND($A$2,Lines!X43))=TRUE,"",Lines!X43)</f>
        <v/>
      </c>
      <c r="Y43" s="74" t="str">
        <f>IF(ISERROR(FIND($A$2,Lines!Y43))=TRUE,"",Lines!Y43)</f>
        <v/>
      </c>
      <c r="Z43" s="74" t="str">
        <f>IF(ISERROR(FIND($A$2,Lines!Z43))=TRUE,"",Lines!Z43)</f>
        <v/>
      </c>
      <c r="AA43" s="74" t="str">
        <f>IF(ISERROR(FIND($A$2,Lines!AA43))=TRUE,"",Lines!AA43)</f>
        <v/>
      </c>
      <c r="AB43" s="74" t="str">
        <f>IF(ISERROR(FIND($A$2,Lines!AB43))=TRUE,"",Lines!AB43)</f>
        <v/>
      </c>
      <c r="AC43" s="74" t="str">
        <f>IF(ISERROR(FIND($A$2,Lines!AC43))=TRUE,"",Lines!AC43)</f>
        <v/>
      </c>
      <c r="AD43" s="74" t="str">
        <f>IF(ISERROR(FIND($A$2,Lines!AD43))=TRUE,"",Lines!AD43)</f>
        <v/>
      </c>
      <c r="AE43" s="74" t="str">
        <f>IF(ISERROR(FIND($A$2,Lines!AE43))=TRUE,"",Lines!AE43)</f>
        <v/>
      </c>
      <c r="AF43" s="74" t="str">
        <f>IF(ISERROR(FIND($A$2,Lines!AF43))=TRUE,"",Lines!AF43)</f>
        <v/>
      </c>
      <c r="AG43" s="74" t="str">
        <f>IF(ISERROR(FIND($A$2,Lines!AG43))=TRUE,"",Lines!AG43)</f>
        <v/>
      </c>
      <c r="AH43" s="74" t="str">
        <f>IF(ISERROR(FIND($A$2,Lines!AH43))=TRUE,"",Lines!AH43)</f>
        <v/>
      </c>
      <c r="AI43" s="74" t="str">
        <f>IF(ISERROR(FIND($A$2,Lines!AI43))=TRUE,"",Lines!AI43)</f>
        <v/>
      </c>
      <c r="AJ43" s="74" t="str">
        <f>IF(ISERROR(FIND($A$2,Lines!AJ43))=TRUE,"",Lines!AJ43)</f>
        <v/>
      </c>
      <c r="AK43" s="175" t="str">
        <f>IF(ISERROR(FIND($A$2,Lines!AK43))=TRUE,"",Lines!AK43)</f>
        <v>500AC*4, ±500(2*溪洛渡右岸6400MW)+ ±800(楚穗线5000MW,糯扎渡5000MW)+ ±800（滇西北-广东5000MW）</v>
      </c>
      <c r="AL43" s="176" t="str">
        <f>IF(ISERROR(FIND($A$2,Lines!AL43))=TRUE,"",Lines!AL43)</f>
        <v/>
      </c>
      <c r="AM43" s="176" t="str">
        <f>IF(ISERROR(FIND($A$2,Lines!AM43))=TRUE,"",Lines!AM43)</f>
        <v>500AC*4, 220AC*2, ±500（金中直流3200MW）</v>
      </c>
      <c r="AN43" s="176" t="str">
        <f>IF(ISERROR(FIND($A$2,Lines!AN43))=TRUE,"",Lines!AN43)</f>
        <v/>
      </c>
      <c r="AO43" s="156" t="str">
        <f>IF(ISERROR(FIND($A$2,Lines!AO43))=TRUE,"",Lines!AO43)</f>
        <v/>
      </c>
      <c r="AP43" s="153" t="str">
        <f>IF(ISERROR(FIND($A$2,Lines!AP43))=TRUE,"",Lines!AP43)</f>
        <v/>
      </c>
      <c r="AQ43" s="74" t="str">
        <f>IF(ISERROR(FIND($A$2,Lines!AQ43))=TRUE,"",Lines!AQ43)</f>
        <v/>
      </c>
      <c r="AR43" s="74" t="str">
        <f>IF(ISERROR(FIND($A$2,Lines!AR43))=TRUE,"",Lines!AR43)</f>
        <v/>
      </c>
      <c r="AS43" s="74" t="str">
        <f>IF(ISERROR(FIND($A$2,Lines!AS43))=TRUE,"",Lines!AS43)</f>
        <v/>
      </c>
      <c r="AT43" s="30" t="str">
        <f>IF(ISERROR(FIND($A$2,Lines!AT43))=TRUE,"",Lines!AT43)</f>
        <v/>
      </c>
    </row>
    <row r="44" spans="1:46" ht="20.25" customHeight="1">
      <c r="A44" s="2" t="s">
        <v>92</v>
      </c>
      <c r="B44" s="30" t="str">
        <f>IF(ISERROR(FIND($A$2,Lines!B44))=TRUE,"",Lines!B44)</f>
        <v/>
      </c>
      <c r="C44" s="30" t="str">
        <f>IF(ISERROR(FIND($A$2,Lines!C44))=TRUE,"",Lines!C44)</f>
        <v/>
      </c>
      <c r="D44" s="30" t="str">
        <f>IF(ISERROR(FIND($A$2,Lines!D44))=TRUE,"",Lines!D44)</f>
        <v/>
      </c>
      <c r="E44" s="30" t="str">
        <f>IF(ISERROR(FIND($A$2,Lines!E44))=TRUE,"",Lines!E44)</f>
        <v/>
      </c>
      <c r="F44" s="74" t="str">
        <f>IF(ISERROR(FIND($A$2,Lines!F44))=TRUE,"",Lines!F44)</f>
        <v/>
      </c>
      <c r="G44" s="74" t="str">
        <f>IF(ISERROR(FIND($A$2,Lines!G44))=TRUE,"",Lines!G44)</f>
        <v/>
      </c>
      <c r="H44" s="74" t="str">
        <f>IF(ISERROR(FIND($A$2,Lines!H44))=TRUE,"",Lines!H44)</f>
        <v/>
      </c>
      <c r="I44" s="74" t="str">
        <f>IF(ISERROR(FIND($A$2,Lines!I44))=TRUE,"",Lines!I44)</f>
        <v/>
      </c>
      <c r="J44" s="74" t="str">
        <f>IF(ISERROR(FIND($A$2,Lines!J44))=TRUE,"",Lines!J44)</f>
        <v/>
      </c>
      <c r="K44" s="74" t="str">
        <f>IF(ISERROR(FIND($A$2,Lines!K44))=TRUE,"",Lines!K44)</f>
        <v/>
      </c>
      <c r="L44" s="74" t="str">
        <f>IF(ISERROR(FIND($A$2,Lines!L44))=TRUE,"",Lines!L44)</f>
        <v/>
      </c>
      <c r="M44" s="74" t="str">
        <f>IF(ISERROR(FIND($A$2,Lines!M44))=TRUE,"",Lines!M44)</f>
        <v/>
      </c>
      <c r="N44" s="74" t="str">
        <f>IF(ISERROR(FIND($A$2,Lines!N44))=TRUE,"",Lines!N44)</f>
        <v/>
      </c>
      <c r="O44" s="74" t="str">
        <f>IF(ISERROR(FIND($A$2,Lines!O44))=TRUE,"",Lines!O44)</f>
        <v/>
      </c>
      <c r="P44" s="74" t="str">
        <f>IF(ISERROR(FIND($A$2,Lines!P44))=TRUE,"",Lines!P44)</f>
        <v/>
      </c>
      <c r="Q44" s="74" t="str">
        <f>IF(ISERROR(FIND($A$2,Lines!Q44))=TRUE,"",Lines!Q44)</f>
        <v/>
      </c>
      <c r="R44" s="74" t="str">
        <f>IF(ISERROR(FIND($A$2,Lines!R44))=TRUE,"",Lines!R44)</f>
        <v/>
      </c>
      <c r="S44" s="74" t="str">
        <f>IF(ISERROR(FIND($A$2,Lines!S44))=TRUE,"",Lines!S44)</f>
        <v/>
      </c>
      <c r="T44" s="74" t="str">
        <f>IF(ISERROR(FIND($A$2,Lines!T44))=TRUE,"",Lines!T44)</f>
        <v/>
      </c>
      <c r="U44" s="74" t="str">
        <f>IF(ISERROR(FIND($A$2,Lines!U44))=TRUE,"",Lines!U44)</f>
        <v/>
      </c>
      <c r="V44" s="74" t="str">
        <f>IF(ISERROR(FIND($A$2,Lines!V44))=TRUE,"",Lines!V44)</f>
        <v/>
      </c>
      <c r="W44" s="145" t="str">
        <f>IF(ISERROR(FIND($A$2,Lines!W44))=TRUE,"",Lines!W44)</f>
        <v/>
      </c>
      <c r="X44" s="74" t="str">
        <f>IF(ISERROR(FIND($A$2,Lines!X44))=TRUE,"",Lines!X44)</f>
        <v/>
      </c>
      <c r="Y44" s="74" t="str">
        <f>IF(ISERROR(FIND($A$2,Lines!Y44))=TRUE,"",Lines!Y44)</f>
        <v/>
      </c>
      <c r="Z44" s="74" t="str">
        <f>IF(ISERROR(FIND($A$2,Lines!Z44))=TRUE,"",Lines!Z44)</f>
        <v/>
      </c>
      <c r="AA44" s="74" t="str">
        <f>IF(ISERROR(FIND($A$2,Lines!AA44))=TRUE,"",Lines!AA44)</f>
        <v/>
      </c>
      <c r="AB44" s="74" t="str">
        <f>IF(ISERROR(FIND($A$2,Lines!AB44))=TRUE,"",Lines!AB44)</f>
        <v/>
      </c>
      <c r="AC44" s="74" t="str">
        <f>IF(ISERROR(FIND($A$2,Lines!AC44))=TRUE,"",Lines!AC44)</f>
        <v/>
      </c>
      <c r="AD44" s="74" t="str">
        <f>IF(ISERROR(FIND($A$2,Lines!AD44))=TRUE,"",Lines!AD44)</f>
        <v/>
      </c>
      <c r="AE44" s="74" t="str">
        <f>IF(ISERROR(FIND($A$2,Lines!AE44))=TRUE,"",Lines!AE44)</f>
        <v>2±500+2±500（3000MW+3000MW）</v>
      </c>
      <c r="AF44" s="74" t="str">
        <f>IF(ISERROR(FIND($A$2,Lines!AF44))=TRUE,"",Lines!AF44)</f>
        <v/>
      </c>
      <c r="AG44" s="74" t="str">
        <f>IF(ISERROR(FIND($A$2,Lines!AG44))=TRUE,"",Lines!AG44)</f>
        <v/>
      </c>
      <c r="AH44" s="74" t="str">
        <f>IF(ISERROR(FIND($A$2,Lines!AH44))=TRUE,"",Lines!AH44)</f>
        <v/>
      </c>
      <c r="AI44" s="74" t="str">
        <f>IF(ISERROR(FIND($A$2,Lines!AI44))=TRUE,"",Lines!AI44)</f>
        <v/>
      </c>
      <c r="AJ44" s="74" t="str">
        <f>IF(ISERROR(FIND($A$2,Lines!AJ44))=TRUE,"",Lines!AJ44)</f>
        <v/>
      </c>
      <c r="AK44" s="74" t="str">
        <f>IF(ISERROR(FIND($A$2,Lines!AK44))=TRUE,"",Lines!AK44)</f>
        <v/>
      </c>
      <c r="AL44" s="74" t="str">
        <f>IF(ISERROR(FIND($A$2,Lines!AL44))=TRUE,"",Lines!AL44)</f>
        <v/>
      </c>
      <c r="AM44" s="74" t="str">
        <f>IF(ISERROR(FIND($A$2,Lines!AM44))=TRUE,"",Lines!AM44)</f>
        <v/>
      </c>
      <c r="AN44" s="74" t="str">
        <f>IF(ISERROR(FIND($A$2,Lines!AN44))=TRUE,"",Lines!AN44)</f>
        <v/>
      </c>
      <c r="AO44" s="153" t="str">
        <f>IF(ISERROR(FIND($A$2,Lines!AO44))=TRUE,"",Lines!AO44)</f>
        <v/>
      </c>
      <c r="AP44" s="146" t="str">
        <f>IF(ISERROR(FIND($A$2,Lines!AP44))=TRUE,"",Lines!AP44)</f>
        <v/>
      </c>
      <c r="AQ44" s="177" t="str">
        <f>IF(ISERROR(FIND($A$2,Lines!AQ44))=TRUE,"",Lines!AQ44)</f>
        <v/>
      </c>
      <c r="AR44" s="177" t="str">
        <f>IF(ISERROR(FIND($A$2,Lines!AR44))=TRUE,"",Lines!AR44)</f>
        <v/>
      </c>
      <c r="AS44" s="177" t="str">
        <f>IF(ISERROR(FIND($A$2,Lines!AS44))=TRUE,"",Lines!AS44)</f>
        <v/>
      </c>
      <c r="AT44" s="62" t="str">
        <f>IF(ISERROR(FIND($A$2,Lines!AT44))=TRUE,"",Lines!AT44)</f>
        <v/>
      </c>
    </row>
    <row r="45" spans="1:46" ht="20.25" customHeight="1">
      <c r="A45" s="2" t="s">
        <v>93</v>
      </c>
      <c r="B45" s="30" t="str">
        <f>IF(ISERROR(FIND($A$2,Lines!B45))=TRUE,"",Lines!B45)</f>
        <v/>
      </c>
      <c r="C45" s="30" t="str">
        <f>IF(ISERROR(FIND($A$2,Lines!C45))=TRUE,"",Lines!C45)</f>
        <v/>
      </c>
      <c r="D45" s="30" t="str">
        <f>IF(ISERROR(FIND($A$2,Lines!D45))=TRUE,"",Lines!D45)</f>
        <v/>
      </c>
      <c r="E45" s="30" t="str">
        <f>IF(ISERROR(FIND($A$2,Lines!E45))=TRUE,"",Lines!E45)</f>
        <v/>
      </c>
      <c r="F45" s="74" t="str">
        <f>IF(ISERROR(FIND($A$2,Lines!F45))=TRUE,"",Lines!F45)</f>
        <v/>
      </c>
      <c r="G45" s="74" t="str">
        <f>IF(ISERROR(FIND($A$2,Lines!G45))=TRUE,"",Lines!G45)</f>
        <v/>
      </c>
      <c r="H45" s="74" t="str">
        <f>IF(ISERROR(FIND($A$2,Lines!H45))=TRUE,"",Lines!H45)</f>
        <v/>
      </c>
      <c r="I45" s="74" t="str">
        <f>IF(ISERROR(FIND($A$2,Lines!I45))=TRUE,"",Lines!I45)</f>
        <v/>
      </c>
      <c r="J45" s="74" t="str">
        <f>IF(ISERROR(FIND($A$2,Lines!J45))=TRUE,"",Lines!J45)</f>
        <v/>
      </c>
      <c r="K45" s="74" t="str">
        <f>IF(ISERROR(FIND($A$2,Lines!K45))=TRUE,"",Lines!K45)</f>
        <v/>
      </c>
      <c r="L45" s="74" t="str">
        <f>IF(ISERROR(FIND($A$2,Lines!L45))=TRUE,"",Lines!L45)</f>
        <v/>
      </c>
      <c r="M45" s="74" t="str">
        <f>IF(ISERROR(FIND($A$2,Lines!M45))=TRUE,"",Lines!M45)</f>
        <v/>
      </c>
      <c r="N45" s="74" t="str">
        <f>IF(ISERROR(FIND($A$2,Lines!N45))=TRUE,"",Lines!N45)</f>
        <v/>
      </c>
      <c r="O45" s="74" t="str">
        <f>IF(ISERROR(FIND($A$2,Lines!O45))=TRUE,"",Lines!O45)</f>
        <v/>
      </c>
      <c r="P45" s="74" t="str">
        <f>IF(ISERROR(FIND($A$2,Lines!P45))=TRUE,"",Lines!P45)</f>
        <v/>
      </c>
      <c r="Q45" s="74" t="str">
        <f>IF(ISERROR(FIND($A$2,Lines!Q45))=TRUE,"",Lines!Q45)</f>
        <v/>
      </c>
      <c r="R45" s="74" t="str">
        <f>IF(ISERROR(FIND($A$2,Lines!R45))=TRUE,"",Lines!R45)</f>
        <v/>
      </c>
      <c r="S45" s="74" t="str">
        <f>IF(ISERROR(FIND($A$2,Lines!S45))=TRUE,"",Lines!S45)</f>
        <v/>
      </c>
      <c r="T45" s="74" t="str">
        <f>IF(ISERROR(FIND($A$2,Lines!T45))=TRUE,"",Lines!T45)</f>
        <v/>
      </c>
      <c r="U45" s="74" t="str">
        <f>IF(ISERROR(FIND($A$2,Lines!U45))=TRUE,"",Lines!U45)</f>
        <v/>
      </c>
      <c r="V45" s="74" t="str">
        <f>IF(ISERROR(FIND($A$2,Lines!V45))=TRUE,"",Lines!V45)</f>
        <v/>
      </c>
      <c r="W45" s="145" t="str">
        <f>IF(ISERROR(FIND($A$2,Lines!W45))=TRUE,"",Lines!W45)</f>
        <v/>
      </c>
      <c r="X45" s="74" t="str">
        <f>IF(ISERROR(FIND($A$2,Lines!X45))=TRUE,"",Lines!X45)</f>
        <v/>
      </c>
      <c r="Y45" s="74" t="str">
        <f>IF(ISERROR(FIND($A$2,Lines!Y45))=TRUE,"",Lines!Y45)</f>
        <v/>
      </c>
      <c r="Z45" s="74" t="str">
        <f>IF(ISERROR(FIND($A$2,Lines!Z45))=TRUE,"",Lines!Z45)</f>
        <v/>
      </c>
      <c r="AA45" s="74" t="str">
        <f>IF(ISERROR(FIND($A$2,Lines!AA45))=TRUE,"",Lines!AA45)</f>
        <v/>
      </c>
      <c r="AB45" s="74" t="str">
        <f>IF(ISERROR(FIND($A$2,Lines!AB45))=TRUE,"",Lines!AB45)</f>
        <v/>
      </c>
      <c r="AC45" s="74" t="str">
        <f>IF(ISERROR(FIND($A$2,Lines!AC45))=TRUE,"",Lines!AC45)</f>
        <v/>
      </c>
      <c r="AD45" s="74" t="str">
        <f>IF(ISERROR(FIND($A$2,Lines!AD45))=TRUE,"",Lines!AD45)</f>
        <v/>
      </c>
      <c r="AE45" s="74" t="str">
        <f>IF(ISERROR(FIND($A$2,Lines!AE45))=TRUE,"",Lines!AE45)</f>
        <v>1*±500</v>
      </c>
      <c r="AF45" s="74" t="str">
        <f>IF(ISERROR(FIND($A$2,Lines!AF45))=TRUE,"",Lines!AF45)</f>
        <v/>
      </c>
      <c r="AG45" s="74" t="str">
        <f>IF(ISERROR(FIND($A$2,Lines!AG45))=TRUE,"",Lines!AG45)</f>
        <v/>
      </c>
      <c r="AH45" s="74" t="str">
        <f>IF(ISERROR(FIND($A$2,Lines!AH45))=TRUE,"",Lines!AH45)</f>
        <v/>
      </c>
      <c r="AI45" s="74" t="str">
        <f>IF(ISERROR(FIND($A$2,Lines!AI45))=TRUE,"",Lines!AI45)</f>
        <v/>
      </c>
      <c r="AJ45" s="74" t="str">
        <f>IF(ISERROR(FIND($A$2,Lines!AJ45))=TRUE,"",Lines!AJ45)</f>
        <v/>
      </c>
      <c r="AK45" s="74" t="str">
        <f>IF(ISERROR(FIND($A$2,Lines!AK45))=TRUE,"",Lines!AK45)</f>
        <v/>
      </c>
      <c r="AL45" s="74" t="str">
        <f>IF(ISERROR(FIND($A$2,Lines!AL45))=TRUE,"",Lines!AL45)</f>
        <v/>
      </c>
      <c r="AM45" s="74" t="str">
        <f>IF(ISERROR(FIND($A$2,Lines!AM45))=TRUE,"",Lines!AM45)</f>
        <v/>
      </c>
      <c r="AN45" s="74" t="str">
        <f>IF(ISERROR(FIND($A$2,Lines!AN45))=TRUE,"",Lines!AN45)</f>
        <v/>
      </c>
      <c r="AO45" s="74" t="str">
        <f>IF(ISERROR(FIND($A$2,Lines!AO45))=TRUE,"",Lines!AO45)</f>
        <v/>
      </c>
      <c r="AP45" s="178" t="str">
        <f>IF(ISERROR(FIND($A$2,Lines!AP45))=TRUE,"",Lines!AP45)</f>
        <v/>
      </c>
      <c r="AQ45" s="150" t="str">
        <f>IF(ISERROR(FIND($A$2,Lines!AQ45))=TRUE,"",Lines!AQ45)</f>
        <v/>
      </c>
      <c r="AR45" s="179" t="str">
        <f>IF(ISERROR(FIND($A$2,Lines!AR45))=TRUE,"",Lines!AR45)</f>
        <v/>
      </c>
      <c r="AS45" s="179" t="str">
        <f>IF(ISERROR(FIND($A$2,Lines!AS45))=TRUE,"",Lines!AS45)</f>
        <v/>
      </c>
      <c r="AT45" s="44" t="str">
        <f>IF(ISERROR(FIND($A$2,Lines!AT45))=TRUE,"",Lines!AT45)</f>
        <v/>
      </c>
    </row>
    <row r="46" spans="1:46" ht="20.25" customHeight="1">
      <c r="A46" s="2" t="s">
        <v>94</v>
      </c>
      <c r="B46" s="30" t="str">
        <f>IF(ISERROR(FIND($A$2,Lines!B46))=TRUE,"",Lines!B46)</f>
        <v/>
      </c>
      <c r="C46" s="30" t="str">
        <f>IF(ISERROR(FIND($A$2,Lines!C46))=TRUE,"",Lines!C46)</f>
        <v/>
      </c>
      <c r="D46" s="30" t="str">
        <f>IF(ISERROR(FIND($A$2,Lines!D46))=TRUE,"",Lines!D46)</f>
        <v/>
      </c>
      <c r="E46" s="30" t="str">
        <f>IF(ISERROR(FIND($A$2,Lines!E46))=TRUE,"",Lines!E46)</f>
        <v/>
      </c>
      <c r="F46" s="74" t="str">
        <f>IF(ISERROR(FIND($A$2,Lines!F46))=TRUE,"",Lines!F46)</f>
        <v/>
      </c>
      <c r="G46" s="74" t="str">
        <f>IF(ISERROR(FIND($A$2,Lines!G46))=TRUE,"",Lines!G46)</f>
        <v/>
      </c>
      <c r="H46" s="74" t="str">
        <f>IF(ISERROR(FIND($A$2,Lines!H46))=TRUE,"",Lines!H46)</f>
        <v/>
      </c>
      <c r="I46" s="74" t="str">
        <f>IF(ISERROR(FIND($A$2,Lines!I46))=TRUE,"",Lines!I46)</f>
        <v/>
      </c>
      <c r="J46" s="74" t="str">
        <f>IF(ISERROR(FIND($A$2,Lines!J46))=TRUE,"",Lines!J46)</f>
        <v/>
      </c>
      <c r="K46" s="74" t="str">
        <f>IF(ISERROR(FIND($A$2,Lines!K46))=TRUE,"",Lines!K46)</f>
        <v/>
      </c>
      <c r="L46" s="74" t="str">
        <f>IF(ISERROR(FIND($A$2,Lines!L46))=TRUE,"",Lines!L46)</f>
        <v/>
      </c>
      <c r="M46" s="74" t="str">
        <f>IF(ISERROR(FIND($A$2,Lines!M46))=TRUE,"",Lines!M46)</f>
        <v/>
      </c>
      <c r="N46" s="74" t="str">
        <f>IF(ISERROR(FIND($A$2,Lines!N46))=TRUE,"",Lines!N46)</f>
        <v/>
      </c>
      <c r="O46" s="74" t="str">
        <f>IF(ISERROR(FIND($A$2,Lines!O46))=TRUE,"",Lines!O46)</f>
        <v/>
      </c>
      <c r="P46" s="74" t="str">
        <f>IF(ISERROR(FIND($A$2,Lines!P46))=TRUE,"",Lines!P46)</f>
        <v/>
      </c>
      <c r="Q46" s="74" t="str">
        <f>IF(ISERROR(FIND($A$2,Lines!Q46))=TRUE,"",Lines!Q46)</f>
        <v/>
      </c>
      <c r="R46" s="74" t="str">
        <f>IF(ISERROR(FIND($A$2,Lines!R46))=TRUE,"",Lines!R46)</f>
        <v/>
      </c>
      <c r="S46" s="74" t="str">
        <f>IF(ISERROR(FIND($A$2,Lines!S46))=TRUE,"",Lines!S46)</f>
        <v/>
      </c>
      <c r="T46" s="74" t="str">
        <f>IF(ISERROR(FIND($A$2,Lines!T46))=TRUE,"",Lines!T46)</f>
        <v/>
      </c>
      <c r="U46" s="74" t="str">
        <f>IF(ISERROR(FIND($A$2,Lines!U46))=TRUE,"",Lines!U46)</f>
        <v/>
      </c>
      <c r="V46" s="74" t="str">
        <f>IF(ISERROR(FIND($A$2,Lines!V46))=TRUE,"",Lines!V46)</f>
        <v/>
      </c>
      <c r="W46" s="145" t="str">
        <f>IF(ISERROR(FIND($A$2,Lines!W46))=TRUE,"",Lines!W46)</f>
        <v/>
      </c>
      <c r="X46" s="74" t="str">
        <f>IF(ISERROR(FIND($A$2,Lines!X46))=TRUE,"",Lines!X46)</f>
        <v/>
      </c>
      <c r="Y46" s="74" t="str">
        <f>IF(ISERROR(FIND($A$2,Lines!Y46))=TRUE,"",Lines!Y46)</f>
        <v/>
      </c>
      <c r="Z46" s="74" t="str">
        <f>IF(ISERROR(FIND($A$2,Lines!Z46))=TRUE,"",Lines!Z46)</f>
        <v/>
      </c>
      <c r="AA46" s="74" t="str">
        <f>IF(ISERROR(FIND($A$2,Lines!AA46))=TRUE,"",Lines!AA46)</f>
        <v/>
      </c>
      <c r="AB46" s="74" t="str">
        <f>IF(ISERROR(FIND($A$2,Lines!AB46))=TRUE,"",Lines!AB46)</f>
        <v/>
      </c>
      <c r="AC46" s="74" t="str">
        <f>IF(ISERROR(FIND($A$2,Lines!AC46))=TRUE,"",Lines!AC46)</f>
        <v/>
      </c>
      <c r="AD46" s="74" t="str">
        <f>IF(ISERROR(FIND($A$2,Lines!AD46))=TRUE,"",Lines!AD46)</f>
        <v/>
      </c>
      <c r="AE46" s="74" t="str">
        <f>IF(ISERROR(FIND($A$2,Lines!AE46))=TRUE,"",Lines!AE46)</f>
        <v/>
      </c>
      <c r="AF46" s="74" t="str">
        <f>IF(ISERROR(FIND($A$2,Lines!AF46))=TRUE,"",Lines!AF46)</f>
        <v/>
      </c>
      <c r="AG46" s="74" t="str">
        <f>IF(ISERROR(FIND($A$2,Lines!AG46))=TRUE,"",Lines!AG46)</f>
        <v/>
      </c>
      <c r="AH46" s="74" t="str">
        <f>IF(ISERROR(FIND($A$2,Lines!AH46))=TRUE,"",Lines!AH46)</f>
        <v/>
      </c>
      <c r="AI46" s="74" t="str">
        <f>IF(ISERROR(FIND($A$2,Lines!AI46))=TRUE,"",Lines!AI46)</f>
        <v/>
      </c>
      <c r="AJ46" s="74" t="str">
        <f>IF(ISERROR(FIND($A$2,Lines!AJ46))=TRUE,"",Lines!AJ46)</f>
        <v/>
      </c>
      <c r="AK46" s="74" t="str">
        <f>IF(ISERROR(FIND($A$2,Lines!AK46))=TRUE,"",Lines!AK46)</f>
        <v/>
      </c>
      <c r="AL46" s="74" t="str">
        <f>IF(ISERROR(FIND($A$2,Lines!AL46))=TRUE,"",Lines!AL46)</f>
        <v/>
      </c>
      <c r="AM46" s="74" t="str">
        <f>IF(ISERROR(FIND($A$2,Lines!AM46))=TRUE,"",Lines!AM46)</f>
        <v/>
      </c>
      <c r="AN46" s="74" t="str">
        <f>IF(ISERROR(FIND($A$2,Lines!AN46))=TRUE,"",Lines!AN46)</f>
        <v/>
      </c>
      <c r="AO46" s="74" t="str">
        <f>IF(ISERROR(FIND($A$2,Lines!AO46))=TRUE,"",Lines!AO46)</f>
        <v/>
      </c>
      <c r="AP46" s="178" t="str">
        <f>IF(ISERROR(FIND($A$2,Lines!AP46))=TRUE,"",Lines!AP46)</f>
        <v/>
      </c>
      <c r="AQ46" s="179" t="str">
        <f>IF(ISERROR(FIND($A$2,Lines!AQ46))=TRUE,"",Lines!AQ46)</f>
        <v/>
      </c>
      <c r="AR46" s="150" t="str">
        <f>IF(ISERROR(FIND($A$2,Lines!AR46))=TRUE,"",Lines!AR46)</f>
        <v/>
      </c>
      <c r="AS46" s="179" t="str">
        <f>IF(ISERROR(FIND($A$2,Lines!AS46))=TRUE,"",Lines!AS46)</f>
        <v/>
      </c>
      <c r="AT46" s="44" t="str">
        <f>IF(ISERROR(FIND($A$2,Lines!AT46))=TRUE,"",Lines!AT46)</f>
        <v/>
      </c>
    </row>
    <row r="47" spans="1:46" ht="20.25" customHeight="1">
      <c r="A47" s="2" t="s">
        <v>95</v>
      </c>
      <c r="B47" s="30" t="str">
        <f>IF(ISERROR(FIND($A$2,Lines!B47))=TRUE,"",Lines!B47)</f>
        <v/>
      </c>
      <c r="C47" s="30" t="str">
        <f>IF(ISERROR(FIND($A$2,Lines!C47))=TRUE,"",Lines!C47)</f>
        <v/>
      </c>
      <c r="D47" s="30" t="str">
        <f>IF(ISERROR(FIND($A$2,Lines!D47))=TRUE,"",Lines!D47)</f>
        <v/>
      </c>
      <c r="E47" s="30" t="str">
        <f>IF(ISERROR(FIND($A$2,Lines!E47))=TRUE,"",Lines!E47)</f>
        <v/>
      </c>
      <c r="F47" s="74" t="str">
        <f>IF(ISERROR(FIND($A$2,Lines!F47))=TRUE,"",Lines!F47)</f>
        <v/>
      </c>
      <c r="G47" s="74" t="str">
        <f>IF(ISERROR(FIND($A$2,Lines!G47))=TRUE,"",Lines!G47)</f>
        <v/>
      </c>
      <c r="H47" s="74" t="str">
        <f>IF(ISERROR(FIND($A$2,Lines!H47))=TRUE,"",Lines!H47)</f>
        <v/>
      </c>
      <c r="I47" s="74" t="str">
        <f>IF(ISERROR(FIND($A$2,Lines!I47))=TRUE,"",Lines!I47)</f>
        <v/>
      </c>
      <c r="J47" s="74" t="str">
        <f>IF(ISERROR(FIND($A$2,Lines!J47))=TRUE,"",Lines!J47)</f>
        <v/>
      </c>
      <c r="K47" s="74" t="str">
        <f>IF(ISERROR(FIND($A$2,Lines!K47))=TRUE,"",Lines!K47)</f>
        <v/>
      </c>
      <c r="L47" s="74" t="str">
        <f>IF(ISERROR(FIND($A$2,Lines!L47))=TRUE,"",Lines!L47)</f>
        <v/>
      </c>
      <c r="M47" s="74" t="str">
        <f>IF(ISERROR(FIND($A$2,Lines!M47))=TRUE,"",Lines!M47)</f>
        <v/>
      </c>
      <c r="N47" s="74" t="str">
        <f>IF(ISERROR(FIND($A$2,Lines!N47))=TRUE,"",Lines!N47)</f>
        <v/>
      </c>
      <c r="O47" s="74" t="str">
        <f>IF(ISERROR(FIND($A$2,Lines!O47))=TRUE,"",Lines!O47)</f>
        <v/>
      </c>
      <c r="P47" s="74" t="str">
        <f>IF(ISERROR(FIND($A$2,Lines!P47))=TRUE,"",Lines!P47)</f>
        <v/>
      </c>
      <c r="Q47" s="74" t="str">
        <f>IF(ISERROR(FIND($A$2,Lines!Q47))=TRUE,"",Lines!Q47)</f>
        <v/>
      </c>
      <c r="R47" s="74" t="str">
        <f>IF(ISERROR(FIND($A$2,Lines!R47))=TRUE,"",Lines!R47)</f>
        <v/>
      </c>
      <c r="S47" s="74" t="str">
        <f>IF(ISERROR(FIND($A$2,Lines!S47))=TRUE,"",Lines!S47)</f>
        <v/>
      </c>
      <c r="T47" s="74" t="str">
        <f>IF(ISERROR(FIND($A$2,Lines!T47))=TRUE,"",Lines!T47)</f>
        <v/>
      </c>
      <c r="U47" s="74" t="str">
        <f>IF(ISERROR(FIND($A$2,Lines!U47))=TRUE,"",Lines!U47)</f>
        <v/>
      </c>
      <c r="V47" s="74" t="str">
        <f>IF(ISERROR(FIND($A$2,Lines!V47))=TRUE,"",Lines!V47)</f>
        <v/>
      </c>
      <c r="W47" s="145" t="str">
        <f>IF(ISERROR(FIND($A$2,Lines!W47))=TRUE,"",Lines!W47)</f>
        <v/>
      </c>
      <c r="X47" s="74" t="str">
        <f>IF(ISERROR(FIND($A$2,Lines!X47))=TRUE,"",Lines!X47)</f>
        <v/>
      </c>
      <c r="Y47" s="74" t="str">
        <f>IF(ISERROR(FIND($A$2,Lines!Y47))=TRUE,"",Lines!Y47)</f>
        <v/>
      </c>
      <c r="Z47" s="74" t="str">
        <f>IF(ISERROR(FIND($A$2,Lines!Z47))=TRUE,"",Lines!Z47)</f>
        <v/>
      </c>
      <c r="AA47" s="74" t="str">
        <f>IF(ISERROR(FIND($A$2,Lines!AA47))=TRUE,"",Lines!AA47)</f>
        <v/>
      </c>
      <c r="AB47" s="74" t="str">
        <f>IF(ISERROR(FIND($A$2,Lines!AB47))=TRUE,"",Lines!AB47)</f>
        <v/>
      </c>
      <c r="AC47" s="74" t="str">
        <f>IF(ISERROR(FIND($A$2,Lines!AC47))=TRUE,"",Lines!AC47)</f>
        <v/>
      </c>
      <c r="AD47" s="74" t="str">
        <f>IF(ISERROR(FIND($A$2,Lines!AD47))=TRUE,"",Lines!AD47)</f>
        <v/>
      </c>
      <c r="AE47" s="74" t="str">
        <f>IF(ISERROR(FIND($A$2,Lines!AE47))=TRUE,"",Lines!AE47)</f>
        <v/>
      </c>
      <c r="AF47" s="74" t="str">
        <f>IF(ISERROR(FIND($A$2,Lines!AF47))=TRUE,"",Lines!AF47)</f>
        <v/>
      </c>
      <c r="AG47" s="74" t="str">
        <f>IF(ISERROR(FIND($A$2,Lines!AG47))=TRUE,"",Lines!AG47)</f>
        <v/>
      </c>
      <c r="AH47" s="74" t="str">
        <f>IF(ISERROR(FIND($A$2,Lines!AH47))=TRUE,"",Lines!AH47)</f>
        <v/>
      </c>
      <c r="AI47" s="74" t="str">
        <f>IF(ISERROR(FIND($A$2,Lines!AI47))=TRUE,"",Lines!AI47)</f>
        <v/>
      </c>
      <c r="AJ47" s="74" t="str">
        <f>IF(ISERROR(FIND($A$2,Lines!AJ47))=TRUE,"",Lines!AJ47)</f>
        <v/>
      </c>
      <c r="AK47" s="74" t="str">
        <f>IF(ISERROR(FIND($A$2,Lines!AK47))=TRUE,"",Lines!AK47)</f>
        <v/>
      </c>
      <c r="AL47" s="74" t="str">
        <f>IF(ISERROR(FIND($A$2,Lines!AL47))=TRUE,"",Lines!AL47)</f>
        <v/>
      </c>
      <c r="AM47" s="74" t="str">
        <f>IF(ISERROR(FIND($A$2,Lines!AM47))=TRUE,"",Lines!AM47)</f>
        <v/>
      </c>
      <c r="AN47" s="74" t="str">
        <f>IF(ISERROR(FIND($A$2,Lines!AN47))=TRUE,"",Lines!AN47)</f>
        <v/>
      </c>
      <c r="AO47" s="74" t="str">
        <f>IF(ISERROR(FIND($A$2,Lines!AO47))=TRUE,"",Lines!AO47)</f>
        <v/>
      </c>
      <c r="AP47" s="178" t="str">
        <f>IF(ISERROR(FIND($A$2,Lines!AP47))=TRUE,"",Lines!AP47)</f>
        <v/>
      </c>
      <c r="AQ47" s="179" t="str">
        <f>IF(ISERROR(FIND($A$2,Lines!AQ47))=TRUE,"",Lines!AQ47)</f>
        <v/>
      </c>
      <c r="AR47" s="179" t="str">
        <f>IF(ISERROR(FIND($A$2,Lines!AR47))=TRUE,"",Lines!AR47)</f>
        <v/>
      </c>
      <c r="AS47" s="150" t="str">
        <f>IF(ISERROR(FIND($A$2,Lines!AS47))=TRUE,"",Lines!AS47)</f>
        <v/>
      </c>
      <c r="AT47" s="44" t="str">
        <f>IF(ISERROR(FIND($A$2,Lines!AT47))=TRUE,"",Lines!AT47)</f>
        <v/>
      </c>
    </row>
    <row r="48" spans="1:46" ht="20.25" customHeight="1">
      <c r="A48" s="2" t="s">
        <v>96</v>
      </c>
      <c r="B48" s="30" t="str">
        <f>IF(ISERROR(FIND($A$2,Lines!B48))=TRUE,"",Lines!B48)</f>
        <v/>
      </c>
      <c r="C48" s="30" t="str">
        <f>IF(ISERROR(FIND($A$2,Lines!C48))=TRUE,"",Lines!C48)</f>
        <v/>
      </c>
      <c r="D48" s="30" t="str">
        <f>IF(ISERROR(FIND($A$2,Lines!D48))=TRUE,"",Lines!D48)</f>
        <v/>
      </c>
      <c r="E48" s="30" t="str">
        <f>IF(ISERROR(FIND($A$2,Lines!E48))=TRUE,"",Lines!E48)</f>
        <v/>
      </c>
      <c r="F48" s="74" t="str">
        <f>IF(ISERROR(FIND($A$2,Lines!F48))=TRUE,"",Lines!F48)</f>
        <v/>
      </c>
      <c r="G48" s="74" t="str">
        <f>IF(ISERROR(FIND($A$2,Lines!G48))=TRUE,"",Lines!G48)</f>
        <v/>
      </c>
      <c r="H48" s="74" t="str">
        <f>IF(ISERROR(FIND($A$2,Lines!H48))=TRUE,"",Lines!H48)</f>
        <v/>
      </c>
      <c r="I48" s="74" t="str">
        <f>IF(ISERROR(FIND($A$2,Lines!I48))=TRUE,"",Lines!I48)</f>
        <v/>
      </c>
      <c r="J48" s="74" t="str">
        <f>IF(ISERROR(FIND($A$2,Lines!J48))=TRUE,"",Lines!J48)</f>
        <v/>
      </c>
      <c r="K48" s="74" t="str">
        <f>IF(ISERROR(FIND($A$2,Lines!K48))=TRUE,"",Lines!K48)</f>
        <v/>
      </c>
      <c r="L48" s="74" t="str">
        <f>IF(ISERROR(FIND($A$2,Lines!L48))=TRUE,"",Lines!L48)</f>
        <v/>
      </c>
      <c r="M48" s="74" t="str">
        <f>IF(ISERROR(FIND($A$2,Lines!M48))=TRUE,"",Lines!M48)</f>
        <v/>
      </c>
      <c r="N48" s="74" t="str">
        <f>IF(ISERROR(FIND($A$2,Lines!N48))=TRUE,"",Lines!N48)</f>
        <v/>
      </c>
      <c r="O48" s="74" t="str">
        <f>IF(ISERROR(FIND($A$2,Lines!O48))=TRUE,"",Lines!O48)</f>
        <v/>
      </c>
      <c r="P48" s="74" t="str">
        <f>IF(ISERROR(FIND($A$2,Lines!P48))=TRUE,"",Lines!P48)</f>
        <v/>
      </c>
      <c r="Q48" s="74" t="str">
        <f>IF(ISERROR(FIND($A$2,Lines!Q48))=TRUE,"",Lines!Q48)</f>
        <v/>
      </c>
      <c r="R48" s="74" t="str">
        <f>IF(ISERROR(FIND($A$2,Lines!R48))=TRUE,"",Lines!R48)</f>
        <v/>
      </c>
      <c r="S48" s="74" t="str">
        <f>IF(ISERROR(FIND($A$2,Lines!S48))=TRUE,"",Lines!S48)</f>
        <v/>
      </c>
      <c r="T48" s="74" t="str">
        <f>IF(ISERROR(FIND($A$2,Lines!T48))=TRUE,"",Lines!T48)</f>
        <v/>
      </c>
      <c r="U48" s="74" t="str">
        <f>IF(ISERROR(FIND($A$2,Lines!U48))=TRUE,"",Lines!U48)</f>
        <v/>
      </c>
      <c r="V48" s="74" t="str">
        <f>IF(ISERROR(FIND($A$2,Lines!V48))=TRUE,"",Lines!V48)</f>
        <v/>
      </c>
      <c r="W48" s="145" t="str">
        <f>IF(ISERROR(FIND($A$2,Lines!W48))=TRUE,"",Lines!W48)</f>
        <v/>
      </c>
      <c r="X48" s="74" t="str">
        <f>IF(ISERROR(FIND($A$2,Lines!X48))=TRUE,"",Lines!X48)</f>
        <v/>
      </c>
      <c r="Y48" s="74" t="str">
        <f>IF(ISERROR(FIND($A$2,Lines!Y48))=TRUE,"",Lines!Y48)</f>
        <v/>
      </c>
      <c r="Z48" s="74" t="str">
        <f>IF(ISERROR(FIND($A$2,Lines!Z48))=TRUE,"",Lines!Z48)</f>
        <v/>
      </c>
      <c r="AA48" s="74" t="str">
        <f>IF(ISERROR(FIND($A$2,Lines!AA48))=TRUE,"",Lines!AA48)</f>
        <v/>
      </c>
      <c r="AB48" s="74" t="str">
        <f>IF(ISERROR(FIND($A$2,Lines!AB48))=TRUE,"",Lines!AB48)</f>
        <v/>
      </c>
      <c r="AC48" s="74" t="str">
        <f>IF(ISERROR(FIND($A$2,Lines!AC48))=TRUE,"",Lines!AC48)</f>
        <v/>
      </c>
      <c r="AD48" s="74" t="str">
        <f>IF(ISERROR(FIND($A$2,Lines!AD48))=TRUE,"",Lines!AD48)</f>
        <v/>
      </c>
      <c r="AE48" s="74" t="str">
        <f>IF(ISERROR(FIND($A$2,Lines!AE48))=TRUE,"",Lines!AE48)</f>
        <v/>
      </c>
      <c r="AF48" s="74" t="str">
        <f>IF(ISERROR(FIND($A$2,Lines!AF48))=TRUE,"",Lines!AF48)</f>
        <v/>
      </c>
      <c r="AG48" s="74" t="str">
        <f>IF(ISERROR(FIND($A$2,Lines!AG48))=TRUE,"",Lines!AG48)</f>
        <v/>
      </c>
      <c r="AH48" s="74" t="str">
        <f>IF(ISERROR(FIND($A$2,Lines!AH48))=TRUE,"",Lines!AH48)</f>
        <v/>
      </c>
      <c r="AI48" s="74" t="str">
        <f>IF(ISERROR(FIND($A$2,Lines!AI48))=TRUE,"",Lines!AI48)</f>
        <v/>
      </c>
      <c r="AJ48" s="74" t="str">
        <f>IF(ISERROR(FIND($A$2,Lines!AJ48))=TRUE,"",Lines!AJ48)</f>
        <v>±800(溪洛渡左岸—浙江金华8000MW)+±500江城直流（3000MW）</v>
      </c>
      <c r="AK48" s="74" t="str">
        <f>IF(ISERROR(FIND($A$2,Lines!AK48))=TRUE,"",Lines!AK48)</f>
        <v/>
      </c>
      <c r="AL48" s="74" t="str">
        <f>IF(ISERROR(FIND($A$2,Lines!AL48))=TRUE,"",Lines!AL48)</f>
        <v/>
      </c>
      <c r="AM48" s="74" t="str">
        <f>IF(ISERROR(FIND($A$2,Lines!AM48))=TRUE,"",Lines!AM48)</f>
        <v/>
      </c>
      <c r="AN48" s="74" t="str">
        <f>IF(ISERROR(FIND($A$2,Lines!AN48))=TRUE,"",Lines!AN48)</f>
        <v/>
      </c>
      <c r="AO48" s="74" t="str">
        <f>IF(ISERROR(FIND($A$2,Lines!AO48))=TRUE,"",Lines!AO48)</f>
        <v/>
      </c>
      <c r="AP48" s="178" t="str">
        <f>IF(ISERROR(FIND($A$2,Lines!AP48))=TRUE,"",Lines!AP48)</f>
        <v/>
      </c>
      <c r="AQ48" s="179" t="str">
        <f>IF(ISERROR(FIND($A$2,Lines!AQ48))=TRUE,"",Lines!AQ48)</f>
        <v/>
      </c>
      <c r="AR48" s="179" t="str">
        <f>IF(ISERROR(FIND($A$2,Lines!AR48))=TRUE,"",Lines!AR48)</f>
        <v/>
      </c>
      <c r="AS48" s="179" t="str">
        <f>IF(ISERROR(FIND($A$2,Lines!AS48))=TRUE,"",Lines!AS48)</f>
        <v/>
      </c>
      <c r="AT48" s="66" t="str">
        <f>IF(ISERROR(FIND($A$2,Lines!AT48))=TRUE,"",Lines!AT48)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57"/>
  <sheetViews>
    <sheetView topLeftCell="J1" zoomScale="110" zoomScaleNormal="110" zoomScalePageLayoutView="160" workbookViewId="0">
      <selection activeCell="AJ47" sqref="AJ47"/>
    </sheetView>
  </sheetViews>
  <sheetFormatPr baseColWidth="10" defaultColWidth="4.5" defaultRowHeight="20.25" customHeight="1"/>
  <cols>
    <col min="1" max="1" width="9.33203125" customWidth="1"/>
  </cols>
  <sheetData>
    <row r="1" spans="1:46" ht="20.25" customHeight="1">
      <c r="B1" s="234" t="s">
        <v>107</v>
      </c>
      <c r="C1" s="234"/>
      <c r="D1" s="234"/>
      <c r="E1" s="234"/>
      <c r="F1" s="234"/>
      <c r="G1" s="1"/>
    </row>
    <row r="2" spans="1:46" ht="20.25" customHeight="1">
      <c r="A2" s="71" t="s">
        <v>131</v>
      </c>
      <c r="B2" s="8">
        <v>3</v>
      </c>
      <c r="C2" t="s">
        <v>109</v>
      </c>
      <c r="E2" t="s">
        <v>111</v>
      </c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 t="str">
        <f>IF(ISERROR(FIND($A$2,Lines!B4))=TRUE,"",Lines!B4)</f>
        <v/>
      </c>
      <c r="C4" s="26" t="str">
        <f>IF(ISERROR(FIND($A$2,Lines!C4))=TRUE,"",Lines!C4)</f>
        <v/>
      </c>
      <c r="D4" s="26" t="str">
        <f>IF(ISERROR(FIND($A$2,Lines!D4))=TRUE,"",Lines!D4)</f>
        <v/>
      </c>
      <c r="E4" s="26" t="str">
        <f>IF(ISERROR(FIND($A$2,Lines!E4))=TRUE,"",Lines!E4)</f>
        <v/>
      </c>
      <c r="F4" s="26" t="str">
        <f>IF(ISERROR(FIND($A$2,Lines!F4))=TRUE,"",Lines!F4)</f>
        <v/>
      </c>
      <c r="G4" s="26" t="str">
        <f>IF(ISERROR(FIND($A$2,Lines!G4))=TRUE,"",Lines!G4)</f>
        <v/>
      </c>
      <c r="H4" s="26" t="str">
        <f>IF(ISERROR(FIND($A$2,Lines!H4))=TRUE,"",Lines!H4)</f>
        <v/>
      </c>
      <c r="I4" s="26" t="str">
        <f>IF(ISERROR(FIND($A$2,Lines!I4))=TRUE,"",Lines!I4)</f>
        <v/>
      </c>
      <c r="J4" s="26" t="str">
        <f>IF(ISERROR(FIND($A$2,Lines!J4))=TRUE,"",Lines!J4)</f>
        <v/>
      </c>
      <c r="K4" s="26" t="str">
        <f>IF(ISERROR(FIND($A$2,Lines!K4))=TRUE,"",Lines!K4)</f>
        <v/>
      </c>
      <c r="L4" s="26" t="str">
        <f>IF(ISERROR(FIND($A$2,Lines!L4))=TRUE,"",Lines!L4)</f>
        <v/>
      </c>
      <c r="M4" s="27" t="str">
        <f>IF(ISERROR(FIND($A$2,Lines!M4))=TRUE,"",Lines!M4)</f>
        <v/>
      </c>
      <c r="N4" s="30" t="str">
        <f>IF(ISERROR(FIND($A$2,Lines!N4))=TRUE,"",Lines!N4)</f>
        <v/>
      </c>
      <c r="O4" s="30" t="str">
        <f>IF(ISERROR(FIND($A$2,Lines!O4))=TRUE,"",Lines!O4)</f>
        <v/>
      </c>
      <c r="P4" s="30" t="str">
        <f>IF(ISERROR(FIND($A$2,Lines!P4))=TRUE,"",Lines!P4)</f>
        <v/>
      </c>
      <c r="Q4" s="30" t="str">
        <f>IF(ISERROR(FIND($A$2,Lines!Q4))=TRUE,"",Lines!Q4)</f>
        <v/>
      </c>
      <c r="R4" s="30" t="str">
        <f>IF(ISERROR(FIND($A$2,Lines!R4))=TRUE,"",Lines!R4)</f>
        <v/>
      </c>
      <c r="S4" s="30" t="str">
        <f>IF(ISERROR(FIND($A$2,Lines!S4))=TRUE,"",Lines!S4)</f>
        <v/>
      </c>
      <c r="T4" s="30" t="str">
        <f>IF(ISERROR(FIND($A$2,Lines!T4))=TRUE,"",Lines!T4)</f>
        <v/>
      </c>
      <c r="U4" s="30" t="str">
        <f>IF(ISERROR(FIND($A$2,Lines!U4))=TRUE,"",Lines!U4)</f>
        <v/>
      </c>
      <c r="V4" s="30" t="str">
        <f>IF(ISERROR(FIND($A$2,Lines!V4))=TRUE,"",Lines!V4)</f>
        <v/>
      </c>
      <c r="W4" s="36" t="str">
        <f>IF(ISERROR(FIND($A$2,Lines!W4))=TRUE,"",Lines!W4)</f>
        <v/>
      </c>
      <c r="X4" s="30" t="str">
        <f>IF(ISERROR(FIND($A$2,Lines!X4))=TRUE,"",Lines!X4)</f>
        <v/>
      </c>
      <c r="Y4" s="30" t="str">
        <f>IF(ISERROR(FIND($A$2,Lines!Y4))=TRUE,"",Lines!Y4)</f>
        <v/>
      </c>
      <c r="Z4" s="30" t="str">
        <f>IF(ISERROR(FIND($A$2,Lines!Z4))=TRUE,"",Lines!Z4)</f>
        <v/>
      </c>
      <c r="AA4" s="30" t="str">
        <f>IF(ISERROR(FIND($A$2,Lines!AA4))=TRUE,"",Lines!AA4)</f>
        <v/>
      </c>
      <c r="AB4" s="30" t="str">
        <f>IF(ISERROR(FIND($A$2,Lines!AB4))=TRUE,"",Lines!AB4)</f>
        <v/>
      </c>
      <c r="AC4" s="30" t="str">
        <f>IF(ISERROR(FIND($A$2,Lines!AC4))=TRUE,"",Lines!AC4)</f>
        <v/>
      </c>
      <c r="AD4" s="30" t="str">
        <f>IF(ISERROR(FIND($A$2,Lines!AD4))=TRUE,"",Lines!AD4)</f>
        <v/>
      </c>
      <c r="AE4" s="30" t="str">
        <f>IF(ISERROR(FIND($A$2,Lines!AE4))=TRUE,"",Lines!AE4)</f>
        <v/>
      </c>
      <c r="AF4" s="30" t="str">
        <f>IF(ISERROR(FIND($A$2,Lines!AF4))=TRUE,"",Lines!AF4)</f>
        <v/>
      </c>
      <c r="AG4" s="30" t="str">
        <f>IF(ISERROR(FIND($A$2,Lines!AG4))=TRUE,"",Lines!AG4)</f>
        <v/>
      </c>
      <c r="AH4" s="30" t="str">
        <f>IF(ISERROR(FIND($A$2,Lines!AH4))=TRUE,"",Lines!AH4)</f>
        <v/>
      </c>
      <c r="AI4" s="30" t="str">
        <f>IF(ISERROR(FIND($A$2,Lines!AI4))=TRUE,"",Lines!AI4)</f>
        <v/>
      </c>
      <c r="AJ4" s="30" t="str">
        <f>IF(ISERROR(FIND($A$2,Lines!AJ4))=TRUE,"",Lines!AJ4)</f>
        <v/>
      </c>
      <c r="AK4" s="30" t="str">
        <f>IF(ISERROR(FIND($A$2,Lines!AK4))=TRUE,"",Lines!AK4)</f>
        <v/>
      </c>
      <c r="AL4" s="30" t="str">
        <f>IF(ISERROR(FIND($A$2,Lines!AL4))=TRUE,"",Lines!AL4)</f>
        <v/>
      </c>
      <c r="AM4" s="30" t="str">
        <f>IF(ISERROR(FIND($A$2,Lines!AM4))=TRUE,"",Lines!AM4)</f>
        <v/>
      </c>
      <c r="AN4" s="30" t="str">
        <f>IF(ISERROR(FIND($A$2,Lines!AN4))=TRUE,"",Lines!AN4)</f>
        <v/>
      </c>
      <c r="AO4" s="30" t="str">
        <f>IF(ISERROR(FIND($A$2,Lines!AO4))=TRUE,"",Lines!AO4)</f>
        <v/>
      </c>
      <c r="AP4" s="30" t="str">
        <f>IF(ISERROR(FIND($A$2,Lines!AP4))=TRUE,"",Lines!AP4)</f>
        <v/>
      </c>
      <c r="AQ4" s="30" t="str">
        <f>IF(ISERROR(FIND($A$2,Lines!AQ4))=TRUE,"",Lines!AQ4)</f>
        <v/>
      </c>
      <c r="AR4" s="30" t="str">
        <f>IF(ISERROR(FIND($A$2,Lines!AR4))=TRUE,"",Lines!AR4)</f>
        <v/>
      </c>
      <c r="AS4" s="30" t="str">
        <f>IF(ISERROR(FIND($A$2,Lines!AS4))=TRUE,"",Lines!AS4)</f>
        <v/>
      </c>
      <c r="AT4" s="30" t="str">
        <f>IF(ISERROR(FIND($A$2,Lines!AT4))=TRUE,"",Lines!AT4)</f>
        <v/>
      </c>
    </row>
    <row r="5" spans="1:46" ht="20.25" customHeight="1">
      <c r="A5" s="2" t="s">
        <v>56</v>
      </c>
      <c r="B5" s="26" t="str">
        <f>IF(ISERROR(FIND($A$2,Lines!B5))=TRUE,"",Lines!B5)</f>
        <v/>
      </c>
      <c r="C5" s="63" t="str">
        <f>IF(ISERROR(FIND($A$2,Lines!C5))=TRUE,"",Lines!C5)</f>
        <v/>
      </c>
      <c r="D5" s="26" t="str">
        <f>IF(ISERROR(FIND($A$2,Lines!D5))=TRUE,"",Lines!D5)</f>
        <v/>
      </c>
      <c r="E5" s="26" t="str">
        <f>IF(ISERROR(FIND($A$2,Lines!E5))=TRUE,"",Lines!E5)</f>
        <v/>
      </c>
      <c r="F5" s="26" t="str">
        <f>IF(ISERROR(FIND($A$2,Lines!F5))=TRUE,"",Lines!F5)</f>
        <v/>
      </c>
      <c r="G5" s="26" t="str">
        <f>IF(ISERROR(FIND($A$2,Lines!G5))=TRUE,"",Lines!G5)</f>
        <v/>
      </c>
      <c r="H5" s="26" t="str">
        <f>IF(ISERROR(FIND($A$2,Lines!H5))=TRUE,"",Lines!H5)</f>
        <v/>
      </c>
      <c r="I5" s="26" t="str">
        <f>IF(ISERROR(FIND($A$2,Lines!I5))=TRUE,"",Lines!I5)</f>
        <v/>
      </c>
      <c r="J5" s="26" t="str">
        <f>IF(ISERROR(FIND($A$2,Lines!J5))=TRUE,"",Lines!J5)</f>
        <v/>
      </c>
      <c r="K5" s="26" t="str">
        <f>IF(ISERROR(FIND($A$2,Lines!K5))=TRUE,"",Lines!K5)</f>
        <v/>
      </c>
      <c r="L5" s="26" t="str">
        <f>IF(ISERROR(FIND($A$2,Lines!L5))=TRUE,"",Lines!L5)</f>
        <v/>
      </c>
      <c r="M5" s="27" t="str">
        <f>IF(ISERROR(FIND($A$2,Lines!M5))=TRUE,"",Lines!M5)</f>
        <v/>
      </c>
      <c r="N5" s="30" t="str">
        <f>IF(ISERROR(FIND($A$2,Lines!N5))=TRUE,"",Lines!N5)</f>
        <v/>
      </c>
      <c r="O5" s="30" t="str">
        <f>IF(ISERROR(FIND($A$2,Lines!O5))=TRUE,"",Lines!O5)</f>
        <v/>
      </c>
      <c r="P5" s="30" t="str">
        <f>IF(ISERROR(FIND($A$2,Lines!P5))=TRUE,"",Lines!P5)</f>
        <v/>
      </c>
      <c r="Q5" s="30" t="str">
        <f>IF(ISERROR(FIND($A$2,Lines!Q5))=TRUE,"",Lines!Q5)</f>
        <v/>
      </c>
      <c r="R5" s="30" t="str">
        <f>IF(ISERROR(FIND($A$2,Lines!R5))=TRUE,"",Lines!R5)</f>
        <v/>
      </c>
      <c r="S5" s="30" t="str">
        <f>IF(ISERROR(FIND($A$2,Lines!S5))=TRUE,"",Lines!S5)</f>
        <v/>
      </c>
      <c r="T5" s="30" t="str">
        <f>IF(ISERROR(FIND($A$2,Lines!T5))=TRUE,"",Lines!T5)</f>
        <v/>
      </c>
      <c r="U5" s="30" t="str">
        <f>IF(ISERROR(FIND($A$2,Lines!U5))=TRUE,"",Lines!U5)</f>
        <v/>
      </c>
      <c r="V5" s="30" t="str">
        <f>IF(ISERROR(FIND($A$2,Lines!V5))=TRUE,"",Lines!V5)</f>
        <v/>
      </c>
      <c r="W5" s="36" t="str">
        <f>IF(ISERROR(FIND($A$2,Lines!W5))=TRUE,"",Lines!W5)</f>
        <v/>
      </c>
      <c r="X5" s="30" t="str">
        <f>IF(ISERROR(FIND($A$2,Lines!X5))=TRUE,"",Lines!X5)</f>
        <v/>
      </c>
      <c r="Y5" s="30" t="str">
        <f>IF(ISERROR(FIND($A$2,Lines!Y5))=TRUE,"",Lines!Y5)</f>
        <v/>
      </c>
      <c r="Z5" s="30" t="str">
        <f>IF(ISERROR(FIND($A$2,Lines!Z5))=TRUE,"",Lines!Z5)</f>
        <v/>
      </c>
      <c r="AA5" s="30" t="str">
        <f>IF(ISERROR(FIND($A$2,Lines!AA5))=TRUE,"",Lines!AA5)</f>
        <v/>
      </c>
      <c r="AB5" s="30" t="str">
        <f>IF(ISERROR(FIND($A$2,Lines!AB5))=TRUE,"",Lines!AB5)</f>
        <v/>
      </c>
      <c r="AC5" s="30" t="str">
        <f>IF(ISERROR(FIND($A$2,Lines!AC5))=TRUE,"",Lines!AC5)</f>
        <v/>
      </c>
      <c r="AD5" s="30" t="str">
        <f>IF(ISERROR(FIND($A$2,Lines!AD5))=TRUE,"",Lines!AD5)</f>
        <v/>
      </c>
      <c r="AE5" s="30" t="str">
        <f>IF(ISERROR(FIND($A$2,Lines!AE5))=TRUE,"",Lines!AE5)</f>
        <v/>
      </c>
      <c r="AF5" s="30" t="str">
        <f>IF(ISERROR(FIND($A$2,Lines!AF5))=TRUE,"",Lines!AF5)</f>
        <v/>
      </c>
      <c r="AG5" s="30" t="str">
        <f>IF(ISERROR(FIND($A$2,Lines!AG5))=TRUE,"",Lines!AG5)</f>
        <v/>
      </c>
      <c r="AH5" s="30" t="str">
        <f>IF(ISERROR(FIND($A$2,Lines!AH5))=TRUE,"",Lines!AH5)</f>
        <v/>
      </c>
      <c r="AI5" s="30" t="str">
        <f>IF(ISERROR(FIND($A$2,Lines!AI5))=TRUE,"",Lines!AI5)</f>
        <v/>
      </c>
      <c r="AJ5" s="30" t="str">
        <f>IF(ISERROR(FIND($A$2,Lines!AJ5))=TRUE,"",Lines!AJ5)</f>
        <v/>
      </c>
      <c r="AK5" s="30" t="str">
        <f>IF(ISERROR(FIND($A$2,Lines!AK5))=TRUE,"",Lines!AK5)</f>
        <v/>
      </c>
      <c r="AL5" s="30" t="str">
        <f>IF(ISERROR(FIND($A$2,Lines!AL5))=TRUE,"",Lines!AL5)</f>
        <v/>
      </c>
      <c r="AM5" s="30" t="str">
        <f>IF(ISERROR(FIND($A$2,Lines!AM5))=TRUE,"",Lines!AM5)</f>
        <v/>
      </c>
      <c r="AN5" s="30" t="str">
        <f>IF(ISERROR(FIND($A$2,Lines!AN5))=TRUE,"",Lines!AN5)</f>
        <v/>
      </c>
      <c r="AO5" s="30" t="str">
        <f>IF(ISERROR(FIND($A$2,Lines!AO5))=TRUE,"",Lines!AO5)</f>
        <v/>
      </c>
      <c r="AP5" s="30" t="str">
        <f>IF(ISERROR(FIND($A$2,Lines!AP5))=TRUE,"",Lines!AP5)</f>
        <v/>
      </c>
      <c r="AQ5" s="30" t="str">
        <f>IF(ISERROR(FIND($A$2,Lines!AQ5))=TRUE,"",Lines!AQ5)</f>
        <v/>
      </c>
      <c r="AR5" s="30" t="str">
        <f>IF(ISERROR(FIND($A$2,Lines!AR5))=TRUE,"",Lines!AR5)</f>
        <v/>
      </c>
      <c r="AS5" s="30" t="str">
        <f>IF(ISERROR(FIND($A$2,Lines!AS5))=TRUE,"",Lines!AS5)</f>
        <v/>
      </c>
      <c r="AT5" s="30" t="str">
        <f>IF(ISERROR(FIND($A$2,Lines!AT5))=TRUE,"",Lines!AT5)</f>
        <v/>
      </c>
    </row>
    <row r="6" spans="1:46" ht="20.25" customHeight="1">
      <c r="A6" s="2" t="s">
        <v>57</v>
      </c>
      <c r="B6" s="26" t="str">
        <f>IF(ISERROR(FIND($A$2,Lines!B6))=TRUE,"",Lines!B6)</f>
        <v/>
      </c>
      <c r="C6" s="26" t="str">
        <f>IF(ISERROR(FIND($A$2,Lines!C6))=TRUE,"",Lines!C6)</f>
        <v/>
      </c>
      <c r="D6" s="63" t="str">
        <f>IF(ISERROR(FIND($A$2,Lines!D6))=TRUE,"",Lines!D6)</f>
        <v/>
      </c>
      <c r="E6" s="26" t="str">
        <f>IF(ISERROR(FIND($A$2,Lines!E6))=TRUE,"",Lines!E6)</f>
        <v/>
      </c>
      <c r="F6" s="26" t="str">
        <f>IF(ISERROR(FIND($A$2,Lines!F6))=TRUE,"",Lines!F6)</f>
        <v/>
      </c>
      <c r="G6" s="26" t="str">
        <f>IF(ISERROR(FIND($A$2,Lines!G6))=TRUE,"",Lines!G6)</f>
        <v/>
      </c>
      <c r="H6" s="26" t="str">
        <f>IF(ISERROR(FIND($A$2,Lines!H6))=TRUE,"",Lines!H6)</f>
        <v/>
      </c>
      <c r="I6" s="26" t="str">
        <f>IF(ISERROR(FIND($A$2,Lines!I6))=TRUE,"",Lines!I6)</f>
        <v/>
      </c>
      <c r="J6" s="26" t="str">
        <f>IF(ISERROR(FIND($A$2,Lines!J6))=TRUE,"",Lines!J6)</f>
        <v/>
      </c>
      <c r="K6" s="26" t="str">
        <f>IF(ISERROR(FIND($A$2,Lines!K6))=TRUE,"",Lines!K6)</f>
        <v/>
      </c>
      <c r="L6" s="26" t="str">
        <f>IF(ISERROR(FIND($A$2,Lines!L6))=TRUE,"",Lines!L6)</f>
        <v/>
      </c>
      <c r="M6" s="27" t="str">
        <f>IF(ISERROR(FIND($A$2,Lines!M6))=TRUE,"",Lines!M6)</f>
        <v/>
      </c>
      <c r="N6" s="30" t="str">
        <f>IF(ISERROR(FIND($A$2,Lines!N6))=TRUE,"",Lines!N6)</f>
        <v/>
      </c>
      <c r="O6" s="30" t="str">
        <f>IF(ISERROR(FIND($A$2,Lines!O6))=TRUE,"",Lines!O6)</f>
        <v/>
      </c>
      <c r="P6" s="30" t="str">
        <f>IF(ISERROR(FIND($A$2,Lines!P6))=TRUE,"",Lines!P6)</f>
        <v/>
      </c>
      <c r="Q6" s="30" t="str">
        <f>IF(ISERROR(FIND($A$2,Lines!Q6))=TRUE,"",Lines!Q6)</f>
        <v/>
      </c>
      <c r="R6" s="30" t="str">
        <f>IF(ISERROR(FIND($A$2,Lines!R6))=TRUE,"",Lines!R6)</f>
        <v/>
      </c>
      <c r="S6" s="30" t="str">
        <f>IF(ISERROR(FIND($A$2,Lines!S6))=TRUE,"",Lines!S6)</f>
        <v/>
      </c>
      <c r="T6" s="30" t="str">
        <f>IF(ISERROR(FIND($A$2,Lines!T6))=TRUE,"",Lines!T6)</f>
        <v/>
      </c>
      <c r="U6" s="30" t="str">
        <f>IF(ISERROR(FIND($A$2,Lines!U6))=TRUE,"",Lines!U6)</f>
        <v/>
      </c>
      <c r="V6" s="30" t="str">
        <f>IF(ISERROR(FIND($A$2,Lines!V6))=TRUE,"",Lines!V6)</f>
        <v/>
      </c>
      <c r="W6" s="36" t="str">
        <f>IF(ISERROR(FIND($A$2,Lines!W6))=TRUE,"",Lines!W6)</f>
        <v/>
      </c>
      <c r="X6" s="30" t="str">
        <f>IF(ISERROR(FIND($A$2,Lines!X6))=TRUE,"",Lines!X6)</f>
        <v/>
      </c>
      <c r="Y6" s="30" t="str">
        <f>IF(ISERROR(FIND($A$2,Lines!Y6))=TRUE,"",Lines!Y6)</f>
        <v/>
      </c>
      <c r="Z6" s="30" t="str">
        <f>IF(ISERROR(FIND($A$2,Lines!Z6))=TRUE,"",Lines!Z6)</f>
        <v/>
      </c>
      <c r="AA6" s="30" t="str">
        <f>IF(ISERROR(FIND($A$2,Lines!AA6))=TRUE,"",Lines!AA6)</f>
        <v/>
      </c>
      <c r="AB6" s="30" t="str">
        <f>IF(ISERROR(FIND($A$2,Lines!AB6))=TRUE,"",Lines!AB6)</f>
        <v/>
      </c>
      <c r="AC6" s="30" t="str">
        <f>IF(ISERROR(FIND($A$2,Lines!AC6))=TRUE,"",Lines!AC6)</f>
        <v/>
      </c>
      <c r="AD6" s="30" t="str">
        <f>IF(ISERROR(FIND($A$2,Lines!AD6))=TRUE,"",Lines!AD6)</f>
        <v/>
      </c>
      <c r="AE6" s="30" t="str">
        <f>IF(ISERROR(FIND($A$2,Lines!AE6))=TRUE,"",Lines!AE6)</f>
        <v/>
      </c>
      <c r="AF6" s="30" t="str">
        <f>IF(ISERROR(FIND($A$2,Lines!AF6))=TRUE,"",Lines!AF6)</f>
        <v/>
      </c>
      <c r="AG6" s="30" t="str">
        <f>IF(ISERROR(FIND($A$2,Lines!AG6))=TRUE,"",Lines!AG6)</f>
        <v/>
      </c>
      <c r="AH6" s="30" t="str">
        <f>IF(ISERROR(FIND($A$2,Lines!AH6))=TRUE,"",Lines!AH6)</f>
        <v/>
      </c>
      <c r="AI6" s="30" t="str">
        <f>IF(ISERROR(FIND($A$2,Lines!AI6))=TRUE,"",Lines!AI6)</f>
        <v/>
      </c>
      <c r="AJ6" s="30" t="str">
        <f>IF(ISERROR(FIND($A$2,Lines!AJ6))=TRUE,"",Lines!AJ6)</f>
        <v/>
      </c>
      <c r="AK6" s="30" t="str">
        <f>IF(ISERROR(FIND($A$2,Lines!AK6))=TRUE,"",Lines!AK6)</f>
        <v/>
      </c>
      <c r="AL6" s="30" t="str">
        <f>IF(ISERROR(FIND($A$2,Lines!AL6))=TRUE,"",Lines!AL6)</f>
        <v/>
      </c>
      <c r="AM6" s="30" t="str">
        <f>IF(ISERROR(FIND($A$2,Lines!AM6))=TRUE,"",Lines!AM6)</f>
        <v/>
      </c>
      <c r="AN6" s="30" t="str">
        <f>IF(ISERROR(FIND($A$2,Lines!AN6))=TRUE,"",Lines!AN6)</f>
        <v/>
      </c>
      <c r="AO6" s="30" t="str">
        <f>IF(ISERROR(FIND($A$2,Lines!AO6))=TRUE,"",Lines!AO6)</f>
        <v/>
      </c>
      <c r="AP6" s="30" t="str">
        <f>IF(ISERROR(FIND($A$2,Lines!AP6))=TRUE,"",Lines!AP6)</f>
        <v/>
      </c>
      <c r="AQ6" s="30" t="str">
        <f>IF(ISERROR(FIND($A$2,Lines!AQ6))=TRUE,"",Lines!AQ6)</f>
        <v/>
      </c>
      <c r="AR6" s="30" t="str">
        <f>IF(ISERROR(FIND($A$2,Lines!AR6))=TRUE,"",Lines!AR6)</f>
        <v/>
      </c>
      <c r="AS6" s="30" t="str">
        <f>IF(ISERROR(FIND($A$2,Lines!AS6))=TRUE,"",Lines!AS6)</f>
        <v/>
      </c>
      <c r="AT6" s="30" t="str">
        <f>IF(ISERROR(FIND($A$2,Lines!AT6))=TRUE,"",Lines!AT6)</f>
        <v/>
      </c>
    </row>
    <row r="7" spans="1:46" ht="20.25" customHeight="1">
      <c r="A7" s="2" t="s">
        <v>58</v>
      </c>
      <c r="B7" s="26" t="str">
        <f>IF(ISERROR(FIND($A$2,Lines!B7))=TRUE,"",Lines!B7)</f>
        <v/>
      </c>
      <c r="C7" s="26" t="str">
        <f>IF(ISERROR(FIND($A$2,Lines!C7))=TRUE,"",Lines!C7)</f>
        <v/>
      </c>
      <c r="D7" s="26" t="str">
        <f>IF(ISERROR(FIND($A$2,Lines!D7))=TRUE,"",Lines!D7)</f>
        <v/>
      </c>
      <c r="E7" s="63" t="str">
        <f>IF(ISERROR(FIND($A$2,Lines!E7))=TRUE,"",Lines!E7)</f>
        <v/>
      </c>
      <c r="F7" s="26" t="str">
        <f>IF(ISERROR(FIND($A$2,Lines!F7))=TRUE,"",Lines!F7)</f>
        <v/>
      </c>
      <c r="G7" s="26" t="str">
        <f>IF(ISERROR(FIND($A$2,Lines!G7))=TRUE,"",Lines!G7)</f>
        <v/>
      </c>
      <c r="H7" s="26" t="str">
        <f>IF(ISERROR(FIND($A$2,Lines!H7))=TRUE,"",Lines!H7)</f>
        <v/>
      </c>
      <c r="I7" s="26" t="str">
        <f>IF(ISERROR(FIND($A$2,Lines!I7))=TRUE,"",Lines!I7)</f>
        <v/>
      </c>
      <c r="J7" s="26" t="str">
        <f>IF(ISERROR(FIND($A$2,Lines!J7))=TRUE,"",Lines!J7)</f>
        <v/>
      </c>
      <c r="K7" s="26" t="str">
        <f>IF(ISERROR(FIND($A$2,Lines!K7))=TRUE,"",Lines!K7)</f>
        <v/>
      </c>
      <c r="L7" s="26" t="str">
        <f>IF(ISERROR(FIND($A$2,Lines!L7))=TRUE,"",Lines!L7)</f>
        <v/>
      </c>
      <c r="M7" s="27" t="str">
        <f>IF(ISERROR(FIND($A$2,Lines!M7))=TRUE,"",Lines!M7)</f>
        <v/>
      </c>
      <c r="N7" s="30" t="str">
        <f>IF(ISERROR(FIND($A$2,Lines!N7))=TRUE,"",Lines!N7)</f>
        <v/>
      </c>
      <c r="O7" s="30" t="str">
        <f>IF(ISERROR(FIND($A$2,Lines!O7))=TRUE,"",Lines!O7)</f>
        <v/>
      </c>
      <c r="P7" s="30" t="str">
        <f>IF(ISERROR(FIND($A$2,Lines!P7))=TRUE,"",Lines!P7)</f>
        <v/>
      </c>
      <c r="Q7" s="30" t="str">
        <f>IF(ISERROR(FIND($A$2,Lines!Q7))=TRUE,"",Lines!Q7)</f>
        <v/>
      </c>
      <c r="R7" s="30" t="str">
        <f>IF(ISERROR(FIND($A$2,Lines!R7))=TRUE,"",Lines!R7)</f>
        <v/>
      </c>
      <c r="S7" s="30" t="str">
        <f>IF(ISERROR(FIND($A$2,Lines!S7))=TRUE,"",Lines!S7)</f>
        <v/>
      </c>
      <c r="T7" s="30" t="str">
        <f>IF(ISERROR(FIND($A$2,Lines!T7))=TRUE,"",Lines!T7)</f>
        <v/>
      </c>
      <c r="U7" s="30" t="str">
        <f>IF(ISERROR(FIND($A$2,Lines!U7))=TRUE,"",Lines!U7)</f>
        <v/>
      </c>
      <c r="V7" s="30" t="str">
        <f>IF(ISERROR(FIND($A$2,Lines!V7))=TRUE,"",Lines!V7)</f>
        <v/>
      </c>
      <c r="W7" s="36" t="str">
        <f>IF(ISERROR(FIND($A$2,Lines!W7))=TRUE,"",Lines!W7)</f>
        <v/>
      </c>
      <c r="X7" s="30" t="str">
        <f>IF(ISERROR(FIND($A$2,Lines!X7))=TRUE,"",Lines!X7)</f>
        <v/>
      </c>
      <c r="Y7" s="30" t="str">
        <f>IF(ISERROR(FIND($A$2,Lines!Y7))=TRUE,"",Lines!Y7)</f>
        <v/>
      </c>
      <c r="Z7" s="30" t="str">
        <f>IF(ISERROR(FIND($A$2,Lines!Z7))=TRUE,"",Lines!Z7)</f>
        <v/>
      </c>
      <c r="AA7" s="30" t="str">
        <f>IF(ISERROR(FIND($A$2,Lines!AA7))=TRUE,"",Lines!AA7)</f>
        <v/>
      </c>
      <c r="AB7" s="30" t="str">
        <f>IF(ISERROR(FIND($A$2,Lines!AB7))=TRUE,"",Lines!AB7)</f>
        <v/>
      </c>
      <c r="AC7" s="30" t="str">
        <f>IF(ISERROR(FIND($A$2,Lines!AC7))=TRUE,"",Lines!AC7)</f>
        <v/>
      </c>
      <c r="AD7" s="30" t="str">
        <f>IF(ISERROR(FIND($A$2,Lines!AD7))=TRUE,"",Lines!AD7)</f>
        <v/>
      </c>
      <c r="AE7" s="30" t="str">
        <f>IF(ISERROR(FIND($A$2,Lines!AE7))=TRUE,"",Lines!AE7)</f>
        <v/>
      </c>
      <c r="AF7" s="30" t="str">
        <f>IF(ISERROR(FIND($A$2,Lines!AF7))=TRUE,"",Lines!AF7)</f>
        <v/>
      </c>
      <c r="AG7" s="30" t="str">
        <f>IF(ISERROR(FIND($A$2,Lines!AG7))=TRUE,"",Lines!AG7)</f>
        <v/>
      </c>
      <c r="AH7" s="30" t="str">
        <f>IF(ISERROR(FIND($A$2,Lines!AH7))=TRUE,"",Lines!AH7)</f>
        <v/>
      </c>
      <c r="AI7" s="30" t="str">
        <f>IF(ISERROR(FIND($A$2,Lines!AI7))=TRUE,"",Lines!AI7)</f>
        <v/>
      </c>
      <c r="AJ7" s="30" t="str">
        <f>IF(ISERROR(FIND($A$2,Lines!AJ7))=TRUE,"",Lines!AJ7)</f>
        <v/>
      </c>
      <c r="AK7" s="30" t="str">
        <f>IF(ISERROR(FIND($A$2,Lines!AK7))=TRUE,"",Lines!AK7)</f>
        <v/>
      </c>
      <c r="AL7" s="30" t="str">
        <f>IF(ISERROR(FIND($A$2,Lines!AL7))=TRUE,"",Lines!AL7)</f>
        <v/>
      </c>
      <c r="AM7" s="30" t="str">
        <f>IF(ISERROR(FIND($A$2,Lines!AM7))=TRUE,"",Lines!AM7)</f>
        <v/>
      </c>
      <c r="AN7" s="30" t="str">
        <f>IF(ISERROR(FIND($A$2,Lines!AN7))=TRUE,"",Lines!AN7)</f>
        <v/>
      </c>
      <c r="AO7" s="30" t="str">
        <f>IF(ISERROR(FIND($A$2,Lines!AO7))=TRUE,"",Lines!AO7)</f>
        <v/>
      </c>
      <c r="AP7" s="30" t="str">
        <f>IF(ISERROR(FIND($A$2,Lines!AP7))=TRUE,"",Lines!AP7)</f>
        <v/>
      </c>
      <c r="AQ7" s="30" t="str">
        <f>IF(ISERROR(FIND($A$2,Lines!AQ7))=TRUE,"",Lines!AQ7)</f>
        <v/>
      </c>
      <c r="AR7" s="30" t="str">
        <f>IF(ISERROR(FIND($A$2,Lines!AR7))=TRUE,"",Lines!AR7)</f>
        <v/>
      </c>
      <c r="AS7" s="30" t="str">
        <f>IF(ISERROR(FIND($A$2,Lines!AS7))=TRUE,"",Lines!AS7)</f>
        <v/>
      </c>
      <c r="AT7" s="30" t="str">
        <f>IF(ISERROR(FIND($A$2,Lines!AT7))=TRUE,"",Lines!AT7)</f>
        <v/>
      </c>
    </row>
    <row r="8" spans="1:46" ht="20.25" customHeight="1">
      <c r="A8" s="2" t="s">
        <v>59</v>
      </c>
      <c r="B8" s="26" t="str">
        <f>IF(ISERROR(FIND($A$2,Lines!B8))=TRUE,"",Lines!B8)</f>
        <v/>
      </c>
      <c r="C8" s="26" t="str">
        <f>IF(ISERROR(FIND($A$2,Lines!C8))=TRUE,"",Lines!C8)</f>
        <v/>
      </c>
      <c r="D8" s="26" t="str">
        <f>IF(ISERROR(FIND($A$2,Lines!D8))=TRUE,"",Lines!D8)</f>
        <v/>
      </c>
      <c r="E8" s="26" t="str">
        <f>IF(ISERROR(FIND($A$2,Lines!E8))=TRUE,"",Lines!E8)</f>
        <v/>
      </c>
      <c r="F8" s="63" t="str">
        <f>IF(ISERROR(FIND($A$2,Lines!F8))=TRUE,"",Lines!F8)</f>
        <v/>
      </c>
      <c r="G8" s="26" t="str">
        <f>IF(ISERROR(FIND($A$2,Lines!G8))=TRUE,"",Lines!G8)</f>
        <v/>
      </c>
      <c r="H8" s="26" t="str">
        <f>IF(ISERROR(FIND($A$2,Lines!H8))=TRUE,"",Lines!H8)</f>
        <v/>
      </c>
      <c r="I8" s="26" t="str">
        <f>IF(ISERROR(FIND($A$2,Lines!I8))=TRUE,"",Lines!I8)</f>
        <v/>
      </c>
      <c r="J8" s="26" t="str">
        <f>IF(ISERROR(FIND($A$2,Lines!J8))=TRUE,"",Lines!J8)</f>
        <v/>
      </c>
      <c r="K8" s="26" t="str">
        <f>IF(ISERROR(FIND($A$2,Lines!K8))=TRUE,"",Lines!K8)</f>
        <v/>
      </c>
      <c r="L8" s="26" t="str">
        <f>IF(ISERROR(FIND($A$2,Lines!L8))=TRUE,"",Lines!L8)</f>
        <v/>
      </c>
      <c r="M8" s="27" t="str">
        <f>IF(ISERROR(FIND($A$2,Lines!M8))=TRUE,"",Lines!M8)</f>
        <v/>
      </c>
      <c r="N8" s="30" t="str">
        <f>IF(ISERROR(FIND($A$2,Lines!N8))=TRUE,"",Lines!N8)</f>
        <v/>
      </c>
      <c r="O8" s="30" t="str">
        <f>IF(ISERROR(FIND($A$2,Lines!O8))=TRUE,"",Lines!O8)</f>
        <v/>
      </c>
      <c r="P8" s="30" t="str">
        <f>IF(ISERROR(FIND($A$2,Lines!P8))=TRUE,"",Lines!P8)</f>
        <v/>
      </c>
      <c r="Q8" s="30" t="str">
        <f>IF(ISERROR(FIND($A$2,Lines!Q8))=TRUE,"",Lines!Q8)</f>
        <v/>
      </c>
      <c r="R8" s="30" t="str">
        <f>IF(ISERROR(FIND($A$2,Lines!R8))=TRUE,"",Lines!R8)</f>
        <v/>
      </c>
      <c r="S8" s="30" t="str">
        <f>IF(ISERROR(FIND($A$2,Lines!S8))=TRUE,"",Lines!S8)</f>
        <v/>
      </c>
      <c r="T8" s="30" t="str">
        <f>IF(ISERROR(FIND($A$2,Lines!T8))=TRUE,"",Lines!T8)</f>
        <v/>
      </c>
      <c r="U8" s="30" t="str">
        <f>IF(ISERROR(FIND($A$2,Lines!U8))=TRUE,"",Lines!U8)</f>
        <v/>
      </c>
      <c r="V8" s="30" t="str">
        <f>IF(ISERROR(FIND($A$2,Lines!V8))=TRUE,"",Lines!V8)</f>
        <v/>
      </c>
      <c r="W8" s="36" t="str">
        <f>IF(ISERROR(FIND($A$2,Lines!W8))=TRUE,"",Lines!W8)</f>
        <v/>
      </c>
      <c r="X8" s="30" t="str">
        <f>IF(ISERROR(FIND($A$2,Lines!X8))=TRUE,"",Lines!X8)</f>
        <v/>
      </c>
      <c r="Y8" s="30" t="str">
        <f>IF(ISERROR(FIND($A$2,Lines!Y8))=TRUE,"",Lines!Y8)</f>
        <v/>
      </c>
      <c r="Z8" s="30" t="str">
        <f>IF(ISERROR(FIND($A$2,Lines!Z8))=TRUE,"",Lines!Z8)</f>
        <v/>
      </c>
      <c r="AA8" s="30" t="str">
        <f>IF(ISERROR(FIND($A$2,Lines!AA8))=TRUE,"",Lines!AA8)</f>
        <v/>
      </c>
      <c r="AB8" s="30" t="str">
        <f>IF(ISERROR(FIND($A$2,Lines!AB8))=TRUE,"",Lines!AB8)</f>
        <v/>
      </c>
      <c r="AC8" s="30" t="str">
        <f>IF(ISERROR(FIND($A$2,Lines!AC8))=TRUE,"",Lines!AC8)</f>
        <v/>
      </c>
      <c r="AD8" s="30" t="str">
        <f>IF(ISERROR(FIND($A$2,Lines!AD8))=TRUE,"",Lines!AD8)</f>
        <v/>
      </c>
      <c r="AE8" s="30" t="str">
        <f>IF(ISERROR(FIND($A$2,Lines!AE8))=TRUE,"",Lines!AE8)</f>
        <v/>
      </c>
      <c r="AF8" s="30" t="str">
        <f>IF(ISERROR(FIND($A$2,Lines!AF8))=TRUE,"",Lines!AF8)</f>
        <v/>
      </c>
      <c r="AG8" s="30" t="str">
        <f>IF(ISERROR(FIND($A$2,Lines!AG8))=TRUE,"",Lines!AG8)</f>
        <v/>
      </c>
      <c r="AH8" s="30" t="str">
        <f>IF(ISERROR(FIND($A$2,Lines!AH8))=TRUE,"",Lines!AH8)</f>
        <v/>
      </c>
      <c r="AI8" s="30" t="str">
        <f>IF(ISERROR(FIND($A$2,Lines!AI8))=TRUE,"",Lines!AI8)</f>
        <v/>
      </c>
      <c r="AJ8" s="30" t="str">
        <f>IF(ISERROR(FIND($A$2,Lines!AJ8))=TRUE,"",Lines!AJ8)</f>
        <v/>
      </c>
      <c r="AK8" s="30" t="str">
        <f>IF(ISERROR(FIND($A$2,Lines!AK8))=TRUE,"",Lines!AK8)</f>
        <v/>
      </c>
      <c r="AL8" s="30" t="str">
        <f>IF(ISERROR(FIND($A$2,Lines!AL8))=TRUE,"",Lines!AL8)</f>
        <v/>
      </c>
      <c r="AM8" s="30" t="str">
        <f>IF(ISERROR(FIND($A$2,Lines!AM8))=TRUE,"",Lines!AM8)</f>
        <v/>
      </c>
      <c r="AN8" s="30" t="str">
        <f>IF(ISERROR(FIND($A$2,Lines!AN8))=TRUE,"",Lines!AN8)</f>
        <v/>
      </c>
      <c r="AO8" s="30" t="str">
        <f>IF(ISERROR(FIND($A$2,Lines!AO8))=TRUE,"",Lines!AO8)</f>
        <v/>
      </c>
      <c r="AP8" s="30" t="str">
        <f>IF(ISERROR(FIND($A$2,Lines!AP8))=TRUE,"",Lines!AP8)</f>
        <v/>
      </c>
      <c r="AQ8" s="30" t="str">
        <f>IF(ISERROR(FIND($A$2,Lines!AQ8))=TRUE,"",Lines!AQ8)</f>
        <v/>
      </c>
      <c r="AR8" s="30" t="str">
        <f>IF(ISERROR(FIND($A$2,Lines!AR8))=TRUE,"",Lines!AR8)</f>
        <v/>
      </c>
      <c r="AS8" s="30" t="str">
        <f>IF(ISERROR(FIND($A$2,Lines!AS8))=TRUE,"",Lines!AS8)</f>
        <v/>
      </c>
      <c r="AT8" s="30" t="str">
        <f>IF(ISERROR(FIND($A$2,Lines!AT8))=TRUE,"",Lines!AT8)</f>
        <v/>
      </c>
    </row>
    <row r="9" spans="1:46" ht="20.25" customHeight="1">
      <c r="A9" s="2" t="s">
        <v>60</v>
      </c>
      <c r="B9" s="26" t="str">
        <f>IF(ISERROR(FIND($A$2,Lines!B9))=TRUE,"",Lines!B9)</f>
        <v/>
      </c>
      <c r="C9" s="26" t="str">
        <f>IF(ISERROR(FIND($A$2,Lines!C9))=TRUE,"",Lines!C9)</f>
        <v/>
      </c>
      <c r="D9" s="26" t="str">
        <f>IF(ISERROR(FIND($A$2,Lines!D9))=TRUE,"",Lines!D9)</f>
        <v/>
      </c>
      <c r="E9" s="26" t="str">
        <f>IF(ISERROR(FIND($A$2,Lines!E9))=TRUE,"",Lines!E9)</f>
        <v/>
      </c>
      <c r="F9" s="26" t="str">
        <f>IF(ISERROR(FIND($A$2,Lines!F9))=TRUE,"",Lines!F9)</f>
        <v/>
      </c>
      <c r="G9" s="63" t="str">
        <f>IF(ISERROR(FIND($A$2,Lines!G9))=TRUE,"",Lines!G9)</f>
        <v/>
      </c>
      <c r="H9" s="26" t="str">
        <f>IF(ISERROR(FIND($A$2,Lines!H9))=TRUE,"",Lines!H9)</f>
        <v/>
      </c>
      <c r="I9" s="26" t="str">
        <f>IF(ISERROR(FIND($A$2,Lines!I9))=TRUE,"",Lines!I9)</f>
        <v/>
      </c>
      <c r="J9" s="26" t="str">
        <f>IF(ISERROR(FIND($A$2,Lines!J9))=TRUE,"",Lines!J9)</f>
        <v/>
      </c>
      <c r="K9" s="26" t="str">
        <f>IF(ISERROR(FIND($A$2,Lines!K9))=TRUE,"",Lines!K9)</f>
        <v/>
      </c>
      <c r="L9" s="26" t="str">
        <f>IF(ISERROR(FIND($A$2,Lines!L9))=TRUE,"",Lines!L9)</f>
        <v/>
      </c>
      <c r="M9" s="27" t="str">
        <f>IF(ISERROR(FIND($A$2,Lines!M9))=TRUE,"",Lines!M9)</f>
        <v/>
      </c>
      <c r="N9" s="30" t="str">
        <f>IF(ISERROR(FIND($A$2,Lines!N9))=TRUE,"",Lines!N9)</f>
        <v/>
      </c>
      <c r="O9" s="30" t="str">
        <f>IF(ISERROR(FIND($A$2,Lines!O9))=TRUE,"",Lines!O9)</f>
        <v/>
      </c>
      <c r="P9" s="30" t="str">
        <f>IF(ISERROR(FIND($A$2,Lines!P9))=TRUE,"",Lines!P9)</f>
        <v/>
      </c>
      <c r="Q9" s="30" t="str">
        <f>IF(ISERROR(FIND($A$2,Lines!Q9))=TRUE,"",Lines!Q9)</f>
        <v/>
      </c>
      <c r="R9" s="30" t="str">
        <f>IF(ISERROR(FIND($A$2,Lines!R9))=TRUE,"",Lines!R9)</f>
        <v/>
      </c>
      <c r="S9" s="30" t="str">
        <f>IF(ISERROR(FIND($A$2,Lines!S9))=TRUE,"",Lines!S9)</f>
        <v/>
      </c>
      <c r="T9" s="30" t="str">
        <f>IF(ISERROR(FIND($A$2,Lines!T9))=TRUE,"",Lines!T9)</f>
        <v/>
      </c>
      <c r="U9" s="30" t="str">
        <f>IF(ISERROR(FIND($A$2,Lines!U9))=TRUE,"",Lines!U9)</f>
        <v/>
      </c>
      <c r="V9" s="30" t="str">
        <f>IF(ISERROR(FIND($A$2,Lines!V9))=TRUE,"",Lines!V9)</f>
        <v/>
      </c>
      <c r="W9" s="36" t="str">
        <f>IF(ISERROR(FIND($A$2,Lines!W9))=TRUE,"",Lines!W9)</f>
        <v/>
      </c>
      <c r="X9" s="30" t="str">
        <f>IF(ISERROR(FIND($A$2,Lines!X9))=TRUE,"",Lines!X9)</f>
        <v/>
      </c>
      <c r="Y9" s="30" t="str">
        <f>IF(ISERROR(FIND($A$2,Lines!Y9))=TRUE,"",Lines!Y9)</f>
        <v/>
      </c>
      <c r="Z9" s="30" t="str">
        <f>IF(ISERROR(FIND($A$2,Lines!Z9))=TRUE,"",Lines!Z9)</f>
        <v/>
      </c>
      <c r="AA9" s="30" t="str">
        <f>IF(ISERROR(FIND($A$2,Lines!AA9))=TRUE,"",Lines!AA9)</f>
        <v/>
      </c>
      <c r="AB9" s="30" t="str">
        <f>IF(ISERROR(FIND($A$2,Lines!AB9))=TRUE,"",Lines!AB9)</f>
        <v/>
      </c>
      <c r="AC9" s="30" t="str">
        <f>IF(ISERROR(FIND($A$2,Lines!AC9))=TRUE,"",Lines!AC9)</f>
        <v/>
      </c>
      <c r="AD9" s="30" t="str">
        <f>IF(ISERROR(FIND($A$2,Lines!AD9))=TRUE,"",Lines!AD9)</f>
        <v/>
      </c>
      <c r="AE9" s="30" t="str">
        <f>IF(ISERROR(FIND($A$2,Lines!AE9))=TRUE,"",Lines!AE9)</f>
        <v/>
      </c>
      <c r="AF9" s="30" t="str">
        <f>IF(ISERROR(FIND($A$2,Lines!AF9))=TRUE,"",Lines!AF9)</f>
        <v/>
      </c>
      <c r="AG9" s="30" t="str">
        <f>IF(ISERROR(FIND($A$2,Lines!AG9))=TRUE,"",Lines!AG9)</f>
        <v/>
      </c>
      <c r="AH9" s="30" t="str">
        <f>IF(ISERROR(FIND($A$2,Lines!AH9))=TRUE,"",Lines!AH9)</f>
        <v/>
      </c>
      <c r="AI9" s="30" t="str">
        <f>IF(ISERROR(FIND($A$2,Lines!AI9))=TRUE,"",Lines!AI9)</f>
        <v/>
      </c>
      <c r="AJ9" s="30" t="str">
        <f>IF(ISERROR(FIND($A$2,Lines!AJ9))=TRUE,"",Lines!AJ9)</f>
        <v/>
      </c>
      <c r="AK9" s="30" t="str">
        <f>IF(ISERROR(FIND($A$2,Lines!AK9))=TRUE,"",Lines!AK9)</f>
        <v/>
      </c>
      <c r="AL9" s="30" t="str">
        <f>IF(ISERROR(FIND($A$2,Lines!AL9))=TRUE,"",Lines!AL9)</f>
        <v/>
      </c>
      <c r="AM9" s="30" t="str">
        <f>IF(ISERROR(FIND($A$2,Lines!AM9))=TRUE,"",Lines!AM9)</f>
        <v/>
      </c>
      <c r="AN9" s="30" t="str">
        <f>IF(ISERROR(FIND($A$2,Lines!AN9))=TRUE,"",Lines!AN9)</f>
        <v/>
      </c>
      <c r="AO9" s="30" t="str">
        <f>IF(ISERROR(FIND($A$2,Lines!AO9))=TRUE,"",Lines!AO9)</f>
        <v/>
      </c>
      <c r="AP9" s="30" t="str">
        <f>IF(ISERROR(FIND($A$2,Lines!AP9))=TRUE,"",Lines!AP9)</f>
        <v/>
      </c>
      <c r="AQ9" s="30" t="str">
        <f>IF(ISERROR(FIND($A$2,Lines!AQ9))=TRUE,"",Lines!AQ9)</f>
        <v/>
      </c>
      <c r="AR9" s="30" t="str">
        <f>IF(ISERROR(FIND($A$2,Lines!AR9))=TRUE,"",Lines!AR9)</f>
        <v/>
      </c>
      <c r="AS9" s="30" t="str">
        <f>IF(ISERROR(FIND($A$2,Lines!AS9))=TRUE,"",Lines!AS9)</f>
        <v/>
      </c>
      <c r="AT9" s="30" t="str">
        <f>IF(ISERROR(FIND($A$2,Lines!AT9))=TRUE,"",Lines!AT9)</f>
        <v/>
      </c>
    </row>
    <row r="10" spans="1:46" ht="20.25" customHeight="1">
      <c r="A10" s="2" t="s">
        <v>61</v>
      </c>
      <c r="B10" s="26" t="str">
        <f>IF(ISERROR(FIND($A$2,Lines!B10))=TRUE,"",Lines!B10)</f>
        <v/>
      </c>
      <c r="C10" s="26" t="str">
        <f>IF(ISERROR(FIND($A$2,Lines!C10))=TRUE,"",Lines!C10)</f>
        <v/>
      </c>
      <c r="D10" s="26" t="str">
        <f>IF(ISERROR(FIND($A$2,Lines!D10))=TRUE,"",Lines!D10)</f>
        <v/>
      </c>
      <c r="E10" s="26" t="str">
        <f>IF(ISERROR(FIND($A$2,Lines!E10))=TRUE,"",Lines!E10)</f>
        <v/>
      </c>
      <c r="F10" s="26" t="str">
        <f>IF(ISERROR(FIND($A$2,Lines!F10))=TRUE,"",Lines!F10)</f>
        <v/>
      </c>
      <c r="G10" s="26" t="str">
        <f>IF(ISERROR(FIND($A$2,Lines!G10))=TRUE,"",Lines!G10)</f>
        <v/>
      </c>
      <c r="H10" s="63" t="str">
        <f>IF(ISERROR(FIND($A$2,Lines!H10))=TRUE,"",Lines!H10)</f>
        <v/>
      </c>
      <c r="I10" s="26" t="str">
        <f>IF(ISERROR(FIND($A$2,Lines!I10))=TRUE,"",Lines!I10)</f>
        <v/>
      </c>
      <c r="J10" s="26" t="str">
        <f>IF(ISERROR(FIND($A$2,Lines!J10))=TRUE,"",Lines!J10)</f>
        <v/>
      </c>
      <c r="K10" s="26" t="str">
        <f>IF(ISERROR(FIND($A$2,Lines!K10))=TRUE,"",Lines!K10)</f>
        <v/>
      </c>
      <c r="L10" s="26" t="str">
        <f>IF(ISERROR(FIND($A$2,Lines!L10))=TRUE,"",Lines!L10)</f>
        <v/>
      </c>
      <c r="M10" s="27" t="str">
        <f>IF(ISERROR(FIND($A$2,Lines!M10))=TRUE,"",Lines!M10)</f>
        <v/>
      </c>
      <c r="N10" s="30" t="str">
        <f>IF(ISERROR(FIND($A$2,Lines!N10))=TRUE,"",Lines!N10)</f>
        <v/>
      </c>
      <c r="O10" s="30" t="str">
        <f>IF(ISERROR(FIND($A$2,Lines!O10))=TRUE,"",Lines!O10)</f>
        <v/>
      </c>
      <c r="P10" s="30" t="str">
        <f>IF(ISERROR(FIND($A$2,Lines!P10))=TRUE,"",Lines!P10)</f>
        <v/>
      </c>
      <c r="Q10" s="30" t="str">
        <f>IF(ISERROR(FIND($A$2,Lines!Q10))=TRUE,"",Lines!Q10)</f>
        <v/>
      </c>
      <c r="R10" s="30" t="str">
        <f>IF(ISERROR(FIND($A$2,Lines!R10))=TRUE,"",Lines!R10)</f>
        <v/>
      </c>
      <c r="S10" s="30" t="str">
        <f>IF(ISERROR(FIND($A$2,Lines!S10))=TRUE,"",Lines!S10)</f>
        <v/>
      </c>
      <c r="T10" s="30" t="str">
        <f>IF(ISERROR(FIND($A$2,Lines!T10))=TRUE,"",Lines!T10)</f>
        <v/>
      </c>
      <c r="U10" s="30" t="str">
        <f>IF(ISERROR(FIND($A$2,Lines!U10))=TRUE,"",Lines!U10)</f>
        <v/>
      </c>
      <c r="V10" s="30" t="str">
        <f>IF(ISERROR(FIND($A$2,Lines!V10))=TRUE,"",Lines!V10)</f>
        <v/>
      </c>
      <c r="W10" s="36" t="str">
        <f>IF(ISERROR(FIND($A$2,Lines!W10))=TRUE,"",Lines!W10)</f>
        <v/>
      </c>
      <c r="X10" s="30" t="str">
        <f>IF(ISERROR(FIND($A$2,Lines!X10))=TRUE,"",Lines!X10)</f>
        <v/>
      </c>
      <c r="Y10" s="30" t="str">
        <f>IF(ISERROR(FIND($A$2,Lines!Y10))=TRUE,"",Lines!Y10)</f>
        <v/>
      </c>
      <c r="Z10" s="30" t="str">
        <f>IF(ISERROR(FIND($A$2,Lines!Z10))=TRUE,"",Lines!Z10)</f>
        <v/>
      </c>
      <c r="AA10" s="30" t="str">
        <f>IF(ISERROR(FIND($A$2,Lines!AA10))=TRUE,"",Lines!AA10)</f>
        <v/>
      </c>
      <c r="AB10" s="30" t="str">
        <f>IF(ISERROR(FIND($A$2,Lines!AB10))=TRUE,"",Lines!AB10)</f>
        <v/>
      </c>
      <c r="AC10" s="30" t="str">
        <f>IF(ISERROR(FIND($A$2,Lines!AC10))=TRUE,"",Lines!AC10)</f>
        <v/>
      </c>
      <c r="AD10" s="30" t="str">
        <f>IF(ISERROR(FIND($A$2,Lines!AD10))=TRUE,"",Lines!AD10)</f>
        <v/>
      </c>
      <c r="AE10" s="30" t="str">
        <f>IF(ISERROR(FIND($A$2,Lines!AE10))=TRUE,"",Lines!AE10)</f>
        <v/>
      </c>
      <c r="AF10" s="30" t="str">
        <f>IF(ISERROR(FIND($A$2,Lines!AF10))=TRUE,"",Lines!AF10)</f>
        <v/>
      </c>
      <c r="AG10" s="30" t="str">
        <f>IF(ISERROR(FIND($A$2,Lines!AG10))=TRUE,"",Lines!AG10)</f>
        <v/>
      </c>
      <c r="AH10" s="30" t="str">
        <f>IF(ISERROR(FIND($A$2,Lines!AH10))=TRUE,"",Lines!AH10)</f>
        <v/>
      </c>
      <c r="AI10" s="30" t="str">
        <f>IF(ISERROR(FIND($A$2,Lines!AI10))=TRUE,"",Lines!AI10)</f>
        <v/>
      </c>
      <c r="AJ10" s="30" t="str">
        <f>IF(ISERROR(FIND($A$2,Lines!AJ10))=TRUE,"",Lines!AJ10)</f>
        <v/>
      </c>
      <c r="AK10" s="30" t="str">
        <f>IF(ISERROR(FIND($A$2,Lines!AK10))=TRUE,"",Lines!AK10)</f>
        <v/>
      </c>
      <c r="AL10" s="30" t="str">
        <f>IF(ISERROR(FIND($A$2,Lines!AL10))=TRUE,"",Lines!AL10)</f>
        <v/>
      </c>
      <c r="AM10" s="30" t="str">
        <f>IF(ISERROR(FIND($A$2,Lines!AM10))=TRUE,"",Lines!AM10)</f>
        <v/>
      </c>
      <c r="AN10" s="30" t="str">
        <f>IF(ISERROR(FIND($A$2,Lines!AN10))=TRUE,"",Lines!AN10)</f>
        <v/>
      </c>
      <c r="AO10" s="30" t="str">
        <f>IF(ISERROR(FIND($A$2,Lines!AO10))=TRUE,"",Lines!AO10)</f>
        <v/>
      </c>
      <c r="AP10" s="30" t="str">
        <f>IF(ISERROR(FIND($A$2,Lines!AP10))=TRUE,"",Lines!AP10)</f>
        <v/>
      </c>
      <c r="AQ10" s="30" t="str">
        <f>IF(ISERROR(FIND($A$2,Lines!AQ10))=TRUE,"",Lines!AQ10)</f>
        <v/>
      </c>
      <c r="AR10" s="30" t="str">
        <f>IF(ISERROR(FIND($A$2,Lines!AR10))=TRUE,"",Lines!AR10)</f>
        <v/>
      </c>
      <c r="AS10" s="30" t="str">
        <f>IF(ISERROR(FIND($A$2,Lines!AS10))=TRUE,"",Lines!AS10)</f>
        <v/>
      </c>
      <c r="AT10" s="30" t="str">
        <f>IF(ISERROR(FIND($A$2,Lines!AT10))=TRUE,"",Lines!AT10)</f>
        <v/>
      </c>
    </row>
    <row r="11" spans="1:46" ht="20.25" customHeight="1">
      <c r="A11" s="2" t="s">
        <v>54</v>
      </c>
      <c r="B11" s="26" t="str">
        <f>IF(ISERROR(FIND($A$2,Lines!B11))=TRUE,"",Lines!B11)</f>
        <v/>
      </c>
      <c r="C11" s="26" t="str">
        <f>IF(ISERROR(FIND($A$2,Lines!C11))=TRUE,"",Lines!C11)</f>
        <v/>
      </c>
      <c r="D11" s="26" t="str">
        <f>IF(ISERROR(FIND($A$2,Lines!D11))=TRUE,"",Lines!D11)</f>
        <v/>
      </c>
      <c r="E11" s="26" t="str">
        <f>IF(ISERROR(FIND($A$2,Lines!E11))=TRUE,"",Lines!E11)</f>
        <v/>
      </c>
      <c r="F11" s="26" t="str">
        <f>IF(ISERROR(FIND($A$2,Lines!F11))=TRUE,"",Lines!F11)</f>
        <v/>
      </c>
      <c r="G11" s="26" t="str">
        <f>IF(ISERROR(FIND($A$2,Lines!G11))=TRUE,"",Lines!G11)</f>
        <v/>
      </c>
      <c r="H11" s="26" t="str">
        <f>IF(ISERROR(FIND($A$2,Lines!H11))=TRUE,"",Lines!H11)</f>
        <v/>
      </c>
      <c r="I11" s="63" t="str">
        <f>IF(ISERROR(FIND($A$2,Lines!I11))=TRUE,"",Lines!I11)</f>
        <v/>
      </c>
      <c r="J11" s="26" t="str">
        <f>IF(ISERROR(FIND($A$2,Lines!J11))=TRUE,"",Lines!J11)</f>
        <v/>
      </c>
      <c r="K11" s="26" t="str">
        <f>IF(ISERROR(FIND($A$2,Lines!K11))=TRUE,"",Lines!K11)</f>
        <v/>
      </c>
      <c r="L11" s="26" t="str">
        <f>IF(ISERROR(FIND($A$2,Lines!L11))=TRUE,"",Lines!L11)</f>
        <v/>
      </c>
      <c r="M11" s="27" t="str">
        <f>IF(ISERROR(FIND($A$2,Lines!M11))=TRUE,"",Lines!M11)</f>
        <v/>
      </c>
      <c r="N11" s="30" t="str">
        <f>IF(ISERROR(FIND($A$2,Lines!N11))=TRUE,"",Lines!N11)</f>
        <v/>
      </c>
      <c r="O11" s="30" t="str">
        <f>IF(ISERROR(FIND($A$2,Lines!O11))=TRUE,"",Lines!O11)</f>
        <v/>
      </c>
      <c r="P11" s="30" t="str">
        <f>IF(ISERROR(FIND($A$2,Lines!P11))=TRUE,"",Lines!P11)</f>
        <v/>
      </c>
      <c r="Q11" s="30" t="str">
        <f>IF(ISERROR(FIND($A$2,Lines!Q11))=TRUE,"",Lines!Q11)</f>
        <v/>
      </c>
      <c r="R11" s="30" t="str">
        <f>IF(ISERROR(FIND($A$2,Lines!R11))=TRUE,"",Lines!R11)</f>
        <v/>
      </c>
      <c r="S11" s="30" t="str">
        <f>IF(ISERROR(FIND($A$2,Lines!S11))=TRUE,"",Lines!S11)</f>
        <v/>
      </c>
      <c r="T11" s="30" t="str">
        <f>IF(ISERROR(FIND($A$2,Lines!T11))=TRUE,"",Lines!T11)</f>
        <v/>
      </c>
      <c r="U11" s="30" t="str">
        <f>IF(ISERROR(FIND($A$2,Lines!U11))=TRUE,"",Lines!U11)</f>
        <v/>
      </c>
      <c r="V11" s="30" t="str">
        <f>IF(ISERROR(FIND($A$2,Lines!V11))=TRUE,"",Lines!V11)</f>
        <v/>
      </c>
      <c r="W11" s="36" t="str">
        <f>IF(ISERROR(FIND($A$2,Lines!W11))=TRUE,"",Lines!W11)</f>
        <v/>
      </c>
      <c r="X11" s="30" t="str">
        <f>IF(ISERROR(FIND($A$2,Lines!X11))=TRUE,"",Lines!X11)</f>
        <v/>
      </c>
      <c r="Y11" s="30" t="str">
        <f>IF(ISERROR(FIND($A$2,Lines!Y11))=TRUE,"",Lines!Y11)</f>
        <v/>
      </c>
      <c r="Z11" s="30" t="str">
        <f>IF(ISERROR(FIND($A$2,Lines!Z11))=TRUE,"",Lines!Z11)</f>
        <v/>
      </c>
      <c r="AA11" s="30" t="str">
        <f>IF(ISERROR(FIND($A$2,Lines!AA11))=TRUE,"",Lines!AA11)</f>
        <v/>
      </c>
      <c r="AB11" s="30" t="str">
        <f>IF(ISERROR(FIND($A$2,Lines!AB11))=TRUE,"",Lines!AB11)</f>
        <v/>
      </c>
      <c r="AC11" s="30" t="str">
        <f>IF(ISERROR(FIND($A$2,Lines!AC11))=TRUE,"",Lines!AC11)</f>
        <v/>
      </c>
      <c r="AD11" s="30" t="str">
        <f>IF(ISERROR(FIND($A$2,Lines!AD11))=TRUE,"",Lines!AD11)</f>
        <v/>
      </c>
      <c r="AE11" s="30" t="str">
        <f>IF(ISERROR(FIND($A$2,Lines!AE11))=TRUE,"",Lines!AE11)</f>
        <v/>
      </c>
      <c r="AF11" s="30" t="str">
        <f>IF(ISERROR(FIND($A$2,Lines!AF11))=TRUE,"",Lines!AF11)</f>
        <v/>
      </c>
      <c r="AG11" s="30" t="str">
        <f>IF(ISERROR(FIND($A$2,Lines!AG11))=TRUE,"",Lines!AG11)</f>
        <v/>
      </c>
      <c r="AH11" s="30" t="str">
        <f>IF(ISERROR(FIND($A$2,Lines!AH11))=TRUE,"",Lines!AH11)</f>
        <v/>
      </c>
      <c r="AI11" s="30" t="str">
        <f>IF(ISERROR(FIND($A$2,Lines!AI11))=TRUE,"",Lines!AI11)</f>
        <v/>
      </c>
      <c r="AJ11" s="30" t="str">
        <f>IF(ISERROR(FIND($A$2,Lines!AJ11))=TRUE,"",Lines!AJ11)</f>
        <v/>
      </c>
      <c r="AK11" s="30" t="str">
        <f>IF(ISERROR(FIND($A$2,Lines!AK11))=TRUE,"",Lines!AK11)</f>
        <v/>
      </c>
      <c r="AL11" s="30" t="str">
        <f>IF(ISERROR(FIND($A$2,Lines!AL11))=TRUE,"",Lines!AL11)</f>
        <v/>
      </c>
      <c r="AM11" s="30" t="str">
        <f>IF(ISERROR(FIND($A$2,Lines!AM11))=TRUE,"",Lines!AM11)</f>
        <v/>
      </c>
      <c r="AN11" s="30" t="str">
        <f>IF(ISERROR(FIND($A$2,Lines!AN11))=TRUE,"",Lines!AN11)</f>
        <v/>
      </c>
      <c r="AO11" s="30" t="str">
        <f>IF(ISERROR(FIND($A$2,Lines!AO11))=TRUE,"",Lines!AO11)</f>
        <v/>
      </c>
      <c r="AP11" s="30" t="str">
        <f>IF(ISERROR(FIND($A$2,Lines!AP11))=TRUE,"",Lines!AP11)</f>
        <v/>
      </c>
      <c r="AQ11" s="30" t="str">
        <f>IF(ISERROR(FIND($A$2,Lines!AQ11))=TRUE,"",Lines!AQ11)</f>
        <v/>
      </c>
      <c r="AR11" s="30" t="str">
        <f>IF(ISERROR(FIND($A$2,Lines!AR11))=TRUE,"",Lines!AR11)</f>
        <v/>
      </c>
      <c r="AS11" s="30" t="str">
        <f>IF(ISERROR(FIND($A$2,Lines!AS11))=TRUE,"",Lines!AS11)</f>
        <v/>
      </c>
      <c r="AT11" s="30" t="str">
        <f>IF(ISERROR(FIND($A$2,Lines!AT11))=TRUE,"",Lines!AT11)</f>
        <v/>
      </c>
    </row>
    <row r="12" spans="1:46" ht="20.25" customHeight="1">
      <c r="A12" s="2" t="s">
        <v>62</v>
      </c>
      <c r="B12" s="26" t="str">
        <f>IF(ISERROR(FIND($A$2,Lines!B12))=TRUE,"",Lines!B12)</f>
        <v/>
      </c>
      <c r="C12" s="26" t="str">
        <f>IF(ISERROR(FIND($A$2,Lines!C12))=TRUE,"",Lines!C12)</f>
        <v/>
      </c>
      <c r="D12" s="26" t="str">
        <f>IF(ISERROR(FIND($A$2,Lines!D12))=TRUE,"",Lines!D12)</f>
        <v/>
      </c>
      <c r="E12" s="26" t="str">
        <f>IF(ISERROR(FIND($A$2,Lines!E12))=TRUE,"",Lines!E12)</f>
        <v/>
      </c>
      <c r="F12" s="26" t="str">
        <f>IF(ISERROR(FIND($A$2,Lines!F12))=TRUE,"",Lines!F12)</f>
        <v/>
      </c>
      <c r="G12" s="26" t="str">
        <f>IF(ISERROR(FIND($A$2,Lines!G12))=TRUE,"",Lines!G12)</f>
        <v/>
      </c>
      <c r="H12" s="26" t="str">
        <f>IF(ISERROR(FIND($A$2,Lines!H12))=TRUE,"",Lines!H12)</f>
        <v/>
      </c>
      <c r="I12" s="26" t="str">
        <f>IF(ISERROR(FIND($A$2,Lines!I12))=TRUE,"",Lines!I12)</f>
        <v/>
      </c>
      <c r="J12" s="63" t="str">
        <f>IF(ISERROR(FIND($A$2,Lines!J12))=TRUE,"",Lines!J12)</f>
        <v/>
      </c>
      <c r="K12" s="26" t="str">
        <f>IF(ISERROR(FIND($A$2,Lines!K12))=TRUE,"",Lines!K12)</f>
        <v/>
      </c>
      <c r="L12" s="26" t="str">
        <f>IF(ISERROR(FIND($A$2,Lines!L12))=TRUE,"",Lines!L12)</f>
        <v/>
      </c>
      <c r="M12" s="69" t="str">
        <f>IF(ISERROR(FIND($A$2,Lines!M12))=TRUE,"",Lines!M12)</f>
        <v/>
      </c>
      <c r="N12" s="30" t="str">
        <f>IF(ISERROR(FIND($A$2,Lines!N12))=TRUE,"",Lines!N12)</f>
        <v/>
      </c>
      <c r="O12" s="30" t="str">
        <f>IF(ISERROR(FIND($A$2,Lines!O12))=TRUE,"",Lines!O12)</f>
        <v/>
      </c>
      <c r="P12" s="30" t="str">
        <f>IF(ISERROR(FIND($A$2,Lines!P12))=TRUE,"",Lines!P12)</f>
        <v/>
      </c>
      <c r="Q12" s="30" t="str">
        <f>IF(ISERROR(FIND($A$2,Lines!Q12))=TRUE,"",Lines!Q12)</f>
        <v/>
      </c>
      <c r="R12" s="30" t="str">
        <f>IF(ISERROR(FIND($A$2,Lines!R12))=TRUE,"",Lines!R12)</f>
        <v/>
      </c>
      <c r="S12" s="30" t="str">
        <f>IF(ISERROR(FIND($A$2,Lines!S12))=TRUE,"",Lines!S12)</f>
        <v/>
      </c>
      <c r="T12" s="30" t="str">
        <f>IF(ISERROR(FIND($A$2,Lines!T12))=TRUE,"",Lines!T12)</f>
        <v/>
      </c>
      <c r="U12" s="30" t="str">
        <f>IF(ISERROR(FIND($A$2,Lines!U12))=TRUE,"",Lines!U12)</f>
        <v/>
      </c>
      <c r="V12" s="30" t="str">
        <f>IF(ISERROR(FIND($A$2,Lines!V12))=TRUE,"",Lines!V12)</f>
        <v/>
      </c>
      <c r="W12" s="36" t="str">
        <f>IF(ISERROR(FIND($A$2,Lines!W12))=TRUE,"",Lines!W12)</f>
        <v/>
      </c>
      <c r="X12" s="30" t="str">
        <f>IF(ISERROR(FIND($A$2,Lines!X12))=TRUE,"",Lines!X12)</f>
        <v/>
      </c>
      <c r="Y12" s="30" t="str">
        <f>IF(ISERROR(FIND($A$2,Lines!Y12))=TRUE,"",Lines!Y12)</f>
        <v/>
      </c>
      <c r="Z12" s="30" t="str">
        <f>IF(ISERROR(FIND($A$2,Lines!Z12))=TRUE,"",Lines!Z12)</f>
        <v/>
      </c>
      <c r="AA12" s="30" t="str">
        <f>IF(ISERROR(FIND($A$2,Lines!AA12))=TRUE,"",Lines!AA12)</f>
        <v/>
      </c>
      <c r="AB12" s="30" t="str">
        <f>IF(ISERROR(FIND($A$2,Lines!AB12))=TRUE,"",Lines!AB12)</f>
        <v/>
      </c>
      <c r="AC12" s="30" t="str">
        <f>IF(ISERROR(FIND($A$2,Lines!AC12))=TRUE,"",Lines!AC12)</f>
        <v/>
      </c>
      <c r="AD12" s="30" t="str">
        <f>IF(ISERROR(FIND($A$2,Lines!AD12))=TRUE,"",Lines!AD12)</f>
        <v/>
      </c>
      <c r="AE12" s="30" t="str">
        <f>IF(ISERROR(FIND($A$2,Lines!AE12))=TRUE,"",Lines!AE12)</f>
        <v/>
      </c>
      <c r="AF12" s="30" t="str">
        <f>IF(ISERROR(FIND($A$2,Lines!AF12))=TRUE,"",Lines!AF12)</f>
        <v/>
      </c>
      <c r="AG12" s="30" t="str">
        <f>IF(ISERROR(FIND($A$2,Lines!AG12))=TRUE,"",Lines!AG12)</f>
        <v/>
      </c>
      <c r="AH12" s="30" t="str">
        <f>IF(ISERROR(FIND($A$2,Lines!AH12))=TRUE,"",Lines!AH12)</f>
        <v/>
      </c>
      <c r="AI12" s="30" t="str">
        <f>IF(ISERROR(FIND($A$2,Lines!AI12))=TRUE,"",Lines!AI12)</f>
        <v/>
      </c>
      <c r="AJ12" s="30" t="str">
        <f>IF(ISERROR(FIND($A$2,Lines!AJ12))=TRUE,"",Lines!AJ12)</f>
        <v/>
      </c>
      <c r="AK12" s="30" t="str">
        <f>IF(ISERROR(FIND($A$2,Lines!AK12))=TRUE,"",Lines!AK12)</f>
        <v/>
      </c>
      <c r="AL12" s="30" t="str">
        <f>IF(ISERROR(FIND($A$2,Lines!AL12))=TRUE,"",Lines!AL12)</f>
        <v/>
      </c>
      <c r="AM12" s="30" t="str">
        <f>IF(ISERROR(FIND($A$2,Lines!AM12))=TRUE,"",Lines!AM12)</f>
        <v/>
      </c>
      <c r="AN12" s="30" t="str">
        <f>IF(ISERROR(FIND($A$2,Lines!AN12))=TRUE,"",Lines!AN12)</f>
        <v/>
      </c>
      <c r="AO12" s="30" t="str">
        <f>IF(ISERROR(FIND($A$2,Lines!AO12))=TRUE,"",Lines!AO12)</f>
        <v/>
      </c>
      <c r="AP12" s="30" t="str">
        <f>IF(ISERROR(FIND($A$2,Lines!AP12))=TRUE,"",Lines!AP12)</f>
        <v/>
      </c>
      <c r="AQ12" s="30" t="str">
        <f>IF(ISERROR(FIND($A$2,Lines!AQ12))=TRUE,"",Lines!AQ12)</f>
        <v/>
      </c>
      <c r="AR12" s="30" t="str">
        <f>IF(ISERROR(FIND($A$2,Lines!AR12))=TRUE,"",Lines!AR12)</f>
        <v/>
      </c>
      <c r="AS12" s="30" t="str">
        <f>IF(ISERROR(FIND($A$2,Lines!AS12))=TRUE,"",Lines!AS12)</f>
        <v/>
      </c>
      <c r="AT12" s="30" t="str">
        <f>IF(ISERROR(FIND($A$2,Lines!AT12))=TRUE,"",Lines!AT12)</f>
        <v/>
      </c>
    </row>
    <row r="13" spans="1:46" ht="20.25" customHeight="1">
      <c r="A13" s="2" t="s">
        <v>63</v>
      </c>
      <c r="B13" s="26" t="str">
        <f>IF(ISERROR(FIND($A$2,Lines!B13))=TRUE,"",Lines!B13)</f>
        <v/>
      </c>
      <c r="C13" s="26" t="str">
        <f>IF(ISERROR(FIND($A$2,Lines!C13))=TRUE,"",Lines!C13)</f>
        <v/>
      </c>
      <c r="D13" s="26" t="str">
        <f>IF(ISERROR(FIND($A$2,Lines!D13))=TRUE,"",Lines!D13)</f>
        <v/>
      </c>
      <c r="E13" s="26" t="str">
        <f>IF(ISERROR(FIND($A$2,Lines!E13))=TRUE,"",Lines!E13)</f>
        <v/>
      </c>
      <c r="F13" s="26" t="str">
        <f>IF(ISERROR(FIND($A$2,Lines!F13))=TRUE,"",Lines!F13)</f>
        <v/>
      </c>
      <c r="G13" s="26" t="str">
        <f>IF(ISERROR(FIND($A$2,Lines!G13))=TRUE,"",Lines!G13)</f>
        <v/>
      </c>
      <c r="H13" s="26" t="str">
        <f>IF(ISERROR(FIND($A$2,Lines!H13))=TRUE,"",Lines!H13)</f>
        <v/>
      </c>
      <c r="I13" s="26" t="str">
        <f>IF(ISERROR(FIND($A$2,Lines!I13))=TRUE,"",Lines!I13)</f>
        <v/>
      </c>
      <c r="J13" s="26" t="str">
        <f>IF(ISERROR(FIND($A$2,Lines!J13))=TRUE,"",Lines!J13)</f>
        <v/>
      </c>
      <c r="K13" s="63" t="str">
        <f>IF(ISERROR(FIND($A$2,Lines!K13))=TRUE,"",Lines!K13)</f>
        <v/>
      </c>
      <c r="L13" s="26" t="str">
        <f>IF(ISERROR(FIND($A$2,Lines!L13))=TRUE,"",Lines!L13)</f>
        <v/>
      </c>
      <c r="M13" s="27" t="str">
        <f>IF(ISERROR(FIND($A$2,Lines!M13))=TRUE,"",Lines!M13)</f>
        <v/>
      </c>
      <c r="N13" s="30" t="str">
        <f>IF(ISERROR(FIND($A$2,Lines!N13))=TRUE,"",Lines!N13)</f>
        <v/>
      </c>
      <c r="O13" s="30" t="str">
        <f>IF(ISERROR(FIND($A$2,Lines!O13))=TRUE,"",Lines!O13)</f>
        <v/>
      </c>
      <c r="P13" s="30" t="str">
        <f>IF(ISERROR(FIND($A$2,Lines!P13))=TRUE,"",Lines!P13)</f>
        <v/>
      </c>
      <c r="Q13" s="30" t="str">
        <f>IF(ISERROR(FIND($A$2,Lines!Q13))=TRUE,"",Lines!Q13)</f>
        <v/>
      </c>
      <c r="R13" s="30" t="str">
        <f>IF(ISERROR(FIND($A$2,Lines!R13))=TRUE,"",Lines!R13)</f>
        <v/>
      </c>
      <c r="S13" s="30" t="str">
        <f>IF(ISERROR(FIND($A$2,Lines!S13))=TRUE,"",Lines!S13)</f>
        <v/>
      </c>
      <c r="T13" s="30" t="str">
        <f>IF(ISERROR(FIND($A$2,Lines!T13))=TRUE,"",Lines!T13)</f>
        <v/>
      </c>
      <c r="U13" s="30" t="str">
        <f>IF(ISERROR(FIND($A$2,Lines!U13))=TRUE,"",Lines!U13)</f>
        <v/>
      </c>
      <c r="V13" s="30" t="str">
        <f>IF(ISERROR(FIND($A$2,Lines!V13))=TRUE,"",Lines!V13)</f>
        <v/>
      </c>
      <c r="W13" s="36" t="str">
        <f>IF(ISERROR(FIND($A$2,Lines!W13))=TRUE,"",Lines!W13)</f>
        <v/>
      </c>
      <c r="X13" s="30" t="str">
        <f>IF(ISERROR(FIND($A$2,Lines!X13))=TRUE,"",Lines!X13)</f>
        <v/>
      </c>
      <c r="Y13" s="30" t="str">
        <f>IF(ISERROR(FIND($A$2,Lines!Y13))=TRUE,"",Lines!Y13)</f>
        <v/>
      </c>
      <c r="Z13" s="30" t="str">
        <f>IF(ISERROR(FIND($A$2,Lines!Z13))=TRUE,"",Lines!Z13)</f>
        <v/>
      </c>
      <c r="AA13" s="30" t="str">
        <f>IF(ISERROR(FIND($A$2,Lines!AA13))=TRUE,"",Lines!AA13)</f>
        <v/>
      </c>
      <c r="AB13" s="30" t="str">
        <f>IF(ISERROR(FIND($A$2,Lines!AB13))=TRUE,"",Lines!AB13)</f>
        <v/>
      </c>
      <c r="AC13" s="30" t="str">
        <f>IF(ISERROR(FIND($A$2,Lines!AC13))=TRUE,"",Lines!AC13)</f>
        <v/>
      </c>
      <c r="AD13" s="30" t="str">
        <f>IF(ISERROR(FIND($A$2,Lines!AD13))=TRUE,"",Lines!AD13)</f>
        <v/>
      </c>
      <c r="AE13" s="30" t="str">
        <f>IF(ISERROR(FIND($A$2,Lines!AE13))=TRUE,"",Lines!AE13)</f>
        <v/>
      </c>
      <c r="AF13" s="30" t="str">
        <f>IF(ISERROR(FIND($A$2,Lines!AF13))=TRUE,"",Lines!AF13)</f>
        <v/>
      </c>
      <c r="AG13" s="30" t="str">
        <f>IF(ISERROR(FIND($A$2,Lines!AG13))=TRUE,"",Lines!AG13)</f>
        <v/>
      </c>
      <c r="AH13" s="30" t="str">
        <f>IF(ISERROR(FIND($A$2,Lines!AH13))=TRUE,"",Lines!AH13)</f>
        <v/>
      </c>
      <c r="AI13" s="30" t="str">
        <f>IF(ISERROR(FIND($A$2,Lines!AI13))=TRUE,"",Lines!AI13)</f>
        <v/>
      </c>
      <c r="AJ13" s="30" t="str">
        <f>IF(ISERROR(FIND($A$2,Lines!AJ13))=TRUE,"",Lines!AJ13)</f>
        <v/>
      </c>
      <c r="AK13" s="30" t="str">
        <f>IF(ISERROR(FIND($A$2,Lines!AK13))=TRUE,"",Lines!AK13)</f>
        <v/>
      </c>
      <c r="AL13" s="30" t="str">
        <f>IF(ISERROR(FIND($A$2,Lines!AL13))=TRUE,"",Lines!AL13)</f>
        <v/>
      </c>
      <c r="AM13" s="30" t="str">
        <f>IF(ISERROR(FIND($A$2,Lines!AM13))=TRUE,"",Lines!AM13)</f>
        <v/>
      </c>
      <c r="AN13" s="30" t="str">
        <f>IF(ISERROR(FIND($A$2,Lines!AN13))=TRUE,"",Lines!AN13)</f>
        <v/>
      </c>
      <c r="AO13" s="30" t="str">
        <f>IF(ISERROR(FIND($A$2,Lines!AO13))=TRUE,"",Lines!AO13)</f>
        <v/>
      </c>
      <c r="AP13" s="30" t="str">
        <f>IF(ISERROR(FIND($A$2,Lines!AP13))=TRUE,"",Lines!AP13)</f>
        <v/>
      </c>
      <c r="AQ13" s="30" t="str">
        <f>IF(ISERROR(FIND($A$2,Lines!AQ13))=TRUE,"",Lines!AQ13)</f>
        <v/>
      </c>
      <c r="AR13" s="30" t="str">
        <f>IF(ISERROR(FIND($A$2,Lines!AR13))=TRUE,"",Lines!AR13)</f>
        <v/>
      </c>
      <c r="AS13" s="30" t="str">
        <f>IF(ISERROR(FIND($A$2,Lines!AS13))=TRUE,"",Lines!AS13)</f>
        <v/>
      </c>
      <c r="AT13" s="30" t="str">
        <f>IF(ISERROR(FIND($A$2,Lines!AT13))=TRUE,"",Lines!AT13)</f>
        <v/>
      </c>
    </row>
    <row r="14" spans="1:46" ht="20.25" customHeight="1">
      <c r="A14" s="2" t="s">
        <v>64</v>
      </c>
      <c r="B14" s="26" t="str">
        <f>IF(ISERROR(FIND($A$2,Lines!B14))=TRUE,"",Lines!B14)</f>
        <v/>
      </c>
      <c r="C14" s="26" t="str">
        <f>IF(ISERROR(FIND($A$2,Lines!C14))=TRUE,"",Lines!C14)</f>
        <v/>
      </c>
      <c r="D14" s="26" t="str">
        <f>IF(ISERROR(FIND($A$2,Lines!D14))=TRUE,"",Lines!D14)</f>
        <v/>
      </c>
      <c r="E14" s="26" t="str">
        <f>IF(ISERROR(FIND($A$2,Lines!E14))=TRUE,"",Lines!E14)</f>
        <v/>
      </c>
      <c r="F14" s="26" t="str">
        <f>IF(ISERROR(FIND($A$2,Lines!F14))=TRUE,"",Lines!F14)</f>
        <v/>
      </c>
      <c r="G14" s="26" t="str">
        <f>IF(ISERROR(FIND($A$2,Lines!G14))=TRUE,"",Lines!G14)</f>
        <v/>
      </c>
      <c r="H14" s="26" t="str">
        <f>IF(ISERROR(FIND($A$2,Lines!H14))=TRUE,"",Lines!H14)</f>
        <v/>
      </c>
      <c r="I14" s="26" t="str">
        <f>IF(ISERROR(FIND($A$2,Lines!I14))=TRUE,"",Lines!I14)</f>
        <v/>
      </c>
      <c r="J14" s="26" t="str">
        <f>IF(ISERROR(FIND($A$2,Lines!J14))=TRUE,"",Lines!J14)</f>
        <v/>
      </c>
      <c r="K14" s="26" t="str">
        <f>IF(ISERROR(FIND($A$2,Lines!K14))=TRUE,"",Lines!K14)</f>
        <v/>
      </c>
      <c r="L14" s="63" t="str">
        <f>IF(ISERROR(FIND($A$2,Lines!L14))=TRUE,"",Lines!L14)</f>
        <v/>
      </c>
      <c r="M14" s="27" t="str">
        <f>IF(ISERROR(FIND($A$2,Lines!M14))=TRUE,"",Lines!M14)</f>
        <v/>
      </c>
      <c r="N14" s="30" t="str">
        <f>IF(ISERROR(FIND($A$2,Lines!N14))=TRUE,"",Lines!N14)</f>
        <v/>
      </c>
      <c r="O14" s="30" t="str">
        <f>IF(ISERROR(FIND($A$2,Lines!O14))=TRUE,"",Lines!O14)</f>
        <v/>
      </c>
      <c r="P14" s="30" t="str">
        <f>IF(ISERROR(FIND($A$2,Lines!P14))=TRUE,"",Lines!P14)</f>
        <v/>
      </c>
      <c r="Q14" s="30" t="str">
        <f>IF(ISERROR(FIND($A$2,Lines!Q14))=TRUE,"",Lines!Q14)</f>
        <v/>
      </c>
      <c r="R14" s="30" t="str">
        <f>IF(ISERROR(FIND($A$2,Lines!R14))=TRUE,"",Lines!R14)</f>
        <v/>
      </c>
      <c r="S14" s="30" t="str">
        <f>IF(ISERROR(FIND($A$2,Lines!S14))=TRUE,"",Lines!S14)</f>
        <v/>
      </c>
      <c r="T14" s="30" t="str">
        <f>IF(ISERROR(FIND($A$2,Lines!T14))=TRUE,"",Lines!T14)</f>
        <v/>
      </c>
      <c r="U14" s="30" t="str">
        <f>IF(ISERROR(FIND($A$2,Lines!U14))=TRUE,"",Lines!U14)</f>
        <v/>
      </c>
      <c r="V14" s="30" t="str">
        <f>IF(ISERROR(FIND($A$2,Lines!V14))=TRUE,"",Lines!V14)</f>
        <v/>
      </c>
      <c r="W14" s="36" t="str">
        <f>IF(ISERROR(FIND($A$2,Lines!W14))=TRUE,"",Lines!W14)</f>
        <v/>
      </c>
      <c r="X14" s="30" t="str">
        <f>IF(ISERROR(FIND($A$2,Lines!X14))=TRUE,"",Lines!X14)</f>
        <v/>
      </c>
      <c r="Y14" s="30" t="str">
        <f>IF(ISERROR(FIND($A$2,Lines!Y14))=TRUE,"",Lines!Y14)</f>
        <v/>
      </c>
      <c r="Z14" s="30" t="str">
        <f>IF(ISERROR(FIND($A$2,Lines!Z14))=TRUE,"",Lines!Z14)</f>
        <v/>
      </c>
      <c r="AA14" s="30" t="str">
        <f>IF(ISERROR(FIND($A$2,Lines!AA14))=TRUE,"",Lines!AA14)</f>
        <v/>
      </c>
      <c r="AB14" s="30" t="str">
        <f>IF(ISERROR(FIND($A$2,Lines!AB14))=TRUE,"",Lines!AB14)</f>
        <v/>
      </c>
      <c r="AC14" s="30" t="str">
        <f>IF(ISERROR(FIND($A$2,Lines!AC14))=TRUE,"",Lines!AC14)</f>
        <v/>
      </c>
      <c r="AD14" s="30" t="str">
        <f>IF(ISERROR(FIND($A$2,Lines!AD14))=TRUE,"",Lines!AD14)</f>
        <v/>
      </c>
      <c r="AE14" s="30" t="str">
        <f>IF(ISERROR(FIND($A$2,Lines!AE14))=TRUE,"",Lines!AE14)</f>
        <v/>
      </c>
      <c r="AF14" s="30" t="str">
        <f>IF(ISERROR(FIND($A$2,Lines!AF14))=TRUE,"",Lines!AF14)</f>
        <v/>
      </c>
      <c r="AG14" s="30" t="str">
        <f>IF(ISERROR(FIND($A$2,Lines!AG14))=TRUE,"",Lines!AG14)</f>
        <v/>
      </c>
      <c r="AH14" s="30" t="str">
        <f>IF(ISERROR(FIND($A$2,Lines!AH14))=TRUE,"",Lines!AH14)</f>
        <v/>
      </c>
      <c r="AI14" s="30" t="str">
        <f>IF(ISERROR(FIND($A$2,Lines!AI14))=TRUE,"",Lines!AI14)</f>
        <v/>
      </c>
      <c r="AJ14" s="30" t="str">
        <f>IF(ISERROR(FIND($A$2,Lines!AJ14))=TRUE,"",Lines!AJ14)</f>
        <v/>
      </c>
      <c r="AK14" s="30" t="str">
        <f>IF(ISERROR(FIND($A$2,Lines!AK14))=TRUE,"",Lines!AK14)</f>
        <v/>
      </c>
      <c r="AL14" s="30" t="str">
        <f>IF(ISERROR(FIND($A$2,Lines!AL14))=TRUE,"",Lines!AL14)</f>
        <v/>
      </c>
      <c r="AM14" s="30" t="str">
        <f>IF(ISERROR(FIND($A$2,Lines!AM14))=TRUE,"",Lines!AM14)</f>
        <v/>
      </c>
      <c r="AN14" s="30" t="str">
        <f>IF(ISERROR(FIND($A$2,Lines!AN14))=TRUE,"",Lines!AN14)</f>
        <v/>
      </c>
      <c r="AO14" s="30" t="str">
        <f>IF(ISERROR(FIND($A$2,Lines!AO14))=TRUE,"",Lines!AO14)</f>
        <v/>
      </c>
      <c r="AP14" s="30" t="str">
        <f>IF(ISERROR(FIND($A$2,Lines!AP14))=TRUE,"",Lines!AP14)</f>
        <v/>
      </c>
      <c r="AQ14" s="30" t="str">
        <f>IF(ISERROR(FIND($A$2,Lines!AQ14))=TRUE,"",Lines!AQ14)</f>
        <v/>
      </c>
      <c r="AR14" s="30" t="str">
        <f>IF(ISERROR(FIND($A$2,Lines!AR14))=TRUE,"",Lines!AR14)</f>
        <v/>
      </c>
      <c r="AS14" s="30" t="str">
        <f>IF(ISERROR(FIND($A$2,Lines!AS14))=TRUE,"",Lines!AS14)</f>
        <v/>
      </c>
      <c r="AT14" s="30" t="str">
        <f>IF(ISERROR(FIND($A$2,Lines!AT14))=TRUE,"",Lines!AT14)</f>
        <v/>
      </c>
    </row>
    <row r="15" spans="1:46" ht="20.25" customHeight="1">
      <c r="A15" s="2" t="s">
        <v>65</v>
      </c>
      <c r="B15" s="33" t="str">
        <f>IF(ISERROR(FIND($A$2,Lines!B15))=TRUE,"",Lines!B15)</f>
        <v/>
      </c>
      <c r="C15" s="33" t="str">
        <f>IF(ISERROR(FIND($A$2,Lines!C15))=TRUE,"",Lines!C15)</f>
        <v/>
      </c>
      <c r="D15" s="33" t="str">
        <f>IF(ISERROR(FIND($A$2,Lines!D15))=TRUE,"",Lines!D15)</f>
        <v/>
      </c>
      <c r="E15" s="33" t="str">
        <f>IF(ISERROR(FIND($A$2,Lines!E15))=TRUE,"",Lines!E15)</f>
        <v/>
      </c>
      <c r="F15" s="33" t="str">
        <f>IF(ISERROR(FIND($A$2,Lines!F15))=TRUE,"",Lines!F15)</f>
        <v/>
      </c>
      <c r="G15" s="33" t="str">
        <f>IF(ISERROR(FIND($A$2,Lines!G15))=TRUE,"",Lines!G15)</f>
        <v/>
      </c>
      <c r="H15" s="33" t="str">
        <f>IF(ISERROR(FIND($A$2,Lines!H15))=TRUE,"",Lines!H15)</f>
        <v/>
      </c>
      <c r="I15" s="33" t="str">
        <f>IF(ISERROR(FIND($A$2,Lines!I15))=TRUE,"",Lines!I15)</f>
        <v/>
      </c>
      <c r="J15" s="68" t="str">
        <f>IF(ISERROR(FIND($A$2,Lines!J15))=TRUE,"",Lines!J15)</f>
        <v/>
      </c>
      <c r="K15" s="33" t="str">
        <f>IF(ISERROR(FIND($A$2,Lines!K15))=TRUE,"",Lines!K15)</f>
        <v/>
      </c>
      <c r="L15" s="33" t="str">
        <f>IF(ISERROR(FIND($A$2,Lines!L15))=TRUE,"",Lines!L15)</f>
        <v/>
      </c>
      <c r="M15" s="64" t="str">
        <f>IF(ISERROR(FIND($A$2,Lines!M15))=TRUE,"",Lines!M15)</f>
        <v/>
      </c>
      <c r="N15" s="30" t="str">
        <f>IF(ISERROR(FIND($A$2,Lines!N15))=TRUE,"",Lines!N15)</f>
        <v/>
      </c>
      <c r="O15" s="30" t="str">
        <f>IF(ISERROR(FIND($A$2,Lines!O15))=TRUE,"",Lines!O15)</f>
        <v/>
      </c>
      <c r="P15" s="30" t="str">
        <f>IF(ISERROR(FIND($A$2,Lines!P15))=TRUE,"",Lines!P15)</f>
        <v/>
      </c>
      <c r="Q15" s="30" t="str">
        <f>IF(ISERROR(FIND($A$2,Lines!Q15))=TRUE,"",Lines!Q15)</f>
        <v/>
      </c>
      <c r="R15" s="30" t="str">
        <f>IF(ISERROR(FIND($A$2,Lines!R15))=TRUE,"",Lines!R15)</f>
        <v/>
      </c>
      <c r="S15" s="30" t="str">
        <f>IF(ISERROR(FIND($A$2,Lines!S15))=TRUE,"",Lines!S15)</f>
        <v/>
      </c>
      <c r="T15" s="30" t="str">
        <f>IF(ISERROR(FIND($A$2,Lines!T15))=TRUE,"",Lines!T15)</f>
        <v/>
      </c>
      <c r="U15" s="30" t="str">
        <f>IF(ISERROR(FIND($A$2,Lines!U15))=TRUE,"",Lines!U15)</f>
        <v/>
      </c>
      <c r="V15" s="30" t="str">
        <f>IF(ISERROR(FIND($A$2,Lines!V15))=TRUE,"",Lines!V15)</f>
        <v/>
      </c>
      <c r="W15" s="36" t="str">
        <f>IF(ISERROR(FIND($A$2,Lines!W15))=TRUE,"",Lines!W15)</f>
        <v/>
      </c>
      <c r="X15" s="30" t="str">
        <f>IF(ISERROR(FIND($A$2,Lines!X15))=TRUE,"",Lines!X15)</f>
        <v/>
      </c>
      <c r="Y15" s="30" t="str">
        <f>IF(ISERROR(FIND($A$2,Lines!Y15))=TRUE,"",Lines!Y15)</f>
        <v/>
      </c>
      <c r="Z15" s="30" t="str">
        <f>IF(ISERROR(FIND($A$2,Lines!Z15))=TRUE,"",Lines!Z15)</f>
        <v/>
      </c>
      <c r="AA15" s="30" t="str">
        <f>IF(ISERROR(FIND($A$2,Lines!AA15))=TRUE,"",Lines!AA15)</f>
        <v/>
      </c>
      <c r="AB15" s="30" t="str">
        <f>IF(ISERROR(FIND($A$2,Lines!AB15))=TRUE,"",Lines!AB15)</f>
        <v/>
      </c>
      <c r="AC15" s="30" t="str">
        <f>IF(ISERROR(FIND($A$2,Lines!AC15))=TRUE,"",Lines!AC15)</f>
        <v>±800扎鲁特-山东（10000MW）+2*1000锡盟-山东（4000MW+5000MW）</v>
      </c>
      <c r="AD15" s="30" t="str">
        <f>IF(ISERROR(FIND($A$2,Lines!AD15))=TRUE,"",Lines!AD15)</f>
        <v/>
      </c>
      <c r="AE15" s="30" t="str">
        <f>IF(ISERROR(FIND($A$2,Lines!AE15))=TRUE,"",Lines!AE15)</f>
        <v/>
      </c>
      <c r="AF15" s="30" t="str">
        <f>IF(ISERROR(FIND($A$2,Lines!AF15))=TRUE,"",Lines!AF15)</f>
        <v/>
      </c>
      <c r="AG15" s="30" t="str">
        <f>IF(ISERROR(FIND($A$2,Lines!AG15))=TRUE,"",Lines!AG15)</f>
        <v/>
      </c>
      <c r="AH15" s="30" t="str">
        <f>IF(ISERROR(FIND($A$2,Lines!AH15))=TRUE,"",Lines!AH15)</f>
        <v/>
      </c>
      <c r="AI15" s="30" t="str">
        <f>IF(ISERROR(FIND($A$2,Lines!AI15))=TRUE,"",Lines!AI15)</f>
        <v/>
      </c>
      <c r="AJ15" s="30" t="str">
        <f>IF(ISERROR(FIND($A$2,Lines!AJ15))=TRUE,"",Lines!AJ15)</f>
        <v/>
      </c>
      <c r="AK15" s="30" t="str">
        <f>IF(ISERROR(FIND($A$2,Lines!AK15))=TRUE,"",Lines!AK15)</f>
        <v/>
      </c>
      <c r="AL15" s="30" t="str">
        <f>IF(ISERROR(FIND($A$2,Lines!AL15))=TRUE,"",Lines!AL15)</f>
        <v/>
      </c>
      <c r="AM15" s="30" t="str">
        <f>IF(ISERROR(FIND($A$2,Lines!AM15))=TRUE,"",Lines!AM15)</f>
        <v/>
      </c>
      <c r="AN15" s="30" t="str">
        <f>IF(ISERROR(FIND($A$2,Lines!AN15))=TRUE,"",Lines!AN15)</f>
        <v/>
      </c>
      <c r="AO15" s="30" t="str">
        <f>IF(ISERROR(FIND($A$2,Lines!AO15))=TRUE,"",Lines!AO15)</f>
        <v/>
      </c>
      <c r="AP15" s="30" t="str">
        <f>IF(ISERROR(FIND($A$2,Lines!AP15))=TRUE,"",Lines!AP15)</f>
        <v/>
      </c>
      <c r="AQ15" s="30" t="str">
        <f>IF(ISERROR(FIND($A$2,Lines!AQ15))=TRUE,"",Lines!AQ15)</f>
        <v>±800锡盟-江苏（10000MW）+1000锡盟-南京（9400MW）</v>
      </c>
      <c r="AR15" s="30" t="str">
        <f>IF(ISERROR(FIND($A$2,Lines!AR15))=TRUE,"",Lines!AR15)</f>
        <v/>
      </c>
      <c r="AS15" s="30" t="str">
        <f>IF(ISERROR(FIND($A$2,Lines!AS15))=TRUE,"",Lines!AS15)</f>
        <v/>
      </c>
      <c r="AT15" s="30" t="str">
        <f>IF(ISERROR(FIND($A$2,Lines!AT15))=TRUE,"",Lines!AT15)</f>
        <v/>
      </c>
    </row>
    <row r="16" spans="1:46" ht="20.25" customHeight="1">
      <c r="A16" s="2" t="s">
        <v>12</v>
      </c>
      <c r="B16" s="30" t="str">
        <f>IF(ISERROR(FIND($A$2,Lines!B16))=TRUE,"",Lines!B16)</f>
        <v/>
      </c>
      <c r="C16" s="30" t="str">
        <f>IF(ISERROR(FIND($A$2,Lines!C16))=TRUE,"",Lines!C16)</f>
        <v/>
      </c>
      <c r="D16" s="30" t="str">
        <f>IF(ISERROR(FIND($A$2,Lines!D16))=TRUE,"",Lines!D16)</f>
        <v/>
      </c>
      <c r="E16" s="30" t="str">
        <f>IF(ISERROR(FIND($A$2,Lines!E16))=TRUE,"",Lines!E16)</f>
        <v/>
      </c>
      <c r="F16" s="30" t="str">
        <f>IF(ISERROR(FIND($A$2,Lines!F16))=TRUE,"",Lines!F16)</f>
        <v/>
      </c>
      <c r="G16" s="30" t="str">
        <f>IF(ISERROR(FIND($A$2,Lines!G16))=TRUE,"",Lines!G16)</f>
        <v/>
      </c>
      <c r="H16" s="30" t="str">
        <f>IF(ISERROR(FIND($A$2,Lines!H16))=TRUE,"",Lines!H16)</f>
        <v/>
      </c>
      <c r="I16" s="30" t="str">
        <f>IF(ISERROR(FIND($A$2,Lines!I16))=TRUE,"",Lines!I16)</f>
        <v/>
      </c>
      <c r="J16" s="30" t="str">
        <f>IF(ISERROR(FIND($A$2,Lines!J16))=TRUE,"",Lines!J16)</f>
        <v/>
      </c>
      <c r="K16" s="30" t="str">
        <f>IF(ISERROR(FIND($A$2,Lines!K16))=TRUE,"",Lines!K16)</f>
        <v/>
      </c>
      <c r="L16" s="30" t="str">
        <f>IF(ISERROR(FIND($A$2,Lines!L16))=TRUE,"",Lines!L16)</f>
        <v/>
      </c>
      <c r="M16" s="30" t="str">
        <f>IF(ISERROR(FIND($A$2,Lines!M16))=TRUE,"",Lines!M16)</f>
        <v/>
      </c>
      <c r="N16" s="65" t="str">
        <f>IF(ISERROR(FIND($A$2,Lines!N16))=TRUE,"",Lines!N16)</f>
        <v/>
      </c>
      <c r="O16" s="32" t="str">
        <f>IF(ISERROR(FIND($A$2,Lines!O16))=TRUE,"",Lines!O16)</f>
        <v/>
      </c>
      <c r="P16" s="29" t="str">
        <f>IF(ISERROR(FIND($A$2,Lines!P16))=TRUE,"",Lines!P16)</f>
        <v/>
      </c>
      <c r="Q16" s="29" t="str">
        <f>IF(ISERROR(FIND($A$2,Lines!Q16))=TRUE,"",Lines!Q16)</f>
        <v/>
      </c>
      <c r="R16" s="29" t="str">
        <f>IF(ISERROR(FIND($A$2,Lines!R16))=TRUE,"",Lines!R16)</f>
        <v/>
      </c>
      <c r="S16" s="29" t="str">
        <f>IF(ISERROR(FIND($A$2,Lines!S16))=TRUE,"",Lines!S16)</f>
        <v/>
      </c>
      <c r="T16" s="29" t="str">
        <f>IF(ISERROR(FIND($A$2,Lines!T16))=TRUE,"",Lines!T16)</f>
        <v/>
      </c>
      <c r="U16" s="29" t="str">
        <f>IF(ISERROR(FIND($A$2,Lines!U16))=TRUE,"",Lines!U16)</f>
        <v/>
      </c>
      <c r="V16" s="34" t="str">
        <f>IF(ISERROR(FIND($A$2,Lines!V16))=TRUE,"",Lines!V16)</f>
        <v/>
      </c>
      <c r="W16" s="36" t="str">
        <f>IF(ISERROR(FIND($A$2,Lines!W16))=TRUE,"",Lines!W16)</f>
        <v/>
      </c>
      <c r="X16" s="30" t="str">
        <f>IF(ISERROR(FIND($A$2,Lines!X16))=TRUE,"",Lines!X16)</f>
        <v/>
      </c>
      <c r="Y16" s="30" t="str">
        <f>IF(ISERROR(FIND($A$2,Lines!Y16))=TRUE,"",Lines!Y16)</f>
        <v/>
      </c>
      <c r="Z16" s="30" t="str">
        <f>IF(ISERROR(FIND($A$2,Lines!Z16))=TRUE,"",Lines!Z16)</f>
        <v/>
      </c>
      <c r="AA16" s="30" t="str">
        <f>IF(ISERROR(FIND($A$2,Lines!AA16))=TRUE,"",Lines!AA16)</f>
        <v/>
      </c>
      <c r="AB16" s="30" t="str">
        <f>IF(ISERROR(FIND($A$2,Lines!#REF!))=TRUE,"",Lines!#REF!)</f>
        <v/>
      </c>
      <c r="AC16" s="30" t="str">
        <f>IF(ISERROR(FIND($A$2,Lines!AC16))=TRUE,"",Lines!AC16)</f>
        <v/>
      </c>
      <c r="AD16" s="30" t="str">
        <f>IF(ISERROR(FIND($A$2,Lines!AD16))=TRUE,"",Lines!AD16)</f>
        <v/>
      </c>
      <c r="AE16" s="30" t="str">
        <f>IF(ISERROR(FIND($A$2,Lines!AE16))=TRUE,"",Lines!AE16)</f>
        <v>±800陕西-湖北（10000MW）</v>
      </c>
      <c r="AF16" s="30" t="str">
        <f>IF(ISERROR(FIND($A$2,Lines!AF16))=TRUE,"",Lines!AF16)</f>
        <v/>
      </c>
      <c r="AG16" s="30" t="str">
        <f>IF(ISERROR(FIND($A$2,Lines!AG16))=TRUE,"",Lines!AG16)</f>
        <v>±800陕北-江西（8000MW）</v>
      </c>
      <c r="AH16" s="30" t="str">
        <f>IF(ISERROR(FIND($A$2,Lines!AH16))=TRUE,"",Lines!AH16)</f>
        <v/>
      </c>
      <c r="AI16" s="30" t="str">
        <f>IF(ISERROR(FIND($A$2,Lines!AI16))=TRUE,"",Lines!AI16)</f>
        <v/>
      </c>
      <c r="AJ16" s="30" t="str">
        <f>IF(ISERROR(FIND($A$2,Lines!AJ16))=TRUE,"",Lines!AJ16)</f>
        <v/>
      </c>
      <c r="AK16" s="30" t="str">
        <f>IF(ISERROR(FIND($A$2,Lines!AK16))=TRUE,"",Lines!AK16)</f>
        <v/>
      </c>
      <c r="AL16" s="30" t="str">
        <f>IF(ISERROR(FIND($A$2,Lines!AL16))=TRUE,"",Lines!AL16)</f>
        <v/>
      </c>
      <c r="AM16" s="30" t="str">
        <f>IF(ISERROR(FIND($A$2,Lines!AM16))=TRUE,"",Lines!AM16)</f>
        <v/>
      </c>
      <c r="AN16" s="30" t="str">
        <f>IF(ISERROR(FIND($A$2,Lines!AN16))=TRUE,"",Lines!AN16)</f>
        <v/>
      </c>
      <c r="AO16" s="30" t="str">
        <f>IF(ISERROR(FIND($A$2,Lines!AO16))=TRUE,"",Lines!AO16)</f>
        <v/>
      </c>
      <c r="AP16" s="30" t="str">
        <f>IF(ISERROR(FIND($A$2,Lines!AP16))=TRUE,"",Lines!AP16)</f>
        <v/>
      </c>
      <c r="AQ16" s="30" t="str">
        <f>IF(ISERROR(FIND($A$2,Lines!AQ16))=TRUE,"",Lines!AQ16)</f>
        <v/>
      </c>
      <c r="AR16" s="30" t="str">
        <f>IF(ISERROR(FIND($A$2,Lines!AR16))=TRUE,"",Lines!AR16)</f>
        <v/>
      </c>
      <c r="AS16" s="30" t="str">
        <f>IF(ISERROR(FIND($A$2,Lines!AS16))=TRUE,"",Lines!AS16)</f>
        <v/>
      </c>
      <c r="AT16" s="30" t="str">
        <f>IF(ISERROR(FIND($A$2,Lines!AT16))=TRUE,"",Lines!AT16)</f>
        <v/>
      </c>
    </row>
    <row r="17" spans="1:46" ht="20.25" customHeight="1">
      <c r="A17" s="2" t="s">
        <v>13</v>
      </c>
      <c r="B17" s="30" t="str">
        <f>IF(ISERROR(FIND($A$2,Lines!B17))=TRUE,"",Lines!B17)</f>
        <v/>
      </c>
      <c r="C17" s="30" t="str">
        <f>IF(ISERROR(FIND($A$2,Lines!C17))=TRUE,"",Lines!C17)</f>
        <v/>
      </c>
      <c r="D17" s="30" t="str">
        <f>IF(ISERROR(FIND($A$2,Lines!D17))=TRUE,"",Lines!D17)</f>
        <v/>
      </c>
      <c r="E17" s="30" t="str">
        <f>IF(ISERROR(FIND($A$2,Lines!E17))=TRUE,"",Lines!E17)</f>
        <v/>
      </c>
      <c r="F17" s="30" t="str">
        <f>IF(ISERROR(FIND($A$2,Lines!F17))=TRUE,"",Lines!F17)</f>
        <v/>
      </c>
      <c r="G17" s="30" t="str">
        <f>IF(ISERROR(FIND($A$2,Lines!G17))=TRUE,"",Lines!G17)</f>
        <v/>
      </c>
      <c r="H17" s="30" t="str">
        <f>IF(ISERROR(FIND($A$2,Lines!H17))=TRUE,"",Lines!H17)</f>
        <v/>
      </c>
      <c r="I17" s="30" t="str">
        <f>IF(ISERROR(FIND($A$2,Lines!I17))=TRUE,"",Lines!I17)</f>
        <v/>
      </c>
      <c r="J17" s="30" t="str">
        <f>IF(ISERROR(FIND($A$2,Lines!J17))=TRUE,"",Lines!J17)</f>
        <v/>
      </c>
      <c r="K17" s="30" t="str">
        <f>IF(ISERROR(FIND($A$2,Lines!K17))=TRUE,"",Lines!K17)</f>
        <v/>
      </c>
      <c r="L17" s="30" t="str">
        <f>IF(ISERROR(FIND($A$2,Lines!L17))=TRUE,"",Lines!L17)</f>
        <v/>
      </c>
      <c r="M17" s="30" t="str">
        <f>IF(ISERROR(FIND($A$2,Lines!M17))=TRUE,"",Lines!M17)</f>
        <v/>
      </c>
      <c r="N17" s="32" t="str">
        <f>IF(ISERROR(FIND($A$2,Lines!N17))=TRUE,"",Lines!N17)</f>
        <v/>
      </c>
      <c r="O17" s="66" t="str">
        <f>IF(ISERROR(FIND($A$2,Lines!O17))=TRUE,"",Lines!O17)</f>
        <v/>
      </c>
      <c r="P17" s="25" t="str">
        <f>IF(ISERROR(FIND($A$2,Lines!P17))=TRUE,"",Lines!P17)</f>
        <v/>
      </c>
      <c r="Q17" s="25" t="str">
        <f>IF(ISERROR(FIND($A$2,Lines!Q17))=TRUE,"",Lines!Q17)</f>
        <v/>
      </c>
      <c r="R17" s="25" t="str">
        <f>IF(ISERROR(FIND($A$2,Lines!R17))=TRUE,"",Lines!R17)</f>
        <v/>
      </c>
      <c r="S17" s="25" t="str">
        <f>IF(ISERROR(FIND($A$2,Lines!S17))=TRUE,"",Lines!S17)</f>
        <v/>
      </c>
      <c r="T17" s="25" t="str">
        <f>IF(ISERROR(FIND($A$2,Lines!T17))=TRUE,"",Lines!T17)</f>
        <v/>
      </c>
      <c r="U17" s="25" t="str">
        <f>IF(ISERROR(FIND($A$2,Lines!U17))=TRUE,"",Lines!U17)</f>
        <v/>
      </c>
      <c r="V17" s="35" t="str">
        <f>IF(ISERROR(FIND($A$2,Lines!V17))=TRUE,"",Lines!V17)</f>
        <v/>
      </c>
      <c r="W17" s="36" t="str">
        <f>IF(ISERROR(FIND($A$2,Lines!W17))=TRUE,"",Lines!W17)</f>
        <v/>
      </c>
      <c r="X17" s="30" t="str">
        <f>IF(ISERROR(FIND($A$2,Lines!X17))=TRUE,"",Lines!X17)</f>
        <v/>
      </c>
      <c r="Y17" s="30" t="str">
        <f>IF(ISERROR(FIND($A$2,Lines!Y17))=TRUE,"",Lines!Y17)</f>
        <v/>
      </c>
      <c r="Z17" s="30" t="str">
        <f>IF(ISERROR(FIND($A$2,Lines!Z17))=TRUE,"",Lines!Z17)</f>
        <v/>
      </c>
      <c r="AA17" s="30" t="str">
        <f>IF(ISERROR(FIND($A$2,Lines!AB16))=TRUE,"",Lines!AB16)</f>
        <v/>
      </c>
      <c r="AB17" s="30" t="str">
        <f>IF(ISERROR(FIND($A$2,Lines!AB17))=TRUE,"",Lines!AB17)</f>
        <v/>
      </c>
      <c r="AC17" s="30" t="str">
        <f>IF(ISERROR(FIND($A$2,Lines!AC17))=TRUE,"",Lines!AC17)</f>
        <v/>
      </c>
      <c r="AD17" s="30" t="str">
        <f>IF(ISERROR(FIND($A$2,Lines!AD17))=TRUE,"",Lines!AD17)</f>
        <v/>
      </c>
      <c r="AE17" s="30" t="str">
        <f>IF(ISERROR(FIND($A$2,Lines!AE17))=TRUE,"",Lines!AE17)</f>
        <v/>
      </c>
      <c r="AF17" s="30" t="str">
        <f>IF(ISERROR(FIND($A$2,Lines!AF17))=TRUE,"",Lines!AF17)</f>
        <v/>
      </c>
      <c r="AG17" s="30" t="str">
        <f>IF(ISERROR(FIND($A$2,Lines!AG17))=TRUE,"",Lines!AG17)</f>
        <v/>
      </c>
      <c r="AH17" s="30" t="str">
        <f>IF(ISERROR(FIND($A$2,Lines!AH17))=TRUE,"",Lines!AH17)</f>
        <v/>
      </c>
      <c r="AI17" s="30" t="str">
        <f>IF(ISERROR(FIND($A$2,Lines!AI17))=TRUE,"",Lines!AI17)</f>
        <v/>
      </c>
      <c r="AJ17" s="45" t="str">
        <f>IF(ISERROR(FIND($A$2,Lines!AJ17))=TRUE,"",Lines!AJ17)</f>
        <v/>
      </c>
      <c r="AK17" s="30" t="str">
        <f>IF(ISERROR(FIND($A$2,Lines!AK17))=TRUE,"",Lines!AK17)</f>
        <v/>
      </c>
      <c r="AL17" s="30" t="str">
        <f>IF(ISERROR(FIND($A$2,Lines!AL17))=TRUE,"",Lines!AL17)</f>
        <v/>
      </c>
      <c r="AM17" s="30" t="str">
        <f>IF(ISERROR(FIND($A$2,Lines!AM17))=TRUE,"",Lines!AM17)</f>
        <v/>
      </c>
      <c r="AN17" s="30" t="str">
        <f>IF(ISERROR(FIND($A$2,Lines!AN17))=TRUE,"",Lines!AN17)</f>
        <v/>
      </c>
      <c r="AO17" s="30" t="str">
        <f>IF(ISERROR(FIND($A$2,Lines!AO17))=TRUE,"",Lines!AO17)</f>
        <v/>
      </c>
      <c r="AP17" s="30" t="str">
        <f>IF(ISERROR(FIND($A$2,Lines!AP17))=TRUE,"",Lines!AP17)</f>
        <v/>
      </c>
      <c r="AQ17" s="30" t="str">
        <f>IF(ISERROR(FIND($A$2,Lines!AQ17))=TRUE,"",Lines!AQ17)</f>
        <v/>
      </c>
      <c r="AR17" s="30" t="str">
        <f>IF(ISERROR(FIND($A$2,Lines!AR17))=TRUE,"",Lines!AR17)</f>
        <v/>
      </c>
      <c r="AS17" s="30" t="str">
        <f>IF(ISERROR(FIND($A$2,Lines!AS17))=TRUE,"",Lines!AS17)</f>
        <v/>
      </c>
      <c r="AT17" s="30" t="str">
        <f>IF(ISERROR(FIND($A$2,Lines!AT17))=TRUE,"",Lines!AT17)</f>
        <v/>
      </c>
    </row>
    <row r="18" spans="1:46" ht="20.25" customHeight="1">
      <c r="A18" s="2" t="s">
        <v>66</v>
      </c>
      <c r="B18" s="30" t="str">
        <f>IF(ISERROR(FIND($A$2,Lines!B18))=TRUE,"",Lines!B18)</f>
        <v/>
      </c>
      <c r="C18" s="30" t="str">
        <f>IF(ISERROR(FIND($A$2,Lines!C18))=TRUE,"",Lines!C18)</f>
        <v/>
      </c>
      <c r="D18" s="30" t="str">
        <f>IF(ISERROR(FIND($A$2,Lines!D18))=TRUE,"",Lines!D18)</f>
        <v/>
      </c>
      <c r="E18" s="30" t="str">
        <f>IF(ISERROR(FIND($A$2,Lines!E18))=TRUE,"",Lines!E18)</f>
        <v/>
      </c>
      <c r="F18" s="30" t="str">
        <f>IF(ISERROR(FIND($A$2,Lines!F18))=TRUE,"",Lines!F18)</f>
        <v/>
      </c>
      <c r="G18" s="30" t="str">
        <f>IF(ISERROR(FIND($A$2,Lines!G18))=TRUE,"",Lines!G18)</f>
        <v/>
      </c>
      <c r="H18" s="30" t="str">
        <f>IF(ISERROR(FIND($A$2,Lines!H18))=TRUE,"",Lines!H18)</f>
        <v/>
      </c>
      <c r="I18" s="30" t="str">
        <f>IF(ISERROR(FIND($A$2,Lines!I18))=TRUE,"",Lines!I18)</f>
        <v/>
      </c>
      <c r="J18" s="30" t="str">
        <f>IF(ISERROR(FIND($A$2,Lines!J18))=TRUE,"",Lines!J18)</f>
        <v/>
      </c>
      <c r="K18" s="30" t="str">
        <f>IF(ISERROR(FIND($A$2,Lines!K18))=TRUE,"",Lines!K18)</f>
        <v/>
      </c>
      <c r="L18" s="30" t="str">
        <f>IF(ISERROR(FIND($A$2,Lines!L18))=TRUE,"",Lines!L18)</f>
        <v/>
      </c>
      <c r="M18" s="30" t="str">
        <f>IF(ISERROR(FIND($A$2,Lines!M18))=TRUE,"",Lines!M18)</f>
        <v/>
      </c>
      <c r="N18" s="32" t="str">
        <f>IF(ISERROR(FIND($A$2,Lines!N18))=TRUE,"",Lines!N18)</f>
        <v/>
      </c>
      <c r="O18" s="25" t="str">
        <f>IF(ISERROR(FIND($A$2,Lines!O18))=TRUE,"",Lines!O18)</f>
        <v/>
      </c>
      <c r="P18" s="66" t="str">
        <f>IF(ISERROR(FIND($A$2,Lines!P18))=TRUE,"",Lines!P18)</f>
        <v/>
      </c>
      <c r="Q18" s="25" t="str">
        <f>IF(ISERROR(FIND($A$2,Lines!Q18))=TRUE,"",Lines!Q18)</f>
        <v/>
      </c>
      <c r="R18" s="25" t="str">
        <f>IF(ISERROR(FIND($A$2,Lines!R18))=TRUE,"",Lines!R18)</f>
        <v/>
      </c>
      <c r="S18" s="25" t="str">
        <f>IF(ISERROR(FIND($A$2,Lines!S18))=TRUE,"",Lines!S18)</f>
        <v/>
      </c>
      <c r="T18" s="25" t="str">
        <f>IF(ISERROR(FIND($A$2,Lines!T18))=TRUE,"",Lines!T18)</f>
        <v/>
      </c>
      <c r="U18" s="25" t="str">
        <f>IF(ISERROR(FIND($A$2,Lines!U18))=TRUE,"",Lines!U18)</f>
        <v/>
      </c>
      <c r="V18" s="35" t="str">
        <f>IF(ISERROR(FIND($A$2,Lines!V18))=TRUE,"",Lines!V18)</f>
        <v/>
      </c>
      <c r="W18" s="36" t="str">
        <f>IF(ISERROR(FIND($A$2,Lines!W18))=TRUE,"",Lines!W18)</f>
        <v/>
      </c>
      <c r="X18" s="30" t="str">
        <f>IF(ISERROR(FIND($A$2,Lines!X18))=TRUE,"",Lines!X18)</f>
        <v/>
      </c>
      <c r="Y18" s="30" t="str">
        <f>IF(ISERROR(FIND($A$2,Lines!Y18))=TRUE,"",Lines!Y18)</f>
        <v/>
      </c>
      <c r="Z18" s="30" t="str">
        <f>IF(ISERROR(FIND($A$2,Lines!Z18))=TRUE,"",Lines!Z18)</f>
        <v/>
      </c>
      <c r="AA18" s="30" t="str">
        <f>IF(ISERROR(FIND($A$2,Lines!AA18))=TRUE,"",Lines!AA18)</f>
        <v/>
      </c>
      <c r="AB18" s="30" t="str">
        <f>IF(ISERROR(FIND($A$2,Lines!AB18))=TRUE,"",Lines!AB18)</f>
        <v/>
      </c>
      <c r="AC18" s="30" t="str">
        <f>IF(ISERROR(FIND($A$2,Lines!AC18))=TRUE,"",Lines!AC18)</f>
        <v/>
      </c>
      <c r="AD18" s="30" t="str">
        <f>IF(ISERROR(FIND($A$2,Lines!AD18))=TRUE,"",Lines!AD18)</f>
        <v/>
      </c>
      <c r="AE18" s="30" t="str">
        <f>IF(ISERROR(FIND($A$2,Lines!AE18))=TRUE,"",Lines!AE18)</f>
        <v/>
      </c>
      <c r="AF18" s="30" t="str">
        <f>IF(ISERROR(FIND($A$2,Lines!AF18))=TRUE,"",Lines!AF18)</f>
        <v/>
      </c>
      <c r="AG18" s="30" t="str">
        <f>IF(ISERROR(FIND($A$2,Lines!AG18))=TRUE,"",Lines!AG18)</f>
        <v/>
      </c>
      <c r="AH18" s="30" t="str">
        <f>IF(ISERROR(FIND($A$2,Lines!AH18))=TRUE,"",Lines!AH18)</f>
        <v/>
      </c>
      <c r="AI18" s="30" t="str">
        <f>IF(ISERROR(FIND($A$2,Lines!AI18))=TRUE,"",Lines!AI18)</f>
        <v/>
      </c>
      <c r="AJ18" s="30" t="str">
        <f>IF(ISERROR(FIND($A$2,Lines!AJ18))=TRUE,"",Lines!AJ18)</f>
        <v/>
      </c>
      <c r="AK18" s="30" t="str">
        <f>IF(ISERROR(FIND($A$2,Lines!AK18))=TRUE,"",Lines!AK18)</f>
        <v/>
      </c>
      <c r="AL18" s="30" t="str">
        <f>IF(ISERROR(FIND($A$2,Lines!AL18))=TRUE,"",Lines!AL18)</f>
        <v/>
      </c>
      <c r="AM18" s="30" t="str">
        <f>IF(ISERROR(FIND($A$2,Lines!AM18))=TRUE,"",Lines!AM18)</f>
        <v/>
      </c>
      <c r="AN18" s="30" t="str">
        <f>IF(ISERROR(FIND($A$2,Lines!AN18))=TRUE,"",Lines!AN18)</f>
        <v/>
      </c>
      <c r="AO18" s="30" t="str">
        <f>IF(ISERROR(FIND($A$2,Lines!AO18))=TRUE,"",Lines!AO18)</f>
        <v/>
      </c>
      <c r="AP18" s="30" t="str">
        <f>IF(ISERROR(FIND($A$2,Lines!AP18))=TRUE,"",Lines!AP18)</f>
        <v/>
      </c>
      <c r="AQ18" s="30" t="str">
        <f>IF(ISERROR(FIND($A$2,Lines!AQ18))=TRUE,"",Lines!AQ18)</f>
        <v/>
      </c>
      <c r="AR18" s="30" t="str">
        <f>IF(ISERROR(FIND($A$2,Lines!AR18))=TRUE,"",Lines!AR18)</f>
        <v/>
      </c>
      <c r="AS18" s="30" t="str">
        <f>IF(ISERROR(FIND($A$2,Lines!AS18))=TRUE,"",Lines!AS18)</f>
        <v/>
      </c>
      <c r="AT18" s="30" t="str">
        <f>IF(ISERROR(FIND($A$2,Lines!AT18))=TRUE,"",Lines!AT18)</f>
        <v/>
      </c>
    </row>
    <row r="19" spans="1:46" ht="20.25" customHeight="1">
      <c r="A19" s="2" t="s">
        <v>67</v>
      </c>
      <c r="B19" s="30" t="str">
        <f>IF(ISERROR(FIND($A$2,Lines!B19))=TRUE,"",Lines!B19)</f>
        <v/>
      </c>
      <c r="C19" s="30" t="str">
        <f>IF(ISERROR(FIND($A$2,Lines!C19))=TRUE,"",Lines!C19)</f>
        <v/>
      </c>
      <c r="D19" s="30" t="str">
        <f>IF(ISERROR(FIND($A$2,Lines!D19))=TRUE,"",Lines!D19)</f>
        <v/>
      </c>
      <c r="E19" s="30" t="str">
        <f>IF(ISERROR(FIND($A$2,Lines!E19))=TRUE,"",Lines!E19)</f>
        <v/>
      </c>
      <c r="F19" s="30" t="str">
        <f>IF(ISERROR(FIND($A$2,Lines!F19))=TRUE,"",Lines!F19)</f>
        <v/>
      </c>
      <c r="G19" s="30" t="str">
        <f>IF(ISERROR(FIND($A$2,Lines!G19))=TRUE,"",Lines!G19)</f>
        <v/>
      </c>
      <c r="H19" s="30" t="str">
        <f>IF(ISERROR(FIND($A$2,Lines!H19))=TRUE,"",Lines!H19)</f>
        <v/>
      </c>
      <c r="I19" s="30" t="str">
        <f>IF(ISERROR(FIND($A$2,Lines!I19))=TRUE,"",Lines!I19)</f>
        <v/>
      </c>
      <c r="J19" s="30" t="str">
        <f>IF(ISERROR(FIND($A$2,Lines!J19))=TRUE,"",Lines!J19)</f>
        <v/>
      </c>
      <c r="K19" s="30" t="str">
        <f>IF(ISERROR(FIND($A$2,Lines!K19))=TRUE,"",Lines!K19)</f>
        <v/>
      </c>
      <c r="L19" s="30" t="str">
        <f>IF(ISERROR(FIND($A$2,Lines!L19))=TRUE,"",Lines!L19)</f>
        <v/>
      </c>
      <c r="M19" s="30" t="str">
        <f>IF(ISERROR(FIND($A$2,Lines!M19))=TRUE,"",Lines!M19)</f>
        <v/>
      </c>
      <c r="N19" s="32" t="str">
        <f>IF(ISERROR(FIND($A$2,Lines!N19))=TRUE,"",Lines!N19)</f>
        <v/>
      </c>
      <c r="O19" s="25" t="str">
        <f>IF(ISERROR(FIND($A$2,Lines!O19))=TRUE,"",Lines!O19)</f>
        <v/>
      </c>
      <c r="P19" s="25" t="str">
        <f>IF(ISERROR(FIND($A$2,Lines!P19))=TRUE,"",Lines!P19)</f>
        <v/>
      </c>
      <c r="Q19" s="66" t="str">
        <f>IF(ISERROR(FIND($A$2,Lines!Q19))=TRUE,"",Lines!Q19)</f>
        <v/>
      </c>
      <c r="R19" s="25" t="str">
        <f>IF(ISERROR(FIND($A$2,Lines!R19))=TRUE,"",Lines!R19)</f>
        <v/>
      </c>
      <c r="S19" s="25" t="str">
        <f>IF(ISERROR(FIND($A$2,Lines!S19))=TRUE,"",Lines!S19)</f>
        <v/>
      </c>
      <c r="T19" s="25" t="str">
        <f>IF(ISERROR(FIND($A$2,Lines!T19))=TRUE,"",Lines!T19)</f>
        <v/>
      </c>
      <c r="U19" s="25" t="str">
        <f>IF(ISERROR(FIND($A$2,Lines!U19))=TRUE,"",Lines!U19)</f>
        <v/>
      </c>
      <c r="V19" s="35" t="str">
        <f>IF(ISERROR(FIND($A$2,Lines!V19))=TRUE,"",Lines!V19)</f>
        <v/>
      </c>
      <c r="W19" s="36" t="str">
        <f>IF(ISERROR(FIND($A$2,Lines!W19))=TRUE,"",Lines!W19)</f>
        <v/>
      </c>
      <c r="X19" s="30" t="str">
        <f>IF(ISERROR(FIND($A$2,Lines!X19))=TRUE,"",Lines!X19)</f>
        <v/>
      </c>
      <c r="Y19" s="30" t="str">
        <f>IF(ISERROR(FIND($A$2,Lines!Y19))=TRUE,"",Lines!Y19)</f>
        <v/>
      </c>
      <c r="Z19" s="30" t="str">
        <f>IF(ISERROR(FIND($A$2,Lines!Z19))=TRUE,"",Lines!Z19)</f>
        <v/>
      </c>
      <c r="AA19" s="30" t="str">
        <f>IF(ISERROR(FIND($A$2,Lines!AA19))=TRUE,"",Lines!AA19)</f>
        <v/>
      </c>
      <c r="AB19" s="30" t="str">
        <f>IF(ISERROR(FIND($A$2,Lines!AB19))=TRUE,"",Lines!AB19)</f>
        <v/>
      </c>
      <c r="AC19" s="30" t="str">
        <f>IF(ISERROR(FIND($A$2,Lines!AC19))=TRUE,"",Lines!AC19)</f>
        <v/>
      </c>
      <c r="AD19" s="30" t="str">
        <f>IF(ISERROR(FIND($A$2,Lines!AD19))=TRUE,"",Lines!AD19)</f>
        <v/>
      </c>
      <c r="AE19" s="30" t="str">
        <f>IF(ISERROR(FIND($A$2,Lines!AE19))=TRUE,"",Lines!AE19)</f>
        <v/>
      </c>
      <c r="AF19" s="30" t="str">
        <f>IF(ISERROR(FIND($A$2,Lines!AF19))=TRUE,"",Lines!AF19)</f>
        <v/>
      </c>
      <c r="AG19" s="30" t="str">
        <f>IF(ISERROR(FIND($A$2,Lines!AG19))=TRUE,"",Lines!AG19)</f>
        <v/>
      </c>
      <c r="AH19" s="30" t="str">
        <f>IF(ISERROR(FIND($A$2,Lines!AH19))=TRUE,"",Lines!AH19)</f>
        <v/>
      </c>
      <c r="AI19" s="30" t="str">
        <f>IF(ISERROR(FIND($A$2,Lines!AI19))=TRUE,"",Lines!AI19)</f>
        <v/>
      </c>
      <c r="AJ19" s="30" t="str">
        <f>IF(ISERROR(FIND($A$2,Lines!AJ19))=TRUE,"",Lines!AJ19)</f>
        <v/>
      </c>
      <c r="AK19" s="30" t="str">
        <f>IF(ISERROR(FIND($A$2,Lines!AK19))=TRUE,"",Lines!AK19)</f>
        <v/>
      </c>
      <c r="AL19" s="30" t="str">
        <f>IF(ISERROR(FIND($A$2,Lines!AL19))=TRUE,"",Lines!AL19)</f>
        <v>±800酒泉-湖南（8000MW）</v>
      </c>
      <c r="AM19" s="30" t="str">
        <f>IF(ISERROR(FIND($A$2,Lines!AM19))=TRUE,"",Lines!AM19)</f>
        <v/>
      </c>
      <c r="AN19" s="30" t="str">
        <f>IF(ISERROR(FIND($A$2,Lines!AN19))=TRUE,"",Lines!AN19)</f>
        <v/>
      </c>
      <c r="AO19" s="30" t="str">
        <f>IF(ISERROR(FIND($A$2,Lines!AO19))=TRUE,"",Lines!AO19)</f>
        <v/>
      </c>
      <c r="AP19" s="30" t="str">
        <f>IF(ISERROR(FIND($A$2,Lines!AP19))=TRUE,"",Lines!AP19)</f>
        <v/>
      </c>
      <c r="AQ19" s="30" t="str">
        <f>IF(ISERROR(FIND($A$2,Lines!AQ19))=TRUE,"",Lines!AQ19)</f>
        <v>±800陇东-江苏（10000MW）</v>
      </c>
      <c r="AR19" s="30" t="str">
        <f>IF(ISERROR(FIND($A$2,Lines!AR19))=TRUE,"",Lines!AR19)</f>
        <v/>
      </c>
      <c r="AS19" s="30" t="str">
        <f>IF(ISERROR(FIND($A$2,Lines!AS19))=TRUE,"",Lines!AS19)</f>
        <v/>
      </c>
      <c r="AT19" s="30" t="str">
        <f>IF(ISERROR(FIND($A$2,Lines!AT19))=TRUE,"",Lines!AT19)</f>
        <v/>
      </c>
    </row>
    <row r="20" spans="1:46" ht="20.25" customHeight="1">
      <c r="A20" s="2" t="s">
        <v>68</v>
      </c>
      <c r="B20" s="30" t="str">
        <f>IF(ISERROR(FIND($A$2,Lines!B20))=TRUE,"",Lines!B20)</f>
        <v/>
      </c>
      <c r="C20" s="30" t="str">
        <f>IF(ISERROR(FIND($A$2,Lines!C20))=TRUE,"",Lines!C20)</f>
        <v/>
      </c>
      <c r="D20" s="30" t="str">
        <f>IF(ISERROR(FIND($A$2,Lines!D20))=TRUE,"",Lines!D20)</f>
        <v/>
      </c>
      <c r="E20" s="30" t="str">
        <f>IF(ISERROR(FIND($A$2,Lines!E20))=TRUE,"",Lines!E20)</f>
        <v/>
      </c>
      <c r="F20" s="30" t="str">
        <f>IF(ISERROR(FIND($A$2,Lines!F20))=TRUE,"",Lines!F20)</f>
        <v/>
      </c>
      <c r="G20" s="30" t="str">
        <f>IF(ISERROR(FIND($A$2,Lines!G20))=TRUE,"",Lines!G20)</f>
        <v/>
      </c>
      <c r="H20" s="30" t="str">
        <f>IF(ISERROR(FIND($A$2,Lines!H20))=TRUE,"",Lines!H20)</f>
        <v/>
      </c>
      <c r="I20" s="30" t="str">
        <f>IF(ISERROR(FIND($A$2,Lines!I20))=TRUE,"",Lines!I20)</f>
        <v/>
      </c>
      <c r="J20" s="30" t="str">
        <f>IF(ISERROR(FIND($A$2,Lines!J20))=TRUE,"",Lines!J20)</f>
        <v/>
      </c>
      <c r="K20" s="30" t="str">
        <f>IF(ISERROR(FIND($A$2,Lines!K20))=TRUE,"",Lines!K20)</f>
        <v/>
      </c>
      <c r="L20" s="30" t="str">
        <f>IF(ISERROR(FIND($A$2,Lines!L20))=TRUE,"",Lines!L20)</f>
        <v/>
      </c>
      <c r="M20" s="30" t="str">
        <f>IF(ISERROR(FIND($A$2,Lines!M20))=TRUE,"",Lines!M20)</f>
        <v/>
      </c>
      <c r="N20" s="32" t="str">
        <f>IF(ISERROR(FIND($A$2,Lines!N20))=TRUE,"",Lines!N20)</f>
        <v/>
      </c>
      <c r="O20" s="25" t="str">
        <f>IF(ISERROR(FIND($A$2,Lines!O20))=TRUE,"",Lines!O20)</f>
        <v/>
      </c>
      <c r="P20" s="25" t="str">
        <f>IF(ISERROR(FIND($A$2,Lines!P20))=TRUE,"",Lines!P20)</f>
        <v/>
      </c>
      <c r="Q20" s="25" t="str">
        <f>IF(ISERROR(FIND($A$2,Lines!Q20))=TRUE,"",Lines!Q20)</f>
        <v/>
      </c>
      <c r="R20" s="66" t="str">
        <f>IF(ISERROR(FIND($A$2,Lines!R20))=TRUE,"",Lines!R20)</f>
        <v/>
      </c>
      <c r="S20" s="25" t="str">
        <f>IF(ISERROR(FIND($A$2,Lines!S20))=TRUE,"",Lines!S20)</f>
        <v/>
      </c>
      <c r="T20" s="25" t="str">
        <f>IF(ISERROR(FIND($A$2,Lines!T20))=TRUE,"",Lines!T20)</f>
        <v/>
      </c>
      <c r="U20" s="25" t="str">
        <f>IF(ISERROR(FIND($A$2,Lines!U20))=TRUE,"",Lines!U20)</f>
        <v/>
      </c>
      <c r="V20" s="35" t="str">
        <f>IF(ISERROR(FIND($A$2,Lines!V20))=TRUE,"",Lines!V20)</f>
        <v/>
      </c>
      <c r="W20" s="36" t="str">
        <f>IF(ISERROR(FIND($A$2,Lines!W20))=TRUE,"",Lines!W20)</f>
        <v/>
      </c>
      <c r="X20" s="30" t="str">
        <f>IF(ISERROR(FIND($A$2,Lines!X20))=TRUE,"",Lines!X20)</f>
        <v/>
      </c>
      <c r="Y20" s="30" t="str">
        <f>IF(ISERROR(FIND($A$2,Lines!Y20))=TRUE,"",Lines!Y20)</f>
        <v/>
      </c>
      <c r="Z20" s="30" t="str">
        <f>IF(ISERROR(FIND($A$2,Lines!Z20))=TRUE,"",Lines!Z20)</f>
        <v/>
      </c>
      <c r="AA20" s="30" t="str">
        <f>IF(ISERROR(FIND($A$2,Lines!AA20))=TRUE,"",Lines!AA20)</f>
        <v/>
      </c>
      <c r="AB20" s="30" t="str">
        <f>IF(ISERROR(FIND($A$2,Lines!AB20))=TRUE,"",Lines!AB20)</f>
        <v/>
      </c>
      <c r="AC20" s="30" t="str">
        <f>IF(ISERROR(FIND($A$2,Lines!AC20))=TRUE,"",Lines!AC20)</f>
        <v/>
      </c>
      <c r="AD20" s="30" t="str">
        <f>IF(ISERROR(FIND($A$2,Lines!AD20))=TRUE,"",Lines!AD20)</f>
        <v/>
      </c>
      <c r="AE20" s="30" t="str">
        <f>IF(ISERROR(FIND($A$2,Lines!AE20))=TRUE,"",Lines!AE20)</f>
        <v/>
      </c>
      <c r="AF20" s="30" t="str">
        <f>IF(ISERROR(FIND($A$2,Lines!AF20))=TRUE,"",Lines!AF20)</f>
        <v/>
      </c>
      <c r="AG20" s="30" t="str">
        <f>IF(ISERROR(FIND($A$2,Lines!AG20))=TRUE,"",Lines!AG20)</f>
        <v/>
      </c>
      <c r="AH20" s="30" t="str">
        <f>IF(ISERROR(FIND($A$2,Lines!AH20))=TRUE,"",Lines!AH20)</f>
        <v/>
      </c>
      <c r="AI20" s="30" t="str">
        <f>IF(ISERROR(FIND($A$2,Lines!AI20))=TRUE,"",Lines!AI20)</f>
        <v/>
      </c>
      <c r="AJ20" s="30" t="str">
        <f>IF(ISERROR(FIND($A$2,Lines!AJ20))=TRUE,"",Lines!AJ20)</f>
        <v/>
      </c>
      <c r="AK20" s="30" t="str">
        <f>IF(ISERROR(FIND($A$2,Lines!AK20))=TRUE,"",Lines!AK20)</f>
        <v/>
      </c>
      <c r="AL20" s="30" t="str">
        <f>IF(ISERROR(FIND($A$2,Lines!AL20))=TRUE,"",Lines!AL20)</f>
        <v/>
      </c>
      <c r="AM20" s="30" t="str">
        <f>IF(ISERROR(FIND($A$2,Lines!AM20))=TRUE,"",Lines!AM20)</f>
        <v/>
      </c>
      <c r="AN20" s="30" t="str">
        <f>IF(ISERROR(FIND($A$2,Lines!AN20))=TRUE,"",Lines!AN20)</f>
        <v/>
      </c>
      <c r="AO20" s="30" t="str">
        <f>IF(ISERROR(FIND($A$2,Lines!AO20))=TRUE,"",Lines!AO20)</f>
        <v/>
      </c>
      <c r="AP20" s="30" t="str">
        <f>IF(ISERROR(FIND($A$2,Lines!AP20))=TRUE,"",Lines!AP20)</f>
        <v/>
      </c>
      <c r="AQ20" s="30" t="str">
        <f>IF(ISERROR(FIND($A$2,Lines!AQ20))=TRUE,"",Lines!AQ20)</f>
        <v/>
      </c>
      <c r="AR20" s="30" t="str">
        <f>IF(ISERROR(FIND($A$2,Lines!AR20))=TRUE,"",Lines!AR20)</f>
        <v/>
      </c>
      <c r="AS20" s="30" t="str">
        <f>IF(ISERROR(FIND($A$2,Lines!AS20))=TRUE,"",Lines!AS20)</f>
        <v/>
      </c>
      <c r="AT20" s="30" t="str">
        <f>IF(ISERROR(FIND($A$2,Lines!AT20))=TRUE,"",Lines!AT20)</f>
        <v/>
      </c>
    </row>
    <row r="21" spans="1:46" ht="20.25" customHeight="1">
      <c r="A21" s="2" t="s">
        <v>69</v>
      </c>
      <c r="B21" s="30" t="str">
        <f>IF(ISERROR(FIND($A$2,Lines!B21))=TRUE,"",Lines!B21)</f>
        <v/>
      </c>
      <c r="C21" s="30" t="str">
        <f>IF(ISERROR(FIND($A$2,Lines!C21))=TRUE,"",Lines!C21)</f>
        <v/>
      </c>
      <c r="D21" s="30" t="str">
        <f>IF(ISERROR(FIND($A$2,Lines!D21))=TRUE,"",Lines!D21)</f>
        <v/>
      </c>
      <c r="E21" s="30" t="str">
        <f>IF(ISERROR(FIND($A$2,Lines!E21))=TRUE,"",Lines!E21)</f>
        <v/>
      </c>
      <c r="F21" s="30" t="str">
        <f>IF(ISERROR(FIND($A$2,Lines!F21))=TRUE,"",Lines!F21)</f>
        <v/>
      </c>
      <c r="G21" s="30" t="str">
        <f>IF(ISERROR(FIND($A$2,Lines!G21))=TRUE,"",Lines!G21)</f>
        <v/>
      </c>
      <c r="H21" s="30" t="str">
        <f>IF(ISERROR(FIND($A$2,Lines!H21))=TRUE,"",Lines!H21)</f>
        <v/>
      </c>
      <c r="I21" s="30" t="str">
        <f>IF(ISERROR(FIND($A$2,Lines!I21))=TRUE,"",Lines!I21)</f>
        <v/>
      </c>
      <c r="J21" s="30" t="str">
        <f>IF(ISERROR(FIND($A$2,Lines!J21))=TRUE,"",Lines!J21)</f>
        <v/>
      </c>
      <c r="K21" s="30" t="str">
        <f>IF(ISERROR(FIND($A$2,Lines!K21))=TRUE,"",Lines!K21)</f>
        <v/>
      </c>
      <c r="L21" s="30" t="str">
        <f>IF(ISERROR(FIND($A$2,Lines!L21))=TRUE,"",Lines!L21)</f>
        <v/>
      </c>
      <c r="M21" s="30" t="str">
        <f>IF(ISERROR(FIND($A$2,Lines!M21))=TRUE,"",Lines!M21)</f>
        <v/>
      </c>
      <c r="N21" s="32" t="str">
        <f>IF(ISERROR(FIND($A$2,Lines!N21))=TRUE,"",Lines!N21)</f>
        <v/>
      </c>
      <c r="O21" s="25" t="str">
        <f>IF(ISERROR(FIND($A$2,Lines!O21))=TRUE,"",Lines!O21)</f>
        <v/>
      </c>
      <c r="P21" s="25" t="str">
        <f>IF(ISERROR(FIND($A$2,Lines!P21))=TRUE,"",Lines!P21)</f>
        <v/>
      </c>
      <c r="Q21" s="25" t="str">
        <f>IF(ISERROR(FIND($A$2,Lines!Q21))=TRUE,"",Lines!Q21)</f>
        <v/>
      </c>
      <c r="R21" s="25" t="str">
        <f>IF(ISERROR(FIND($A$2,Lines!R21))=TRUE,"",Lines!R21)</f>
        <v/>
      </c>
      <c r="S21" s="66" t="str">
        <f>IF(ISERROR(FIND($A$2,Lines!S21))=TRUE,"",Lines!S21)</f>
        <v/>
      </c>
      <c r="T21" s="25" t="str">
        <f>IF(ISERROR(FIND($A$2,Lines!T21))=TRUE,"",Lines!T21)</f>
        <v/>
      </c>
      <c r="U21" s="25" t="str">
        <f>IF(ISERROR(FIND($A$2,Lines!U21))=TRUE,"",Lines!U21)</f>
        <v/>
      </c>
      <c r="V21" s="35" t="str">
        <f>IF(ISERROR(FIND($A$2,Lines!V21))=TRUE,"",Lines!V21)</f>
        <v/>
      </c>
      <c r="W21" s="36" t="str">
        <f>IF(ISERROR(FIND($A$2,Lines!W21))=TRUE,"",Lines!W21)</f>
        <v/>
      </c>
      <c r="X21" s="30" t="str">
        <f>IF(ISERROR(FIND($A$2,Lines!X21))=TRUE,"",Lines!X21)</f>
        <v/>
      </c>
      <c r="Y21" s="30" t="str">
        <f>IF(ISERROR(FIND($A$2,Lines!Y21))=TRUE,"",Lines!Y21)</f>
        <v/>
      </c>
      <c r="Z21" s="30" t="str">
        <f>IF(ISERROR(FIND($A$2,Lines!Z21))=TRUE,"",Lines!Z21)</f>
        <v/>
      </c>
      <c r="AA21" s="30" t="str">
        <f>IF(ISERROR(FIND($A$2,Lines!AA21))=TRUE,"",Lines!AA21)</f>
        <v/>
      </c>
      <c r="AB21" s="30" t="str">
        <f>IF(ISERROR(FIND($A$2,Lines!AB21))=TRUE,"",Lines!AB21)</f>
        <v/>
      </c>
      <c r="AC21" s="30" t="str">
        <f>IF(ISERROR(FIND($A$2,Lines!AC21))=TRUE,"",Lines!AC21)</f>
        <v/>
      </c>
      <c r="AD21" s="30" t="str">
        <f>IF(ISERROR(FIND($A$2,Lines!AD21))=TRUE,"",Lines!AD21)</f>
        <v/>
      </c>
      <c r="AE21" s="30" t="str">
        <f>IF(ISERROR(FIND($A$2,Lines!AE21))=TRUE,"",Lines!AE21)</f>
        <v/>
      </c>
      <c r="AF21" s="30" t="str">
        <f>IF(ISERROR(FIND($A$2,Lines!AF21))=TRUE,"",Lines!AF21)</f>
        <v/>
      </c>
      <c r="AG21" s="30" t="str">
        <f>IF(ISERROR(FIND($A$2,Lines!AG21))=TRUE,"",Lines!AG21)</f>
        <v/>
      </c>
      <c r="AH21" s="30" t="str">
        <f>IF(ISERROR(FIND($A$2,Lines!AH21))=TRUE,"",Lines!AH21)</f>
        <v>±800青海-河南（8000MW）</v>
      </c>
      <c r="AI21" s="30" t="str">
        <f>IF(ISERROR(FIND($A$2,Lines!AI21))=TRUE,"",Lines!AI21)</f>
        <v/>
      </c>
      <c r="AJ21" s="30" t="str">
        <f>IF(ISERROR(FIND($A$2,Lines!AJ21))=TRUE,"",Lines!AJ21)</f>
        <v/>
      </c>
      <c r="AK21" s="30" t="str">
        <f>IF(ISERROR(FIND($A$2,Lines!AK21))=TRUE,"",Lines!AK21)</f>
        <v/>
      </c>
      <c r="AL21" s="30" t="str">
        <f>IF(ISERROR(FIND($A$2,Lines!AL21))=TRUE,"",Lines!AL21)</f>
        <v/>
      </c>
      <c r="AM21" s="30" t="str">
        <f>IF(ISERROR(FIND($A$2,Lines!AM21))=TRUE,"",Lines!AM21)</f>
        <v/>
      </c>
      <c r="AN21" s="30" t="str">
        <f>IF(ISERROR(FIND($A$2,Lines!AN21))=TRUE,"",Lines!AN21)</f>
        <v/>
      </c>
      <c r="AO21" s="30" t="str">
        <f>IF(ISERROR(FIND($A$2,Lines!AO21))=TRUE,"",Lines!AO21)</f>
        <v/>
      </c>
      <c r="AP21" s="30" t="str">
        <f>IF(ISERROR(FIND($A$2,Lines!AP21))=TRUE,"",Lines!AP21)</f>
        <v/>
      </c>
      <c r="AQ21" s="30" t="str">
        <f>IF(ISERROR(FIND($A$2,Lines!AQ21))=TRUE,"",Lines!AQ21)</f>
        <v/>
      </c>
      <c r="AR21" s="30" t="str">
        <f>IF(ISERROR(FIND($A$2,Lines!AR21))=TRUE,"",Lines!AR21)</f>
        <v/>
      </c>
      <c r="AS21" s="30" t="str">
        <f>IF(ISERROR(FIND($A$2,Lines!AS21))=TRUE,"",Lines!AS21)</f>
        <v/>
      </c>
      <c r="AT21" s="30" t="str">
        <f>IF(ISERROR(FIND($A$2,Lines!AT21))=TRUE,"",Lines!AT21)</f>
        <v/>
      </c>
    </row>
    <row r="22" spans="1:46" ht="20.25" customHeight="1">
      <c r="A22" s="2" t="s">
        <v>70</v>
      </c>
      <c r="B22" s="30" t="str">
        <f>IF(ISERROR(FIND($A$2,Lines!B22))=TRUE,"",Lines!B22)</f>
        <v/>
      </c>
      <c r="C22" s="30" t="str">
        <f>IF(ISERROR(FIND($A$2,Lines!C22))=TRUE,"",Lines!C22)</f>
        <v/>
      </c>
      <c r="D22" s="30" t="str">
        <f>IF(ISERROR(FIND($A$2,Lines!D22))=TRUE,"",Lines!D22)</f>
        <v/>
      </c>
      <c r="E22" s="30" t="str">
        <f>IF(ISERROR(FIND($A$2,Lines!E22))=TRUE,"",Lines!E22)</f>
        <v/>
      </c>
      <c r="F22" s="30" t="str">
        <f>IF(ISERROR(FIND($A$2,Lines!F22))=TRUE,"",Lines!F22)</f>
        <v/>
      </c>
      <c r="G22" s="30" t="str">
        <f>IF(ISERROR(FIND($A$2,Lines!G22))=TRUE,"",Lines!G22)</f>
        <v/>
      </c>
      <c r="H22" s="30" t="str">
        <f>IF(ISERROR(FIND($A$2,Lines!H22))=TRUE,"",Lines!H22)</f>
        <v/>
      </c>
      <c r="I22" s="30" t="str">
        <f>IF(ISERROR(FIND($A$2,Lines!I22))=TRUE,"",Lines!I22)</f>
        <v/>
      </c>
      <c r="J22" s="30" t="str">
        <f>IF(ISERROR(FIND($A$2,Lines!J22))=TRUE,"",Lines!J22)</f>
        <v/>
      </c>
      <c r="K22" s="30" t="str">
        <f>IF(ISERROR(FIND($A$2,Lines!K22))=TRUE,"",Lines!K22)</f>
        <v/>
      </c>
      <c r="L22" s="30" t="str">
        <f>IF(ISERROR(FIND($A$2,Lines!L22))=TRUE,"",Lines!L22)</f>
        <v/>
      </c>
      <c r="M22" s="30" t="str">
        <f>IF(ISERROR(FIND($A$2,Lines!M22))=TRUE,"",Lines!M22)</f>
        <v/>
      </c>
      <c r="N22" s="32" t="str">
        <f>IF(ISERROR(FIND($A$2,Lines!N22))=TRUE,"",Lines!N22)</f>
        <v/>
      </c>
      <c r="O22" s="25" t="str">
        <f>IF(ISERROR(FIND($A$2,Lines!O22))=TRUE,"",Lines!O22)</f>
        <v/>
      </c>
      <c r="P22" s="25" t="str">
        <f>IF(ISERROR(FIND($A$2,Lines!P22))=TRUE,"",Lines!P22)</f>
        <v/>
      </c>
      <c r="Q22" s="25" t="str">
        <f>IF(ISERROR(FIND($A$2,Lines!Q22))=TRUE,"",Lines!Q22)</f>
        <v/>
      </c>
      <c r="R22" s="25" t="str">
        <f>IF(ISERROR(FIND($A$2,Lines!R22))=TRUE,"",Lines!R22)</f>
        <v/>
      </c>
      <c r="S22" s="25" t="str">
        <f>IF(ISERROR(FIND($A$2,Lines!S22))=TRUE,"",Lines!S22)</f>
        <v/>
      </c>
      <c r="T22" s="66" t="str">
        <f>IF(ISERROR(FIND($A$2,Lines!T22))=TRUE,"",Lines!T22)</f>
        <v/>
      </c>
      <c r="U22" s="25" t="str">
        <f>IF(ISERROR(FIND($A$2,Lines!U22))=TRUE,"",Lines!U22)</f>
        <v/>
      </c>
      <c r="V22" s="35" t="str">
        <f>IF(ISERROR(FIND($A$2,Lines!V22))=TRUE,"",Lines!V22)</f>
        <v/>
      </c>
      <c r="W22" s="36" t="str">
        <f>IF(ISERROR(FIND($A$2,Lines!W22))=TRUE,"",Lines!W22)</f>
        <v/>
      </c>
      <c r="X22" s="30" t="str">
        <f>IF(ISERROR(FIND($A$2,Lines!X22))=TRUE,"",Lines!X22)</f>
        <v/>
      </c>
      <c r="Y22" s="30" t="str">
        <f>IF(ISERROR(FIND($A$2,Lines!Y22))=TRUE,"",Lines!Y22)</f>
        <v/>
      </c>
      <c r="Z22" s="30" t="str">
        <f>IF(ISERROR(FIND($A$2,Lines!Z22))=TRUE,"",Lines!Z22)</f>
        <v/>
      </c>
      <c r="AA22" s="30" t="str">
        <f>IF(ISERROR(FIND($A$2,Lines!AA22))=TRUE,"",Lines!AA22)</f>
        <v/>
      </c>
      <c r="AB22" s="30" t="str">
        <f>IF(ISERROR(FIND($A$2,Lines!AB22))=TRUE,"",Lines!AB22)</f>
        <v/>
      </c>
      <c r="AC22" s="30" t="str">
        <f>IF(ISERROR(FIND($A$2,Lines!AC22))=TRUE,"",Lines!AC22)</f>
        <v/>
      </c>
      <c r="AD22" s="30" t="str">
        <f>IF(ISERROR(FIND($A$2,Lines!AD22))=TRUE,"",Lines!AD22)</f>
        <v/>
      </c>
      <c r="AE22" s="30" t="str">
        <f>IF(ISERROR(FIND($A$2,Lines!AE22))=TRUE,"",Lines!AE22)</f>
        <v/>
      </c>
      <c r="AF22" s="30" t="str">
        <f>IF(ISERROR(FIND($A$2,Lines!AF22))=TRUE,"",Lines!AF22)</f>
        <v/>
      </c>
      <c r="AG22" s="30" t="str">
        <f>IF(ISERROR(FIND($A$2,Lines!AG22))=TRUE,"",Lines!AG22)</f>
        <v/>
      </c>
      <c r="AH22" s="30" t="str">
        <f>IF(ISERROR(FIND($A$2,Lines!AH22))=TRUE,"",Lines!AH22)</f>
        <v/>
      </c>
      <c r="AI22" s="30" t="str">
        <f>IF(ISERROR(FIND($A$2,Lines!AI22))=TRUE,"",Lines!AI22)</f>
        <v/>
      </c>
      <c r="AJ22" s="30" t="str">
        <f>IF(ISERROR(FIND($A$2,Lines!AJ22))=TRUE,"",Lines!AJ22)</f>
        <v/>
      </c>
      <c r="AK22" s="30" t="str">
        <f>IF(ISERROR(FIND($A$2,Lines!AK22))=TRUE,"",Lines!AK22)</f>
        <v/>
      </c>
      <c r="AL22" s="30" t="str">
        <f>IF(ISERROR(FIND($A$2,Lines!AL22))=TRUE,"",Lines!AL22)</f>
        <v/>
      </c>
      <c r="AM22" s="30" t="str">
        <f>IF(ISERROR(FIND($A$2,Lines!AM22))=TRUE,"",Lines!AM22)</f>
        <v/>
      </c>
      <c r="AN22" s="30" t="str">
        <f>IF(ISERROR(FIND($A$2,Lines!AN22))=TRUE,"",Lines!AN22)</f>
        <v/>
      </c>
      <c r="AO22" s="30" t="str">
        <f>IF(ISERROR(FIND($A$2,Lines!AO22))=TRUE,"",Lines!AO22)</f>
        <v/>
      </c>
      <c r="AP22" s="30" t="str">
        <f>IF(ISERROR(FIND($A$2,Lines!AP22))=TRUE,"",Lines!AP22)</f>
        <v/>
      </c>
      <c r="AQ22" s="30" t="str">
        <f>IF(ISERROR(FIND($A$2,Lines!AQ22))=TRUE,"",Lines!AQ22)</f>
        <v/>
      </c>
      <c r="AR22" s="30" t="str">
        <f>IF(ISERROR(FIND($A$2,Lines!AR22))=TRUE,"",Lines!AR22)</f>
        <v/>
      </c>
      <c r="AS22" s="30" t="str">
        <f>IF(ISERROR(FIND($A$2,Lines!AS22))=TRUE,"",Lines!AS22)</f>
        <v/>
      </c>
      <c r="AT22" s="30" t="str">
        <f>IF(ISERROR(FIND($A$2,Lines!AT22))=TRUE,"",Lines!AT22)</f>
        <v>±800宁东-浙江（8000MW）</v>
      </c>
    </row>
    <row r="23" spans="1:46" ht="20.25" customHeight="1">
      <c r="A23" s="2" t="s">
        <v>71</v>
      </c>
      <c r="B23" s="30" t="str">
        <f>IF(ISERROR(FIND($A$2,Lines!B23))=TRUE,"",Lines!B23)</f>
        <v/>
      </c>
      <c r="C23" s="30" t="str">
        <f>IF(ISERROR(FIND($A$2,Lines!C23))=TRUE,"",Lines!C23)</f>
        <v/>
      </c>
      <c r="D23" s="30" t="str">
        <f>IF(ISERROR(FIND($A$2,Lines!D23))=TRUE,"",Lines!D23)</f>
        <v/>
      </c>
      <c r="E23" s="30" t="str">
        <f>IF(ISERROR(FIND($A$2,Lines!E23))=TRUE,"",Lines!E23)</f>
        <v/>
      </c>
      <c r="F23" s="30" t="str">
        <f>IF(ISERROR(FIND($A$2,Lines!F23))=TRUE,"",Lines!F23)</f>
        <v/>
      </c>
      <c r="G23" s="30" t="str">
        <f>IF(ISERROR(FIND($A$2,Lines!G23))=TRUE,"",Lines!G23)</f>
        <v/>
      </c>
      <c r="H23" s="30" t="str">
        <f>IF(ISERROR(FIND($A$2,Lines!H23))=TRUE,"",Lines!H23)</f>
        <v/>
      </c>
      <c r="I23" s="30" t="str">
        <f>IF(ISERROR(FIND($A$2,Lines!I23))=TRUE,"",Lines!I23)</f>
        <v/>
      </c>
      <c r="J23" s="30" t="str">
        <f>IF(ISERROR(FIND($A$2,Lines!J23))=TRUE,"",Lines!J23)</f>
        <v/>
      </c>
      <c r="K23" s="30" t="str">
        <f>IF(ISERROR(FIND($A$2,Lines!K23))=TRUE,"",Lines!K23)</f>
        <v/>
      </c>
      <c r="L23" s="30" t="str">
        <f>IF(ISERROR(FIND($A$2,Lines!L23))=TRUE,"",Lines!L23)</f>
        <v/>
      </c>
      <c r="M23" s="30" t="str">
        <f>IF(ISERROR(FIND($A$2,Lines!M23))=TRUE,"",Lines!M23)</f>
        <v/>
      </c>
      <c r="N23" s="32" t="str">
        <f>IF(ISERROR(FIND($A$2,Lines!N23))=TRUE,"",Lines!N23)</f>
        <v/>
      </c>
      <c r="O23" s="25" t="str">
        <f>IF(ISERROR(FIND($A$2,Lines!O23))=TRUE,"",Lines!O23)</f>
        <v/>
      </c>
      <c r="P23" s="25" t="str">
        <f>IF(ISERROR(FIND($A$2,Lines!P23))=TRUE,"",Lines!P23)</f>
        <v/>
      </c>
      <c r="Q23" s="25" t="str">
        <f>IF(ISERROR(FIND($A$2,Lines!Q23))=TRUE,"",Lines!Q23)</f>
        <v/>
      </c>
      <c r="R23" s="25" t="str">
        <f>IF(ISERROR(FIND($A$2,Lines!R23))=TRUE,"",Lines!R23)</f>
        <v/>
      </c>
      <c r="S23" s="25" t="str">
        <f>IF(ISERROR(FIND($A$2,Lines!S23))=TRUE,"",Lines!S23)</f>
        <v/>
      </c>
      <c r="T23" s="25" t="str">
        <f>IF(ISERROR(FIND($A$2,Lines!T23))=TRUE,"",Lines!T23)</f>
        <v/>
      </c>
      <c r="U23" s="66" t="str">
        <f>IF(ISERROR(FIND($A$2,Lines!U23))=TRUE,"",Lines!U23)</f>
        <v/>
      </c>
      <c r="V23" s="35" t="str">
        <f>IF(ISERROR(FIND($A$2,Lines!V23))=TRUE,"",Lines!V23)</f>
        <v/>
      </c>
      <c r="W23" s="36" t="str">
        <f>IF(ISERROR(FIND($A$2,Lines!W23))=TRUE,"",Lines!W23)</f>
        <v/>
      </c>
      <c r="X23" s="30" t="str">
        <f>IF(ISERROR(FIND($A$2,Lines!X23))=TRUE,"",Lines!X23)</f>
        <v/>
      </c>
      <c r="Y23" s="30" t="str">
        <f>IF(ISERROR(FIND($A$2,Lines!Y23))=TRUE,"",Lines!Y23)</f>
        <v/>
      </c>
      <c r="Z23" s="30" t="str">
        <f>IF(ISERROR(FIND($A$2,Lines!Z23))=TRUE,"",Lines!Z23)</f>
        <v/>
      </c>
      <c r="AA23" s="30" t="str">
        <f>IF(ISERROR(FIND($A$2,Lines!AA23))=TRUE,"",Lines!AA23)</f>
        <v/>
      </c>
      <c r="AB23" s="30" t="str">
        <f>IF(ISERROR(FIND($A$2,Lines!AB23))=TRUE,"",Lines!AB23)</f>
        <v/>
      </c>
      <c r="AC23" s="30" t="str">
        <f>IF(ISERROR(FIND($A$2,Lines!AC23))=TRUE,"",Lines!AC23)</f>
        <v/>
      </c>
      <c r="AD23" s="30" t="str">
        <f>IF(ISERROR(FIND($A$2,Lines!AD23))=TRUE,"",Lines!AD23)</f>
        <v/>
      </c>
      <c r="AE23" s="30" t="str">
        <f>IF(ISERROR(FIND($A$2,Lines!AE23))=TRUE,"",Lines!AE23)</f>
        <v/>
      </c>
      <c r="AF23" s="30" t="str">
        <f>IF(ISERROR(FIND($A$2,Lines!AF23))=TRUE,"",Lines!AF23)</f>
        <v/>
      </c>
      <c r="AG23" s="30" t="str">
        <f>IF(ISERROR(FIND($A$2,Lines!AG23))=TRUE,"",Lines!AG23)</f>
        <v/>
      </c>
      <c r="AH23" s="30" t="str">
        <f>IF(ISERROR(FIND($A$2,Lines!AH23))=TRUE,"",Lines!AH23)</f>
        <v>±800哈密南-郑州(8000MW)</v>
      </c>
      <c r="AI23" s="30" t="str">
        <f>IF(ISERROR(FIND($A$2,Lines!AI23))=TRUE,"",Lines!AI23)</f>
        <v/>
      </c>
      <c r="AJ23" s="30" t="str">
        <f>IF(ISERROR(FIND($A$2,Lines!AJ23))=TRUE,"",Lines!AJ23)</f>
        <v/>
      </c>
      <c r="AK23" s="30" t="str">
        <f>IF(ISERROR(FIND($A$2,Lines!AK23))=TRUE,"",Lines!AK23)</f>
        <v/>
      </c>
      <c r="AL23" s="30" t="str">
        <f>IF(ISERROR(FIND($A$2,Lines!AL23))=TRUE,"",Lines!AL23)</f>
        <v/>
      </c>
      <c r="AM23" s="30" t="str">
        <f>IF(ISERROR(FIND($A$2,Lines!AM23))=TRUE,"",Lines!AM23)</f>
        <v/>
      </c>
      <c r="AN23" s="30" t="str">
        <f>IF(ISERROR(FIND($A$2,Lines!AN23))=TRUE,"",Lines!AN23)</f>
        <v/>
      </c>
      <c r="AO23" s="30" t="str">
        <f>IF(ISERROR(FIND($A$2,Lines!AO23))=TRUE,"",Lines!AO23)</f>
        <v/>
      </c>
      <c r="AP23" s="30" t="str">
        <f>IF(ISERROR(FIND($A$2,Lines!AP23))=TRUE,"",Lines!AP23)</f>
        <v/>
      </c>
      <c r="AQ23" s="30" t="str">
        <f>IF(ISERROR(FIND($A$2,Lines!AQ23))=TRUE,"",Lines!AQ23)</f>
        <v/>
      </c>
      <c r="AR23" s="30" t="str">
        <f>IF(ISERROR(FIND($A$2,Lines!AR23))=TRUE,"",Lines!AR23)</f>
        <v/>
      </c>
      <c r="AS23" s="30" t="str">
        <f>IF(ISERROR(FIND($A$2,Lines!AS23))=TRUE,"",Lines!AS23)</f>
        <v/>
      </c>
      <c r="AT23" s="30" t="str">
        <f>IF(ISERROR(FIND($A$2,Lines!AT23))=TRUE,"",Lines!AT23)</f>
        <v/>
      </c>
    </row>
    <row r="24" spans="1:46" ht="20.25" customHeight="1">
      <c r="A24" s="2" t="s">
        <v>72</v>
      </c>
      <c r="B24" s="30" t="str">
        <f>IF(ISERROR(FIND($A$2,Lines!B24))=TRUE,"",Lines!B24)</f>
        <v/>
      </c>
      <c r="C24" s="30" t="str">
        <f>IF(ISERROR(FIND($A$2,Lines!C24))=TRUE,"",Lines!C24)</f>
        <v/>
      </c>
      <c r="D24" s="30" t="str">
        <f>IF(ISERROR(FIND($A$2,Lines!D24))=TRUE,"",Lines!D24)</f>
        <v/>
      </c>
      <c r="E24" s="30" t="str">
        <f>IF(ISERROR(FIND($A$2,Lines!E24))=TRUE,"",Lines!E24)</f>
        <v/>
      </c>
      <c r="F24" s="30" t="str">
        <f>IF(ISERROR(FIND($A$2,Lines!F24))=TRUE,"",Lines!F24)</f>
        <v/>
      </c>
      <c r="G24" s="30" t="str">
        <f>IF(ISERROR(FIND($A$2,Lines!G24))=TRUE,"",Lines!G24)</f>
        <v/>
      </c>
      <c r="H24" s="30" t="str">
        <f>IF(ISERROR(FIND($A$2,Lines!H24))=TRUE,"",Lines!H24)</f>
        <v/>
      </c>
      <c r="I24" s="30" t="str">
        <f>IF(ISERROR(FIND($A$2,Lines!I24))=TRUE,"",Lines!I24)</f>
        <v/>
      </c>
      <c r="J24" s="30" t="str">
        <f>IF(ISERROR(FIND($A$2,Lines!J24))=TRUE,"",Lines!J24)</f>
        <v/>
      </c>
      <c r="K24" s="30" t="str">
        <f>IF(ISERROR(FIND($A$2,Lines!K24))=TRUE,"",Lines!K24)</f>
        <v/>
      </c>
      <c r="L24" s="30" t="str">
        <f>IF(ISERROR(FIND($A$2,Lines!L24))=TRUE,"",Lines!L24)</f>
        <v/>
      </c>
      <c r="M24" s="30" t="str">
        <f>IF(ISERROR(FIND($A$2,Lines!M24))=TRUE,"",Lines!M24)</f>
        <v/>
      </c>
      <c r="N24" s="37" t="str">
        <f>IF(ISERROR(FIND($A$2,Lines!N24))=TRUE,"",Lines!N24)</f>
        <v/>
      </c>
      <c r="O24" s="38" t="str">
        <f>IF(ISERROR(FIND($A$2,Lines!O24))=TRUE,"",Lines!O24)</f>
        <v/>
      </c>
      <c r="P24" s="38" t="str">
        <f>IF(ISERROR(FIND($A$2,Lines!P24))=TRUE,"",Lines!P24)</f>
        <v/>
      </c>
      <c r="Q24" s="38" t="str">
        <f>IF(ISERROR(FIND($A$2,Lines!Q24))=TRUE,"",Lines!Q24)</f>
        <v/>
      </c>
      <c r="R24" s="38" t="str">
        <f>IF(ISERROR(FIND($A$2,Lines!R24))=TRUE,"",Lines!R24)</f>
        <v/>
      </c>
      <c r="S24" s="38" t="str">
        <f>IF(ISERROR(FIND($A$2,Lines!S24))=TRUE,"",Lines!S24)</f>
        <v/>
      </c>
      <c r="T24" s="38" t="str">
        <f>IF(ISERROR(FIND($A$2,Lines!T24))=TRUE,"",Lines!T24)</f>
        <v/>
      </c>
      <c r="U24" s="38" t="str">
        <f>IF(ISERROR(FIND($A$2,Lines!U24))=TRUE,"",Lines!U24)</f>
        <v/>
      </c>
      <c r="V24" s="67" t="str">
        <f>IF(ISERROR(FIND($A$2,Lines!V24))=TRUE,"",Lines!V24)</f>
        <v/>
      </c>
      <c r="W24" s="36" t="str">
        <f>IF(ISERROR(FIND($A$2,Lines!W24))=TRUE,"",Lines!W24)</f>
        <v/>
      </c>
      <c r="X24" s="30" t="str">
        <f>IF(ISERROR(FIND($A$2,Lines!X24))=TRUE,"",Lines!X24)</f>
        <v/>
      </c>
      <c r="Y24" s="30" t="str">
        <f>IF(ISERROR(FIND($A$2,Lines!Y24))=TRUE,"",Lines!Y24)</f>
        <v/>
      </c>
      <c r="Z24" s="30" t="str">
        <f>IF(ISERROR(FIND($A$2,Lines!Z24))=TRUE,"",Lines!Z24)</f>
        <v/>
      </c>
      <c r="AA24" s="30" t="str">
        <f>IF(ISERROR(FIND($A$2,Lines!AA24))=TRUE,"",Lines!AA24)</f>
        <v/>
      </c>
      <c r="AB24" s="30" t="str">
        <f>IF(ISERROR(FIND($A$2,Lines!AB24))=TRUE,"",Lines!AB24)</f>
        <v/>
      </c>
      <c r="AC24" s="30" t="str">
        <f>IF(ISERROR(FIND($A$2,Lines!AC24))=TRUE,"",Lines!AC24)</f>
        <v/>
      </c>
      <c r="AD24" s="30" t="str">
        <f>IF(ISERROR(FIND($A$2,Lines!AD24))=TRUE,"",Lines!AD24)</f>
        <v/>
      </c>
      <c r="AE24" s="30" t="str">
        <f>IF(ISERROR(FIND($A$2,Lines!AE24))=TRUE,"",Lines!AE24)</f>
        <v/>
      </c>
      <c r="AF24" s="30" t="str">
        <f>IF(ISERROR(FIND($A$2,Lines!AF24))=TRUE,"",Lines!AF24)</f>
        <v/>
      </c>
      <c r="AG24" s="30" t="str">
        <f>IF(ISERROR(FIND($A$2,Lines!AG24))=TRUE,"",Lines!AG24)</f>
        <v/>
      </c>
      <c r="AH24" s="30" t="str">
        <f>IF(ISERROR(FIND($A$2,Lines!AH24))=TRUE,"",Lines!AH24)</f>
        <v/>
      </c>
      <c r="AI24" s="30" t="str">
        <f>IF(ISERROR(FIND($A$2,Lines!AI24))=TRUE,"",Lines!AI24)</f>
        <v/>
      </c>
      <c r="AJ24" s="30" t="str">
        <f>IF(ISERROR(FIND($A$2,Lines!AJ24))=TRUE,"",Lines!AJ24)</f>
        <v/>
      </c>
      <c r="AK24" s="30" t="str">
        <f>IF(ISERROR(FIND($A$2,Lines!AK24))=TRUE,"",Lines!AK24)</f>
        <v/>
      </c>
      <c r="AL24" s="30" t="str">
        <f>IF(ISERROR(FIND($A$2,Lines!AL24))=TRUE,"",Lines!AL24)</f>
        <v/>
      </c>
      <c r="AM24" s="30" t="str">
        <f>IF(ISERROR(FIND($A$2,Lines!AM24))=TRUE,"",Lines!AM24)</f>
        <v/>
      </c>
      <c r="AN24" s="30" t="str">
        <f>IF(ISERROR(FIND($A$2,Lines!AN24))=TRUE,"",Lines!AN24)</f>
        <v/>
      </c>
      <c r="AO24" s="30" t="str">
        <f>IF(ISERROR(FIND($A$2,Lines!AO24))=TRUE,"",Lines!AO24)</f>
        <v/>
      </c>
      <c r="AP24" s="30" t="str">
        <f>IF(ISERROR(FIND($A$2,Lines!AP24))=TRUE,"",Lines!AP24)</f>
        <v/>
      </c>
      <c r="AQ24" s="30" t="str">
        <f>IF(ISERROR(FIND($A$2,Lines!AQ24))=TRUE,"",Lines!AQ24)</f>
        <v/>
      </c>
      <c r="AR24" s="30" t="str">
        <f>IF(ISERROR(FIND($A$2,Lines!AR24))=TRUE,"",Lines!AR24)</f>
        <v/>
      </c>
      <c r="AS24" s="30" t="str">
        <f>IF(ISERROR(FIND($A$2,Lines!AS24))=TRUE,"",Lines!AS24)</f>
        <v/>
      </c>
      <c r="AT24" s="30" t="str">
        <f>IF(ISERROR(FIND($A$2,Lines!AT24))=TRUE,"",Lines!AT24)</f>
        <v/>
      </c>
    </row>
    <row r="25" spans="1:46" ht="20.25" customHeight="1">
      <c r="A25" s="2" t="s">
        <v>73</v>
      </c>
      <c r="B25" s="36" t="str">
        <f>IF(ISERROR(FIND($A$2,Lines!B25))=TRUE,"",Lines!B25)</f>
        <v/>
      </c>
      <c r="C25" s="36" t="str">
        <f>IF(ISERROR(FIND($A$2,Lines!C25))=TRUE,"",Lines!C25)</f>
        <v/>
      </c>
      <c r="D25" s="36" t="str">
        <f>IF(ISERROR(FIND($A$2,Lines!D25))=TRUE,"",Lines!D25)</f>
        <v/>
      </c>
      <c r="E25" s="36" t="str">
        <f>IF(ISERROR(FIND($A$2,Lines!E25))=TRUE,"",Lines!E25)</f>
        <v/>
      </c>
      <c r="F25" s="36" t="str">
        <f>IF(ISERROR(FIND($A$2,Lines!F25))=TRUE,"",Lines!F25)</f>
        <v/>
      </c>
      <c r="G25" s="36" t="str">
        <f>IF(ISERROR(FIND($A$2,Lines!G25))=TRUE,"",Lines!G25)</f>
        <v/>
      </c>
      <c r="H25" s="36" t="str">
        <f>IF(ISERROR(FIND($A$2,Lines!H25))=TRUE,"",Lines!H25)</f>
        <v/>
      </c>
      <c r="I25" s="36" t="str">
        <f>IF(ISERROR(FIND($A$2,Lines!I25))=TRUE,"",Lines!I25)</f>
        <v/>
      </c>
      <c r="J25" s="36" t="str">
        <f>IF(ISERROR(FIND($A$2,Lines!J25))=TRUE,"",Lines!J25)</f>
        <v/>
      </c>
      <c r="K25" s="36" t="str">
        <f>IF(ISERROR(FIND($A$2,Lines!K25))=TRUE,"",Lines!K25)</f>
        <v/>
      </c>
      <c r="L25" s="36" t="str">
        <f>IF(ISERROR(FIND($A$2,Lines!L25))=TRUE,"",Lines!L25)</f>
        <v/>
      </c>
      <c r="M25" s="36" t="str">
        <f>IF(ISERROR(FIND($A$2,Lines!M25))=TRUE,"",Lines!M25)</f>
        <v/>
      </c>
      <c r="N25" s="36" t="str">
        <f>IF(ISERROR(FIND($A$2,Lines!N25))=TRUE,"",Lines!N25)</f>
        <v/>
      </c>
      <c r="O25" s="36" t="str">
        <f>IF(ISERROR(FIND($A$2,Lines!O25))=TRUE,"",Lines!O25)</f>
        <v/>
      </c>
      <c r="P25" s="36" t="str">
        <f>IF(ISERROR(FIND($A$2,Lines!P25))=TRUE,"",Lines!P25)</f>
        <v/>
      </c>
      <c r="Q25" s="36" t="str">
        <f>IF(ISERROR(FIND($A$2,Lines!Q25))=TRUE,"",Lines!Q25)</f>
        <v/>
      </c>
      <c r="R25" s="36" t="str">
        <f>IF(ISERROR(FIND($A$2,Lines!R25))=TRUE,"",Lines!R25)</f>
        <v/>
      </c>
      <c r="S25" s="36" t="str">
        <f>IF(ISERROR(FIND($A$2,Lines!S25))=TRUE,"",Lines!S25)</f>
        <v/>
      </c>
      <c r="T25" s="36" t="str">
        <f>IF(ISERROR(FIND($A$2,Lines!T25))=TRUE,"",Lines!T25)</f>
        <v/>
      </c>
      <c r="U25" s="36" t="str">
        <f>IF(ISERROR(FIND($A$2,Lines!U25))=TRUE,"",Lines!U25)</f>
        <v/>
      </c>
      <c r="V25" s="36" t="str">
        <f>IF(ISERROR(FIND($A$2,Lines!V25))=TRUE,"",Lines!V25)</f>
        <v/>
      </c>
      <c r="W25" s="36" t="str">
        <f>IF(ISERROR(FIND($A$2,Lines!W25))=TRUE,"",Lines!W25)</f>
        <v/>
      </c>
      <c r="X25" s="36" t="str">
        <f>IF(ISERROR(FIND($A$2,Lines!X25))=TRUE,"",Lines!X25)</f>
        <v/>
      </c>
      <c r="Y25" s="36" t="str">
        <f>IF(ISERROR(FIND($A$2,Lines!Y25))=TRUE,"",Lines!Y25)</f>
        <v/>
      </c>
      <c r="Z25" s="36" t="str">
        <f>IF(ISERROR(FIND($A$2,Lines!Z25))=TRUE,"",Lines!Z25)</f>
        <v/>
      </c>
      <c r="AA25" s="36" t="str">
        <f>IF(ISERROR(FIND($A$2,Lines!AA25))=TRUE,"",Lines!AA25)</f>
        <v/>
      </c>
      <c r="AB25" s="36" t="str">
        <f>IF(ISERROR(FIND($A$2,Lines!AB25))=TRUE,"",Lines!AB25)</f>
        <v/>
      </c>
      <c r="AC25" s="36" t="str">
        <f>IF(ISERROR(FIND($A$2,Lines!AC25))=TRUE,"",Lines!AC25)</f>
        <v/>
      </c>
      <c r="AD25" s="36" t="str">
        <f>IF(ISERROR(FIND($A$2,Lines!AD25))=TRUE,"",Lines!AD25)</f>
        <v/>
      </c>
      <c r="AE25" s="36" t="str">
        <f>IF(ISERROR(FIND($A$2,Lines!AE25))=TRUE,"",Lines!AE25)</f>
        <v/>
      </c>
      <c r="AF25" s="36" t="str">
        <f>IF(ISERROR(FIND($A$2,Lines!AF25))=TRUE,"",Lines!AF25)</f>
        <v/>
      </c>
      <c r="AG25" s="36" t="str">
        <f>IF(ISERROR(FIND($A$2,Lines!AG25))=TRUE,"",Lines!AG25)</f>
        <v/>
      </c>
      <c r="AH25" s="36" t="str">
        <f>IF(ISERROR(FIND($A$2,Lines!AH25))=TRUE,"",Lines!AH25)</f>
        <v/>
      </c>
      <c r="AI25" s="36" t="str">
        <f>IF(ISERROR(FIND($A$2,Lines!AI25))=TRUE,"",Lines!AI25)</f>
        <v/>
      </c>
      <c r="AJ25" s="36" t="str">
        <f>IF(ISERROR(FIND($A$2,Lines!AJ25))=TRUE,"",Lines!AJ25)</f>
        <v/>
      </c>
      <c r="AK25" s="36" t="str">
        <f>IF(ISERROR(FIND($A$2,Lines!AK25))=TRUE,"",Lines!AK25)</f>
        <v/>
      </c>
      <c r="AL25" s="36" t="str">
        <f>IF(ISERROR(FIND($A$2,Lines!AL25))=TRUE,"",Lines!AL25)</f>
        <v/>
      </c>
      <c r="AM25" s="36" t="str">
        <f>IF(ISERROR(FIND($A$2,Lines!AM25))=TRUE,"",Lines!AM25)</f>
        <v/>
      </c>
      <c r="AN25" s="36" t="str">
        <f>IF(ISERROR(FIND($A$2,Lines!AN25))=TRUE,"",Lines!AN25)</f>
        <v/>
      </c>
      <c r="AO25" s="36" t="str">
        <f>IF(ISERROR(FIND($A$2,Lines!AO25))=TRUE,"",Lines!AO25)</f>
        <v/>
      </c>
      <c r="AP25" s="36" t="str">
        <f>IF(ISERROR(FIND($A$2,Lines!AP25))=TRUE,"",Lines!AP25)</f>
        <v/>
      </c>
      <c r="AQ25" s="36" t="str">
        <f>IF(ISERROR(FIND($A$2,Lines!AQ25))=TRUE,"",Lines!AQ25)</f>
        <v/>
      </c>
      <c r="AR25" s="36" t="str">
        <f>IF(ISERROR(FIND($A$2,Lines!AR25))=TRUE,"",Lines!AR25)</f>
        <v/>
      </c>
      <c r="AS25" s="36" t="str">
        <f>IF(ISERROR(FIND($A$2,Lines!AS25))=TRUE,"",Lines!AS25)</f>
        <v/>
      </c>
      <c r="AT25" s="36" t="str">
        <f>IF(ISERROR(FIND($A$2,Lines!AT25))=TRUE,"",Lines!AT25)</f>
        <v/>
      </c>
    </row>
    <row r="26" spans="1:46" ht="20.25" customHeight="1">
      <c r="A26" s="2" t="s">
        <v>74</v>
      </c>
      <c r="B26" s="30" t="str">
        <f>IF(ISERROR(FIND($A$2,Lines!B26))=TRUE,"",Lines!B26)</f>
        <v/>
      </c>
      <c r="C26" s="30" t="str">
        <f>IF(ISERROR(FIND($A$2,Lines!C26))=TRUE,"",Lines!C26)</f>
        <v/>
      </c>
      <c r="D26" s="30" t="str">
        <f>IF(ISERROR(FIND($A$2,Lines!D26))=TRUE,"",Lines!D26)</f>
        <v/>
      </c>
      <c r="E26" s="30" t="str">
        <f>IF(ISERROR(FIND($A$2,Lines!E26))=TRUE,"",Lines!E26)</f>
        <v/>
      </c>
      <c r="F26" s="30" t="str">
        <f>IF(ISERROR(FIND($A$2,Lines!F26))=TRUE,"",Lines!F26)</f>
        <v/>
      </c>
      <c r="G26" s="30" t="str">
        <f>IF(ISERROR(FIND($A$2,Lines!G26))=TRUE,"",Lines!G26)</f>
        <v/>
      </c>
      <c r="H26" s="30" t="str">
        <f>IF(ISERROR(FIND($A$2,Lines!H26))=TRUE,"",Lines!H26)</f>
        <v/>
      </c>
      <c r="I26" s="30" t="str">
        <f>IF(ISERROR(FIND($A$2,Lines!I26))=TRUE,"",Lines!I26)</f>
        <v/>
      </c>
      <c r="J26" s="70" t="str">
        <f>IF(ISERROR(FIND($A$2,Lines!J26))=TRUE,"",Lines!J26)</f>
        <v/>
      </c>
      <c r="K26" s="30" t="str">
        <f>IF(ISERROR(FIND($A$2,Lines!K26))=TRUE,"",Lines!K26)</f>
        <v/>
      </c>
      <c r="L26" s="30" t="str">
        <f>IF(ISERROR(FIND($A$2,Lines!L26))=TRUE,"",Lines!L26)</f>
        <v/>
      </c>
      <c r="M26" s="30" t="str">
        <f>IF(ISERROR(FIND($A$2,Lines!M26))=TRUE,"",Lines!M26)</f>
        <v/>
      </c>
      <c r="N26" s="30" t="str">
        <f>IF(ISERROR(FIND($A$2,Lines!N26))=TRUE,"",Lines!N26)</f>
        <v/>
      </c>
      <c r="O26" s="30" t="str">
        <f>IF(ISERROR(FIND($A$2,Lines!O26))=TRUE,"",Lines!O26)</f>
        <v/>
      </c>
      <c r="P26" s="30" t="str">
        <f>IF(ISERROR(FIND($A$2,Lines!P26))=TRUE,"",Lines!P26)</f>
        <v/>
      </c>
      <c r="Q26" s="30" t="str">
        <f>IF(ISERROR(FIND($A$2,Lines!Q26))=TRUE,"",Lines!Q26)</f>
        <v/>
      </c>
      <c r="R26" s="30" t="str">
        <f>IF(ISERROR(FIND($A$2,Lines!R26))=TRUE,"",Lines!R26)</f>
        <v/>
      </c>
      <c r="S26" s="30" t="str">
        <f>IF(ISERROR(FIND($A$2,Lines!S26))=TRUE,"",Lines!S26)</f>
        <v/>
      </c>
      <c r="T26" s="30" t="str">
        <f>IF(ISERROR(FIND($A$2,Lines!T26))=TRUE,"",Lines!T26)</f>
        <v/>
      </c>
      <c r="U26" s="30" t="str">
        <f>IF(ISERROR(FIND($A$2,Lines!U26))=TRUE,"",Lines!U26)</f>
        <v/>
      </c>
      <c r="V26" s="30" t="str">
        <f>IF(ISERROR(FIND($A$2,Lines!V26))=TRUE,"",Lines!V26)</f>
        <v/>
      </c>
      <c r="W26" s="36" t="str">
        <f>IF(ISERROR(FIND($A$2,Lines!W26))=TRUE,"",Lines!W26)</f>
        <v/>
      </c>
      <c r="X26" s="65" t="str">
        <f>IF(ISERROR(FIND($A$2,Lines!X26))=TRUE,"",Lines!X26)</f>
        <v/>
      </c>
      <c r="Y26" s="39" t="str">
        <f>IF(ISERROR(FIND($A$2,Lines!Y26))=TRUE,"",Lines!Y26)</f>
        <v/>
      </c>
      <c r="Z26" s="39" t="str">
        <f>IF(ISERROR(FIND($A$2,Lines!Z26))=TRUE,"",Lines!Z26)</f>
        <v/>
      </c>
      <c r="AA26" s="39" t="str">
        <f>IF(ISERROR(FIND($A$2,Lines!AA26))=TRUE,"",Lines!AA26)</f>
        <v/>
      </c>
      <c r="AB26" s="39" t="str">
        <f>IF(ISERROR(FIND($A$2,Lines!AB26))=TRUE,"",Lines!AB26)</f>
        <v/>
      </c>
      <c r="AC26" s="39" t="str">
        <f>IF(ISERROR(FIND($A$2,Lines!AC26))=TRUE,"",Lines!AC26)</f>
        <v/>
      </c>
      <c r="AD26" s="52" t="str">
        <f>IF(ISERROR(FIND($A$2,Lines!AD26))=TRUE,"",Lines!AD26)</f>
        <v/>
      </c>
      <c r="AE26" s="30" t="str">
        <f>IF(ISERROR(FIND($A$2,Lines!AE26))=TRUE,"",Lines!AE26)</f>
        <v/>
      </c>
      <c r="AF26" s="30" t="str">
        <f>IF(ISERROR(FIND($A$2,Lines!AF26))=TRUE,"",Lines!AF26)</f>
        <v/>
      </c>
      <c r="AG26" s="30" t="str">
        <f>IF(ISERROR(FIND($A$2,Lines!AG26))=TRUE,"",Lines!AG26)</f>
        <v/>
      </c>
      <c r="AH26" s="30" t="str">
        <f>IF(ISERROR(FIND($A$2,Lines!AH26))=TRUE,"",Lines!AH26)</f>
        <v/>
      </c>
      <c r="AI26" s="30" t="str">
        <f>IF(ISERROR(FIND($A$2,Lines!AI26))=TRUE,"",Lines!AI26)</f>
        <v/>
      </c>
      <c r="AJ26" s="30" t="str">
        <f>IF(ISERROR(FIND($A$2,Lines!AJ26))=TRUE,"",Lines!AJ26)</f>
        <v/>
      </c>
      <c r="AK26" s="30" t="str">
        <f>IF(ISERROR(FIND($A$2,Lines!AK26))=TRUE,"",Lines!AK26)</f>
        <v/>
      </c>
      <c r="AL26" s="30" t="str">
        <f>IF(ISERROR(FIND($A$2,Lines!AL26))=TRUE,"",Lines!AL26)</f>
        <v/>
      </c>
      <c r="AM26" s="30" t="str">
        <f>IF(ISERROR(FIND($A$2,Lines!AM26))=TRUE,"",Lines!AM26)</f>
        <v/>
      </c>
      <c r="AN26" s="30" t="str">
        <f>IF(ISERROR(FIND($A$2,Lines!AN26))=TRUE,"",Lines!AN26)</f>
        <v/>
      </c>
      <c r="AO26" s="30" t="str">
        <f>IF(ISERROR(FIND($A$2,Lines!AO26))=TRUE,"",Lines!AO26)</f>
        <v/>
      </c>
      <c r="AP26" s="30" t="str">
        <f>IF(ISERROR(FIND($A$2,Lines!AP26))=TRUE,"",Lines!AP26)</f>
        <v/>
      </c>
      <c r="AQ26" s="30" t="str">
        <f>IF(ISERROR(FIND($A$2,Lines!AQ26))=TRUE,"",Lines!AQ26)</f>
        <v/>
      </c>
      <c r="AR26" s="30" t="str">
        <f>IF(ISERROR(FIND($A$2,Lines!AR26))=TRUE,"",Lines!AR26)</f>
        <v/>
      </c>
      <c r="AS26" s="30" t="str">
        <f>IF(ISERROR(FIND($A$2,Lines!AS26))=TRUE,"",Lines!AS26)</f>
        <v/>
      </c>
      <c r="AT26" s="30" t="str">
        <f>IF(ISERROR(FIND($A$2,Lines!AT26))=TRUE,"",Lines!AT26)</f>
        <v/>
      </c>
    </row>
    <row r="27" spans="1:46" ht="20.25" customHeight="1">
      <c r="A27" s="2" t="s">
        <v>75</v>
      </c>
      <c r="B27" s="30" t="str">
        <f>IF(ISERROR(FIND($A$2,Lines!B27))=TRUE,"",Lines!B27)</f>
        <v/>
      </c>
      <c r="C27" s="30" t="str">
        <f>IF(ISERROR(FIND($A$2,Lines!C27))=TRUE,"",Lines!C27)</f>
        <v/>
      </c>
      <c r="D27" s="30" t="str">
        <f>IF(ISERROR(FIND($A$2,Lines!D27))=TRUE,"",Lines!D27)</f>
        <v/>
      </c>
      <c r="E27" s="30" t="str">
        <f>IF(ISERROR(FIND($A$2,Lines!E27))=TRUE,"",Lines!E27)</f>
        <v/>
      </c>
      <c r="F27" s="30" t="str">
        <f>IF(ISERROR(FIND($A$2,Lines!F27))=TRUE,"",Lines!F27)</f>
        <v/>
      </c>
      <c r="G27" s="30" t="str">
        <f>IF(ISERROR(FIND($A$2,Lines!G27))=TRUE,"",Lines!G27)</f>
        <v/>
      </c>
      <c r="H27" s="30" t="str">
        <f>IF(ISERROR(FIND($A$2,Lines!H27))=TRUE,"",Lines!H27)</f>
        <v/>
      </c>
      <c r="I27" s="30" t="str">
        <f>IF(ISERROR(FIND($A$2,Lines!I27))=TRUE,"",Lines!I27)</f>
        <v/>
      </c>
      <c r="J27" s="30" t="str">
        <f>IF(ISERROR(FIND($A$2,Lines!J27))=TRUE,"",Lines!J27)</f>
        <v/>
      </c>
      <c r="K27" s="30" t="str">
        <f>IF(ISERROR(FIND($A$2,Lines!K27))=TRUE,"",Lines!K27)</f>
        <v/>
      </c>
      <c r="L27" s="30" t="str">
        <f>IF(ISERROR(FIND($A$2,Lines!L27))=TRUE,"",Lines!L27)</f>
        <v/>
      </c>
      <c r="M27" s="30" t="str">
        <f>IF(ISERROR(FIND($A$2,Lines!M27))=TRUE,"",Lines!M27)</f>
        <v/>
      </c>
      <c r="N27" s="30" t="str">
        <f>IF(ISERROR(FIND($A$2,Lines!N27))=TRUE,"",Lines!N27)</f>
        <v/>
      </c>
      <c r="O27" s="30" t="str">
        <f>IF(ISERROR(FIND($A$2,Lines!O27))=TRUE,"",Lines!O27)</f>
        <v/>
      </c>
      <c r="P27" s="30" t="str">
        <f>IF(ISERROR(FIND($A$2,Lines!P27))=TRUE,"",Lines!P27)</f>
        <v/>
      </c>
      <c r="Q27" s="30" t="str">
        <f>IF(ISERROR(FIND($A$2,Lines!Q27))=TRUE,"",Lines!Q27)</f>
        <v/>
      </c>
      <c r="R27" s="30" t="str">
        <f>IF(ISERROR(FIND($A$2,Lines!R27))=TRUE,"",Lines!R27)</f>
        <v/>
      </c>
      <c r="S27" s="30" t="str">
        <f>IF(ISERROR(FIND($A$2,Lines!S27))=TRUE,"",Lines!S27)</f>
        <v/>
      </c>
      <c r="T27" s="30" t="str">
        <f>IF(ISERROR(FIND($A$2,Lines!T27))=TRUE,"",Lines!T27)</f>
        <v/>
      </c>
      <c r="U27" s="30" t="str">
        <f>IF(ISERROR(FIND($A$2,Lines!U27))=TRUE,"",Lines!U27)</f>
        <v/>
      </c>
      <c r="V27" s="30" t="str">
        <f>IF(ISERROR(FIND($A$2,Lines!V27))=TRUE,"",Lines!V27)</f>
        <v/>
      </c>
      <c r="W27" s="36" t="str">
        <f>IF(ISERROR(FIND($A$2,Lines!W27))=TRUE,"",Lines!W27)</f>
        <v/>
      </c>
      <c r="X27" s="40" t="str">
        <f>IF(ISERROR(FIND($A$2,Lines!X27))=TRUE,"",Lines!X27)</f>
        <v/>
      </c>
      <c r="Y27" s="66" t="str">
        <f>IF(ISERROR(FIND($A$2,Lines!Y27))=TRUE,"",Lines!Y27)</f>
        <v/>
      </c>
      <c r="Z27" s="41" t="str">
        <f>IF(ISERROR(FIND($A$2,Lines!Z27))=TRUE,"",Lines!Z27)</f>
        <v/>
      </c>
      <c r="AA27" s="41" t="str">
        <f>IF(ISERROR(FIND($A$2,Lines!AA27))=TRUE,"",Lines!AA27)</f>
        <v/>
      </c>
      <c r="AB27" s="41" t="str">
        <f>IF(ISERROR(FIND($A$2,Lines!AB27))=TRUE,"",Lines!AB27)</f>
        <v/>
      </c>
      <c r="AC27" s="41" t="str">
        <f>IF(ISERROR(FIND($A$2,Lines!AC27))=TRUE,"",Lines!AC27)</f>
        <v/>
      </c>
      <c r="AD27" s="46" t="str">
        <f>IF(ISERROR(FIND($A$2,Lines!AD27))=TRUE,"",Lines!AD27)</f>
        <v/>
      </c>
      <c r="AE27" s="30" t="str">
        <f>IF(ISERROR(FIND($A$2,Lines!AE27))=TRUE,"",Lines!AE27)</f>
        <v/>
      </c>
      <c r="AF27" s="30" t="str">
        <f>IF(ISERROR(FIND($A$2,Lines!AF27))=TRUE,"",Lines!AF27)</f>
        <v/>
      </c>
      <c r="AG27" s="30" t="str">
        <f>IF(ISERROR(FIND($A$2,Lines!AG27))=TRUE,"",Lines!AG27)</f>
        <v/>
      </c>
      <c r="AH27" s="30" t="str">
        <f>IF(ISERROR(FIND($A$2,Lines!AH27))=TRUE,"",Lines!AH27)</f>
        <v/>
      </c>
      <c r="AI27" s="30" t="str">
        <f>IF(ISERROR(FIND($A$2,Lines!AI27))=TRUE,"",Lines!AI27)</f>
        <v/>
      </c>
      <c r="AJ27" s="30" t="str">
        <f>IF(ISERROR(FIND($A$2,Lines!AJ27))=TRUE,"",Lines!AJ27)</f>
        <v/>
      </c>
      <c r="AK27" s="30" t="str">
        <f>IF(ISERROR(FIND($A$2,Lines!AK27))=TRUE,"",Lines!AK27)</f>
        <v/>
      </c>
      <c r="AL27" s="30" t="str">
        <f>IF(ISERROR(FIND($A$2,Lines!AL27))=TRUE,"",Lines!AL27)</f>
        <v/>
      </c>
      <c r="AM27" s="30" t="str">
        <f>IF(ISERROR(FIND($A$2,Lines!AM27))=TRUE,"",Lines!AM27)</f>
        <v/>
      </c>
      <c r="AN27" s="30" t="str">
        <f>IF(ISERROR(FIND($A$2,Lines!AN27))=TRUE,"",Lines!AN27)</f>
        <v/>
      </c>
      <c r="AO27" s="30" t="str">
        <f>IF(ISERROR(FIND($A$2,Lines!AO27))=TRUE,"",Lines!AO27)</f>
        <v/>
      </c>
      <c r="AP27" s="30" t="str">
        <f>IF(ISERROR(FIND($A$2,Lines!AP27))=TRUE,"",Lines!AP27)</f>
        <v/>
      </c>
      <c r="AQ27" s="30" t="str">
        <f>IF(ISERROR(FIND($A$2,Lines!AQ27))=TRUE,"",Lines!AQ27)</f>
        <v/>
      </c>
      <c r="AR27" s="30" t="str">
        <f>IF(ISERROR(FIND($A$2,Lines!AR27))=TRUE,"",Lines!AR27)</f>
        <v/>
      </c>
      <c r="AS27" s="30" t="str">
        <f>IF(ISERROR(FIND($A$2,Lines!AS27))=TRUE,"",Lines!AS27)</f>
        <v/>
      </c>
      <c r="AT27" s="30" t="str">
        <f>IF(ISERROR(FIND($A$2,Lines!AT27))=TRUE,"",Lines!AT27)</f>
        <v/>
      </c>
    </row>
    <row r="28" spans="1:46" ht="20.25" customHeight="1">
      <c r="A28" s="2" t="s">
        <v>76</v>
      </c>
      <c r="B28" s="30" t="str">
        <f>IF(ISERROR(FIND($A$2,Lines!B28))=TRUE,"",Lines!B28)</f>
        <v/>
      </c>
      <c r="C28" s="30" t="str">
        <f>IF(ISERROR(FIND($A$2,Lines!C28))=TRUE,"",Lines!C28)</f>
        <v/>
      </c>
      <c r="D28" s="30" t="str">
        <f>IF(ISERROR(FIND($A$2,Lines!D28))=TRUE,"",Lines!D28)</f>
        <v/>
      </c>
      <c r="E28" s="30" t="str">
        <f>IF(ISERROR(FIND($A$2,Lines!E28))=TRUE,"",Lines!E28)</f>
        <v/>
      </c>
      <c r="F28" s="30" t="str">
        <f>IF(ISERROR(FIND($A$2,Lines!F28))=TRUE,"",Lines!F28)</f>
        <v/>
      </c>
      <c r="G28" s="30" t="str">
        <f>IF(ISERROR(FIND($A$2,Lines!G28))=TRUE,"",Lines!G28)</f>
        <v/>
      </c>
      <c r="H28" s="30" t="str">
        <f>IF(ISERROR(FIND($A$2,Lines!H28))=TRUE,"",Lines!H28)</f>
        <v/>
      </c>
      <c r="I28" s="30" t="str">
        <f>IF(ISERROR(FIND($A$2,Lines!I28))=TRUE,"",Lines!I28)</f>
        <v/>
      </c>
      <c r="J28" s="30" t="str">
        <f>IF(ISERROR(FIND($A$2,Lines!J28))=TRUE,"",Lines!J28)</f>
        <v/>
      </c>
      <c r="K28" s="30" t="str">
        <f>IF(ISERROR(FIND($A$2,Lines!K28))=TRUE,"",Lines!K28)</f>
        <v/>
      </c>
      <c r="L28" s="30" t="str">
        <f>IF(ISERROR(FIND($A$2,Lines!L28))=TRUE,"",Lines!L28)</f>
        <v/>
      </c>
      <c r="M28" s="30" t="str">
        <f>IF(ISERROR(FIND($A$2,Lines!M28))=TRUE,"",Lines!M28)</f>
        <v/>
      </c>
      <c r="N28" s="30" t="str">
        <f>IF(ISERROR(FIND($A$2,Lines!N28))=TRUE,"",Lines!N28)</f>
        <v/>
      </c>
      <c r="O28" s="30" t="str">
        <f>IF(ISERROR(FIND($A$2,Lines!O28))=TRUE,"",Lines!O28)</f>
        <v/>
      </c>
      <c r="P28" s="30" t="str">
        <f>IF(ISERROR(FIND($A$2,Lines!P28))=TRUE,"",Lines!P28)</f>
        <v/>
      </c>
      <c r="Q28" s="30" t="str">
        <f>IF(ISERROR(FIND($A$2,Lines!Q28))=TRUE,"",Lines!Q28)</f>
        <v/>
      </c>
      <c r="R28" s="30" t="str">
        <f>IF(ISERROR(FIND($A$2,Lines!R28))=TRUE,"",Lines!R28)</f>
        <v/>
      </c>
      <c r="S28" s="30" t="str">
        <f>IF(ISERROR(FIND($A$2,Lines!S28))=TRUE,"",Lines!S28)</f>
        <v/>
      </c>
      <c r="T28" s="30" t="str">
        <f>IF(ISERROR(FIND($A$2,Lines!T28))=TRUE,"",Lines!T28)</f>
        <v/>
      </c>
      <c r="U28" s="30" t="str">
        <f>IF(ISERROR(FIND($A$2,Lines!U28))=TRUE,"",Lines!U28)</f>
        <v/>
      </c>
      <c r="V28" s="30" t="str">
        <f>IF(ISERROR(FIND($A$2,Lines!V28))=TRUE,"",Lines!V28)</f>
        <v/>
      </c>
      <c r="W28" s="36" t="str">
        <f>IF(ISERROR(FIND($A$2,Lines!W28))=TRUE,"",Lines!W28)</f>
        <v/>
      </c>
      <c r="X28" s="40" t="str">
        <f>IF(ISERROR(FIND($A$2,Lines!X28))=TRUE,"",Lines!X28)</f>
        <v/>
      </c>
      <c r="Y28" s="41" t="str">
        <f>IF(ISERROR(FIND($A$2,Lines!Y28))=TRUE,"",Lines!Y28)</f>
        <v/>
      </c>
      <c r="Z28" s="66" t="str">
        <f>IF(ISERROR(FIND($A$2,Lines!Z28))=TRUE,"",Lines!Z28)</f>
        <v/>
      </c>
      <c r="AA28" s="41" t="str">
        <f>IF(ISERROR(FIND($A$2,Lines!AA28))=TRUE,"",Lines!AA28)</f>
        <v/>
      </c>
      <c r="AB28" s="41" t="str">
        <f>IF(ISERROR(FIND($A$2,Lines!AB28))=TRUE,"",Lines!AB28)</f>
        <v/>
      </c>
      <c r="AC28" s="41" t="str">
        <f>IF(ISERROR(FIND($A$2,Lines!AC28))=TRUE,"",Lines!AC28)</f>
        <v/>
      </c>
      <c r="AD28" s="46" t="str">
        <f>IF(ISERROR(FIND($A$2,Lines!AD28))=TRUE,"",Lines!AD28)</f>
        <v/>
      </c>
      <c r="AE28" s="30" t="str">
        <f>IF(ISERROR(FIND($A$2,Lines!AE28))=TRUE,"",Lines!AE28)</f>
        <v/>
      </c>
      <c r="AF28" s="30" t="str">
        <f>IF(ISERROR(FIND($A$2,Lines!AF28))=TRUE,"",Lines!AF28)</f>
        <v/>
      </c>
      <c r="AG28" s="30" t="str">
        <f>IF(ISERROR(FIND($A$2,Lines!AG28))=TRUE,"",Lines!AG28)</f>
        <v/>
      </c>
      <c r="AH28" s="30" t="str">
        <f>IF(ISERROR(FIND($A$2,Lines!AH28))=TRUE,"",Lines!AH28)</f>
        <v/>
      </c>
      <c r="AI28" s="30" t="str">
        <f>IF(ISERROR(FIND($A$2,Lines!AI28))=TRUE,"",Lines!AI28)</f>
        <v/>
      </c>
      <c r="AJ28" s="30" t="str">
        <f>IF(ISERROR(FIND($A$2,Lines!AJ28))=TRUE,"",Lines!AJ28)</f>
        <v/>
      </c>
      <c r="AK28" s="30" t="str">
        <f>IF(ISERROR(FIND($A$2,Lines!AK28))=TRUE,"",Lines!AK28)</f>
        <v/>
      </c>
      <c r="AL28" s="30" t="str">
        <f>IF(ISERROR(FIND($A$2,Lines!AL28))=TRUE,"",Lines!AL28)</f>
        <v/>
      </c>
      <c r="AM28" s="30" t="str">
        <f>IF(ISERROR(FIND($A$2,Lines!AM28))=TRUE,"",Lines!AM28)</f>
        <v/>
      </c>
      <c r="AN28" s="30" t="str">
        <f>IF(ISERROR(FIND($A$2,Lines!AN28))=TRUE,"",Lines!AN28)</f>
        <v/>
      </c>
      <c r="AO28" s="30" t="str">
        <f>IF(ISERROR(FIND($A$2,Lines!AO28))=TRUE,"",Lines!AO28)</f>
        <v/>
      </c>
      <c r="AP28" s="30" t="str">
        <f>IF(ISERROR(FIND($A$2,Lines!AP28))=TRUE,"",Lines!AP28)</f>
        <v/>
      </c>
      <c r="AQ28" s="30" t="str">
        <f>IF(ISERROR(FIND($A$2,Lines!AQ28))=TRUE,"",Lines!AQ28)</f>
        <v/>
      </c>
      <c r="AR28" s="30" t="str">
        <f>IF(ISERROR(FIND($A$2,Lines!AR28))=TRUE,"",Lines!AR28)</f>
        <v/>
      </c>
      <c r="AS28" s="30" t="str">
        <f>IF(ISERROR(FIND($A$2,Lines!AS28))=TRUE,"",Lines!AS28)</f>
        <v/>
      </c>
      <c r="AT28" s="30" t="str">
        <f>IF(ISERROR(FIND($A$2,Lines!AT28))=TRUE,"",Lines!AT28)</f>
        <v/>
      </c>
    </row>
    <row r="29" spans="1:46" ht="20.25" customHeight="1">
      <c r="A29" s="2" t="s">
        <v>77</v>
      </c>
      <c r="B29" s="30" t="str">
        <f>IF(ISERROR(FIND($A$2,Lines!B29))=TRUE,"",Lines!B29)</f>
        <v/>
      </c>
      <c r="C29" s="30" t="str">
        <f>IF(ISERROR(FIND($A$2,Lines!C29))=TRUE,"",Lines!C29)</f>
        <v/>
      </c>
      <c r="D29" s="30" t="str">
        <f>IF(ISERROR(FIND($A$2,Lines!D29))=TRUE,"",Lines!D29)</f>
        <v/>
      </c>
      <c r="E29" s="30" t="str">
        <f>IF(ISERROR(FIND($A$2,Lines!E29))=TRUE,"",Lines!E29)</f>
        <v/>
      </c>
      <c r="F29" s="30" t="str">
        <f>IF(ISERROR(FIND($A$2,Lines!F29))=TRUE,"",Lines!F29)</f>
        <v/>
      </c>
      <c r="G29" s="30" t="str">
        <f>IF(ISERROR(FIND($A$2,Lines!G29))=TRUE,"",Lines!G29)</f>
        <v/>
      </c>
      <c r="H29" s="30" t="str">
        <f>IF(ISERROR(FIND($A$2,Lines!H29))=TRUE,"",Lines!H29)</f>
        <v/>
      </c>
      <c r="I29" s="30" t="str">
        <f>IF(ISERROR(FIND($A$2,Lines!I29))=TRUE,"",Lines!I29)</f>
        <v/>
      </c>
      <c r="J29" s="30" t="str">
        <f>IF(ISERROR(FIND($A$2,Lines!J29))=TRUE,"",Lines!J29)</f>
        <v/>
      </c>
      <c r="K29" s="30" t="str">
        <f>IF(ISERROR(FIND($A$2,Lines!K29))=TRUE,"",Lines!K29)</f>
        <v/>
      </c>
      <c r="L29" s="30" t="str">
        <f>IF(ISERROR(FIND($A$2,Lines!L29))=TRUE,"",Lines!L29)</f>
        <v/>
      </c>
      <c r="M29" s="30" t="str">
        <f>IF(ISERROR(FIND($A$2,Lines!M29))=TRUE,"",Lines!M29)</f>
        <v/>
      </c>
      <c r="N29" s="30" t="str">
        <f>IF(ISERROR(FIND($A$2,Lines!N29))=TRUE,"",Lines!N29)</f>
        <v/>
      </c>
      <c r="O29" s="30" t="str">
        <f>IF(ISERROR(FIND($A$2,Lines!O29))=TRUE,"",Lines!O29)</f>
        <v/>
      </c>
      <c r="P29" s="30" t="str">
        <f>IF(ISERROR(FIND($A$2,Lines!P29))=TRUE,"",Lines!P29)</f>
        <v/>
      </c>
      <c r="Q29" s="30" t="str">
        <f>IF(ISERROR(FIND($A$2,Lines!Q29))=TRUE,"",Lines!Q29)</f>
        <v/>
      </c>
      <c r="R29" s="30" t="str">
        <f>IF(ISERROR(FIND($A$2,Lines!R29))=TRUE,"",Lines!R29)</f>
        <v/>
      </c>
      <c r="S29" s="30" t="str">
        <f>IF(ISERROR(FIND($A$2,Lines!S29))=TRUE,"",Lines!S29)</f>
        <v/>
      </c>
      <c r="T29" s="30" t="str">
        <f>IF(ISERROR(FIND($A$2,Lines!T29))=TRUE,"",Lines!T29)</f>
        <v/>
      </c>
      <c r="U29" s="30" t="str">
        <f>IF(ISERROR(FIND($A$2,Lines!U29))=TRUE,"",Lines!U29)</f>
        <v/>
      </c>
      <c r="V29" s="30" t="str">
        <f>IF(ISERROR(FIND($A$2,Lines!V29))=TRUE,"",Lines!V29)</f>
        <v/>
      </c>
      <c r="W29" s="36" t="str">
        <f>IF(ISERROR(FIND($A$2,Lines!W29))=TRUE,"",Lines!W29)</f>
        <v/>
      </c>
      <c r="X29" s="39" t="str">
        <f>IF(ISERROR(FIND($A$2,Lines!X29))=TRUE,"",Lines!X29)</f>
        <v/>
      </c>
      <c r="Y29" s="41" t="str">
        <f>IF(ISERROR(FIND($A$2,Lines!Y29))=TRUE,"",Lines!Y29)</f>
        <v/>
      </c>
      <c r="Z29" s="41" t="str">
        <f>IF(ISERROR(FIND($A$2,Lines!Z29))=TRUE,"",Lines!Z29)</f>
        <v/>
      </c>
      <c r="AA29" s="66" t="str">
        <f>IF(ISERROR(FIND($A$2,Lines!AA29))=TRUE,"",Lines!AA29)</f>
        <v/>
      </c>
      <c r="AB29" s="41" t="str">
        <f>IF(ISERROR(FIND($A$2,Lines!AB29))=TRUE,"",Lines!AB29)</f>
        <v/>
      </c>
      <c r="AC29" s="41" t="str">
        <f>IF(ISERROR(FIND($A$2,Lines!AC29))=TRUE,"",Lines!AC29)</f>
        <v/>
      </c>
      <c r="AD29" s="46" t="str">
        <f>IF(ISERROR(FIND($A$2,Lines!AD29))=TRUE,"",Lines!AD29)</f>
        <v/>
      </c>
      <c r="AE29" s="30" t="str">
        <f>IF(ISERROR(FIND($A$2,Lines!AE29))=TRUE,"",Lines!AE29)</f>
        <v/>
      </c>
      <c r="AF29" s="30" t="str">
        <f>IF(ISERROR(FIND($A$2,Lines!AF29))=TRUE,"",Lines!AF29)</f>
        <v/>
      </c>
      <c r="AG29" s="30" t="str">
        <f>IF(ISERROR(FIND($A$2,Lines!AG29))=TRUE,"",Lines!AG29)</f>
        <v/>
      </c>
      <c r="AH29" s="30" t="str">
        <f>IF(ISERROR(FIND($A$2,Lines!AH29))=TRUE,"",Lines!AH29)</f>
        <v/>
      </c>
      <c r="AI29" s="30" t="str">
        <f>IF(ISERROR(FIND($A$2,Lines!AI29))=TRUE,"",Lines!AI29)</f>
        <v/>
      </c>
      <c r="AJ29" s="30" t="str">
        <f>IF(ISERROR(FIND($A$2,Lines!AJ29))=TRUE,"",Lines!AJ29)</f>
        <v/>
      </c>
      <c r="AK29" s="30" t="str">
        <f>IF(ISERROR(FIND($A$2,Lines!AK29))=TRUE,"",Lines!AK29)</f>
        <v/>
      </c>
      <c r="AL29" s="30" t="str">
        <f>IF(ISERROR(FIND($A$2,Lines!AL29))=TRUE,"",Lines!AL29)</f>
        <v/>
      </c>
      <c r="AM29" s="30" t="str">
        <f>IF(ISERROR(FIND($A$2,Lines!AM29))=TRUE,"",Lines!AM29)</f>
        <v/>
      </c>
      <c r="AN29" s="30" t="str">
        <f>IF(ISERROR(FIND($A$2,Lines!AN29))=TRUE,"",Lines!AN29)</f>
        <v/>
      </c>
      <c r="AO29" s="30" t="str">
        <f>IF(ISERROR(FIND($A$2,Lines!AO29))=TRUE,"",Lines!AO29)</f>
        <v/>
      </c>
      <c r="AP29" s="30" t="str">
        <f>IF(ISERROR(FIND($A$2,Lines!AP29))=TRUE,"",Lines!AP29)</f>
        <v/>
      </c>
      <c r="AQ29" s="30" t="str">
        <f>IF(ISERROR(FIND($A$2,Lines!AQ29))=TRUE,"",Lines!AQ29)</f>
        <v/>
      </c>
      <c r="AR29" s="30" t="str">
        <f>IF(ISERROR(FIND($A$2,Lines!AR29))=TRUE,"",Lines!AR29)</f>
        <v/>
      </c>
      <c r="AS29" s="30" t="str">
        <f>IF(ISERROR(FIND($A$2,Lines!AS29))=TRUE,"",Lines!AS29)</f>
        <v/>
      </c>
      <c r="AT29" s="30" t="str">
        <f>IF(ISERROR(FIND($A$2,Lines!AT29))=TRUE,"",Lines!AT29)</f>
        <v/>
      </c>
    </row>
    <row r="30" spans="1:46" ht="20.25" customHeight="1">
      <c r="A30" s="2" t="s">
        <v>78</v>
      </c>
      <c r="B30" s="30" t="str">
        <f>IF(ISERROR(FIND($A$2,Lines!B30))=TRUE,"",Lines!B30)</f>
        <v/>
      </c>
      <c r="C30" s="30" t="str">
        <f>IF(ISERROR(FIND($A$2,Lines!C30))=TRUE,"",Lines!C30)</f>
        <v/>
      </c>
      <c r="D30" s="30" t="str">
        <f>IF(ISERROR(FIND($A$2,Lines!D30))=TRUE,"",Lines!D30)</f>
        <v/>
      </c>
      <c r="E30" s="30" t="str">
        <f>IF(ISERROR(FIND($A$2,Lines!E30))=TRUE,"",Lines!E30)</f>
        <v/>
      </c>
      <c r="F30" s="30" t="str">
        <f>IF(ISERROR(FIND($A$2,Lines!F30))=TRUE,"",Lines!F30)</f>
        <v/>
      </c>
      <c r="G30" s="30" t="str">
        <f>IF(ISERROR(FIND($A$2,Lines!G30))=TRUE,"",Lines!G30)</f>
        <v/>
      </c>
      <c r="H30" s="30" t="str">
        <f>IF(ISERROR(FIND($A$2,Lines!H30))=TRUE,"",Lines!H30)</f>
        <v/>
      </c>
      <c r="I30" s="30" t="str">
        <f>IF(ISERROR(FIND($A$2,Lines!I30))=TRUE,"",Lines!I30)</f>
        <v/>
      </c>
      <c r="J30" s="30" t="str">
        <f>IF(ISERROR(FIND($A$2,Lines!J30))=TRUE,"",Lines!J30)</f>
        <v/>
      </c>
      <c r="K30" s="30" t="str">
        <f>IF(ISERROR(FIND($A$2,Lines!K30))=TRUE,"",Lines!K30)</f>
        <v/>
      </c>
      <c r="L30" s="30" t="str">
        <f>IF(ISERROR(FIND($A$2,Lines!L30))=TRUE,"",Lines!L30)</f>
        <v/>
      </c>
      <c r="M30" s="30" t="str">
        <f>IF(ISERROR(FIND($A$2,Lines!M30))=TRUE,"",Lines!M30)</f>
        <v/>
      </c>
      <c r="N30" s="30" t="str">
        <f>IF(ISERROR(FIND($A$2,Lines!N30))=TRUE,"",Lines!N30)</f>
        <v/>
      </c>
      <c r="O30" s="30" t="str">
        <f>IF(ISERROR(FIND($A$2,Lines!O30))=TRUE,"",Lines!O30)</f>
        <v/>
      </c>
      <c r="P30" s="30" t="str">
        <f>IF(ISERROR(FIND($A$2,Lines!P30))=TRUE,"",Lines!P30)</f>
        <v/>
      </c>
      <c r="Q30" s="30" t="str">
        <f>IF(ISERROR(FIND($A$2,Lines!Q30))=TRUE,"",Lines!Q30)</f>
        <v/>
      </c>
      <c r="R30" s="30" t="str">
        <f>IF(ISERROR(FIND($A$2,Lines!R30))=TRUE,"",Lines!R30)</f>
        <v/>
      </c>
      <c r="S30" s="30" t="str">
        <f>IF(ISERROR(FIND($A$2,Lines!S30))=TRUE,"",Lines!S30)</f>
        <v/>
      </c>
      <c r="T30" s="30" t="str">
        <f>IF(ISERROR(FIND($A$2,Lines!T30))=TRUE,"",Lines!T30)</f>
        <v/>
      </c>
      <c r="U30" s="30" t="str">
        <f>IF(ISERROR(FIND($A$2,Lines!U30))=TRUE,"",Lines!U30)</f>
        <v/>
      </c>
      <c r="V30" s="30" t="str">
        <f>IF(ISERROR(FIND($A$2,Lines!V30))=TRUE,"",Lines!V30)</f>
        <v/>
      </c>
      <c r="W30" s="36" t="str">
        <f>IF(ISERROR(FIND($A$2,Lines!W30))=TRUE,"",Lines!W30)</f>
        <v/>
      </c>
      <c r="X30" s="40" t="str">
        <f>IF(ISERROR(FIND($A$2,Lines!X30))=TRUE,"",Lines!X30)</f>
        <v/>
      </c>
      <c r="Y30" s="41" t="str">
        <f>IF(ISERROR(FIND($A$2,Lines!Y30))=TRUE,"",Lines!Y30)</f>
        <v/>
      </c>
      <c r="Z30" s="41" t="str">
        <f>IF(ISERROR(FIND($A$2,Lines!Z30))=TRUE,"",Lines!Z30)</f>
        <v/>
      </c>
      <c r="AA30" s="41" t="str">
        <f>IF(ISERROR(FIND($A$2,Lines!AA30))=TRUE,"",Lines!AA30)</f>
        <v/>
      </c>
      <c r="AB30" s="66" t="str">
        <f>IF(ISERROR(FIND($A$2,Lines!AB30))=TRUE,"",Lines!AB30)</f>
        <v/>
      </c>
      <c r="AC30" s="41" t="str">
        <f>IF(ISERROR(FIND($A$2,Lines!AC30))=TRUE,"",Lines!AC30)</f>
        <v/>
      </c>
      <c r="AD30" s="53" t="str">
        <f>IF(ISERROR(FIND($A$2,Lines!AD30))=TRUE,"",Lines!AD30)</f>
        <v/>
      </c>
      <c r="AE30" s="30" t="str">
        <f>IF(ISERROR(FIND($A$2,Lines!AE30))=TRUE,"",Lines!AE30)</f>
        <v/>
      </c>
      <c r="AF30" s="30" t="str">
        <f>IF(ISERROR(FIND($A$2,Lines!AF30))=TRUE,"",Lines!AF30)</f>
        <v/>
      </c>
      <c r="AG30" s="30" t="str">
        <f>IF(ISERROR(FIND($A$2,Lines!AG30))=TRUE,"",Lines!AG30)</f>
        <v/>
      </c>
      <c r="AH30" s="30" t="str">
        <f>IF(ISERROR(FIND($A$2,Lines!AH30))=TRUE,"",Lines!AH30)</f>
        <v/>
      </c>
      <c r="AI30" s="30" t="str">
        <f>IF(ISERROR(FIND($A$2,Lines!AI30))=TRUE,"",Lines!AI30)</f>
        <v/>
      </c>
      <c r="AJ30" s="30" t="str">
        <f>IF(ISERROR(FIND($A$2,Lines!AJ30))=TRUE,"",Lines!AJ30)</f>
        <v/>
      </c>
      <c r="AK30" s="30" t="str">
        <f>IF(ISERROR(FIND($A$2,Lines!AK30))=TRUE,"",Lines!AK30)</f>
        <v/>
      </c>
      <c r="AL30" s="30" t="str">
        <f>IF(ISERROR(FIND($A$2,Lines!AL30))=TRUE,"",Lines!AL30)</f>
        <v/>
      </c>
      <c r="AM30" s="30" t="str">
        <f>IF(ISERROR(FIND($A$2,Lines!AM30))=TRUE,"",Lines!AM30)</f>
        <v/>
      </c>
      <c r="AN30" s="30" t="str">
        <f>IF(ISERROR(FIND($A$2,Lines!AN30))=TRUE,"",Lines!AN30)</f>
        <v/>
      </c>
      <c r="AO30" s="30" t="str">
        <f>IF(ISERROR(FIND($A$2,Lines!AO30))=TRUE,"",Lines!AO30)</f>
        <v/>
      </c>
      <c r="AP30" s="30" t="str">
        <f>IF(ISERROR(FIND($A$2,Lines!AP30))=TRUE,"",Lines!AP30)</f>
        <v/>
      </c>
      <c r="AQ30" s="30" t="str">
        <f>IF(ISERROR(FIND($A$2,Lines!AQ30))=TRUE,"",Lines!AQ30)</f>
        <v>500AC*4, ±800（山西晋北-南京8000MW）</v>
      </c>
      <c r="AR30" s="30" t="str">
        <f>IF(ISERROR(FIND($A$2,Lines!AR30))=TRUE,"",Lines!AR30)</f>
        <v/>
      </c>
      <c r="AS30" s="30" t="str">
        <f>IF(ISERROR(FIND($A$2,Lines!AS30))=TRUE,"",Lines!AS30)</f>
        <v/>
      </c>
      <c r="AT30" s="30" t="str">
        <f>IF(ISERROR(FIND($A$2,Lines!AT30))=TRUE,"",Lines!AT30)</f>
        <v/>
      </c>
    </row>
    <row r="31" spans="1:46" ht="20.25" customHeight="1">
      <c r="A31" s="2" t="s">
        <v>79</v>
      </c>
      <c r="B31" s="30" t="str">
        <f>IF(ISERROR(FIND($A$2,Lines!B31))=TRUE,"",Lines!B31)</f>
        <v/>
      </c>
      <c r="C31" s="30" t="str">
        <f>IF(ISERROR(FIND($A$2,Lines!C31))=TRUE,"",Lines!C31)</f>
        <v/>
      </c>
      <c r="D31" s="30" t="str">
        <f>IF(ISERROR(FIND($A$2,Lines!D31))=TRUE,"",Lines!D31)</f>
        <v/>
      </c>
      <c r="E31" s="30" t="str">
        <f>IF(ISERROR(FIND($A$2,Lines!E31))=TRUE,"",Lines!E31)</f>
        <v/>
      </c>
      <c r="F31" s="30" t="str">
        <f>IF(ISERROR(FIND($A$2,Lines!F31))=TRUE,"",Lines!F31)</f>
        <v/>
      </c>
      <c r="G31" s="30" t="str">
        <f>IF(ISERROR(FIND($A$2,Lines!G31))=TRUE,"",Lines!G31)</f>
        <v/>
      </c>
      <c r="H31" s="30" t="str">
        <f>IF(ISERROR(FIND($A$2,Lines!H31))=TRUE,"",Lines!H31)</f>
        <v/>
      </c>
      <c r="I31" s="30" t="str">
        <f>IF(ISERROR(FIND($A$2,Lines!I31))=TRUE,"",Lines!I31)</f>
        <v/>
      </c>
      <c r="J31" s="30" t="str">
        <f>IF(ISERROR(FIND($A$2,Lines!J31))=TRUE,"",Lines!J31)</f>
        <v/>
      </c>
      <c r="K31" s="30" t="str">
        <f>IF(ISERROR(FIND($A$2,Lines!K31))=TRUE,"",Lines!K31)</f>
        <v/>
      </c>
      <c r="L31" s="30" t="str">
        <f>IF(ISERROR(FIND($A$2,Lines!L31))=TRUE,"",Lines!L31)</f>
        <v/>
      </c>
      <c r="M31" s="30" t="str">
        <f>IF(ISERROR(FIND($A$2,Lines!M31))=TRUE,"",Lines!M31)</f>
        <v>±800扎鲁特-山东（10000MW）+2*1000锡盟-山东（4000MW+5000MW）</v>
      </c>
      <c r="N31" s="30" t="str">
        <f>IF(ISERROR(FIND($A$2,Lines!N31))=TRUE,"",Lines!N31)</f>
        <v/>
      </c>
      <c r="O31" s="30" t="str">
        <f>IF(ISERROR(FIND($A$2,Lines!O31))=TRUE,"",Lines!O31)</f>
        <v/>
      </c>
      <c r="P31" s="30" t="str">
        <f>IF(ISERROR(FIND($A$2,Lines!P31))=TRUE,"",Lines!P31)</f>
        <v/>
      </c>
      <c r="Q31" s="30" t="str">
        <f>IF(ISERROR(FIND($A$2,Lines!Q31))=TRUE,"",Lines!Q31)</f>
        <v/>
      </c>
      <c r="R31" s="30" t="str">
        <f>IF(ISERROR(FIND($A$2,Lines!R31))=TRUE,"",Lines!R31)</f>
        <v/>
      </c>
      <c r="S31" s="30" t="str">
        <f>IF(ISERROR(FIND($A$2,Lines!S31))=TRUE,"",Lines!S31)</f>
        <v/>
      </c>
      <c r="T31" s="30" t="str">
        <f>IF(ISERROR(FIND($A$2,Lines!T31))=TRUE,"",Lines!T31)</f>
        <v/>
      </c>
      <c r="U31" s="30" t="str">
        <f>IF(ISERROR(FIND($A$2,Lines!U31))=TRUE,"",Lines!U31)</f>
        <v/>
      </c>
      <c r="V31" s="30" t="str">
        <f>IF(ISERROR(FIND($A$2,Lines!V31))=TRUE,"",Lines!V31)</f>
        <v/>
      </c>
      <c r="W31" s="36" t="str">
        <f>IF(ISERROR(FIND($A$2,Lines!W31))=TRUE,"",Lines!W31)</f>
        <v/>
      </c>
      <c r="X31" s="39" t="str">
        <f>IF(ISERROR(FIND($A$2,Lines!X31))=TRUE,"",Lines!X31)</f>
        <v/>
      </c>
      <c r="Y31" s="41" t="str">
        <f>IF(ISERROR(FIND($A$2,Lines!Y31))=TRUE,"",Lines!Y31)</f>
        <v/>
      </c>
      <c r="Z31" s="41" t="str">
        <f>IF(ISERROR(FIND($A$2,Lines!Z31))=TRUE,"",Lines!Z31)</f>
        <v/>
      </c>
      <c r="AA31" s="41" t="str">
        <f>IF(ISERROR(FIND($A$2,Lines!AA31))=TRUE,"",Lines!AA31)</f>
        <v/>
      </c>
      <c r="AB31" s="41" t="str">
        <f>IF(ISERROR(FIND($A$2,Lines!AB31))=TRUE,"",Lines!AB31)</f>
        <v/>
      </c>
      <c r="AC31" s="66" t="str">
        <f>IF(ISERROR(FIND($A$2,Lines!AC31))=TRUE,"",Lines!AC31)</f>
        <v/>
      </c>
      <c r="AD31" s="46" t="str">
        <f>IF(ISERROR(FIND($A$2,Lines!AD31))=TRUE,"",Lines!AD31)</f>
        <v>±800上海庙-山东（10000MW）</v>
      </c>
      <c r="AE31" s="30" t="str">
        <f>IF(ISERROR(FIND($A$2,Lines!AE31))=TRUE,"",Lines!AE31)</f>
        <v/>
      </c>
      <c r="AF31" s="30" t="str">
        <f>IF(ISERROR(FIND($A$2,Lines!AF31))=TRUE,"",Lines!AF31)</f>
        <v/>
      </c>
      <c r="AG31" s="30" t="str">
        <f>IF(ISERROR(FIND($A$2,Lines!AG31))=TRUE,"",Lines!AG31)</f>
        <v/>
      </c>
      <c r="AH31" s="30" t="str">
        <f>IF(ISERROR(FIND($A$2,Lines!AH31))=TRUE,"",Lines!AH31)</f>
        <v/>
      </c>
      <c r="AI31" s="30" t="str">
        <f>IF(ISERROR(FIND($A$2,Lines!AI31))=TRUE,"",Lines!AI31)</f>
        <v/>
      </c>
      <c r="AJ31" s="30" t="str">
        <f>IF(ISERROR(FIND($A$2,Lines!AJ31))=TRUE,"",Lines!AJ31)</f>
        <v/>
      </c>
      <c r="AK31" s="30" t="str">
        <f>IF(ISERROR(FIND($A$2,Lines!AK31))=TRUE,"",Lines!AK31)</f>
        <v/>
      </c>
      <c r="AL31" s="30" t="str">
        <f>IF(ISERROR(FIND($A$2,Lines!AL31))=TRUE,"",Lines!AL31)</f>
        <v/>
      </c>
      <c r="AM31" s="30" t="str">
        <f>IF(ISERROR(FIND($A$2,Lines!AM31))=TRUE,"",Lines!AM31)</f>
        <v/>
      </c>
      <c r="AN31" s="30" t="str">
        <f>IF(ISERROR(FIND($A$2,Lines!AN31))=TRUE,"",Lines!AN31)</f>
        <v/>
      </c>
      <c r="AO31" s="30" t="str">
        <f>IF(ISERROR(FIND($A$2,Lines!AO31))=TRUE,"",Lines!AO31)</f>
        <v/>
      </c>
      <c r="AP31" s="30" t="str">
        <f>IF(ISERROR(FIND($A$2,Lines!AP31))=TRUE,"",Lines!AP31)</f>
        <v/>
      </c>
      <c r="AQ31" s="30" t="str">
        <f>IF(ISERROR(FIND($A$2,Lines!AQ31))=TRUE,"",Lines!AQ31)</f>
        <v/>
      </c>
      <c r="AR31" s="30" t="str">
        <f>IF(ISERROR(FIND($A$2,Lines!AR31))=TRUE,"",Lines!AR31)</f>
        <v/>
      </c>
      <c r="AS31" s="30" t="str">
        <f>IF(ISERROR(FIND($A$2,Lines!AS31))=TRUE,"",Lines!AS31)</f>
        <v/>
      </c>
      <c r="AT31" s="30" t="str">
        <f>IF(ISERROR(FIND($A$2,Lines!AT31))=TRUE,"",Lines!AT31)</f>
        <v/>
      </c>
    </row>
    <row r="32" spans="1:46" ht="20.25" customHeight="1">
      <c r="A32" s="2" t="s">
        <v>80</v>
      </c>
      <c r="B32" s="30" t="str">
        <f>IF(ISERROR(FIND($A$2,Lines!B32))=TRUE,"",Lines!B32)</f>
        <v/>
      </c>
      <c r="C32" s="30" t="str">
        <f>IF(ISERROR(FIND($A$2,Lines!C32))=TRUE,"",Lines!C32)</f>
        <v/>
      </c>
      <c r="D32" s="30" t="str">
        <f>IF(ISERROR(FIND($A$2,Lines!D32))=TRUE,"",Lines!D32)</f>
        <v/>
      </c>
      <c r="E32" s="30" t="str">
        <f>IF(ISERROR(FIND($A$2,Lines!E32))=TRUE,"",Lines!E32)</f>
        <v/>
      </c>
      <c r="F32" s="30" t="str">
        <f>IF(ISERROR(FIND($A$2,Lines!F32))=TRUE,"",Lines!F32)</f>
        <v/>
      </c>
      <c r="G32" s="30" t="str">
        <f>IF(ISERROR(FIND($A$2,Lines!G32))=TRUE,"",Lines!G32)</f>
        <v/>
      </c>
      <c r="H32" s="30" t="str">
        <f>IF(ISERROR(FIND($A$2,Lines!H32))=TRUE,"",Lines!H32)</f>
        <v/>
      </c>
      <c r="I32" s="30" t="str">
        <f>IF(ISERROR(FIND($A$2,Lines!I32))=TRUE,"",Lines!I32)</f>
        <v/>
      </c>
      <c r="J32" s="30" t="str">
        <f>IF(ISERROR(FIND($A$2,Lines!J32))=TRUE,"",Lines!J32)</f>
        <v/>
      </c>
      <c r="K32" s="30" t="str">
        <f>IF(ISERROR(FIND($A$2,Lines!K32))=TRUE,"",Lines!K32)</f>
        <v/>
      </c>
      <c r="L32" s="30" t="str">
        <f>IF(ISERROR(FIND($A$2,Lines!L32))=TRUE,"",Lines!L32)</f>
        <v/>
      </c>
      <c r="M32" s="30" t="str">
        <f>IF(ISERROR(FIND($A$2,Lines!M32))=TRUE,"",Lines!M32)</f>
        <v/>
      </c>
      <c r="N32" s="30" t="str">
        <f>IF(ISERROR(FIND($A$2,Lines!N32))=TRUE,"",Lines!N32)</f>
        <v/>
      </c>
      <c r="O32" s="30" t="str">
        <f>IF(ISERROR(FIND($A$2,Lines!O32))=TRUE,"",Lines!O32)</f>
        <v/>
      </c>
      <c r="P32" s="30" t="str">
        <f>IF(ISERROR(FIND($A$2,Lines!P32))=TRUE,"",Lines!P32)</f>
        <v/>
      </c>
      <c r="Q32" s="30" t="str">
        <f>IF(ISERROR(FIND($A$2,Lines!Q32))=TRUE,"",Lines!Q32)</f>
        <v/>
      </c>
      <c r="R32" s="30" t="str">
        <f>IF(ISERROR(FIND($A$2,Lines!R32))=TRUE,"",Lines!R32)</f>
        <v/>
      </c>
      <c r="S32" s="30" t="str">
        <f>IF(ISERROR(FIND($A$2,Lines!S32))=TRUE,"",Lines!S32)</f>
        <v/>
      </c>
      <c r="T32" s="30" t="str">
        <f>IF(ISERROR(FIND($A$2,Lines!T32))=TRUE,"",Lines!T32)</f>
        <v/>
      </c>
      <c r="U32" s="30" t="str">
        <f>IF(ISERROR(FIND($A$2,Lines!U32))=TRUE,"",Lines!U32)</f>
        <v/>
      </c>
      <c r="V32" s="30" t="str">
        <f>IF(ISERROR(FIND($A$2,Lines!V32))=TRUE,"",Lines!V32)</f>
        <v/>
      </c>
      <c r="W32" s="36" t="str">
        <f>IF(ISERROR(FIND($A$2,Lines!W32))=TRUE,"",Lines!W32)</f>
        <v/>
      </c>
      <c r="X32" s="52" t="str">
        <f>IF(ISERROR(FIND($A$2,Lines!X32))=TRUE,"",Lines!X32)</f>
        <v/>
      </c>
      <c r="Y32" s="53" t="str">
        <f>IF(ISERROR(FIND($A$2,Lines!Y32))=TRUE,"",Lines!Y32)</f>
        <v/>
      </c>
      <c r="Z32" s="53" t="str">
        <f>IF(ISERROR(FIND($A$2,Lines!Z32))=TRUE,"",Lines!Z32)</f>
        <v/>
      </c>
      <c r="AA32" s="53" t="str">
        <f>IF(ISERROR(FIND($A$2,Lines!AA32))=TRUE,"",Lines!AA32)</f>
        <v/>
      </c>
      <c r="AB32" s="53" t="str">
        <f>IF(ISERROR(FIND($A$2,Lines!AB32))=TRUE,"",Lines!AB32)</f>
        <v/>
      </c>
      <c r="AC32" s="53" t="str">
        <f>IF(ISERROR(FIND($A$2,Lines!AC32))=TRUE,"",Lines!AC32)</f>
        <v>±800上海庙-山东（10000MW）</v>
      </c>
      <c r="AD32" s="67" t="str">
        <f>IF(ISERROR(FIND($A$2,Lines!AD32))=TRUE,"",Lines!AD32)</f>
        <v/>
      </c>
      <c r="AE32" s="30" t="str">
        <f>IF(ISERROR(FIND($A$2,Lines!AE32))=TRUE,"",Lines!AE32)</f>
        <v/>
      </c>
      <c r="AF32" s="30" t="str">
        <f>IF(ISERROR(FIND($A$2,Lines!AF32))=TRUE,"",Lines!AF32)</f>
        <v/>
      </c>
      <c r="AG32" s="30" t="str">
        <f>IF(ISERROR(FIND($A$2,Lines!AG32))=TRUE,"",Lines!AG32)</f>
        <v/>
      </c>
      <c r="AH32" s="30" t="str">
        <f>IF(ISERROR(FIND($A$2,Lines!AH32))=TRUE,"",Lines!AH32)</f>
        <v/>
      </c>
      <c r="AI32" s="30" t="str">
        <f>IF(ISERROR(FIND($A$2,Lines!AI32))=TRUE,"",Lines!AI32)</f>
        <v/>
      </c>
      <c r="AJ32" s="30" t="str">
        <f>IF(ISERROR(FIND($A$2,Lines!AJ32))=TRUE,"",Lines!AJ32)</f>
        <v/>
      </c>
      <c r="AK32" s="30" t="str">
        <f>IF(ISERROR(FIND($A$2,Lines!AK32))=TRUE,"",Lines!AK32)</f>
        <v/>
      </c>
      <c r="AL32" s="30" t="str">
        <f>IF(ISERROR(FIND($A$2,Lines!AL32))=TRUE,"",Lines!AL32)</f>
        <v/>
      </c>
      <c r="AM32" s="30" t="str">
        <f>IF(ISERROR(FIND($A$2,Lines!AM32))=TRUE,"",Lines!AM32)</f>
        <v/>
      </c>
      <c r="AN32" s="30" t="str">
        <f>IF(ISERROR(FIND($A$2,Lines!AN32))=TRUE,"",Lines!AN32)</f>
        <v/>
      </c>
      <c r="AO32" s="30" t="str">
        <f>IF(ISERROR(FIND($A$2,Lines!AO32))=TRUE,"",Lines!AO32)</f>
        <v/>
      </c>
      <c r="AP32" s="30" t="str">
        <f>IF(ISERROR(FIND($A$2,Lines!AP32))=TRUE,"",Lines!AP32)</f>
        <v/>
      </c>
      <c r="AQ32" s="30" t="str">
        <f>IF(ISERROR(FIND($A$2,Lines!AQ32))=TRUE,"",Lines!AQ32)</f>
        <v/>
      </c>
      <c r="AR32" s="30" t="str">
        <f>IF(ISERROR(FIND($A$2,Lines!AR32))=TRUE,"",Lines!AR32)</f>
        <v/>
      </c>
      <c r="AS32" s="30" t="str">
        <f>IF(ISERROR(FIND($A$2,Lines!AS32))=TRUE,"",Lines!AS32)</f>
        <v/>
      </c>
      <c r="AT32" s="30" t="str">
        <f>IF(ISERROR(FIND($A$2,Lines!AT32))=TRUE,"",Lines!AT32)</f>
        <v/>
      </c>
    </row>
    <row r="33" spans="1:46" ht="20.25" customHeight="1">
      <c r="A33" s="2" t="s">
        <v>81</v>
      </c>
      <c r="B33" s="30" t="str">
        <f>IF(ISERROR(FIND($A$2,Lines!B33))=TRUE,"",Lines!B33)</f>
        <v/>
      </c>
      <c r="C33" s="30" t="str">
        <f>IF(ISERROR(FIND($A$2,Lines!C33))=TRUE,"",Lines!C33)</f>
        <v/>
      </c>
      <c r="D33" s="30" t="str">
        <f>IF(ISERROR(FIND($A$2,Lines!D33))=TRUE,"",Lines!D33)</f>
        <v/>
      </c>
      <c r="E33" s="30" t="str">
        <f>IF(ISERROR(FIND($A$2,Lines!E33))=TRUE,"",Lines!E33)</f>
        <v/>
      </c>
      <c r="F33" s="30" t="str">
        <f>IF(ISERROR(FIND($A$2,Lines!F33))=TRUE,"",Lines!F33)</f>
        <v/>
      </c>
      <c r="G33" s="30" t="str">
        <f>IF(ISERROR(FIND($A$2,Lines!G33))=TRUE,"",Lines!G33)</f>
        <v/>
      </c>
      <c r="H33" s="30" t="str">
        <f>IF(ISERROR(FIND($A$2,Lines!H33))=TRUE,"",Lines!H33)</f>
        <v/>
      </c>
      <c r="I33" s="30" t="str">
        <f>IF(ISERROR(FIND($A$2,Lines!I33))=TRUE,"",Lines!I33)</f>
        <v/>
      </c>
      <c r="J33" s="30" t="str">
        <f>IF(ISERROR(FIND($A$2,Lines!J33))=TRUE,"",Lines!J33)</f>
        <v/>
      </c>
      <c r="K33" s="30" t="str">
        <f>IF(ISERROR(FIND($A$2,Lines!K33))=TRUE,"",Lines!K33)</f>
        <v/>
      </c>
      <c r="L33" s="30" t="str">
        <f>IF(ISERROR(FIND($A$2,Lines!L33))=TRUE,"",Lines!L33)</f>
        <v/>
      </c>
      <c r="M33" s="30" t="str">
        <f>IF(ISERROR(FIND($A$2,Lines!M33))=TRUE,"",Lines!M33)</f>
        <v/>
      </c>
      <c r="N33" s="30" t="str">
        <f>IF(ISERROR(FIND($A$2,Lines!N33))=TRUE,"",Lines!N33)</f>
        <v>±800陕西-湖北（10000MW）</v>
      </c>
      <c r="O33" s="30" t="str">
        <f>IF(ISERROR(FIND($A$2,Lines!O33))=TRUE,"",Lines!O33)</f>
        <v/>
      </c>
      <c r="P33" s="30" t="str">
        <f>IF(ISERROR(FIND($A$2,Lines!P33))=TRUE,"",Lines!P33)</f>
        <v/>
      </c>
      <c r="Q33" s="30" t="str">
        <f>IF(ISERROR(FIND($A$2,Lines!Q33))=TRUE,"",Lines!Q33)</f>
        <v/>
      </c>
      <c r="R33" s="30" t="str">
        <f>IF(ISERROR(FIND($A$2,Lines!R33))=TRUE,"",Lines!R33)</f>
        <v/>
      </c>
      <c r="S33" s="30" t="str">
        <f>IF(ISERROR(FIND($A$2,Lines!S33))=TRUE,"",Lines!S33)</f>
        <v/>
      </c>
      <c r="T33" s="30" t="str">
        <f>IF(ISERROR(FIND($A$2,Lines!T33))=TRUE,"",Lines!T33)</f>
        <v/>
      </c>
      <c r="U33" s="30" t="str">
        <f>IF(ISERROR(FIND($A$2,Lines!U33))=TRUE,"",Lines!U33)</f>
        <v/>
      </c>
      <c r="V33" s="30" t="str">
        <f>IF(ISERROR(FIND($A$2,Lines!V33))=TRUE,"",Lines!V33)</f>
        <v/>
      </c>
      <c r="W33" s="36" t="str">
        <f>IF(ISERROR(FIND($A$2,Lines!W33))=TRUE,"",Lines!W33)</f>
        <v/>
      </c>
      <c r="X33" s="30" t="str">
        <f>IF(ISERROR(FIND($A$2,Lines!X33))=TRUE,"",Lines!X33)</f>
        <v/>
      </c>
      <c r="Y33" s="30" t="str">
        <f>IF(ISERROR(FIND($A$2,Lines!Y33))=TRUE,"",Lines!Y33)</f>
        <v/>
      </c>
      <c r="Z33" s="30" t="str">
        <f>IF(ISERROR(FIND($A$2,Lines!Z33))=TRUE,"",Lines!Z33)</f>
        <v/>
      </c>
      <c r="AA33" s="30" t="str">
        <f>IF(ISERROR(FIND($A$2,Lines!AA33))=TRUE,"",Lines!AA33)</f>
        <v/>
      </c>
      <c r="AB33" s="30" t="str">
        <f>IF(ISERROR(FIND($A$2,Lines!AB33))=TRUE,"",Lines!AB33)</f>
        <v/>
      </c>
      <c r="AC33" s="30" t="str">
        <f>IF(ISERROR(FIND($A$2,Lines!AC33))=TRUE,"",Lines!AC33)</f>
        <v/>
      </c>
      <c r="AD33" s="30" t="str">
        <f>IF(ISERROR(FIND($A$2,Lines!AD33))=TRUE,"",Lines!AD33)</f>
        <v/>
      </c>
      <c r="AE33" s="65" t="str">
        <f>IF(ISERROR(FIND($A$2,Lines!AE33))=TRUE,"",Lines!AE33)</f>
        <v/>
      </c>
      <c r="AF33" s="47" t="str">
        <f>IF(ISERROR(FIND($A$2,Lines!AF33))=TRUE,"",Lines!AF33)</f>
        <v/>
      </c>
      <c r="AG33" s="47" t="str">
        <f>IF(ISERROR(FIND($A$2,Lines!AG33))=TRUE,"",Lines!AG33)</f>
        <v/>
      </c>
      <c r="AH33" s="47" t="str">
        <f>IF(ISERROR(FIND($A$2,Lines!AH33))=TRUE,"",Lines!AH33)</f>
        <v/>
      </c>
      <c r="AI33" s="47" t="str">
        <f>IF(ISERROR(FIND($A$2,Lines!AI33))=TRUE,"",Lines!AI33)</f>
        <v/>
      </c>
      <c r="AJ33" s="48" t="str">
        <f>IF(ISERROR(FIND($A$2,Lines!AJ33))=TRUE,"",Lines!AJ33)</f>
        <v/>
      </c>
      <c r="AK33" s="30" t="str">
        <f>IF(ISERROR(FIND($A$2,Lines!AK33))=TRUE,"",Lines!AK33)</f>
        <v/>
      </c>
      <c r="AL33" s="30" t="str">
        <f>IF(ISERROR(FIND($A$2,Lines!AL33))=TRUE,"",Lines!AL33)</f>
        <v/>
      </c>
      <c r="AM33" s="30" t="str">
        <f>IF(ISERROR(FIND($A$2,Lines!AM33))=TRUE,"",Lines!AM33)</f>
        <v/>
      </c>
      <c r="AN33" s="30" t="str">
        <f>IF(ISERROR(FIND($A$2,Lines!AN33))=TRUE,"",Lines!AN33)</f>
        <v/>
      </c>
      <c r="AO33" s="30" t="str">
        <f>IF(ISERROR(FIND($A$2,Lines!AO33))=TRUE,"",Lines!AO33)</f>
        <v/>
      </c>
      <c r="AP33" s="30" t="str">
        <f>IF(ISERROR(FIND($A$2,Lines!AP33))=TRUE,"",Lines!AP33)</f>
        <v/>
      </c>
      <c r="AQ33" s="30" t="str">
        <f>IF(ISERROR(FIND($A$2,Lines!AQ33))=TRUE,"",Lines!AQ33)</f>
        <v/>
      </c>
      <c r="AR33" s="30" t="str">
        <f>IF(ISERROR(FIND($A$2,Lines!AR33))=TRUE,"",Lines!AR33)</f>
        <v/>
      </c>
      <c r="AS33" s="30" t="str">
        <f>IF(ISERROR(FIND($A$2,Lines!AS33))=TRUE,"",Lines!AS33)</f>
        <v/>
      </c>
      <c r="AT33" s="30" t="str">
        <f>IF(ISERROR(FIND($A$2,Lines!AT33))=TRUE,"",Lines!AT33)</f>
        <v/>
      </c>
    </row>
    <row r="34" spans="1:46" ht="20.25" customHeight="1">
      <c r="A34" s="2" t="s">
        <v>82</v>
      </c>
      <c r="B34" s="30" t="str">
        <f>IF(ISERROR(FIND($A$2,Lines!B34))=TRUE,"",Lines!B34)</f>
        <v/>
      </c>
      <c r="C34" s="30" t="str">
        <f>IF(ISERROR(FIND($A$2,Lines!C34))=TRUE,"",Lines!C34)</f>
        <v/>
      </c>
      <c r="D34" s="30" t="str">
        <f>IF(ISERROR(FIND($A$2,Lines!D34))=TRUE,"",Lines!D34)</f>
        <v/>
      </c>
      <c r="E34" s="30" t="str">
        <f>IF(ISERROR(FIND($A$2,Lines!E34))=TRUE,"",Lines!E34)</f>
        <v/>
      </c>
      <c r="F34" s="30" t="str">
        <f>IF(ISERROR(FIND($A$2,Lines!F34))=TRUE,"",Lines!F34)</f>
        <v/>
      </c>
      <c r="G34" s="30" t="str">
        <f>IF(ISERROR(FIND($A$2,Lines!G34))=TRUE,"",Lines!G34)</f>
        <v/>
      </c>
      <c r="H34" s="30" t="str">
        <f>IF(ISERROR(FIND($A$2,Lines!H34))=TRUE,"",Lines!H34)</f>
        <v/>
      </c>
      <c r="I34" s="30" t="str">
        <f>IF(ISERROR(FIND($A$2,Lines!I34))=TRUE,"",Lines!I34)</f>
        <v/>
      </c>
      <c r="J34" s="30" t="str">
        <f>IF(ISERROR(FIND($A$2,Lines!J34))=TRUE,"",Lines!J34)</f>
        <v/>
      </c>
      <c r="K34" s="30" t="str">
        <f>IF(ISERROR(FIND($A$2,Lines!K34))=TRUE,"",Lines!K34)</f>
        <v/>
      </c>
      <c r="L34" s="30" t="str">
        <f>IF(ISERROR(FIND($A$2,Lines!L34))=TRUE,"",Lines!L34)</f>
        <v/>
      </c>
      <c r="M34" s="30" t="str">
        <f>IF(ISERROR(FIND($A$2,Lines!M34))=TRUE,"",Lines!M34)</f>
        <v/>
      </c>
      <c r="N34" s="30" t="str">
        <f>IF(ISERROR(FIND($A$2,Lines!N34))=TRUE,"",Lines!N34)</f>
        <v/>
      </c>
      <c r="O34" s="30" t="str">
        <f>IF(ISERROR(FIND($A$2,Lines!O34))=TRUE,"",Lines!O34)</f>
        <v/>
      </c>
      <c r="P34" s="30" t="str">
        <f>IF(ISERROR(FIND($A$2,Lines!P34))=TRUE,"",Lines!P34)</f>
        <v/>
      </c>
      <c r="Q34" s="30" t="str">
        <f>IF(ISERROR(FIND($A$2,Lines!Q34))=TRUE,"",Lines!Q34)</f>
        <v/>
      </c>
      <c r="R34" s="30" t="str">
        <f>IF(ISERROR(FIND($A$2,Lines!R34))=TRUE,"",Lines!R34)</f>
        <v/>
      </c>
      <c r="S34" s="30" t="str">
        <f>IF(ISERROR(FIND($A$2,Lines!S34))=TRUE,"",Lines!S34)</f>
        <v/>
      </c>
      <c r="T34" s="30" t="str">
        <f>IF(ISERROR(FIND($A$2,Lines!T34))=TRUE,"",Lines!T34)</f>
        <v/>
      </c>
      <c r="U34" s="30" t="str">
        <f>IF(ISERROR(FIND($A$2,Lines!U34))=TRUE,"",Lines!U34)</f>
        <v/>
      </c>
      <c r="V34" s="30" t="str">
        <f>IF(ISERROR(FIND($A$2,Lines!V34))=TRUE,"",Lines!V34)</f>
        <v/>
      </c>
      <c r="W34" s="36" t="str">
        <f>IF(ISERROR(FIND($A$2,Lines!W34))=TRUE,"",Lines!W34)</f>
        <v/>
      </c>
      <c r="X34" s="30" t="str">
        <f>IF(ISERROR(FIND($A$2,Lines!X34))=TRUE,"",Lines!X34)</f>
        <v/>
      </c>
      <c r="Y34" s="30" t="str">
        <f>IF(ISERROR(FIND($A$2,Lines!Y34))=TRUE,"",Lines!Y34)</f>
        <v/>
      </c>
      <c r="Z34" s="30" t="str">
        <f>IF(ISERROR(FIND($A$2,Lines!Z34))=TRUE,"",Lines!Z34)</f>
        <v/>
      </c>
      <c r="AA34" s="30" t="str">
        <f>IF(ISERROR(FIND($A$2,Lines!AA34))=TRUE,"",Lines!AA34)</f>
        <v/>
      </c>
      <c r="AB34" s="30" t="str">
        <f>IF(ISERROR(FIND($A$2,Lines!AB34))=TRUE,"",Lines!AB34)</f>
        <v/>
      </c>
      <c r="AC34" s="30" t="str">
        <f>IF(ISERROR(FIND($A$2,Lines!AC34))=TRUE,"",Lines!AC34)</f>
        <v/>
      </c>
      <c r="AD34" s="30" t="str">
        <f>IF(ISERROR(FIND($A$2,Lines!AD34))=TRUE,"",Lines!AD34)</f>
        <v/>
      </c>
      <c r="AE34" s="51" t="str">
        <f>IF(ISERROR(FIND($A$2,Lines!AE34))=TRUE,"",Lines!AE34)</f>
        <v/>
      </c>
      <c r="AF34" s="66" t="str">
        <f>IF(ISERROR(FIND($A$2,Lines!AF34))=TRUE,"",Lines!AF34)</f>
        <v/>
      </c>
      <c r="AG34" s="42" t="str">
        <f>IF(ISERROR(FIND($A$2,Lines!AG34))=TRUE,"",Lines!AG34)</f>
        <v/>
      </c>
      <c r="AH34" s="42" t="str">
        <f>IF(ISERROR(FIND($A$2,Lines!AH34))=TRUE,"",Lines!AH34)</f>
        <v/>
      </c>
      <c r="AI34" s="42" t="str">
        <f>IF(ISERROR(FIND($A$2,Lines!AI34))=TRUE,"",Lines!AI34)</f>
        <v/>
      </c>
      <c r="AJ34" s="49" t="str">
        <f>IF(ISERROR(FIND($A$2,Lines!AJ34))=TRUE,"",Lines!AJ34)</f>
        <v/>
      </c>
      <c r="AK34" s="30" t="str">
        <f>IF(ISERROR(FIND($A$2,Lines!AK34))=TRUE,"",Lines!AK34)</f>
        <v/>
      </c>
      <c r="AL34" s="30" t="str">
        <f>IF(ISERROR(FIND($A$2,Lines!AL34))=TRUE,"",Lines!AL34)</f>
        <v/>
      </c>
      <c r="AM34" s="30" t="str">
        <f>IF(ISERROR(FIND($A$2,Lines!AM34))=TRUE,"",Lines!AM34)</f>
        <v/>
      </c>
      <c r="AN34" s="30" t="str">
        <f>IF(ISERROR(FIND($A$2,Lines!AN34))=TRUE,"",Lines!AN34)</f>
        <v/>
      </c>
      <c r="AO34" s="30" t="str">
        <f>IF(ISERROR(FIND($A$2,Lines!AO34))=TRUE,"",Lines!AO34)</f>
        <v/>
      </c>
      <c r="AP34" s="30" t="str">
        <f>IF(ISERROR(FIND($A$2,Lines!AP34))=TRUE,"",Lines!AP34)</f>
        <v/>
      </c>
      <c r="AQ34" s="30" t="str">
        <f>IF(ISERROR(FIND($A$2,Lines!AQ34))=TRUE,"",Lines!AQ34)</f>
        <v/>
      </c>
      <c r="AR34" s="30" t="str">
        <f>IF(ISERROR(FIND($A$2,Lines!AR34))=TRUE,"",Lines!AR34)</f>
        <v/>
      </c>
      <c r="AS34" s="30" t="str">
        <f>IF(ISERROR(FIND($A$2,Lines!AS34))=TRUE,"",Lines!AS34)</f>
        <v/>
      </c>
      <c r="AT34" s="30" t="str">
        <f>IF(ISERROR(FIND($A$2,Lines!AT34))=TRUE,"",Lines!AT34)</f>
        <v/>
      </c>
    </row>
    <row r="35" spans="1:46" ht="20.25" customHeight="1">
      <c r="A35" s="2" t="s">
        <v>83</v>
      </c>
      <c r="B35" s="30" t="str">
        <f>IF(ISERROR(FIND($A$2,Lines!B35))=TRUE,"",Lines!B35)</f>
        <v/>
      </c>
      <c r="C35" s="30" t="str">
        <f>IF(ISERROR(FIND($A$2,Lines!C35))=TRUE,"",Lines!C35)</f>
        <v/>
      </c>
      <c r="D35" s="30" t="str">
        <f>IF(ISERROR(FIND($A$2,Lines!D35))=TRUE,"",Lines!D35)</f>
        <v/>
      </c>
      <c r="E35" s="30" t="str">
        <f>IF(ISERROR(FIND($A$2,Lines!E35))=TRUE,"",Lines!E35)</f>
        <v/>
      </c>
      <c r="F35" s="30" t="str">
        <f>IF(ISERROR(FIND($A$2,Lines!F35))=TRUE,"",Lines!F35)</f>
        <v/>
      </c>
      <c r="G35" s="30" t="str">
        <f>IF(ISERROR(FIND($A$2,Lines!G35))=TRUE,"",Lines!G35)</f>
        <v/>
      </c>
      <c r="H35" s="30" t="str">
        <f>IF(ISERROR(FIND($A$2,Lines!H35))=TRUE,"",Lines!H35)</f>
        <v/>
      </c>
      <c r="I35" s="30" t="str">
        <f>IF(ISERROR(FIND($A$2,Lines!I35))=TRUE,"",Lines!I35)</f>
        <v/>
      </c>
      <c r="J35" s="30" t="str">
        <f>IF(ISERROR(FIND($A$2,Lines!J35))=TRUE,"",Lines!J35)</f>
        <v/>
      </c>
      <c r="K35" s="30" t="str">
        <f>IF(ISERROR(FIND($A$2,Lines!K35))=TRUE,"",Lines!K35)</f>
        <v/>
      </c>
      <c r="L35" s="30" t="str">
        <f>IF(ISERROR(FIND($A$2,Lines!L35))=TRUE,"",Lines!L35)</f>
        <v/>
      </c>
      <c r="M35" s="30" t="str">
        <f>IF(ISERROR(FIND($A$2,Lines!M35))=TRUE,"",Lines!M35)</f>
        <v/>
      </c>
      <c r="N35" s="30" t="str">
        <f>IF(ISERROR(FIND($A$2,Lines!N35))=TRUE,"",Lines!N35)</f>
        <v>±800陕北-江西（8000MW）</v>
      </c>
      <c r="O35" s="30" t="str">
        <f>IF(ISERROR(FIND($A$2,Lines!O35))=TRUE,"",Lines!O35)</f>
        <v/>
      </c>
      <c r="P35" s="30" t="str">
        <f>IF(ISERROR(FIND($A$2,Lines!P35))=TRUE,"",Lines!P35)</f>
        <v/>
      </c>
      <c r="Q35" s="30" t="str">
        <f>IF(ISERROR(FIND($A$2,Lines!Q35))=TRUE,"",Lines!Q35)</f>
        <v/>
      </c>
      <c r="R35" s="30" t="str">
        <f>IF(ISERROR(FIND($A$2,Lines!R35))=TRUE,"",Lines!R35)</f>
        <v/>
      </c>
      <c r="S35" s="30" t="str">
        <f>IF(ISERROR(FIND($A$2,Lines!S35))=TRUE,"",Lines!S35)</f>
        <v/>
      </c>
      <c r="T35" s="30" t="str">
        <f>IF(ISERROR(FIND($A$2,Lines!T35))=TRUE,"",Lines!T35)</f>
        <v/>
      </c>
      <c r="U35" s="30" t="str">
        <f>IF(ISERROR(FIND($A$2,Lines!U35))=TRUE,"",Lines!U35)</f>
        <v/>
      </c>
      <c r="V35" s="30" t="str">
        <f>IF(ISERROR(FIND($A$2,Lines!V35))=TRUE,"",Lines!V35)</f>
        <v/>
      </c>
      <c r="W35" s="36" t="str">
        <f>IF(ISERROR(FIND($A$2,Lines!W35))=TRUE,"",Lines!W35)</f>
        <v/>
      </c>
      <c r="X35" s="30" t="str">
        <f>IF(ISERROR(FIND($A$2,Lines!X35))=TRUE,"",Lines!X35)</f>
        <v/>
      </c>
      <c r="Y35" s="30" t="str">
        <f>IF(ISERROR(FIND($A$2,Lines!Y35))=TRUE,"",Lines!Y35)</f>
        <v/>
      </c>
      <c r="Z35" s="30" t="str">
        <f>IF(ISERROR(FIND($A$2,Lines!Z35))=TRUE,"",Lines!Z35)</f>
        <v/>
      </c>
      <c r="AA35" s="30" t="str">
        <f>IF(ISERROR(FIND($A$2,Lines!AA35))=TRUE,"",Lines!AA35)</f>
        <v/>
      </c>
      <c r="AB35" s="30" t="str">
        <f>IF(ISERROR(FIND($A$2,Lines!AB35))=TRUE,"",Lines!AB35)</f>
        <v/>
      </c>
      <c r="AC35" s="30" t="str">
        <f>IF(ISERROR(FIND($A$2,Lines!AC35))=TRUE,"",Lines!AC35)</f>
        <v/>
      </c>
      <c r="AD35" s="30" t="str">
        <f>IF(ISERROR(FIND($A$2,Lines!AD35))=TRUE,"",Lines!AD35)</f>
        <v/>
      </c>
      <c r="AE35" s="51" t="str">
        <f>IF(ISERROR(FIND($A$2,Lines!AE35))=TRUE,"",Lines!AE35)</f>
        <v/>
      </c>
      <c r="AF35" s="42" t="str">
        <f>IF(ISERROR(FIND($A$2,Lines!AF35))=TRUE,"",Lines!AF35)</f>
        <v/>
      </c>
      <c r="AG35" s="66" t="str">
        <f>IF(ISERROR(FIND($A$2,Lines!AG35))=TRUE,"",Lines!AG35)</f>
        <v/>
      </c>
      <c r="AH35" s="42" t="str">
        <f>IF(ISERROR(FIND($A$2,Lines!AH35))=TRUE,"",Lines!AH35)</f>
        <v/>
      </c>
      <c r="AI35" s="42" t="str">
        <f>IF(ISERROR(FIND($A$2,Lines!AI35))=TRUE,"",Lines!AI35)</f>
        <v/>
      </c>
      <c r="AJ35" s="49" t="str">
        <f>IF(ISERROR(FIND($A$2,Lines!AJ35))=TRUE,"",Lines!AJ35)</f>
        <v>±800吉安-金上（10000MW）</v>
      </c>
      <c r="AK35" s="30" t="str">
        <f>IF(ISERROR(FIND($A$2,Lines!AK35))=TRUE,"",Lines!AK35)</f>
        <v/>
      </c>
      <c r="AL35" s="30" t="str">
        <f>IF(ISERROR(FIND($A$2,Lines!AL35))=TRUE,"",Lines!AL35)</f>
        <v/>
      </c>
      <c r="AM35" s="30" t="str">
        <f>IF(ISERROR(FIND($A$2,Lines!AM35))=TRUE,"",Lines!AM35)</f>
        <v/>
      </c>
      <c r="AN35" s="30" t="str">
        <f>IF(ISERROR(FIND($A$2,Lines!AN35))=TRUE,"",Lines!AN35)</f>
        <v/>
      </c>
      <c r="AO35" s="30" t="str">
        <f>IF(ISERROR(FIND($A$2,Lines!AO35))=TRUE,"",Lines!AO35)</f>
        <v/>
      </c>
      <c r="AP35" s="30" t="str">
        <f>IF(ISERROR(FIND($A$2,Lines!AP35))=TRUE,"",Lines!AP35)</f>
        <v/>
      </c>
      <c r="AQ35" s="30" t="str">
        <f>IF(ISERROR(FIND($A$2,Lines!AQ35))=TRUE,"",Lines!AQ35)</f>
        <v/>
      </c>
      <c r="AR35" s="30" t="str">
        <f>IF(ISERROR(FIND($A$2,Lines!AR35))=TRUE,"",Lines!AR35)</f>
        <v/>
      </c>
      <c r="AS35" s="30" t="str">
        <f>IF(ISERROR(FIND($A$2,Lines!AS35))=TRUE,"",Lines!AS35)</f>
        <v/>
      </c>
      <c r="AT35" s="30" t="str">
        <f>IF(ISERROR(FIND($A$2,Lines!AT35))=TRUE,"",Lines!AT35)</f>
        <v/>
      </c>
    </row>
    <row r="36" spans="1:46" ht="20.25" customHeight="1">
      <c r="A36" s="2" t="s">
        <v>84</v>
      </c>
      <c r="B36" s="30" t="str">
        <f>IF(ISERROR(FIND($A$2,Lines!B36))=TRUE,"",Lines!B36)</f>
        <v/>
      </c>
      <c r="C36" s="30" t="str">
        <f>IF(ISERROR(FIND($A$2,Lines!C36))=TRUE,"",Lines!C36)</f>
        <v/>
      </c>
      <c r="D36" s="30" t="str">
        <f>IF(ISERROR(FIND($A$2,Lines!D36))=TRUE,"",Lines!D36)</f>
        <v/>
      </c>
      <c r="E36" s="30" t="str">
        <f>IF(ISERROR(FIND($A$2,Lines!E36))=TRUE,"",Lines!E36)</f>
        <v/>
      </c>
      <c r="F36" s="30" t="str">
        <f>IF(ISERROR(FIND($A$2,Lines!F36))=TRUE,"",Lines!F36)</f>
        <v/>
      </c>
      <c r="G36" s="30" t="str">
        <f>IF(ISERROR(FIND($A$2,Lines!G36))=TRUE,"",Lines!G36)</f>
        <v/>
      </c>
      <c r="H36" s="30" t="str">
        <f>IF(ISERROR(FIND($A$2,Lines!H36))=TRUE,"",Lines!H36)</f>
        <v/>
      </c>
      <c r="I36" s="30" t="str">
        <f>IF(ISERROR(FIND($A$2,Lines!I36))=TRUE,"",Lines!I36)</f>
        <v/>
      </c>
      <c r="J36" s="30" t="str">
        <f>IF(ISERROR(FIND($A$2,Lines!J36))=TRUE,"",Lines!J36)</f>
        <v/>
      </c>
      <c r="K36" s="30" t="str">
        <f>IF(ISERROR(FIND($A$2,Lines!K36))=TRUE,"",Lines!K36)</f>
        <v/>
      </c>
      <c r="L36" s="30" t="str">
        <f>IF(ISERROR(FIND($A$2,Lines!L36))=TRUE,"",Lines!L36)</f>
        <v/>
      </c>
      <c r="M36" s="30" t="str">
        <f>IF(ISERROR(FIND($A$2,Lines!M36))=TRUE,"",Lines!M36)</f>
        <v/>
      </c>
      <c r="N36" s="30" t="str">
        <f>IF(ISERROR(FIND($A$2,Lines!N36))=TRUE,"",Lines!N36)</f>
        <v/>
      </c>
      <c r="O36" s="30" t="str">
        <f>IF(ISERROR(FIND($A$2,Lines!O36))=TRUE,"",Lines!O36)</f>
        <v/>
      </c>
      <c r="P36" s="30" t="str">
        <f>IF(ISERROR(FIND($A$2,Lines!P36))=TRUE,"",Lines!P36)</f>
        <v/>
      </c>
      <c r="Q36" s="30" t="str">
        <f>IF(ISERROR(FIND($A$2,Lines!Q36))=TRUE,"",Lines!Q36)</f>
        <v/>
      </c>
      <c r="R36" s="30" t="str">
        <f>IF(ISERROR(FIND($A$2,Lines!R36))=TRUE,"",Lines!R36)</f>
        <v/>
      </c>
      <c r="S36" s="30" t="str">
        <f>IF(ISERROR(FIND($A$2,Lines!S36))=TRUE,"",Lines!S36)</f>
        <v>±800青海-河南（8000MW）</v>
      </c>
      <c r="T36" s="30" t="str">
        <f>IF(ISERROR(FIND($A$2,Lines!T36))=TRUE,"",Lines!T36)</f>
        <v/>
      </c>
      <c r="U36" s="30" t="str">
        <f>IF(ISERROR(FIND($A$2,Lines!U36))=TRUE,"",Lines!U36)</f>
        <v>±800哈密南-郑州(8000MW)</v>
      </c>
      <c r="V36" s="30" t="str">
        <f>IF(ISERROR(FIND($A$2,Lines!V36))=TRUE,"",Lines!V36)</f>
        <v/>
      </c>
      <c r="W36" s="36" t="str">
        <f>IF(ISERROR(FIND($A$2,Lines!W36))=TRUE,"",Lines!W36)</f>
        <v/>
      </c>
      <c r="X36" s="30" t="str">
        <f>IF(ISERROR(FIND($A$2,Lines!X36))=TRUE,"",Lines!X36)</f>
        <v/>
      </c>
      <c r="Y36" s="30" t="str">
        <f>IF(ISERROR(FIND($A$2,Lines!Y36))=TRUE,"",Lines!Y36)</f>
        <v/>
      </c>
      <c r="Z36" s="30" t="str">
        <f>IF(ISERROR(FIND($A$2,Lines!Z36))=TRUE,"",Lines!Z36)</f>
        <v/>
      </c>
      <c r="AA36" s="30" t="str">
        <f>IF(ISERROR(FIND($A$2,Lines!AA36))=TRUE,"",Lines!AA36)</f>
        <v/>
      </c>
      <c r="AB36" s="30" t="str">
        <f>IF(ISERROR(FIND($A$2,Lines!AB36))=TRUE,"",Lines!AB36)</f>
        <v/>
      </c>
      <c r="AC36" s="30" t="str">
        <f>IF(ISERROR(FIND($A$2,Lines!AC36))=TRUE,"",Lines!AC36)</f>
        <v/>
      </c>
      <c r="AD36" s="30" t="str">
        <f>IF(ISERROR(FIND($A$2,Lines!AD36))=TRUE,"",Lines!AD36)</f>
        <v/>
      </c>
      <c r="AE36" s="51" t="str">
        <f>IF(ISERROR(FIND($A$2,Lines!AE36))=TRUE,"",Lines!AE36)</f>
        <v/>
      </c>
      <c r="AF36" s="42" t="str">
        <f>IF(ISERROR(FIND($A$2,Lines!AF36))=TRUE,"",Lines!AF36)</f>
        <v/>
      </c>
      <c r="AG36" s="42" t="str">
        <f>IF(ISERROR(FIND($A$2,Lines!AG36))=TRUE,"",Lines!AG36)</f>
        <v/>
      </c>
      <c r="AH36" s="66" t="str">
        <f>IF(ISERROR(FIND($A$2,Lines!AH36))=TRUE,"",Lines!AH36)</f>
        <v/>
      </c>
      <c r="AI36" s="42" t="str">
        <f>IF(ISERROR(FIND($A$2,Lines!AI36))=TRUE,"",Lines!AI36)</f>
        <v/>
      </c>
      <c r="AJ36" s="49" t="str">
        <f>IF(ISERROR(FIND($A$2,Lines!AJ36))=TRUE,"",Lines!AJ36)</f>
        <v/>
      </c>
      <c r="AK36" s="30" t="str">
        <f>IF(ISERROR(FIND($A$2,Lines!AK36))=TRUE,"",Lines!AK36)</f>
        <v/>
      </c>
      <c r="AL36" s="30" t="str">
        <f>IF(ISERROR(FIND($A$2,Lines!AL36))=TRUE,"",Lines!AL36)</f>
        <v/>
      </c>
      <c r="AM36" s="30" t="str">
        <f>IF(ISERROR(FIND($A$2,Lines!AM36))=TRUE,"",Lines!AM36)</f>
        <v/>
      </c>
      <c r="AN36" s="30" t="str">
        <f>IF(ISERROR(FIND($A$2,Lines!AN36))=TRUE,"",Lines!AN36)</f>
        <v/>
      </c>
      <c r="AO36" s="30" t="str">
        <f>IF(ISERROR(FIND($A$2,Lines!AO36))=TRUE,"",Lines!AO36)</f>
        <v/>
      </c>
      <c r="AP36" s="30" t="str">
        <f>IF(ISERROR(FIND($A$2,Lines!AP36))=TRUE,"",Lines!AP36)</f>
        <v/>
      </c>
      <c r="AQ36" s="30" t="str">
        <f>IF(ISERROR(FIND($A$2,Lines!AQ36))=TRUE,"",Lines!AQ36)</f>
        <v/>
      </c>
      <c r="AR36" s="30" t="str">
        <f>IF(ISERROR(FIND($A$2,Lines!AR36))=TRUE,"",Lines!AR36)</f>
        <v/>
      </c>
      <c r="AS36" s="30" t="str">
        <f>IF(ISERROR(FIND($A$2,Lines!AS36))=TRUE,"",Lines!AS36)</f>
        <v/>
      </c>
      <c r="AT36" s="30" t="str">
        <f>IF(ISERROR(FIND($A$2,Lines!AT36))=TRUE,"",Lines!AT36)</f>
        <v/>
      </c>
    </row>
    <row r="37" spans="1:46" ht="20.25" customHeight="1">
      <c r="A37" s="2" t="s">
        <v>85</v>
      </c>
      <c r="B37" s="30" t="str">
        <f>IF(ISERROR(FIND($A$2,Lines!B37))=TRUE,"",Lines!B37)</f>
        <v/>
      </c>
      <c r="C37" s="30" t="str">
        <f>IF(ISERROR(FIND($A$2,Lines!C37))=TRUE,"",Lines!C37)</f>
        <v/>
      </c>
      <c r="D37" s="30" t="str">
        <f>IF(ISERROR(FIND($A$2,Lines!D37))=TRUE,"",Lines!D37)</f>
        <v/>
      </c>
      <c r="E37" s="30" t="str">
        <f>IF(ISERROR(FIND($A$2,Lines!E37))=TRUE,"",Lines!E37)</f>
        <v/>
      </c>
      <c r="F37" s="30" t="str">
        <f>IF(ISERROR(FIND($A$2,Lines!F37))=TRUE,"",Lines!F37)</f>
        <v/>
      </c>
      <c r="G37" s="30" t="str">
        <f>IF(ISERROR(FIND($A$2,Lines!G37))=TRUE,"",Lines!G37)</f>
        <v/>
      </c>
      <c r="H37" s="30" t="str">
        <f>IF(ISERROR(FIND($A$2,Lines!H37))=TRUE,"",Lines!H37)</f>
        <v/>
      </c>
      <c r="I37" s="30" t="str">
        <f>IF(ISERROR(FIND($A$2,Lines!I37))=TRUE,"",Lines!I37)</f>
        <v/>
      </c>
      <c r="J37" s="30" t="str">
        <f>IF(ISERROR(FIND($A$2,Lines!J37))=TRUE,"",Lines!J37)</f>
        <v/>
      </c>
      <c r="K37" s="30" t="str">
        <f>IF(ISERROR(FIND($A$2,Lines!K37))=TRUE,"",Lines!K37)</f>
        <v/>
      </c>
      <c r="L37" s="30" t="str">
        <f>IF(ISERROR(FIND($A$2,Lines!L37))=TRUE,"",Lines!L37)</f>
        <v/>
      </c>
      <c r="M37" s="30" t="str">
        <f>IF(ISERROR(FIND($A$2,Lines!M37))=TRUE,"",Lines!M37)</f>
        <v/>
      </c>
      <c r="N37" s="30" t="str">
        <f>IF(ISERROR(FIND($A$2,Lines!N37))=TRUE,"",Lines!N37)</f>
        <v/>
      </c>
      <c r="O37" s="30" t="str">
        <f>IF(ISERROR(FIND($A$2,Lines!O37))=TRUE,"",Lines!O37)</f>
        <v/>
      </c>
      <c r="P37" s="30" t="str">
        <f>IF(ISERROR(FIND($A$2,Lines!P37))=TRUE,"",Lines!P37)</f>
        <v/>
      </c>
      <c r="Q37" s="30" t="str">
        <f>IF(ISERROR(FIND($A$2,Lines!Q37))=TRUE,"",Lines!Q37)</f>
        <v/>
      </c>
      <c r="R37" s="30" t="str">
        <f>IF(ISERROR(FIND($A$2,Lines!R37))=TRUE,"",Lines!R37)</f>
        <v/>
      </c>
      <c r="S37" s="30" t="str">
        <f>IF(ISERROR(FIND($A$2,Lines!S37))=TRUE,"",Lines!S37)</f>
        <v/>
      </c>
      <c r="T37" s="30" t="str">
        <f>IF(ISERROR(FIND($A$2,Lines!T37))=TRUE,"",Lines!T37)</f>
        <v/>
      </c>
      <c r="U37" s="30" t="str">
        <f>IF(ISERROR(FIND($A$2,Lines!U37))=TRUE,"",Lines!U37)</f>
        <v/>
      </c>
      <c r="V37" s="30" t="str">
        <f>IF(ISERROR(FIND($A$2,Lines!V37))=TRUE,"",Lines!V37)</f>
        <v/>
      </c>
      <c r="W37" s="36" t="str">
        <f>IF(ISERROR(FIND($A$2,Lines!W37))=TRUE,"",Lines!W37)</f>
        <v/>
      </c>
      <c r="X37" s="30" t="str">
        <f>IF(ISERROR(FIND($A$2,Lines!X37))=TRUE,"",Lines!X37)</f>
        <v/>
      </c>
      <c r="Y37" s="30" t="str">
        <f>IF(ISERROR(FIND($A$2,Lines!Y37))=TRUE,"",Lines!Y37)</f>
        <v/>
      </c>
      <c r="Z37" s="30" t="str">
        <f>IF(ISERROR(FIND($A$2,Lines!Z37))=TRUE,"",Lines!Z37)</f>
        <v/>
      </c>
      <c r="AA37" s="30" t="str">
        <f>IF(ISERROR(FIND($A$2,Lines!AA37))=TRUE,"",Lines!AA37)</f>
        <v/>
      </c>
      <c r="AB37" s="30" t="str">
        <f>IF(ISERROR(FIND($A$2,Lines!AB37))=TRUE,"",Lines!AB37)</f>
        <v/>
      </c>
      <c r="AC37" s="30" t="str">
        <f>IF(ISERROR(FIND($A$2,Lines!AC37))=TRUE,"",Lines!AC37)</f>
        <v/>
      </c>
      <c r="AD37" s="30" t="str">
        <f>IF(ISERROR(FIND($A$2,Lines!AD37))=TRUE,"",Lines!AD37)</f>
        <v/>
      </c>
      <c r="AE37" s="51" t="str">
        <f>IF(ISERROR(FIND($A$2,Lines!AE37))=TRUE,"",Lines!AE37)</f>
        <v/>
      </c>
      <c r="AF37" s="42" t="str">
        <f>IF(ISERROR(FIND($A$2,Lines!AF37))=TRUE,"",Lines!AF37)</f>
        <v/>
      </c>
      <c r="AG37" s="42" t="str">
        <f>IF(ISERROR(FIND($A$2,Lines!AG37))=TRUE,"",Lines!AG37)</f>
        <v/>
      </c>
      <c r="AH37" s="42" t="str">
        <f>IF(ISERROR(FIND($A$2,Lines!AH37))=TRUE,"",Lines!AH37)</f>
        <v/>
      </c>
      <c r="AI37" s="66" t="str">
        <f>IF(ISERROR(FIND($A$2,Lines!AI37))=TRUE,"",Lines!AI37)</f>
        <v/>
      </c>
      <c r="AJ37" s="49" t="str">
        <f>IF(ISERROR(FIND($A$2,Lines!AJ37))=TRUE,"",Lines!AJ37)</f>
        <v/>
      </c>
      <c r="AK37" s="30" t="str">
        <f>IF(ISERROR(FIND($A$2,Lines!AK37))=TRUE,"",Lines!AK37)</f>
        <v/>
      </c>
      <c r="AL37" s="30" t="str">
        <f>IF(ISERROR(FIND($A$2,Lines!AL37))=TRUE,"",Lines!AL37)</f>
        <v/>
      </c>
      <c r="AM37" s="30" t="str">
        <f>IF(ISERROR(FIND($A$2,Lines!AM37))=TRUE,"",Lines!AM37)</f>
        <v/>
      </c>
      <c r="AN37" s="30" t="str">
        <f>IF(ISERROR(FIND($A$2,Lines!AN37))=TRUE,"",Lines!AN37)</f>
        <v/>
      </c>
      <c r="AO37" s="30" t="str">
        <f>IF(ISERROR(FIND($A$2,Lines!AO37))=TRUE,"",Lines!AO37)</f>
        <v/>
      </c>
      <c r="AP37" s="30" t="str">
        <f>IF(ISERROR(FIND($A$2,Lines!AP37))=TRUE,"",Lines!AP37)</f>
        <v/>
      </c>
      <c r="AQ37" s="30" t="str">
        <f>IF(ISERROR(FIND($A$2,Lines!AQ37))=TRUE,"",Lines!AQ37)</f>
        <v/>
      </c>
      <c r="AR37" s="30" t="str">
        <f>IF(ISERROR(FIND($A$2,Lines!AR37))=TRUE,"",Lines!AR37)</f>
        <v/>
      </c>
      <c r="AS37" s="30" t="str">
        <f>IF(ISERROR(FIND($A$2,Lines!AS37))=TRUE,"",Lines!AS37)</f>
        <v/>
      </c>
      <c r="AT37" s="30" t="str">
        <f>IF(ISERROR(FIND($A$2,Lines!AT37))=TRUE,"",Lines!AT37)</f>
        <v/>
      </c>
    </row>
    <row r="38" spans="1:46" ht="20.25" customHeight="1">
      <c r="A38" s="2" t="s">
        <v>86</v>
      </c>
      <c r="B38" s="30" t="str">
        <f>IF(ISERROR(FIND($A$2,Lines!B38))=TRUE,"",Lines!B38)</f>
        <v/>
      </c>
      <c r="C38" s="30" t="str">
        <f>IF(ISERROR(FIND($A$2,Lines!C38))=TRUE,"",Lines!C38)</f>
        <v/>
      </c>
      <c r="D38" s="30" t="str">
        <f>IF(ISERROR(FIND($A$2,Lines!D38))=TRUE,"",Lines!D38)</f>
        <v/>
      </c>
      <c r="E38" s="30" t="str">
        <f>IF(ISERROR(FIND($A$2,Lines!E38))=TRUE,"",Lines!E38)</f>
        <v/>
      </c>
      <c r="F38" s="30" t="str">
        <f>IF(ISERROR(FIND($A$2,Lines!F38))=TRUE,"",Lines!F38)</f>
        <v/>
      </c>
      <c r="G38" s="30" t="str">
        <f>IF(ISERROR(FIND($A$2,Lines!G38))=TRUE,"",Lines!G38)</f>
        <v/>
      </c>
      <c r="H38" s="30" t="str">
        <f>IF(ISERROR(FIND($A$2,Lines!H38))=TRUE,"",Lines!H38)</f>
        <v/>
      </c>
      <c r="I38" s="30" t="str">
        <f>IF(ISERROR(FIND($A$2,Lines!I38))=TRUE,"",Lines!I38)</f>
        <v/>
      </c>
      <c r="J38" s="30" t="str">
        <f>IF(ISERROR(FIND($A$2,Lines!J38))=TRUE,"",Lines!J38)</f>
        <v/>
      </c>
      <c r="K38" s="30" t="str">
        <f>IF(ISERROR(FIND($A$2,Lines!K38))=TRUE,"",Lines!K38)</f>
        <v/>
      </c>
      <c r="L38" s="30" t="str">
        <f>IF(ISERROR(FIND($A$2,Lines!L38))=TRUE,"",Lines!L38)</f>
        <v/>
      </c>
      <c r="M38" s="30" t="str">
        <f>IF(ISERROR(FIND($A$2,Lines!M38))=TRUE,"",Lines!M38)</f>
        <v/>
      </c>
      <c r="N38" s="30" t="str">
        <f>IF(ISERROR(FIND($A$2,Lines!N38))=TRUE,"",Lines!N38)</f>
        <v/>
      </c>
      <c r="O38" s="45" t="str">
        <f>IF(ISERROR(FIND($A$2,Lines!O38))=TRUE,"",Lines!O38)</f>
        <v/>
      </c>
      <c r="P38" s="30" t="str">
        <f>IF(ISERROR(FIND($A$2,Lines!P38))=TRUE,"",Lines!P38)</f>
        <v/>
      </c>
      <c r="Q38" s="30" t="str">
        <f>IF(ISERROR(FIND($A$2,Lines!Q38))=TRUE,"",Lines!Q38)</f>
        <v/>
      </c>
      <c r="R38" s="30" t="str">
        <f>IF(ISERROR(FIND($A$2,Lines!R38))=TRUE,"",Lines!R38)</f>
        <v/>
      </c>
      <c r="S38" s="30" t="str">
        <f>IF(ISERROR(FIND($A$2,Lines!S38))=TRUE,"",Lines!S38)</f>
        <v/>
      </c>
      <c r="T38" s="30" t="str">
        <f>IF(ISERROR(FIND($A$2,Lines!T38))=TRUE,"",Lines!T38)</f>
        <v/>
      </c>
      <c r="U38" s="30" t="str">
        <f>IF(ISERROR(FIND($A$2,Lines!U38))=TRUE,"",Lines!U38)</f>
        <v/>
      </c>
      <c r="V38" s="30" t="str">
        <f>IF(ISERROR(FIND($A$2,Lines!V38))=TRUE,"",Lines!V38)</f>
        <v/>
      </c>
      <c r="W38" s="36" t="str">
        <f>IF(ISERROR(FIND($A$2,Lines!W38))=TRUE,"",Lines!W38)</f>
        <v/>
      </c>
      <c r="X38" s="30" t="str">
        <f>IF(ISERROR(FIND($A$2,Lines!X38))=TRUE,"",Lines!X38)</f>
        <v/>
      </c>
      <c r="Y38" s="30" t="str">
        <f>IF(ISERROR(FIND($A$2,Lines!Y38))=TRUE,"",Lines!Y38)</f>
        <v/>
      </c>
      <c r="Z38" s="30" t="str">
        <f>IF(ISERROR(FIND($A$2,Lines!Z38))=TRUE,"",Lines!Z38)</f>
        <v/>
      </c>
      <c r="AA38" s="30" t="str">
        <f>IF(ISERROR(FIND($A$2,Lines!AA38))=TRUE,"",Lines!AA38)</f>
        <v/>
      </c>
      <c r="AB38" s="30" t="str">
        <f>IF(ISERROR(FIND($A$2,Lines!AB38))=TRUE,"",Lines!AB38)</f>
        <v/>
      </c>
      <c r="AC38" s="30" t="str">
        <f>IF(ISERROR(FIND($A$2,Lines!AC38))=TRUE,"",Lines!AC38)</f>
        <v/>
      </c>
      <c r="AD38" s="30" t="str">
        <f>IF(ISERROR(FIND($A$2,Lines!AD38))=TRUE,"",Lines!AD38)</f>
        <v/>
      </c>
      <c r="AE38" s="55" t="str">
        <f>IF(ISERROR(FIND($A$2,Lines!AE38))=TRUE,"",Lines!AE38)</f>
        <v/>
      </c>
      <c r="AF38" s="56" t="str">
        <f>IF(ISERROR(FIND($A$2,Lines!AF38))=TRUE,"",Lines!AF38)</f>
        <v/>
      </c>
      <c r="AG38" s="56" t="str">
        <f>IF(ISERROR(FIND($A$2,Lines!AG38))=TRUE,"",Lines!AG38)</f>
        <v>±800吉安-金上（10000MW）</v>
      </c>
      <c r="AH38" s="56" t="str">
        <f>IF(ISERROR(FIND($A$2,Lines!AH38))=TRUE,"",Lines!AH38)</f>
        <v/>
      </c>
      <c r="AI38" s="56" t="str">
        <f>IF(ISERROR(FIND($A$2,Lines!AI38))=TRUE,"",Lines!AI38)</f>
        <v/>
      </c>
      <c r="AJ38" s="67" t="str">
        <f>IF(ISERROR(FIND($A$2,Lines!AJ38))=TRUE,"",Lines!AJ38)</f>
        <v/>
      </c>
      <c r="AK38" s="30" t="str">
        <f>IF(ISERROR(FIND($A$2,Lines!AK38))=TRUE,"",Lines!AK38)</f>
        <v/>
      </c>
      <c r="AL38" s="30" t="str">
        <f>IF(ISERROR(FIND($A$2,Lines!AL38))=TRUE,"",Lines!AL38)</f>
        <v/>
      </c>
      <c r="AM38" s="30" t="str">
        <f>IF(ISERROR(FIND($A$2,Lines!AM38))=TRUE,"",Lines!AM38)</f>
        <v/>
      </c>
      <c r="AN38" s="30" t="str">
        <f>IF(ISERROR(FIND($A$2,Lines!AN38))=TRUE,"",Lines!AN38)</f>
        <v/>
      </c>
      <c r="AO38" s="30" t="str">
        <f>IF(ISERROR(FIND($A$2,Lines!AO38))=TRUE,"",Lines!AO38)</f>
        <v/>
      </c>
      <c r="AP38" s="30" t="str">
        <f>IF(ISERROR(FIND($A$2,Lines!AP38))=TRUE,"",Lines!AP38)</f>
        <v>±800(复奉线6400MW)</v>
      </c>
      <c r="AQ38" s="30" t="str">
        <f>IF(ISERROR(FIND($A$2,Lines!AQ38))=TRUE,"",Lines!AQ38)</f>
        <v>±800锦屏-苏南（7200MW）</v>
      </c>
      <c r="AR38" s="30" t="str">
        <f>IF(ISERROR(FIND($A$2,Lines!AR38))=TRUE,"",Lines!AR38)</f>
        <v/>
      </c>
      <c r="AS38" s="30" t="str">
        <f>IF(ISERROR(FIND($A$2,Lines!AS38))=TRUE,"",Lines!AS38)</f>
        <v/>
      </c>
      <c r="AT38" s="30" t="str">
        <f>IF(ISERROR(FIND($A$2,Lines!AT38))=TRUE,"",Lines!AT38)</f>
        <v>±800(溪洛渡左岸—浙江金华8000MW)+±500江城直流（3000MW）</v>
      </c>
    </row>
    <row r="39" spans="1:46" ht="20.25" customHeight="1">
      <c r="A39" s="2" t="s">
        <v>87</v>
      </c>
      <c r="B39" s="30" t="str">
        <f>IF(ISERROR(FIND($A$2,Lines!B39))=TRUE,"",Lines!B39)</f>
        <v/>
      </c>
      <c r="C39" s="30" t="str">
        <f>IF(ISERROR(FIND($A$2,Lines!C39))=TRUE,"",Lines!C39)</f>
        <v/>
      </c>
      <c r="D39" s="30" t="str">
        <f>IF(ISERROR(FIND($A$2,Lines!D39))=TRUE,"",Lines!D39)</f>
        <v/>
      </c>
      <c r="E39" s="30" t="str">
        <f>IF(ISERROR(FIND($A$2,Lines!E39))=TRUE,"",Lines!E39)</f>
        <v/>
      </c>
      <c r="F39" s="30" t="str">
        <f>IF(ISERROR(FIND($A$2,Lines!F39))=TRUE,"",Lines!F39)</f>
        <v/>
      </c>
      <c r="G39" s="30" t="str">
        <f>IF(ISERROR(FIND($A$2,Lines!G39))=TRUE,"",Lines!G39)</f>
        <v/>
      </c>
      <c r="H39" s="30" t="str">
        <f>IF(ISERROR(FIND($A$2,Lines!H39))=TRUE,"",Lines!H39)</f>
        <v/>
      </c>
      <c r="I39" s="30" t="str">
        <f>IF(ISERROR(FIND($A$2,Lines!I39))=TRUE,"",Lines!I39)</f>
        <v/>
      </c>
      <c r="J39" s="30" t="str">
        <f>IF(ISERROR(FIND($A$2,Lines!J39))=TRUE,"",Lines!J39)</f>
        <v/>
      </c>
      <c r="K39" s="30" t="str">
        <f>IF(ISERROR(FIND($A$2,Lines!K39))=TRUE,"",Lines!K39)</f>
        <v/>
      </c>
      <c r="L39" s="30" t="str">
        <f>IF(ISERROR(FIND($A$2,Lines!L39))=TRUE,"",Lines!L39)</f>
        <v/>
      </c>
      <c r="M39" s="30" t="str">
        <f>IF(ISERROR(FIND($A$2,Lines!M39))=TRUE,"",Lines!M39)</f>
        <v/>
      </c>
      <c r="N39" s="30" t="str">
        <f>IF(ISERROR(FIND($A$2,Lines!N39))=TRUE,"",Lines!N39)</f>
        <v/>
      </c>
      <c r="O39" s="30" t="str">
        <f>IF(ISERROR(FIND($A$2,Lines!O39))=TRUE,"",Lines!O39)</f>
        <v/>
      </c>
      <c r="P39" s="30" t="str">
        <f>IF(ISERROR(FIND($A$2,Lines!P39))=TRUE,"",Lines!P39)</f>
        <v/>
      </c>
      <c r="Q39" s="30" t="str">
        <f>IF(ISERROR(FIND($A$2,Lines!Q39))=TRUE,"",Lines!Q39)</f>
        <v/>
      </c>
      <c r="R39" s="30" t="str">
        <f>IF(ISERROR(FIND($A$2,Lines!R39))=TRUE,"",Lines!R39)</f>
        <v/>
      </c>
      <c r="S39" s="30" t="str">
        <f>IF(ISERROR(FIND($A$2,Lines!S39))=TRUE,"",Lines!S39)</f>
        <v/>
      </c>
      <c r="T39" s="30" t="str">
        <f>IF(ISERROR(FIND($A$2,Lines!T39))=TRUE,"",Lines!T39)</f>
        <v/>
      </c>
      <c r="U39" s="30" t="str">
        <f>IF(ISERROR(FIND($A$2,Lines!U39))=TRUE,"",Lines!U39)</f>
        <v/>
      </c>
      <c r="V39" s="30" t="str">
        <f>IF(ISERROR(FIND($A$2,Lines!V39))=TRUE,"",Lines!V39)</f>
        <v/>
      </c>
      <c r="W39" s="36" t="str">
        <f>IF(ISERROR(FIND($A$2,Lines!W39))=TRUE,"",Lines!W39)</f>
        <v/>
      </c>
      <c r="X39" s="30" t="str">
        <f>IF(ISERROR(FIND($A$2,Lines!X39))=TRUE,"",Lines!X39)</f>
        <v/>
      </c>
      <c r="Y39" s="30" t="str">
        <f>IF(ISERROR(FIND($A$2,Lines!Y39))=TRUE,"",Lines!Y39)</f>
        <v/>
      </c>
      <c r="Z39" s="30" t="str">
        <f>IF(ISERROR(FIND($A$2,Lines!Z39))=TRUE,"",Lines!Z39)</f>
        <v/>
      </c>
      <c r="AA39" s="30" t="str">
        <f>IF(ISERROR(FIND($A$2,Lines!AA39))=TRUE,"",Lines!AA39)</f>
        <v/>
      </c>
      <c r="AB39" s="30" t="str">
        <f>IF(ISERROR(FIND($A$2,Lines!AB39))=TRUE,"",Lines!AB39)</f>
        <v/>
      </c>
      <c r="AC39" s="30" t="str">
        <f>IF(ISERROR(FIND($A$2,Lines!AC39))=TRUE,"",Lines!AC39)</f>
        <v/>
      </c>
      <c r="AD39" s="30" t="str">
        <f>IF(ISERROR(FIND($A$2,Lines!AD39))=TRUE,"",Lines!AD39)</f>
        <v/>
      </c>
      <c r="AE39" s="30" t="str">
        <f>IF(ISERROR(FIND($A$2,Lines!AE39))=TRUE,"",Lines!AE39)</f>
        <v/>
      </c>
      <c r="AF39" s="30" t="str">
        <f>IF(ISERROR(FIND($A$2,Lines!AF39))=TRUE,"",Lines!AF39)</f>
        <v/>
      </c>
      <c r="AG39" s="30" t="str">
        <f>IF(ISERROR(FIND($A$2,Lines!AG39))=TRUE,"",Lines!AG39)</f>
        <v/>
      </c>
      <c r="AH39" s="30" t="str">
        <f>IF(ISERROR(FIND($A$2,Lines!AH39))=TRUE,"",Lines!AH39)</f>
        <v/>
      </c>
      <c r="AI39" s="30" t="str">
        <f>IF(ISERROR(FIND($A$2,Lines!AI39))=TRUE,"",Lines!AI39)</f>
        <v/>
      </c>
      <c r="AJ39" s="30" t="str">
        <f>IF(ISERROR(FIND($A$2,Lines!AJ39))=TRUE,"",Lines!AJ39)</f>
        <v/>
      </c>
      <c r="AK39" s="65" t="str">
        <f>IF(ISERROR(FIND($A$2,Lines!AK39))=TRUE,"",Lines!AK39)</f>
        <v/>
      </c>
      <c r="AL39" s="50" t="str">
        <f>IF(ISERROR(FIND($A$2,Lines!AL39))=TRUE,"",Lines!AL39)</f>
        <v/>
      </c>
      <c r="AM39" s="50" t="str">
        <f>IF(ISERROR(FIND($A$2,Lines!AM39))=TRUE,"",Lines!AM39)</f>
        <v/>
      </c>
      <c r="AN39" s="50" t="str">
        <f>IF(ISERROR(FIND($A$2,Lines!AN39))=TRUE,"",Lines!AN39)</f>
        <v/>
      </c>
      <c r="AO39" s="60" t="str">
        <f>IF(ISERROR(FIND($A$2,Lines!AO39))=TRUE,"",Lines!AO39)</f>
        <v>500AC*4, ±500(2*溪洛渡右岸6400MW)+ ±800(楚穗线5000MW,糯扎渡5000MW)+ ±800（滇西北-广东5000MW）</v>
      </c>
      <c r="AP39" s="30" t="str">
        <f>IF(ISERROR(FIND($A$2,Lines!AP39))=TRUE,"",Lines!AP39)</f>
        <v/>
      </c>
      <c r="AQ39" s="30" t="str">
        <f>IF(ISERROR(FIND($A$2,Lines!AQ39))=TRUE,"",Lines!AQ39)</f>
        <v/>
      </c>
      <c r="AR39" s="30" t="str">
        <f>IF(ISERROR(FIND($A$2,Lines!AR39))=TRUE,"",Lines!AR39)</f>
        <v/>
      </c>
      <c r="AS39" s="30" t="str">
        <f>IF(ISERROR(FIND($A$2,Lines!AS39))=TRUE,"",Lines!AS39)</f>
        <v/>
      </c>
      <c r="AT39" s="30" t="str">
        <f>IF(ISERROR(FIND($A$2,Lines!AT39))=TRUE,"",Lines!AT39)</f>
        <v/>
      </c>
    </row>
    <row r="40" spans="1:46" ht="20.25" customHeight="1">
      <c r="A40" s="2" t="s">
        <v>88</v>
      </c>
      <c r="B40" s="30" t="str">
        <f>IF(ISERROR(FIND($A$2,Lines!B40))=TRUE,"",Lines!B40)</f>
        <v/>
      </c>
      <c r="C40" s="30" t="str">
        <f>IF(ISERROR(FIND($A$2,Lines!C40))=TRUE,"",Lines!C40)</f>
        <v/>
      </c>
      <c r="D40" s="30" t="str">
        <f>IF(ISERROR(FIND($A$2,Lines!D40))=TRUE,"",Lines!D40)</f>
        <v/>
      </c>
      <c r="E40" s="30" t="str">
        <f>IF(ISERROR(FIND($A$2,Lines!E40))=TRUE,"",Lines!E40)</f>
        <v/>
      </c>
      <c r="F40" s="30" t="str">
        <f>IF(ISERROR(FIND($A$2,Lines!F40))=TRUE,"",Lines!F40)</f>
        <v/>
      </c>
      <c r="G40" s="30" t="str">
        <f>IF(ISERROR(FIND($A$2,Lines!G40))=TRUE,"",Lines!G40)</f>
        <v/>
      </c>
      <c r="H40" s="30" t="str">
        <f>IF(ISERROR(FIND($A$2,Lines!H40))=TRUE,"",Lines!H40)</f>
        <v/>
      </c>
      <c r="I40" s="30" t="str">
        <f>IF(ISERROR(FIND($A$2,Lines!I40))=TRUE,"",Lines!I40)</f>
        <v/>
      </c>
      <c r="J40" s="30" t="str">
        <f>IF(ISERROR(FIND($A$2,Lines!J40))=TRUE,"",Lines!J40)</f>
        <v/>
      </c>
      <c r="K40" s="30" t="str">
        <f>IF(ISERROR(FIND($A$2,Lines!K40))=TRUE,"",Lines!K40)</f>
        <v/>
      </c>
      <c r="L40" s="30" t="str">
        <f>IF(ISERROR(FIND($A$2,Lines!L40))=TRUE,"",Lines!L40)</f>
        <v/>
      </c>
      <c r="M40" s="30" t="str">
        <f>IF(ISERROR(FIND($A$2,Lines!M40))=TRUE,"",Lines!M40)</f>
        <v/>
      </c>
      <c r="N40" s="30" t="str">
        <f>IF(ISERROR(FIND($A$2,Lines!N40))=TRUE,"",Lines!N40)</f>
        <v/>
      </c>
      <c r="O40" s="30" t="str">
        <f>IF(ISERROR(FIND($A$2,Lines!O40))=TRUE,"",Lines!O40)</f>
        <v/>
      </c>
      <c r="P40" s="30" t="str">
        <f>IF(ISERROR(FIND($A$2,Lines!P40))=TRUE,"",Lines!P40)</f>
        <v/>
      </c>
      <c r="Q40" s="30" t="str">
        <f>IF(ISERROR(FIND($A$2,Lines!Q40))=TRUE,"",Lines!Q40)</f>
        <v>±800酒泉-湖南（8000MW）</v>
      </c>
      <c r="R40" s="30" t="str">
        <f>IF(ISERROR(FIND($A$2,Lines!R40))=TRUE,"",Lines!R40)</f>
        <v/>
      </c>
      <c r="S40" s="30" t="str">
        <f>IF(ISERROR(FIND($A$2,Lines!S40))=TRUE,"",Lines!S40)</f>
        <v/>
      </c>
      <c r="T40" s="30" t="str">
        <f>IF(ISERROR(FIND($A$2,Lines!T40))=TRUE,"",Lines!T40)</f>
        <v/>
      </c>
      <c r="U40" s="30" t="str">
        <f>IF(ISERROR(FIND($A$2,Lines!U40))=TRUE,"",Lines!U40)</f>
        <v/>
      </c>
      <c r="V40" s="30" t="str">
        <f>IF(ISERROR(FIND($A$2,Lines!V40))=TRUE,"",Lines!V40)</f>
        <v/>
      </c>
      <c r="W40" s="36" t="str">
        <f>IF(ISERROR(FIND($A$2,Lines!W40))=TRUE,"",Lines!W40)</f>
        <v/>
      </c>
      <c r="X40" s="30" t="str">
        <f>IF(ISERROR(FIND($A$2,Lines!X40))=TRUE,"",Lines!X40)</f>
        <v/>
      </c>
      <c r="Y40" s="30" t="str">
        <f>IF(ISERROR(FIND($A$2,Lines!Y40))=TRUE,"",Lines!Y40)</f>
        <v/>
      </c>
      <c r="Z40" s="30" t="str">
        <f>IF(ISERROR(FIND($A$2,Lines!Z40))=TRUE,"",Lines!Z40)</f>
        <v/>
      </c>
      <c r="AA40" s="30" t="str">
        <f>IF(ISERROR(FIND($A$2,Lines!AA40))=TRUE,"",Lines!AA40)</f>
        <v/>
      </c>
      <c r="AB40" s="30" t="str">
        <f>IF(ISERROR(FIND($A$2,Lines!AB40))=TRUE,"",Lines!AB40)</f>
        <v/>
      </c>
      <c r="AC40" s="30" t="str">
        <f>IF(ISERROR(FIND($A$2,Lines!AC40))=TRUE,"",Lines!AC40)</f>
        <v/>
      </c>
      <c r="AD40" s="30" t="str">
        <f>IF(ISERROR(FIND($A$2,Lines!AD40))=TRUE,"",Lines!AD40)</f>
        <v/>
      </c>
      <c r="AE40" s="30" t="str">
        <f>IF(ISERROR(FIND($A$2,Lines!AE40))=TRUE,"",Lines!AE40)</f>
        <v/>
      </c>
      <c r="AF40" s="30" t="str">
        <f>IF(ISERROR(FIND($A$2,Lines!AF40))=TRUE,"",Lines!AF40)</f>
        <v/>
      </c>
      <c r="AG40" s="30" t="str">
        <f>IF(ISERROR(FIND($A$2,Lines!AG40))=TRUE,"",Lines!AG40)</f>
        <v/>
      </c>
      <c r="AH40" s="30" t="str">
        <f>IF(ISERROR(FIND($A$2,Lines!AH40))=TRUE,"",Lines!AH40)</f>
        <v/>
      </c>
      <c r="AI40" s="30" t="str">
        <f>IF(ISERROR(FIND($A$2,Lines!AI40))=TRUE,"",Lines!AI40)</f>
        <v/>
      </c>
      <c r="AJ40" s="30" t="str">
        <f>IF(ISERROR(FIND($A$2,Lines!AJ40))=TRUE,"",Lines!AJ40)</f>
        <v/>
      </c>
      <c r="AK40" s="54" t="str">
        <f>IF(ISERROR(FIND($A$2,Lines!AK40))=TRUE,"",Lines!AK40)</f>
        <v/>
      </c>
      <c r="AL40" s="66" t="str">
        <f>IF(ISERROR(FIND($A$2,Lines!AL40))=TRUE,"",Lines!AL40)</f>
        <v/>
      </c>
      <c r="AM40" s="43" t="str">
        <f>IF(ISERROR(FIND($A$2,Lines!AM40))=TRUE,"",Lines!AM40)</f>
        <v/>
      </c>
      <c r="AN40" s="43" t="str">
        <f>IF(ISERROR(FIND($A$2,Lines!AN40))=TRUE,"",Lines!AN40)</f>
        <v/>
      </c>
      <c r="AO40" s="61" t="str">
        <f>IF(ISERROR(FIND($A$2,Lines!AO40))=TRUE,"",Lines!AO40)</f>
        <v/>
      </c>
      <c r="AP40" s="30" t="str">
        <f>IF(ISERROR(FIND($A$2,Lines!AP40))=TRUE,"",Lines!AP40)</f>
        <v/>
      </c>
      <c r="AQ40" s="30" t="str">
        <f>IF(ISERROR(FIND($A$2,Lines!AQ40))=TRUE,"",Lines!AQ40)</f>
        <v/>
      </c>
      <c r="AR40" s="30" t="str">
        <f>IF(ISERROR(FIND($A$2,Lines!AR40))=TRUE,"",Lines!AR40)</f>
        <v/>
      </c>
      <c r="AS40" s="30" t="str">
        <f>IF(ISERROR(FIND($A$2,Lines!AS40))=TRUE,"",Lines!AS40)</f>
        <v/>
      </c>
      <c r="AT40" s="30" t="str">
        <f>IF(ISERROR(FIND($A$2,Lines!AT40))=TRUE,"",Lines!AT40)</f>
        <v/>
      </c>
    </row>
    <row r="41" spans="1:46" ht="20.25" customHeight="1">
      <c r="A41" s="2" t="s">
        <v>89</v>
      </c>
      <c r="B41" s="30" t="str">
        <f>IF(ISERROR(FIND($A$2,Lines!B41))=TRUE,"",Lines!B41)</f>
        <v/>
      </c>
      <c r="C41" s="30" t="str">
        <f>IF(ISERROR(FIND($A$2,Lines!C41))=TRUE,"",Lines!C41)</f>
        <v/>
      </c>
      <c r="D41" s="30" t="str">
        <f>IF(ISERROR(FIND($A$2,Lines!D41))=TRUE,"",Lines!D41)</f>
        <v/>
      </c>
      <c r="E41" s="30" t="str">
        <f>IF(ISERROR(FIND($A$2,Lines!E41))=TRUE,"",Lines!E41)</f>
        <v/>
      </c>
      <c r="F41" s="30" t="str">
        <f>IF(ISERROR(FIND($A$2,Lines!F41))=TRUE,"",Lines!F41)</f>
        <v/>
      </c>
      <c r="G41" s="30" t="str">
        <f>IF(ISERROR(FIND($A$2,Lines!G41))=TRUE,"",Lines!G41)</f>
        <v/>
      </c>
      <c r="H41" s="30" t="str">
        <f>IF(ISERROR(FIND($A$2,Lines!H41))=TRUE,"",Lines!H41)</f>
        <v/>
      </c>
      <c r="I41" s="30" t="str">
        <f>IF(ISERROR(FIND($A$2,Lines!I41))=TRUE,"",Lines!I41)</f>
        <v/>
      </c>
      <c r="J41" s="30" t="str">
        <f>IF(ISERROR(FIND($A$2,Lines!J41))=TRUE,"",Lines!J41)</f>
        <v/>
      </c>
      <c r="K41" s="30" t="str">
        <f>IF(ISERROR(FIND($A$2,Lines!K41))=TRUE,"",Lines!K41)</f>
        <v/>
      </c>
      <c r="L41" s="30" t="str">
        <f>IF(ISERROR(FIND($A$2,Lines!L41))=TRUE,"",Lines!L41)</f>
        <v/>
      </c>
      <c r="M41" s="30" t="str">
        <f>IF(ISERROR(FIND($A$2,Lines!M41))=TRUE,"",Lines!M41)</f>
        <v/>
      </c>
      <c r="N41" s="30" t="str">
        <f>IF(ISERROR(FIND($A$2,Lines!N41))=TRUE,"",Lines!N41)</f>
        <v/>
      </c>
      <c r="O41" s="30" t="str">
        <f>IF(ISERROR(FIND($A$2,Lines!O41))=TRUE,"",Lines!O41)</f>
        <v/>
      </c>
      <c r="P41" s="30" t="str">
        <f>IF(ISERROR(FIND($A$2,Lines!P41))=TRUE,"",Lines!P41)</f>
        <v/>
      </c>
      <c r="Q41" s="30" t="str">
        <f>IF(ISERROR(FIND($A$2,Lines!Q41))=TRUE,"",Lines!Q41)</f>
        <v/>
      </c>
      <c r="R41" s="30" t="str">
        <f>IF(ISERROR(FIND($A$2,Lines!R41))=TRUE,"",Lines!R41)</f>
        <v/>
      </c>
      <c r="S41" s="30" t="str">
        <f>IF(ISERROR(FIND($A$2,Lines!S41))=TRUE,"",Lines!S41)</f>
        <v/>
      </c>
      <c r="T41" s="30" t="str">
        <f>IF(ISERROR(FIND($A$2,Lines!T41))=TRUE,"",Lines!T41)</f>
        <v/>
      </c>
      <c r="U41" s="30" t="str">
        <f>IF(ISERROR(FIND($A$2,Lines!U41))=TRUE,"",Lines!U41)</f>
        <v/>
      </c>
      <c r="V41" s="30" t="str">
        <f>IF(ISERROR(FIND($A$2,Lines!V41))=TRUE,"",Lines!V41)</f>
        <v/>
      </c>
      <c r="W41" s="36" t="str">
        <f>IF(ISERROR(FIND($A$2,Lines!W41))=TRUE,"",Lines!W41)</f>
        <v/>
      </c>
      <c r="X41" s="30" t="str">
        <f>IF(ISERROR(FIND($A$2,Lines!X41))=TRUE,"",Lines!X41)</f>
        <v/>
      </c>
      <c r="Y41" s="30" t="str">
        <f>IF(ISERROR(FIND($A$2,Lines!Y41))=TRUE,"",Lines!Y41)</f>
        <v/>
      </c>
      <c r="Z41" s="30" t="str">
        <f>IF(ISERROR(FIND($A$2,Lines!Z41))=TRUE,"",Lines!Z41)</f>
        <v/>
      </c>
      <c r="AA41" s="30" t="str">
        <f>IF(ISERROR(FIND($A$2,Lines!AA41))=TRUE,"",Lines!AA41)</f>
        <v/>
      </c>
      <c r="AB41" s="30" t="str">
        <f>IF(ISERROR(FIND($A$2,Lines!AB41))=TRUE,"",Lines!AB41)</f>
        <v/>
      </c>
      <c r="AC41" s="30" t="str">
        <f>IF(ISERROR(FIND($A$2,Lines!AC41))=TRUE,"",Lines!AC41)</f>
        <v/>
      </c>
      <c r="AD41" s="30" t="str">
        <f>IF(ISERROR(FIND($A$2,Lines!AD41))=TRUE,"",Lines!AD41)</f>
        <v/>
      </c>
      <c r="AE41" s="30" t="str">
        <f>IF(ISERROR(FIND($A$2,Lines!AE41))=TRUE,"",Lines!AE41)</f>
        <v/>
      </c>
      <c r="AF41" s="30" t="str">
        <f>IF(ISERROR(FIND($A$2,Lines!AF41))=TRUE,"",Lines!AF41)</f>
        <v/>
      </c>
      <c r="AG41" s="30" t="str">
        <f>IF(ISERROR(FIND($A$2,Lines!AG41))=TRUE,"",Lines!AG41)</f>
        <v/>
      </c>
      <c r="AH41" s="30" t="str">
        <f>IF(ISERROR(FIND($A$2,Lines!AH41))=TRUE,"",Lines!AH41)</f>
        <v/>
      </c>
      <c r="AI41" s="30" t="str">
        <f>IF(ISERROR(FIND($A$2,Lines!AI41))=TRUE,"",Lines!AI41)</f>
        <v/>
      </c>
      <c r="AJ41" s="30" t="str">
        <f>IF(ISERROR(FIND($A$2,Lines!AJ41))=TRUE,"",Lines!AJ41)</f>
        <v/>
      </c>
      <c r="AK41" s="54" t="str">
        <f>IF(ISERROR(FIND($A$2,Lines!AK41))=TRUE,"",Lines!AK41)</f>
        <v/>
      </c>
      <c r="AL41" s="43" t="str">
        <f>IF(ISERROR(FIND($A$2,Lines!AL41))=TRUE,"",Lines!AL41)</f>
        <v/>
      </c>
      <c r="AM41" s="66" t="str">
        <f>IF(ISERROR(FIND($A$2,Lines!AM41))=TRUE,"",Lines!AM41)</f>
        <v/>
      </c>
      <c r="AN41" s="43" t="str">
        <f>IF(ISERROR(FIND($A$2,Lines!AN41))=TRUE,"",Lines!AN41)</f>
        <v/>
      </c>
      <c r="AO41" s="61" t="str">
        <f>IF(ISERROR(FIND($A$2,Lines!AO41))=TRUE,"",Lines!AO41)</f>
        <v/>
      </c>
      <c r="AP41" s="30" t="str">
        <f>IF(ISERROR(FIND($A$2,Lines!AP41))=TRUE,"",Lines!AP41)</f>
        <v/>
      </c>
      <c r="AQ41" s="30" t="str">
        <f>IF(ISERROR(FIND($A$2,Lines!AQ41))=TRUE,"",Lines!AQ41)</f>
        <v/>
      </c>
      <c r="AR41" s="30" t="str">
        <f>IF(ISERROR(FIND($A$2,Lines!AR41))=TRUE,"",Lines!AR41)</f>
        <v/>
      </c>
      <c r="AS41" s="30" t="str">
        <f>IF(ISERROR(FIND($A$2,Lines!AS41))=TRUE,"",Lines!AS41)</f>
        <v/>
      </c>
      <c r="AT41" s="30" t="str">
        <f>IF(ISERROR(FIND($A$2,Lines!AT41))=TRUE,"",Lines!AT41)</f>
        <v/>
      </c>
    </row>
    <row r="42" spans="1:46" ht="20.25" customHeight="1">
      <c r="A42" s="2" t="s">
        <v>90</v>
      </c>
      <c r="B42" s="30" t="str">
        <f>IF(ISERROR(FIND($A$2,Lines!B42))=TRUE,"",Lines!B42)</f>
        <v/>
      </c>
      <c r="C42" s="30" t="str">
        <f>IF(ISERROR(FIND($A$2,Lines!C42))=TRUE,"",Lines!C42)</f>
        <v/>
      </c>
      <c r="D42" s="30" t="str">
        <f>IF(ISERROR(FIND($A$2,Lines!D42))=TRUE,"",Lines!D42)</f>
        <v/>
      </c>
      <c r="E42" s="30" t="str">
        <f>IF(ISERROR(FIND($A$2,Lines!E42))=TRUE,"",Lines!E42)</f>
        <v/>
      </c>
      <c r="F42" s="30" t="str">
        <f>IF(ISERROR(FIND($A$2,Lines!F42))=TRUE,"",Lines!F42)</f>
        <v/>
      </c>
      <c r="G42" s="30" t="str">
        <f>IF(ISERROR(FIND($A$2,Lines!G42))=TRUE,"",Lines!G42)</f>
        <v/>
      </c>
      <c r="H42" s="30" t="str">
        <f>IF(ISERROR(FIND($A$2,Lines!H42))=TRUE,"",Lines!H42)</f>
        <v/>
      </c>
      <c r="I42" s="30" t="str">
        <f>IF(ISERROR(FIND($A$2,Lines!I42))=TRUE,"",Lines!I42)</f>
        <v/>
      </c>
      <c r="J42" s="30" t="str">
        <f>IF(ISERROR(FIND($A$2,Lines!J42))=TRUE,"",Lines!J42)</f>
        <v/>
      </c>
      <c r="K42" s="30" t="str">
        <f>IF(ISERROR(FIND($A$2,Lines!K42))=TRUE,"",Lines!K42)</f>
        <v/>
      </c>
      <c r="L42" s="30" t="str">
        <f>IF(ISERROR(FIND($A$2,Lines!L42))=TRUE,"",Lines!L42)</f>
        <v/>
      </c>
      <c r="M42" s="30" t="str">
        <f>IF(ISERROR(FIND($A$2,Lines!M42))=TRUE,"",Lines!M42)</f>
        <v/>
      </c>
      <c r="N42" s="30" t="str">
        <f>IF(ISERROR(FIND($A$2,Lines!N42))=TRUE,"",Lines!N42)</f>
        <v/>
      </c>
      <c r="O42" s="30" t="str">
        <f>IF(ISERROR(FIND($A$2,Lines!O42))=TRUE,"",Lines!O42)</f>
        <v/>
      </c>
      <c r="P42" s="30" t="str">
        <f>IF(ISERROR(FIND($A$2,Lines!P42))=TRUE,"",Lines!P42)</f>
        <v/>
      </c>
      <c r="Q42" s="30" t="str">
        <f>IF(ISERROR(FIND($A$2,Lines!Q42))=TRUE,"",Lines!Q42)</f>
        <v/>
      </c>
      <c r="R42" s="30" t="str">
        <f>IF(ISERROR(FIND($A$2,Lines!R42))=TRUE,"",Lines!R42)</f>
        <v/>
      </c>
      <c r="S42" s="30" t="str">
        <f>IF(ISERROR(FIND($A$2,Lines!S42))=TRUE,"",Lines!S42)</f>
        <v/>
      </c>
      <c r="T42" s="30" t="str">
        <f>IF(ISERROR(FIND($A$2,Lines!T42))=TRUE,"",Lines!T42)</f>
        <v/>
      </c>
      <c r="U42" s="30" t="str">
        <f>IF(ISERROR(FIND($A$2,Lines!U42))=TRUE,"",Lines!U42)</f>
        <v/>
      </c>
      <c r="V42" s="30" t="str">
        <f>IF(ISERROR(FIND($A$2,Lines!V42))=TRUE,"",Lines!V42)</f>
        <v/>
      </c>
      <c r="W42" s="36" t="str">
        <f>IF(ISERROR(FIND($A$2,Lines!W42))=TRUE,"",Lines!W42)</f>
        <v/>
      </c>
      <c r="X42" s="30" t="str">
        <f>IF(ISERROR(FIND($A$2,Lines!X42))=TRUE,"",Lines!X42)</f>
        <v/>
      </c>
      <c r="Y42" s="30" t="str">
        <f>IF(ISERROR(FIND($A$2,Lines!Y42))=TRUE,"",Lines!Y42)</f>
        <v/>
      </c>
      <c r="Z42" s="30" t="str">
        <f>IF(ISERROR(FIND($A$2,Lines!Z42))=TRUE,"",Lines!Z42)</f>
        <v/>
      </c>
      <c r="AA42" s="30" t="str">
        <f>IF(ISERROR(FIND($A$2,Lines!AA42))=TRUE,"",Lines!AA42)</f>
        <v/>
      </c>
      <c r="AB42" s="30" t="str">
        <f>IF(ISERROR(FIND($A$2,Lines!AB42))=TRUE,"",Lines!AB42)</f>
        <v/>
      </c>
      <c r="AC42" s="30" t="str">
        <f>IF(ISERROR(FIND($A$2,Lines!AC42))=TRUE,"",Lines!AC42)</f>
        <v/>
      </c>
      <c r="AD42" s="30" t="str">
        <f>IF(ISERROR(FIND($A$2,Lines!AD42))=TRUE,"",Lines!AD42)</f>
        <v/>
      </c>
      <c r="AE42" s="30" t="str">
        <f>IF(ISERROR(FIND($A$2,Lines!AE42))=TRUE,"",Lines!AE42)</f>
        <v/>
      </c>
      <c r="AF42" s="30" t="str">
        <f>IF(ISERROR(FIND($A$2,Lines!AF42))=TRUE,"",Lines!AF42)</f>
        <v/>
      </c>
      <c r="AG42" s="30" t="str">
        <f>IF(ISERROR(FIND($A$2,Lines!AG42))=TRUE,"",Lines!AG42)</f>
        <v/>
      </c>
      <c r="AH42" s="30" t="str">
        <f>IF(ISERROR(FIND($A$2,Lines!AH42))=TRUE,"",Lines!AH42)</f>
        <v/>
      </c>
      <c r="AI42" s="30" t="str">
        <f>IF(ISERROR(FIND($A$2,Lines!AI42))=TRUE,"",Lines!AI42)</f>
        <v/>
      </c>
      <c r="AJ42" s="30" t="str">
        <f>IF(ISERROR(FIND($A$2,Lines!AJ42))=TRUE,"",Lines!AJ42)</f>
        <v/>
      </c>
      <c r="AK42" s="54" t="str">
        <f>IF(ISERROR(FIND($A$2,Lines!AK42))=TRUE,"",Lines!AK42)</f>
        <v/>
      </c>
      <c r="AL42" s="43" t="str">
        <f>IF(ISERROR(FIND($A$2,Lines!AL42))=TRUE,"",Lines!AL42)</f>
        <v/>
      </c>
      <c r="AM42" s="43" t="str">
        <f>IF(ISERROR(FIND($A$2,Lines!AM42))=TRUE,"",Lines!AM42)</f>
        <v/>
      </c>
      <c r="AN42" s="66" t="str">
        <f>IF(ISERROR(FIND($A$2,Lines!AN42))=TRUE,"",Lines!AN42)</f>
        <v/>
      </c>
      <c r="AO42" s="61" t="str">
        <f>IF(ISERROR(FIND($A$2,Lines!AO42))=TRUE,"",Lines!AO42)</f>
        <v/>
      </c>
      <c r="AP42" s="30" t="str">
        <f>IF(ISERROR(FIND($A$2,Lines!AP42))=TRUE,"",Lines!AP42)</f>
        <v/>
      </c>
      <c r="AQ42" s="30" t="str">
        <f>IF(ISERROR(FIND($A$2,Lines!AQ42))=TRUE,"",Lines!AQ42)</f>
        <v/>
      </c>
      <c r="AR42" s="30" t="str">
        <f>IF(ISERROR(FIND($A$2,Lines!AR42))=TRUE,"",Lines!AR42)</f>
        <v/>
      </c>
      <c r="AS42" s="30" t="str">
        <f>IF(ISERROR(FIND($A$2,Lines!AS42))=TRUE,"",Lines!AS42)</f>
        <v/>
      </c>
      <c r="AT42" s="30" t="str">
        <f>IF(ISERROR(FIND($A$2,Lines!AT42))=TRUE,"",Lines!AT42)</f>
        <v/>
      </c>
    </row>
    <row r="43" spans="1:46" ht="20.25" customHeight="1">
      <c r="A43" s="2" t="s">
        <v>91</v>
      </c>
      <c r="B43" s="30" t="str">
        <f>IF(ISERROR(FIND($A$2,Lines!B43))=TRUE,"",Lines!B43)</f>
        <v/>
      </c>
      <c r="C43" s="30" t="str">
        <f>IF(ISERROR(FIND($A$2,Lines!C43))=TRUE,"",Lines!C43)</f>
        <v/>
      </c>
      <c r="D43" s="30" t="str">
        <f>IF(ISERROR(FIND($A$2,Lines!D43))=TRUE,"",Lines!D43)</f>
        <v/>
      </c>
      <c r="E43" s="30" t="str">
        <f>IF(ISERROR(FIND($A$2,Lines!E43))=TRUE,"",Lines!E43)</f>
        <v/>
      </c>
      <c r="F43" s="30" t="str">
        <f>IF(ISERROR(FIND($A$2,Lines!F43))=TRUE,"",Lines!F43)</f>
        <v/>
      </c>
      <c r="G43" s="30" t="str">
        <f>IF(ISERROR(FIND($A$2,Lines!G43))=TRUE,"",Lines!G43)</f>
        <v/>
      </c>
      <c r="H43" s="30" t="str">
        <f>IF(ISERROR(FIND($A$2,Lines!H43))=TRUE,"",Lines!H43)</f>
        <v/>
      </c>
      <c r="I43" s="30" t="str">
        <f>IF(ISERROR(FIND($A$2,Lines!I43))=TRUE,"",Lines!I43)</f>
        <v/>
      </c>
      <c r="J43" s="30" t="str">
        <f>IF(ISERROR(FIND($A$2,Lines!J43))=TRUE,"",Lines!J43)</f>
        <v/>
      </c>
      <c r="K43" s="30" t="str">
        <f>IF(ISERROR(FIND($A$2,Lines!K43))=TRUE,"",Lines!K43)</f>
        <v/>
      </c>
      <c r="L43" s="30" t="str">
        <f>IF(ISERROR(FIND($A$2,Lines!L43))=TRUE,"",Lines!L43)</f>
        <v/>
      </c>
      <c r="M43" s="30" t="str">
        <f>IF(ISERROR(FIND($A$2,Lines!M43))=TRUE,"",Lines!M43)</f>
        <v/>
      </c>
      <c r="N43" s="30" t="str">
        <f>IF(ISERROR(FIND($A$2,Lines!N43))=TRUE,"",Lines!N43)</f>
        <v/>
      </c>
      <c r="O43" s="30" t="str">
        <f>IF(ISERROR(FIND($A$2,Lines!O43))=TRUE,"",Lines!O43)</f>
        <v/>
      </c>
      <c r="P43" s="30" t="str">
        <f>IF(ISERROR(FIND($A$2,Lines!P43))=TRUE,"",Lines!P43)</f>
        <v/>
      </c>
      <c r="Q43" s="30" t="str">
        <f>IF(ISERROR(FIND($A$2,Lines!Q43))=TRUE,"",Lines!Q43)</f>
        <v/>
      </c>
      <c r="R43" s="30" t="str">
        <f>IF(ISERROR(FIND($A$2,Lines!R43))=TRUE,"",Lines!R43)</f>
        <v/>
      </c>
      <c r="S43" s="30" t="str">
        <f>IF(ISERROR(FIND($A$2,Lines!S43))=TRUE,"",Lines!S43)</f>
        <v/>
      </c>
      <c r="T43" s="30" t="str">
        <f>IF(ISERROR(FIND($A$2,Lines!T43))=TRUE,"",Lines!T43)</f>
        <v/>
      </c>
      <c r="U43" s="30" t="str">
        <f>IF(ISERROR(FIND($A$2,Lines!U43))=TRUE,"",Lines!U43)</f>
        <v/>
      </c>
      <c r="V43" s="30" t="str">
        <f>IF(ISERROR(FIND($A$2,Lines!V43))=TRUE,"",Lines!V43)</f>
        <v/>
      </c>
      <c r="W43" s="36" t="str">
        <f>IF(ISERROR(FIND($A$2,Lines!W43))=TRUE,"",Lines!W43)</f>
        <v/>
      </c>
      <c r="X43" s="30" t="str">
        <f>IF(ISERROR(FIND($A$2,Lines!X43))=TRUE,"",Lines!X43)</f>
        <v/>
      </c>
      <c r="Y43" s="30" t="str">
        <f>IF(ISERROR(FIND($A$2,Lines!Y43))=TRUE,"",Lines!Y43)</f>
        <v/>
      </c>
      <c r="Z43" s="30" t="str">
        <f>IF(ISERROR(FIND($A$2,Lines!Z43))=TRUE,"",Lines!Z43)</f>
        <v/>
      </c>
      <c r="AA43" s="30" t="str">
        <f>IF(ISERROR(FIND($A$2,Lines!AA43))=TRUE,"",Lines!AA43)</f>
        <v/>
      </c>
      <c r="AB43" s="30" t="str">
        <f>IF(ISERROR(FIND($A$2,Lines!AB43))=TRUE,"",Lines!AB43)</f>
        <v/>
      </c>
      <c r="AC43" s="30" t="str">
        <f>IF(ISERROR(FIND($A$2,Lines!AC43))=TRUE,"",Lines!AC43)</f>
        <v/>
      </c>
      <c r="AD43" s="30" t="str">
        <f>IF(ISERROR(FIND($A$2,Lines!AD43))=TRUE,"",Lines!AD43)</f>
        <v/>
      </c>
      <c r="AE43" s="30" t="str">
        <f>IF(ISERROR(FIND($A$2,Lines!AE43))=TRUE,"",Lines!AE43)</f>
        <v/>
      </c>
      <c r="AF43" s="30" t="str">
        <f>IF(ISERROR(FIND($A$2,Lines!AF43))=TRUE,"",Lines!AF43)</f>
        <v/>
      </c>
      <c r="AG43" s="30" t="str">
        <f>IF(ISERROR(FIND($A$2,Lines!AG43))=TRUE,"",Lines!AG43)</f>
        <v/>
      </c>
      <c r="AH43" s="30" t="str">
        <f>IF(ISERROR(FIND($A$2,Lines!AH43))=TRUE,"",Lines!AH43)</f>
        <v/>
      </c>
      <c r="AI43" s="30" t="str">
        <f>IF(ISERROR(FIND($A$2,Lines!AI43))=TRUE,"",Lines!AI43)</f>
        <v/>
      </c>
      <c r="AJ43" s="30" t="str">
        <f>IF(ISERROR(FIND($A$2,Lines!AJ43))=TRUE,"",Lines!AJ43)</f>
        <v/>
      </c>
      <c r="AK43" s="58" t="str">
        <f>IF(ISERROR(FIND($A$2,Lines!AK43))=TRUE,"",Lines!AK43)</f>
        <v>500AC*4, ±500(2*溪洛渡右岸6400MW)+ ±800(楚穗线5000MW,糯扎渡5000MW)+ ±800（滇西北-广东5000MW）</v>
      </c>
      <c r="AL43" s="59" t="str">
        <f>IF(ISERROR(FIND($A$2,Lines!AL43))=TRUE,"",Lines!AL43)</f>
        <v/>
      </c>
      <c r="AM43" s="59" t="str">
        <f>IF(ISERROR(FIND($A$2,Lines!AM43))=TRUE,"",Lines!AM43)</f>
        <v/>
      </c>
      <c r="AN43" s="59" t="str">
        <f>IF(ISERROR(FIND($A$2,Lines!AN43))=TRUE,"",Lines!AN43)</f>
        <v/>
      </c>
      <c r="AO43" s="67" t="str">
        <f>IF(ISERROR(FIND($A$2,Lines!AO43))=TRUE,"",Lines!AO43)</f>
        <v/>
      </c>
      <c r="AP43" s="45" t="str">
        <f>IF(ISERROR(FIND($A$2,Lines!AP43))=TRUE,"",Lines!AP43)</f>
        <v/>
      </c>
      <c r="AQ43" s="30" t="str">
        <f>IF(ISERROR(FIND($A$2,Lines!AQ43))=TRUE,"",Lines!AQ43)</f>
        <v/>
      </c>
      <c r="AR43" s="30" t="str">
        <f>IF(ISERROR(FIND($A$2,Lines!AR43))=TRUE,"",Lines!AR43)</f>
        <v/>
      </c>
      <c r="AS43" s="30" t="str">
        <f>IF(ISERROR(FIND($A$2,Lines!AS43))=TRUE,"",Lines!AS43)</f>
        <v/>
      </c>
      <c r="AT43" s="30" t="str">
        <f>IF(ISERROR(FIND($A$2,Lines!AT43))=TRUE,"",Lines!AT43)</f>
        <v/>
      </c>
    </row>
    <row r="44" spans="1:46" ht="20.25" customHeight="1">
      <c r="A44" s="2" t="s">
        <v>92</v>
      </c>
      <c r="B44" s="30" t="str">
        <f>IF(ISERROR(FIND($A$2,Lines!B44))=TRUE,"",Lines!B44)</f>
        <v/>
      </c>
      <c r="C44" s="30" t="str">
        <f>IF(ISERROR(FIND($A$2,Lines!C44))=TRUE,"",Lines!C44)</f>
        <v/>
      </c>
      <c r="D44" s="30" t="str">
        <f>IF(ISERROR(FIND($A$2,Lines!D44))=TRUE,"",Lines!D44)</f>
        <v/>
      </c>
      <c r="E44" s="30" t="str">
        <f>IF(ISERROR(FIND($A$2,Lines!E44))=TRUE,"",Lines!E44)</f>
        <v/>
      </c>
      <c r="F44" s="30" t="str">
        <f>IF(ISERROR(FIND($A$2,Lines!F44))=TRUE,"",Lines!F44)</f>
        <v/>
      </c>
      <c r="G44" s="30" t="str">
        <f>IF(ISERROR(FIND($A$2,Lines!G44))=TRUE,"",Lines!G44)</f>
        <v/>
      </c>
      <c r="H44" s="30" t="str">
        <f>IF(ISERROR(FIND($A$2,Lines!H44))=TRUE,"",Lines!H44)</f>
        <v/>
      </c>
      <c r="I44" s="30" t="str">
        <f>IF(ISERROR(FIND($A$2,Lines!I44))=TRUE,"",Lines!I44)</f>
        <v/>
      </c>
      <c r="J44" s="30" t="str">
        <f>IF(ISERROR(FIND($A$2,Lines!J44))=TRUE,"",Lines!J44)</f>
        <v/>
      </c>
      <c r="K44" s="30" t="str">
        <f>IF(ISERROR(FIND($A$2,Lines!K44))=TRUE,"",Lines!K44)</f>
        <v/>
      </c>
      <c r="L44" s="30" t="str">
        <f>IF(ISERROR(FIND($A$2,Lines!L44))=TRUE,"",Lines!L44)</f>
        <v/>
      </c>
      <c r="M44" s="30" t="str">
        <f>IF(ISERROR(FIND($A$2,Lines!M44))=TRUE,"",Lines!M44)</f>
        <v/>
      </c>
      <c r="N44" s="30" t="str">
        <f>IF(ISERROR(FIND($A$2,Lines!N44))=TRUE,"",Lines!N44)</f>
        <v/>
      </c>
      <c r="O44" s="30" t="str">
        <f>IF(ISERROR(FIND($A$2,Lines!O44))=TRUE,"",Lines!O44)</f>
        <v/>
      </c>
      <c r="P44" s="30" t="str">
        <f>IF(ISERROR(FIND($A$2,Lines!P44))=TRUE,"",Lines!P44)</f>
        <v/>
      </c>
      <c r="Q44" s="30" t="str">
        <f>IF(ISERROR(FIND($A$2,Lines!Q44))=TRUE,"",Lines!Q44)</f>
        <v/>
      </c>
      <c r="R44" s="30" t="str">
        <f>IF(ISERROR(FIND($A$2,Lines!R44))=TRUE,"",Lines!R44)</f>
        <v/>
      </c>
      <c r="S44" s="30" t="str">
        <f>IF(ISERROR(FIND($A$2,Lines!S44))=TRUE,"",Lines!S44)</f>
        <v/>
      </c>
      <c r="T44" s="30" t="str">
        <f>IF(ISERROR(FIND($A$2,Lines!T44))=TRUE,"",Lines!T44)</f>
        <v/>
      </c>
      <c r="U44" s="30" t="str">
        <f>IF(ISERROR(FIND($A$2,Lines!U44))=TRUE,"",Lines!U44)</f>
        <v/>
      </c>
      <c r="V44" s="30" t="str">
        <f>IF(ISERROR(FIND($A$2,Lines!V44))=TRUE,"",Lines!V44)</f>
        <v/>
      </c>
      <c r="W44" s="36" t="str">
        <f>IF(ISERROR(FIND($A$2,Lines!W44))=TRUE,"",Lines!W44)</f>
        <v/>
      </c>
      <c r="X44" s="30" t="str">
        <f>IF(ISERROR(FIND($A$2,Lines!X44))=TRUE,"",Lines!X44)</f>
        <v/>
      </c>
      <c r="Y44" s="30" t="str">
        <f>IF(ISERROR(FIND($A$2,Lines!Y44))=TRUE,"",Lines!Y44)</f>
        <v/>
      </c>
      <c r="Z44" s="30" t="str">
        <f>IF(ISERROR(FIND($A$2,Lines!Z44))=TRUE,"",Lines!Z44)</f>
        <v/>
      </c>
      <c r="AA44" s="30" t="str">
        <f>IF(ISERROR(FIND($A$2,Lines!AA44))=TRUE,"",Lines!AA44)</f>
        <v/>
      </c>
      <c r="AB44" s="30" t="str">
        <f>IF(ISERROR(FIND($A$2,Lines!AB44))=TRUE,"",Lines!AB44)</f>
        <v/>
      </c>
      <c r="AC44" s="30" t="str">
        <f>IF(ISERROR(FIND($A$2,Lines!AC44))=TRUE,"",Lines!AC44)</f>
        <v/>
      </c>
      <c r="AD44" s="30" t="str">
        <f>IF(ISERROR(FIND($A$2,Lines!AD44))=TRUE,"",Lines!AD44)</f>
        <v/>
      </c>
      <c r="AE44" s="30" t="str">
        <f>IF(ISERROR(FIND($A$2,Lines!AE44))=TRUE,"",Lines!AE44)</f>
        <v/>
      </c>
      <c r="AF44" s="30" t="str">
        <f>IF(ISERROR(FIND($A$2,Lines!AF44))=TRUE,"",Lines!AF44)</f>
        <v/>
      </c>
      <c r="AG44" s="30" t="str">
        <f>IF(ISERROR(FIND($A$2,Lines!AG44))=TRUE,"",Lines!AG44)</f>
        <v/>
      </c>
      <c r="AH44" s="30" t="str">
        <f>IF(ISERROR(FIND($A$2,Lines!AH44))=TRUE,"",Lines!AH44)</f>
        <v/>
      </c>
      <c r="AI44" s="30" t="str">
        <f>IF(ISERROR(FIND($A$2,Lines!AI44))=TRUE,"",Lines!AI44)</f>
        <v/>
      </c>
      <c r="AJ44" s="30" t="str">
        <f>IF(ISERROR(FIND($A$2,Lines!AJ44))=TRUE,"",Lines!AJ44)</f>
        <v>±800(复奉线6400MW)</v>
      </c>
      <c r="AK44" s="30" t="str">
        <f>IF(ISERROR(FIND($A$2,Lines!AK44))=TRUE,"",Lines!AK44)</f>
        <v/>
      </c>
      <c r="AL44" s="30" t="str">
        <f>IF(ISERROR(FIND($A$2,Lines!AL44))=TRUE,"",Lines!AL44)</f>
        <v/>
      </c>
      <c r="AM44" s="30" t="str">
        <f>IF(ISERROR(FIND($A$2,Lines!AM44))=TRUE,"",Lines!AM44)</f>
        <v/>
      </c>
      <c r="AN44" s="30" t="str">
        <f>IF(ISERROR(FIND($A$2,Lines!AN44))=TRUE,"",Lines!AN44)</f>
        <v/>
      </c>
      <c r="AO44" s="45" t="str">
        <f>IF(ISERROR(FIND($A$2,Lines!AO44))=TRUE,"",Lines!AO44)</f>
        <v/>
      </c>
      <c r="AP44" s="65" t="str">
        <f>IF(ISERROR(FIND($A$2,Lines!AP44))=TRUE,"",Lines!AP44)</f>
        <v/>
      </c>
      <c r="AQ44" s="62" t="str">
        <f>IF(ISERROR(FIND($A$2,Lines!AQ44))=TRUE,"",Lines!AQ44)</f>
        <v/>
      </c>
      <c r="AR44" s="62" t="str">
        <f>IF(ISERROR(FIND($A$2,Lines!AR44))=TRUE,"",Lines!AR44)</f>
        <v/>
      </c>
      <c r="AS44" s="62" t="str">
        <f>IF(ISERROR(FIND($A$2,Lines!AS44))=TRUE,"",Lines!AS44)</f>
        <v/>
      </c>
      <c r="AT44" s="62" t="str">
        <f>IF(ISERROR(FIND($A$2,Lines!AT44))=TRUE,"",Lines!AT44)</f>
        <v/>
      </c>
    </row>
    <row r="45" spans="1:46" ht="20.25" customHeight="1">
      <c r="A45" s="2" t="s">
        <v>93</v>
      </c>
      <c r="B45" s="30" t="str">
        <f>IF(ISERROR(FIND($A$2,Lines!B45))=TRUE,"",Lines!B45)</f>
        <v/>
      </c>
      <c r="C45" s="30" t="str">
        <f>IF(ISERROR(FIND($A$2,Lines!C45))=TRUE,"",Lines!C45)</f>
        <v/>
      </c>
      <c r="D45" s="30" t="str">
        <f>IF(ISERROR(FIND($A$2,Lines!D45))=TRUE,"",Lines!D45)</f>
        <v/>
      </c>
      <c r="E45" s="30" t="str">
        <f>IF(ISERROR(FIND($A$2,Lines!E45))=TRUE,"",Lines!E45)</f>
        <v/>
      </c>
      <c r="F45" s="30" t="str">
        <f>IF(ISERROR(FIND($A$2,Lines!F45))=TRUE,"",Lines!F45)</f>
        <v/>
      </c>
      <c r="G45" s="30" t="str">
        <f>IF(ISERROR(FIND($A$2,Lines!G45))=TRUE,"",Lines!G45)</f>
        <v/>
      </c>
      <c r="H45" s="30" t="str">
        <f>IF(ISERROR(FIND($A$2,Lines!H45))=TRUE,"",Lines!H45)</f>
        <v/>
      </c>
      <c r="I45" s="30" t="str">
        <f>IF(ISERROR(FIND($A$2,Lines!I45))=TRUE,"",Lines!I45)</f>
        <v/>
      </c>
      <c r="J45" s="30" t="str">
        <f>IF(ISERROR(FIND($A$2,Lines!J45))=TRUE,"",Lines!J45)</f>
        <v/>
      </c>
      <c r="K45" s="30" t="str">
        <f>IF(ISERROR(FIND($A$2,Lines!K45))=TRUE,"",Lines!K45)</f>
        <v/>
      </c>
      <c r="L45" s="30" t="str">
        <f>IF(ISERROR(FIND($A$2,Lines!L45))=TRUE,"",Lines!L45)</f>
        <v/>
      </c>
      <c r="M45" s="30" t="str">
        <f>IF(ISERROR(FIND($A$2,Lines!M45))=TRUE,"",Lines!M45)</f>
        <v>±800锡盟-江苏（10000MW）+1000锡盟-南京（9400MW）</v>
      </c>
      <c r="N45" s="30" t="str">
        <f>IF(ISERROR(FIND($A$2,Lines!N45))=TRUE,"",Lines!N45)</f>
        <v/>
      </c>
      <c r="O45" s="30" t="str">
        <f>IF(ISERROR(FIND($A$2,Lines!O45))=TRUE,"",Lines!O45)</f>
        <v/>
      </c>
      <c r="P45" s="30" t="str">
        <f>IF(ISERROR(FIND($A$2,Lines!P45))=TRUE,"",Lines!P45)</f>
        <v/>
      </c>
      <c r="Q45" s="30" t="str">
        <f>IF(ISERROR(FIND($A$2,Lines!Q45))=TRUE,"",Lines!Q45)</f>
        <v>±800陇东-江苏（10000MW）</v>
      </c>
      <c r="R45" s="30" t="str">
        <f>IF(ISERROR(FIND($A$2,Lines!R45))=TRUE,"",Lines!R45)</f>
        <v/>
      </c>
      <c r="S45" s="30" t="str">
        <f>IF(ISERROR(FIND($A$2,Lines!S45))=TRUE,"",Lines!S45)</f>
        <v/>
      </c>
      <c r="T45" s="30" t="str">
        <f>IF(ISERROR(FIND($A$2,Lines!T45))=TRUE,"",Lines!T45)</f>
        <v/>
      </c>
      <c r="U45" s="30" t="str">
        <f>IF(ISERROR(FIND($A$2,Lines!U45))=TRUE,"",Lines!U45)</f>
        <v/>
      </c>
      <c r="V45" s="30" t="str">
        <f>IF(ISERROR(FIND($A$2,Lines!V45))=TRUE,"",Lines!V45)</f>
        <v/>
      </c>
      <c r="W45" s="36" t="str">
        <f>IF(ISERROR(FIND($A$2,Lines!W45))=TRUE,"",Lines!W45)</f>
        <v/>
      </c>
      <c r="X45" s="30" t="str">
        <f>IF(ISERROR(FIND($A$2,Lines!X45))=TRUE,"",Lines!X45)</f>
        <v/>
      </c>
      <c r="Y45" s="30" t="str">
        <f>IF(ISERROR(FIND($A$2,Lines!Y45))=TRUE,"",Lines!Y45)</f>
        <v/>
      </c>
      <c r="Z45" s="30" t="str">
        <f>IF(ISERROR(FIND($A$2,Lines!Z45))=TRUE,"",Lines!Z45)</f>
        <v/>
      </c>
      <c r="AA45" s="30" t="str">
        <f>IF(ISERROR(FIND($A$2,Lines!AA45))=TRUE,"",Lines!AA45)</f>
        <v/>
      </c>
      <c r="AB45" s="30" t="str">
        <f>IF(ISERROR(FIND($A$2,Lines!AB45))=TRUE,"",Lines!AB45)</f>
        <v>500AC*4, ±800（山西晋北-南京8000MW）</v>
      </c>
      <c r="AC45" s="30" t="str">
        <f>IF(ISERROR(FIND($A$2,Lines!AC45))=TRUE,"",Lines!AC45)</f>
        <v/>
      </c>
      <c r="AD45" s="30" t="str">
        <f>IF(ISERROR(FIND($A$2,Lines!AD45))=TRUE,"",Lines!AD45)</f>
        <v/>
      </c>
      <c r="AE45" s="30" t="str">
        <f>IF(ISERROR(FIND($A$2,Lines!AE45))=TRUE,"",Lines!AE45)</f>
        <v/>
      </c>
      <c r="AF45" s="30" t="str">
        <f>IF(ISERROR(FIND($A$2,Lines!AF45))=TRUE,"",Lines!AF45)</f>
        <v/>
      </c>
      <c r="AG45" s="30" t="str">
        <f>IF(ISERROR(FIND($A$2,Lines!AG45))=TRUE,"",Lines!AG45)</f>
        <v/>
      </c>
      <c r="AH45" s="30" t="str">
        <f>IF(ISERROR(FIND($A$2,Lines!AH45))=TRUE,"",Lines!AH45)</f>
        <v/>
      </c>
      <c r="AI45" s="30" t="str">
        <f>IF(ISERROR(FIND($A$2,Lines!AI45))=TRUE,"",Lines!AI45)</f>
        <v/>
      </c>
      <c r="AJ45" s="30" t="str">
        <f>IF(ISERROR(FIND($A$2,Lines!AJ45))=TRUE,"",Lines!AJ45)</f>
        <v/>
      </c>
      <c r="AK45" s="30" t="str">
        <f>IF(ISERROR(FIND($A$2,Lines!AK45))=TRUE,"",Lines!AK45)</f>
        <v/>
      </c>
      <c r="AL45" s="30" t="str">
        <f>IF(ISERROR(FIND($A$2,Lines!AL45))=TRUE,"",Lines!AL45)</f>
        <v/>
      </c>
      <c r="AM45" s="30" t="str">
        <f>IF(ISERROR(FIND($A$2,Lines!AM45))=TRUE,"",Lines!AM45)</f>
        <v/>
      </c>
      <c r="AN45" s="30" t="str">
        <f>IF(ISERROR(FIND($A$2,Lines!AN45))=TRUE,"",Lines!AN45)</f>
        <v/>
      </c>
      <c r="AO45" s="30" t="str">
        <f>IF(ISERROR(FIND($A$2,Lines!AO45))=TRUE,"",Lines!AO45)</f>
        <v/>
      </c>
      <c r="AP45" s="57" t="str">
        <f>IF(ISERROR(FIND($A$2,Lines!AP45))=TRUE,"",Lines!AP45)</f>
        <v/>
      </c>
      <c r="AQ45" s="66" t="str">
        <f>IF(ISERROR(FIND($A$2,Lines!AQ45))=TRUE,"",Lines!AQ45)</f>
        <v/>
      </c>
      <c r="AR45" s="44" t="str">
        <f>IF(ISERROR(FIND($A$2,Lines!AR45))=TRUE,"",Lines!AR45)</f>
        <v/>
      </c>
      <c r="AS45" s="44" t="str">
        <f>IF(ISERROR(FIND($A$2,Lines!AS45))=TRUE,"",Lines!AS45)</f>
        <v/>
      </c>
      <c r="AT45" s="44" t="str">
        <f>IF(ISERROR(FIND($A$2,Lines!AT45))=TRUE,"",Lines!AT45)</f>
        <v/>
      </c>
    </row>
    <row r="46" spans="1:46" ht="20.25" customHeight="1">
      <c r="A46" s="2" t="s">
        <v>94</v>
      </c>
      <c r="B46" s="30" t="str">
        <f>IF(ISERROR(FIND($A$2,Lines!B46))=TRUE,"",Lines!B46)</f>
        <v/>
      </c>
      <c r="C46" s="30" t="str">
        <f>IF(ISERROR(FIND($A$2,Lines!C46))=TRUE,"",Lines!C46)</f>
        <v/>
      </c>
      <c r="D46" s="30" t="str">
        <f>IF(ISERROR(FIND($A$2,Lines!D46))=TRUE,"",Lines!D46)</f>
        <v/>
      </c>
      <c r="E46" s="30" t="str">
        <f>IF(ISERROR(FIND($A$2,Lines!E46))=TRUE,"",Lines!E46)</f>
        <v/>
      </c>
      <c r="F46" s="30" t="str">
        <f>IF(ISERROR(FIND($A$2,Lines!F46))=TRUE,"",Lines!F46)</f>
        <v/>
      </c>
      <c r="G46" s="30" t="str">
        <f>IF(ISERROR(FIND($A$2,Lines!G46))=TRUE,"",Lines!G46)</f>
        <v/>
      </c>
      <c r="H46" s="30" t="str">
        <f>IF(ISERROR(FIND($A$2,Lines!H46))=TRUE,"",Lines!H46)</f>
        <v/>
      </c>
      <c r="I46" s="30" t="str">
        <f>IF(ISERROR(FIND($A$2,Lines!I46))=TRUE,"",Lines!I46)</f>
        <v/>
      </c>
      <c r="J46" s="30" t="str">
        <f>IF(ISERROR(FIND($A$2,Lines!J46))=TRUE,"",Lines!J46)</f>
        <v/>
      </c>
      <c r="K46" s="30" t="str">
        <f>IF(ISERROR(FIND($A$2,Lines!K46))=TRUE,"",Lines!K46)</f>
        <v/>
      </c>
      <c r="L46" s="30" t="str">
        <f>IF(ISERROR(FIND($A$2,Lines!L46))=TRUE,"",Lines!L46)</f>
        <v/>
      </c>
      <c r="M46" s="30" t="str">
        <f>IF(ISERROR(FIND($A$2,Lines!M46))=TRUE,"",Lines!M46)</f>
        <v/>
      </c>
      <c r="N46" s="30" t="str">
        <f>IF(ISERROR(FIND($A$2,Lines!N46))=TRUE,"",Lines!N46)</f>
        <v/>
      </c>
      <c r="O46" s="30" t="str">
        <f>IF(ISERROR(FIND($A$2,Lines!O46))=TRUE,"",Lines!O46)</f>
        <v/>
      </c>
      <c r="P46" s="30" t="str">
        <f>IF(ISERROR(FIND($A$2,Lines!P46))=TRUE,"",Lines!P46)</f>
        <v/>
      </c>
      <c r="Q46" s="30" t="str">
        <f>IF(ISERROR(FIND($A$2,Lines!Q46))=TRUE,"",Lines!Q46)</f>
        <v/>
      </c>
      <c r="R46" s="30" t="str">
        <f>IF(ISERROR(FIND($A$2,Lines!R46))=TRUE,"",Lines!R46)</f>
        <v/>
      </c>
      <c r="S46" s="30" t="str">
        <f>IF(ISERROR(FIND($A$2,Lines!S46))=TRUE,"",Lines!S46)</f>
        <v/>
      </c>
      <c r="T46" s="30" t="str">
        <f>IF(ISERROR(FIND($A$2,Lines!T46))=TRUE,"",Lines!T46)</f>
        <v/>
      </c>
      <c r="U46" s="30" t="str">
        <f>IF(ISERROR(FIND($A$2,Lines!U46))=TRUE,"",Lines!U46)</f>
        <v/>
      </c>
      <c r="V46" s="30" t="str">
        <f>IF(ISERROR(FIND($A$2,Lines!V46))=TRUE,"",Lines!V46)</f>
        <v/>
      </c>
      <c r="W46" s="36" t="str">
        <f>IF(ISERROR(FIND($A$2,Lines!W46))=TRUE,"",Lines!W46)</f>
        <v/>
      </c>
      <c r="X46" s="30" t="str">
        <f>IF(ISERROR(FIND($A$2,Lines!X46))=TRUE,"",Lines!X46)</f>
        <v/>
      </c>
      <c r="Y46" s="30" t="str">
        <f>IF(ISERROR(FIND($A$2,Lines!Y46))=TRUE,"",Lines!Y46)</f>
        <v/>
      </c>
      <c r="Z46" s="30" t="str">
        <f>IF(ISERROR(FIND($A$2,Lines!Z46))=TRUE,"",Lines!Z46)</f>
        <v/>
      </c>
      <c r="AA46" s="30" t="str">
        <f>IF(ISERROR(FIND($A$2,Lines!AA46))=TRUE,"",Lines!AA46)</f>
        <v/>
      </c>
      <c r="AB46" s="30" t="str">
        <f>IF(ISERROR(FIND($A$2,Lines!AB46))=TRUE,"",Lines!AB46)</f>
        <v/>
      </c>
      <c r="AC46" s="30" t="str">
        <f>IF(ISERROR(FIND($A$2,Lines!AC46))=TRUE,"",Lines!AC46)</f>
        <v/>
      </c>
      <c r="AD46" s="30" t="str">
        <f>IF(ISERROR(FIND($A$2,Lines!AD46))=TRUE,"",Lines!AD46)</f>
        <v/>
      </c>
      <c r="AE46" s="30" t="str">
        <f>IF(ISERROR(FIND($A$2,Lines!AE46))=TRUE,"",Lines!AE46)</f>
        <v/>
      </c>
      <c r="AF46" s="30" t="str">
        <f>IF(ISERROR(FIND($A$2,Lines!AF46))=TRUE,"",Lines!AF46)</f>
        <v/>
      </c>
      <c r="AG46" s="30" t="str">
        <f>IF(ISERROR(FIND($A$2,Lines!AG46))=TRUE,"",Lines!AG46)</f>
        <v/>
      </c>
      <c r="AH46" s="30" t="str">
        <f>IF(ISERROR(FIND($A$2,Lines!AH46))=TRUE,"",Lines!AH46)</f>
        <v/>
      </c>
      <c r="AI46" s="30" t="str">
        <f>IF(ISERROR(FIND($A$2,Lines!AI46))=TRUE,"",Lines!AI46)</f>
        <v/>
      </c>
      <c r="AJ46" s="30" t="str">
        <f>IF(ISERROR(FIND($A$2,Lines!AJ46))=TRUE,"",Lines!AJ46)</f>
        <v/>
      </c>
      <c r="AK46" s="30" t="str">
        <f>IF(ISERROR(FIND($A$2,Lines!AK46))=TRUE,"",Lines!AK46)</f>
        <v/>
      </c>
      <c r="AL46" s="30" t="str">
        <f>IF(ISERROR(FIND($A$2,Lines!AL46))=TRUE,"",Lines!AL46)</f>
        <v/>
      </c>
      <c r="AM46" s="30" t="str">
        <f>IF(ISERROR(FIND($A$2,Lines!AM46))=TRUE,"",Lines!AM46)</f>
        <v/>
      </c>
      <c r="AN46" s="30" t="str">
        <f>IF(ISERROR(FIND($A$2,Lines!AN46))=TRUE,"",Lines!AN46)</f>
        <v/>
      </c>
      <c r="AO46" s="30" t="str">
        <f>IF(ISERROR(FIND($A$2,Lines!AO46))=TRUE,"",Lines!AO46)</f>
        <v/>
      </c>
      <c r="AP46" s="57" t="str">
        <f>IF(ISERROR(FIND($A$2,Lines!AP46))=TRUE,"",Lines!AP46)</f>
        <v/>
      </c>
      <c r="AQ46" s="44" t="str">
        <f>IF(ISERROR(FIND($A$2,Lines!AQ46))=TRUE,"",Lines!AQ46)</f>
        <v/>
      </c>
      <c r="AR46" s="66" t="str">
        <f>IF(ISERROR(FIND($A$2,Lines!AR46))=TRUE,"",Lines!AR46)</f>
        <v/>
      </c>
      <c r="AS46" s="44" t="str">
        <f>IF(ISERROR(FIND($A$2,Lines!AS46))=TRUE,"",Lines!AS46)</f>
        <v/>
      </c>
      <c r="AT46" s="44" t="str">
        <f>IF(ISERROR(FIND($A$2,Lines!AT46))=TRUE,"",Lines!AT46)</f>
        <v/>
      </c>
    </row>
    <row r="47" spans="1:46" ht="20.25" customHeight="1">
      <c r="A47" s="2" t="s">
        <v>95</v>
      </c>
      <c r="B47" s="30" t="str">
        <f>IF(ISERROR(FIND($A$2,Lines!B47))=TRUE,"",Lines!B47)</f>
        <v/>
      </c>
      <c r="C47" s="30" t="str">
        <f>IF(ISERROR(FIND($A$2,Lines!C47))=TRUE,"",Lines!C47)</f>
        <v/>
      </c>
      <c r="D47" s="30" t="str">
        <f>IF(ISERROR(FIND($A$2,Lines!D47))=TRUE,"",Lines!D47)</f>
        <v/>
      </c>
      <c r="E47" s="30" t="str">
        <f>IF(ISERROR(FIND($A$2,Lines!E47))=TRUE,"",Lines!E47)</f>
        <v/>
      </c>
      <c r="F47" s="30" t="str">
        <f>IF(ISERROR(FIND($A$2,Lines!F47))=TRUE,"",Lines!F47)</f>
        <v/>
      </c>
      <c r="G47" s="30" t="str">
        <f>IF(ISERROR(FIND($A$2,Lines!G47))=TRUE,"",Lines!G47)</f>
        <v/>
      </c>
      <c r="H47" s="30" t="str">
        <f>IF(ISERROR(FIND($A$2,Lines!H47))=TRUE,"",Lines!H47)</f>
        <v/>
      </c>
      <c r="I47" s="30" t="str">
        <f>IF(ISERROR(FIND($A$2,Lines!I47))=TRUE,"",Lines!I47)</f>
        <v/>
      </c>
      <c r="J47" s="30" t="str">
        <f>IF(ISERROR(FIND($A$2,Lines!J47))=TRUE,"",Lines!J47)</f>
        <v/>
      </c>
      <c r="K47" s="30" t="str">
        <f>IF(ISERROR(FIND($A$2,Lines!K47))=TRUE,"",Lines!K47)</f>
        <v/>
      </c>
      <c r="L47" s="30" t="str">
        <f>IF(ISERROR(FIND($A$2,Lines!L47))=TRUE,"",Lines!L47)</f>
        <v/>
      </c>
      <c r="M47" s="30" t="str">
        <f>IF(ISERROR(FIND($A$2,Lines!M47))=TRUE,"",Lines!M47)</f>
        <v/>
      </c>
      <c r="N47" s="30" t="str">
        <f>IF(ISERROR(FIND($A$2,Lines!N47))=TRUE,"",Lines!N47)</f>
        <v/>
      </c>
      <c r="O47" s="30" t="str">
        <f>IF(ISERROR(FIND($A$2,Lines!O47))=TRUE,"",Lines!O47)</f>
        <v/>
      </c>
      <c r="P47" s="30" t="str">
        <f>IF(ISERROR(FIND($A$2,Lines!P47))=TRUE,"",Lines!P47)</f>
        <v/>
      </c>
      <c r="Q47" s="30" t="str">
        <f>IF(ISERROR(FIND($A$2,Lines!Q47))=TRUE,"",Lines!Q47)</f>
        <v/>
      </c>
      <c r="R47" s="30" t="str">
        <f>IF(ISERROR(FIND($A$2,Lines!R47))=TRUE,"",Lines!R47)</f>
        <v/>
      </c>
      <c r="S47" s="30" t="str">
        <f>IF(ISERROR(FIND($A$2,Lines!S47))=TRUE,"",Lines!S47)</f>
        <v/>
      </c>
      <c r="T47" s="30" t="str">
        <f>IF(ISERROR(FIND($A$2,Lines!T47))=TRUE,"",Lines!T47)</f>
        <v/>
      </c>
      <c r="U47" s="30" t="str">
        <f>IF(ISERROR(FIND($A$2,Lines!U47))=TRUE,"",Lines!U47)</f>
        <v/>
      </c>
      <c r="V47" s="30" t="str">
        <f>IF(ISERROR(FIND($A$2,Lines!V47))=TRUE,"",Lines!V47)</f>
        <v/>
      </c>
      <c r="W47" s="36" t="str">
        <f>IF(ISERROR(FIND($A$2,Lines!W47))=TRUE,"",Lines!W47)</f>
        <v/>
      </c>
      <c r="X47" s="30" t="str">
        <f>IF(ISERROR(FIND($A$2,Lines!X47))=TRUE,"",Lines!X47)</f>
        <v/>
      </c>
      <c r="Y47" s="30" t="str">
        <f>IF(ISERROR(FIND($A$2,Lines!Y47))=TRUE,"",Lines!Y47)</f>
        <v/>
      </c>
      <c r="Z47" s="30" t="str">
        <f>IF(ISERROR(FIND($A$2,Lines!Z47))=TRUE,"",Lines!Z47)</f>
        <v/>
      </c>
      <c r="AA47" s="30" t="str">
        <f>IF(ISERROR(FIND($A$2,Lines!AA47))=TRUE,"",Lines!AA47)</f>
        <v/>
      </c>
      <c r="AB47" s="30" t="str">
        <f>IF(ISERROR(FIND($A$2,Lines!AB47))=TRUE,"",Lines!AB47)</f>
        <v/>
      </c>
      <c r="AC47" s="30" t="str">
        <f>IF(ISERROR(FIND($A$2,Lines!AC47))=TRUE,"",Lines!AC47)</f>
        <v/>
      </c>
      <c r="AD47" s="30" t="str">
        <f>IF(ISERROR(FIND($A$2,Lines!AD47))=TRUE,"",Lines!AD47)</f>
        <v/>
      </c>
      <c r="AE47" s="30" t="str">
        <f>IF(ISERROR(FIND($A$2,Lines!AE47))=TRUE,"",Lines!AE47)</f>
        <v/>
      </c>
      <c r="AF47" s="30" t="str">
        <f>IF(ISERROR(FIND($A$2,Lines!AF47))=TRUE,"",Lines!AF47)</f>
        <v/>
      </c>
      <c r="AG47" s="30" t="str">
        <f>IF(ISERROR(FIND($A$2,Lines!AG47))=TRUE,"",Lines!AG47)</f>
        <v/>
      </c>
      <c r="AH47" s="30" t="str">
        <f>IF(ISERROR(FIND($A$2,Lines!AH47))=TRUE,"",Lines!AH47)</f>
        <v/>
      </c>
      <c r="AI47" s="30" t="str">
        <f>IF(ISERROR(FIND($A$2,Lines!AI47))=TRUE,"",Lines!AI47)</f>
        <v/>
      </c>
      <c r="AJ47" s="30" t="str">
        <f>IF(ISERROR(FIND($A$2,Lines!AJ47))=TRUE,"",Lines!AJ47)</f>
        <v>±800锦屏-苏南（7200MW）</v>
      </c>
      <c r="AK47" s="30" t="str">
        <f>IF(ISERROR(FIND($A$2,Lines!AK47))=TRUE,"",Lines!AK47)</f>
        <v/>
      </c>
      <c r="AL47" s="30" t="str">
        <f>IF(ISERROR(FIND($A$2,Lines!AL47))=TRUE,"",Lines!AL47)</f>
        <v/>
      </c>
      <c r="AM47" s="30" t="str">
        <f>IF(ISERROR(FIND($A$2,Lines!AM47))=TRUE,"",Lines!AM47)</f>
        <v/>
      </c>
      <c r="AN47" s="30" t="str">
        <f>IF(ISERROR(FIND($A$2,Lines!AN47))=TRUE,"",Lines!AN47)</f>
        <v/>
      </c>
      <c r="AO47" s="30" t="str">
        <f>IF(ISERROR(FIND($A$2,Lines!AO47))=TRUE,"",Lines!AO47)</f>
        <v/>
      </c>
      <c r="AP47" s="57" t="str">
        <f>IF(ISERROR(FIND($A$2,Lines!AP47))=TRUE,"",Lines!AP47)</f>
        <v/>
      </c>
      <c r="AQ47" s="44" t="str">
        <f>IF(ISERROR(FIND($A$2,Lines!AQ47))=TRUE,"",Lines!AQ47)</f>
        <v/>
      </c>
      <c r="AR47" s="44" t="str">
        <f>IF(ISERROR(FIND($A$2,Lines!AR47))=TRUE,"",Lines!AR47)</f>
        <v/>
      </c>
      <c r="AS47" s="66" t="str">
        <f>IF(ISERROR(FIND($A$2,Lines!AS47))=TRUE,"",Lines!AS47)</f>
        <v/>
      </c>
      <c r="AT47" s="44" t="str">
        <f>IF(ISERROR(FIND($A$2,Lines!AT47))=TRUE,"",Lines!AT47)</f>
        <v/>
      </c>
    </row>
    <row r="48" spans="1:46" ht="20.25" customHeight="1">
      <c r="A48" s="2" t="s">
        <v>96</v>
      </c>
      <c r="B48" s="30" t="str">
        <f>IF(ISERROR(FIND($A$2,Lines!B48))=TRUE,"",Lines!B48)</f>
        <v/>
      </c>
      <c r="C48" s="30" t="str">
        <f>IF(ISERROR(FIND($A$2,Lines!C48))=TRUE,"",Lines!C48)</f>
        <v/>
      </c>
      <c r="D48" s="30" t="str">
        <f>IF(ISERROR(FIND($A$2,Lines!D48))=TRUE,"",Lines!D48)</f>
        <v/>
      </c>
      <c r="E48" s="30" t="str">
        <f>IF(ISERROR(FIND($A$2,Lines!E48))=TRUE,"",Lines!E48)</f>
        <v/>
      </c>
      <c r="F48" s="30" t="str">
        <f>IF(ISERROR(FIND($A$2,Lines!F48))=TRUE,"",Lines!F48)</f>
        <v/>
      </c>
      <c r="G48" s="30" t="str">
        <f>IF(ISERROR(FIND($A$2,Lines!G48))=TRUE,"",Lines!G48)</f>
        <v/>
      </c>
      <c r="H48" s="30" t="str">
        <f>IF(ISERROR(FIND($A$2,Lines!H48))=TRUE,"",Lines!H48)</f>
        <v/>
      </c>
      <c r="I48" s="30" t="str">
        <f>IF(ISERROR(FIND($A$2,Lines!I48))=TRUE,"",Lines!I48)</f>
        <v/>
      </c>
      <c r="J48" s="30" t="str">
        <f>IF(ISERROR(FIND($A$2,Lines!J48))=TRUE,"",Lines!J48)</f>
        <v/>
      </c>
      <c r="K48" s="30" t="str">
        <f>IF(ISERROR(FIND($A$2,Lines!K48))=TRUE,"",Lines!K48)</f>
        <v/>
      </c>
      <c r="L48" s="30" t="str">
        <f>IF(ISERROR(FIND($A$2,Lines!L48))=TRUE,"",Lines!L48)</f>
        <v/>
      </c>
      <c r="M48" s="30" t="str">
        <f>IF(ISERROR(FIND($A$2,Lines!M48))=TRUE,"",Lines!M48)</f>
        <v/>
      </c>
      <c r="N48" s="30" t="str">
        <f>IF(ISERROR(FIND($A$2,Lines!N48))=TRUE,"",Lines!N48)</f>
        <v/>
      </c>
      <c r="O48" s="30" t="str">
        <f>IF(ISERROR(FIND($A$2,Lines!O48))=TRUE,"",Lines!O48)</f>
        <v/>
      </c>
      <c r="P48" s="30" t="str">
        <f>IF(ISERROR(FIND($A$2,Lines!P48))=TRUE,"",Lines!P48)</f>
        <v/>
      </c>
      <c r="Q48" s="30" t="str">
        <f>IF(ISERROR(FIND($A$2,Lines!Q48))=TRUE,"",Lines!Q48)</f>
        <v/>
      </c>
      <c r="R48" s="30" t="str">
        <f>IF(ISERROR(FIND($A$2,Lines!R48))=TRUE,"",Lines!R48)</f>
        <v/>
      </c>
      <c r="S48" s="30" t="str">
        <f>IF(ISERROR(FIND($A$2,Lines!S48))=TRUE,"",Lines!S48)</f>
        <v/>
      </c>
      <c r="T48" s="30" t="str">
        <f>IF(ISERROR(FIND($A$2,Lines!T48))=TRUE,"",Lines!T48)</f>
        <v>±800宁东-浙江（8000MW）</v>
      </c>
      <c r="U48" s="30" t="str">
        <f>IF(ISERROR(FIND($A$2,Lines!U48))=TRUE,"",Lines!U48)</f>
        <v/>
      </c>
      <c r="V48" s="30" t="str">
        <f>IF(ISERROR(FIND($A$2,Lines!V48))=TRUE,"",Lines!V48)</f>
        <v/>
      </c>
      <c r="W48" s="36" t="str">
        <f>IF(ISERROR(FIND($A$2,Lines!W48))=TRUE,"",Lines!W48)</f>
        <v/>
      </c>
      <c r="X48" s="30" t="str">
        <f>IF(ISERROR(FIND($A$2,Lines!X48))=TRUE,"",Lines!X48)</f>
        <v/>
      </c>
      <c r="Y48" s="30" t="str">
        <f>IF(ISERROR(FIND($A$2,Lines!Y48))=TRUE,"",Lines!Y48)</f>
        <v/>
      </c>
      <c r="Z48" s="30" t="str">
        <f>IF(ISERROR(FIND($A$2,Lines!Z48))=TRUE,"",Lines!Z48)</f>
        <v/>
      </c>
      <c r="AA48" s="30" t="str">
        <f>IF(ISERROR(FIND($A$2,Lines!AA48))=TRUE,"",Lines!AA48)</f>
        <v/>
      </c>
      <c r="AB48" s="30" t="str">
        <f>IF(ISERROR(FIND($A$2,Lines!AB48))=TRUE,"",Lines!AB48)</f>
        <v/>
      </c>
      <c r="AC48" s="30" t="str">
        <f>IF(ISERROR(FIND($A$2,Lines!AC48))=TRUE,"",Lines!AC48)</f>
        <v/>
      </c>
      <c r="AD48" s="30" t="str">
        <f>IF(ISERROR(FIND($A$2,Lines!AD48))=TRUE,"",Lines!AD48)</f>
        <v/>
      </c>
      <c r="AE48" s="30" t="str">
        <f>IF(ISERROR(FIND($A$2,Lines!AE48))=TRUE,"",Lines!AE48)</f>
        <v/>
      </c>
      <c r="AF48" s="30" t="str">
        <f>IF(ISERROR(FIND($A$2,Lines!AF48))=TRUE,"",Lines!AF48)</f>
        <v/>
      </c>
      <c r="AG48" s="30" t="str">
        <f>IF(ISERROR(FIND($A$2,Lines!AG48))=TRUE,"",Lines!AG48)</f>
        <v/>
      </c>
      <c r="AH48" s="30" t="str">
        <f>IF(ISERROR(FIND($A$2,Lines!AH48))=TRUE,"",Lines!AH48)</f>
        <v/>
      </c>
      <c r="AI48" s="30" t="str">
        <f>IF(ISERROR(FIND($A$2,Lines!AI48))=TRUE,"",Lines!AI48)</f>
        <v/>
      </c>
      <c r="AJ48" s="30" t="str">
        <f>IF(ISERROR(FIND($A$2,Lines!AJ48))=TRUE,"",Lines!AJ48)</f>
        <v>±800(溪洛渡左岸—浙江金华8000MW)+±500江城直流（3000MW）</v>
      </c>
      <c r="AK48" s="30" t="str">
        <f>IF(ISERROR(FIND($A$2,Lines!AK48))=TRUE,"",Lines!AK48)</f>
        <v/>
      </c>
      <c r="AL48" s="30" t="str">
        <f>IF(ISERROR(FIND($A$2,Lines!AL48))=TRUE,"",Lines!AL48)</f>
        <v/>
      </c>
      <c r="AM48" s="30" t="str">
        <f>IF(ISERROR(FIND($A$2,Lines!AM48))=TRUE,"",Lines!AM48)</f>
        <v/>
      </c>
      <c r="AN48" s="30" t="str">
        <f>IF(ISERROR(FIND($A$2,Lines!AN48))=TRUE,"",Lines!AN48)</f>
        <v/>
      </c>
      <c r="AO48" s="30" t="str">
        <f>IF(ISERROR(FIND($A$2,Lines!AO48))=TRUE,"",Lines!AO48)</f>
        <v/>
      </c>
      <c r="AP48" s="57" t="str">
        <f>IF(ISERROR(FIND($A$2,Lines!AP48))=TRUE,"",Lines!AP48)</f>
        <v/>
      </c>
      <c r="AQ48" s="44" t="str">
        <f>IF(ISERROR(FIND($A$2,Lines!AQ48))=TRUE,"",Lines!AQ48)</f>
        <v/>
      </c>
      <c r="AR48" s="44" t="str">
        <f>IF(ISERROR(FIND($A$2,Lines!AR48))=TRUE,"",Lines!AR48)</f>
        <v/>
      </c>
      <c r="AS48" s="44" t="str">
        <f>IF(ISERROR(FIND($A$2,Lines!AS48))=TRUE,"",Lines!AS48)</f>
        <v/>
      </c>
      <c r="AT48" s="66" t="str">
        <f>IF(ISERROR(FIND($A$2,Lines!AT48))=TRUE,"",Lines!AT48)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57"/>
  <sheetViews>
    <sheetView zoomScale="113" zoomScaleNormal="190" zoomScalePageLayoutView="190" workbookViewId="0">
      <selection activeCell="F5" sqref="F5"/>
    </sheetView>
  </sheetViews>
  <sheetFormatPr baseColWidth="10" defaultColWidth="4.5" defaultRowHeight="20.25" customHeight="1"/>
  <cols>
    <col min="1" max="1" width="9.33203125" customWidth="1"/>
  </cols>
  <sheetData>
    <row r="1" spans="1:46" ht="20.25" customHeight="1">
      <c r="B1" s="234" t="s">
        <v>108</v>
      </c>
      <c r="C1" s="234"/>
      <c r="D1" s="234"/>
      <c r="E1" s="234"/>
      <c r="F1" s="234"/>
      <c r="G1" s="1"/>
    </row>
    <row r="2" spans="1:46" ht="20.25" customHeight="1">
      <c r="B2" s="1"/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63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  <c r="N4" s="30"/>
      <c r="O4" s="30"/>
      <c r="P4" s="30"/>
      <c r="Q4" s="30"/>
      <c r="R4" s="30"/>
      <c r="S4" s="30"/>
      <c r="T4" s="30"/>
      <c r="U4" s="30"/>
      <c r="V4" s="30"/>
      <c r="W4" s="36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1:46" ht="20.25" customHeight="1">
      <c r="A5" s="2" t="s">
        <v>56</v>
      </c>
      <c r="B5" s="26"/>
      <c r="C5" s="63"/>
      <c r="D5" s="26"/>
      <c r="E5" s="26"/>
      <c r="F5" s="26"/>
      <c r="G5" s="26"/>
      <c r="H5" s="26"/>
      <c r="I5" s="26"/>
      <c r="J5" s="26"/>
      <c r="K5" s="26"/>
      <c r="L5" s="26"/>
      <c r="M5" s="27"/>
      <c r="N5" s="30"/>
      <c r="O5" s="30"/>
      <c r="P5" s="30"/>
      <c r="Q5" s="30"/>
      <c r="R5" s="30"/>
      <c r="S5" s="30"/>
      <c r="T5" s="30"/>
      <c r="U5" s="30"/>
      <c r="V5" s="30"/>
      <c r="W5" s="36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</row>
    <row r="6" spans="1:46" ht="20.25" customHeight="1">
      <c r="A6" s="2" t="s">
        <v>57</v>
      </c>
      <c r="B6" s="26"/>
      <c r="C6" s="26"/>
      <c r="D6" s="63"/>
      <c r="E6" s="26"/>
      <c r="F6" s="26"/>
      <c r="G6" s="26"/>
      <c r="H6" s="26"/>
      <c r="I6" s="26"/>
      <c r="J6" s="26"/>
      <c r="K6" s="26"/>
      <c r="L6" s="26"/>
      <c r="M6" s="27"/>
      <c r="N6" s="30"/>
      <c r="O6" s="30"/>
      <c r="P6" s="30"/>
      <c r="Q6" s="30"/>
      <c r="R6" s="30"/>
      <c r="S6" s="30"/>
      <c r="T6" s="30"/>
      <c r="U6" s="30"/>
      <c r="V6" s="30"/>
      <c r="W6" s="36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</row>
    <row r="7" spans="1:46" ht="20.25" customHeight="1">
      <c r="A7" s="2" t="s">
        <v>58</v>
      </c>
      <c r="B7" s="26"/>
      <c r="C7" s="26"/>
      <c r="D7" s="26"/>
      <c r="E7" s="63"/>
      <c r="F7" s="26"/>
      <c r="G7" s="26"/>
      <c r="H7" s="26"/>
      <c r="I7" s="26"/>
      <c r="J7" s="26"/>
      <c r="K7" s="26"/>
      <c r="L7" s="26"/>
      <c r="M7" s="27"/>
      <c r="N7" s="30"/>
      <c r="O7" s="30"/>
      <c r="P7" s="30"/>
      <c r="Q7" s="30"/>
      <c r="R7" s="30"/>
      <c r="S7" s="30"/>
      <c r="T7" s="30"/>
      <c r="U7" s="30"/>
      <c r="V7" s="30"/>
      <c r="W7" s="36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</row>
    <row r="8" spans="1:46" ht="20.25" customHeight="1">
      <c r="A8" s="2" t="s">
        <v>59</v>
      </c>
      <c r="B8" s="26"/>
      <c r="C8" s="26"/>
      <c r="D8" s="26"/>
      <c r="E8" s="26"/>
      <c r="F8" s="63"/>
      <c r="G8" s="26"/>
      <c r="H8" s="26"/>
      <c r="I8" s="26"/>
      <c r="J8" s="26"/>
      <c r="K8" s="26"/>
      <c r="L8" s="26"/>
      <c r="M8" s="27"/>
      <c r="N8" s="30"/>
      <c r="O8" s="30"/>
      <c r="P8" s="30"/>
      <c r="Q8" s="30"/>
      <c r="R8" s="30"/>
      <c r="S8" s="30"/>
      <c r="T8" s="30"/>
      <c r="U8" s="30"/>
      <c r="V8" s="30"/>
      <c r="W8" s="36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1:46" ht="20.25" customHeight="1">
      <c r="A9" s="2" t="s">
        <v>60</v>
      </c>
      <c r="B9" s="26"/>
      <c r="C9" s="26"/>
      <c r="D9" s="26"/>
      <c r="E9" s="26"/>
      <c r="F9" s="26"/>
      <c r="G9" s="63"/>
      <c r="H9" s="26"/>
      <c r="I9" s="26"/>
      <c r="J9" s="26"/>
      <c r="K9" s="26"/>
      <c r="L9" s="26"/>
      <c r="M9" s="27"/>
      <c r="N9" s="30"/>
      <c r="O9" s="30"/>
      <c r="P9" s="30"/>
      <c r="Q9" s="30"/>
      <c r="R9" s="30"/>
      <c r="S9" s="30"/>
      <c r="T9" s="30"/>
      <c r="U9" s="30"/>
      <c r="V9" s="30"/>
      <c r="W9" s="36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</row>
    <row r="10" spans="1:46" ht="20.25" customHeight="1">
      <c r="A10" s="2" t="s">
        <v>61</v>
      </c>
      <c r="B10" s="26"/>
      <c r="C10" s="26"/>
      <c r="D10" s="26"/>
      <c r="E10" s="26"/>
      <c r="F10" s="26"/>
      <c r="G10" s="26"/>
      <c r="H10" s="63"/>
      <c r="I10" s="26"/>
      <c r="J10" s="26"/>
      <c r="K10" s="26"/>
      <c r="L10" s="26"/>
      <c r="M10" s="27"/>
      <c r="N10" s="30"/>
      <c r="O10" s="30"/>
      <c r="P10" s="30"/>
      <c r="Q10" s="30"/>
      <c r="R10" s="30"/>
      <c r="S10" s="30"/>
      <c r="T10" s="30"/>
      <c r="U10" s="30"/>
      <c r="V10" s="30"/>
      <c r="W10" s="36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</row>
    <row r="11" spans="1:46" ht="20.25" customHeight="1">
      <c r="A11" s="2" t="s">
        <v>54</v>
      </c>
      <c r="B11" s="26"/>
      <c r="C11" s="26"/>
      <c r="D11" s="26"/>
      <c r="E11" s="26"/>
      <c r="F11" s="26"/>
      <c r="G11" s="26"/>
      <c r="H11" s="26"/>
      <c r="I11" s="63"/>
      <c r="J11" s="26"/>
      <c r="K11" s="26"/>
      <c r="L11" s="26"/>
      <c r="M11" s="27"/>
      <c r="N11" s="30"/>
      <c r="O11" s="30"/>
      <c r="P11" s="30"/>
      <c r="Q11" s="30"/>
      <c r="R11" s="30"/>
      <c r="S11" s="30"/>
      <c r="T11" s="30"/>
      <c r="U11" s="30"/>
      <c r="V11" s="30"/>
      <c r="W11" s="36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</row>
    <row r="12" spans="1:46" ht="20.25" customHeight="1">
      <c r="A12" s="2" t="s">
        <v>62</v>
      </c>
      <c r="B12" s="26"/>
      <c r="C12" s="26"/>
      <c r="D12" s="26"/>
      <c r="E12" s="26"/>
      <c r="F12" s="26"/>
      <c r="G12" s="26"/>
      <c r="H12" s="26"/>
      <c r="I12" s="26"/>
      <c r="J12" s="63"/>
      <c r="K12" s="26"/>
      <c r="L12" s="26"/>
      <c r="M12" s="69"/>
      <c r="N12" s="30"/>
      <c r="O12" s="30"/>
      <c r="P12" s="30"/>
      <c r="Q12" s="30"/>
      <c r="R12" s="30"/>
      <c r="S12" s="30"/>
      <c r="T12" s="30"/>
      <c r="U12" s="30"/>
      <c r="V12" s="30"/>
      <c r="W12" s="36"/>
      <c r="X12" s="30">
        <v>1.5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 spans="1:46" ht="20.25" customHeight="1">
      <c r="A13" s="2" t="s">
        <v>63</v>
      </c>
      <c r="B13" s="26"/>
      <c r="C13" s="26"/>
      <c r="D13" s="26"/>
      <c r="E13" s="26"/>
      <c r="F13" s="26"/>
      <c r="G13" s="26"/>
      <c r="H13" s="26"/>
      <c r="I13" s="26"/>
      <c r="J13" s="26"/>
      <c r="K13" s="63"/>
      <c r="L13" s="26"/>
      <c r="M13" s="27"/>
      <c r="N13" s="30"/>
      <c r="O13" s="30"/>
      <c r="P13" s="30"/>
      <c r="Q13" s="30"/>
      <c r="R13" s="30"/>
      <c r="S13" s="30"/>
      <c r="T13" s="30"/>
      <c r="U13" s="30"/>
      <c r="V13" s="30"/>
      <c r="W13" s="36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 spans="1:46" ht="20.25" customHeight="1">
      <c r="A14" s="2" t="s">
        <v>64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63"/>
      <c r="M14" s="27"/>
      <c r="N14" s="30"/>
      <c r="O14" s="30"/>
      <c r="P14" s="30"/>
      <c r="Q14" s="30"/>
      <c r="R14" s="30"/>
      <c r="S14" s="30"/>
      <c r="T14" s="30"/>
      <c r="U14" s="30"/>
      <c r="V14" s="30"/>
      <c r="W14" s="36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 spans="1:46" ht="20.25" customHeight="1">
      <c r="A15" s="2" t="s">
        <v>65</v>
      </c>
      <c r="B15" s="33"/>
      <c r="C15" s="33"/>
      <c r="D15" s="33"/>
      <c r="E15" s="33"/>
      <c r="F15" s="33"/>
      <c r="G15" s="33"/>
      <c r="H15" s="33"/>
      <c r="I15" s="33"/>
      <c r="J15" s="68"/>
      <c r="K15" s="33"/>
      <c r="L15" s="33"/>
      <c r="M15" s="64"/>
      <c r="N15" s="30"/>
      <c r="O15" s="30"/>
      <c r="P15" s="30"/>
      <c r="Q15" s="30"/>
      <c r="R15" s="30"/>
      <c r="S15" s="30"/>
      <c r="T15" s="30"/>
      <c r="U15" s="30"/>
      <c r="V15" s="30"/>
      <c r="W15" s="36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ht="20.25" customHeight="1">
      <c r="A16" s="2" t="s">
        <v>12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65"/>
      <c r="O16" s="32"/>
      <c r="P16" s="29"/>
      <c r="Q16" s="29"/>
      <c r="R16" s="29"/>
      <c r="S16" s="29"/>
      <c r="T16" s="29"/>
      <c r="U16" s="29"/>
      <c r="V16" s="34"/>
      <c r="W16" s="36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 spans="1:46" ht="20.25" customHeight="1">
      <c r="A17" s="2" t="s">
        <v>13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2"/>
      <c r="O17" s="66"/>
      <c r="P17" s="25"/>
      <c r="Q17" s="25"/>
      <c r="R17" s="25"/>
      <c r="S17" s="25"/>
      <c r="T17" s="25"/>
      <c r="U17" s="25"/>
      <c r="V17" s="35"/>
      <c r="W17" s="36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45"/>
      <c r="AK17" s="30"/>
      <c r="AL17" s="30"/>
      <c r="AM17" s="30"/>
      <c r="AN17" s="30"/>
      <c r="AO17" s="30"/>
      <c r="AP17" s="30"/>
      <c r="AQ17" s="30"/>
      <c r="AR17" s="30"/>
      <c r="AS17" s="30"/>
      <c r="AT17" s="30"/>
    </row>
    <row r="18" spans="1:46" ht="20.25" customHeight="1">
      <c r="A18" s="2" t="s">
        <v>66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2"/>
      <c r="O18" s="25"/>
      <c r="P18" s="66"/>
      <c r="Q18" s="25"/>
      <c r="R18" s="25"/>
      <c r="S18" s="25"/>
      <c r="T18" s="25"/>
      <c r="U18" s="25"/>
      <c r="V18" s="35"/>
      <c r="W18" s="36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6" ht="20.25" customHeight="1">
      <c r="A19" s="2" t="s">
        <v>67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2"/>
      <c r="O19" s="25"/>
      <c r="P19" s="25"/>
      <c r="Q19" s="66"/>
      <c r="R19" s="25"/>
      <c r="S19" s="25"/>
      <c r="T19" s="25"/>
      <c r="U19" s="25"/>
      <c r="V19" s="35"/>
      <c r="W19" s="36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6" ht="20.25" customHeight="1">
      <c r="A20" s="2" t="s">
        <v>68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2"/>
      <c r="O20" s="25"/>
      <c r="P20" s="25"/>
      <c r="Q20" s="25"/>
      <c r="R20" s="66"/>
      <c r="S20" s="25"/>
      <c r="T20" s="25"/>
      <c r="U20" s="25"/>
      <c r="V20" s="35"/>
      <c r="W20" s="36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ht="20.25" customHeight="1">
      <c r="A21" s="2" t="s">
        <v>69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2"/>
      <c r="O21" s="25"/>
      <c r="P21" s="25"/>
      <c r="Q21" s="25"/>
      <c r="R21" s="25"/>
      <c r="S21" s="66"/>
      <c r="T21" s="25"/>
      <c r="U21" s="25"/>
      <c r="V21" s="35"/>
      <c r="W21" s="36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46" ht="20.25" customHeight="1">
      <c r="A22" s="2" t="s">
        <v>70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2"/>
      <c r="O22" s="25"/>
      <c r="P22" s="25"/>
      <c r="Q22" s="25"/>
      <c r="R22" s="25"/>
      <c r="S22" s="25"/>
      <c r="T22" s="66"/>
      <c r="U22" s="25"/>
      <c r="V22" s="35"/>
      <c r="W22" s="36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ht="20.25" customHeight="1">
      <c r="A23" s="2" t="s">
        <v>71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2"/>
      <c r="O23" s="25"/>
      <c r="P23" s="25"/>
      <c r="Q23" s="25"/>
      <c r="R23" s="25"/>
      <c r="S23" s="25"/>
      <c r="T23" s="25"/>
      <c r="U23" s="66"/>
      <c r="V23" s="35"/>
      <c r="W23" s="36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 spans="1:46" ht="20.25" customHeight="1">
      <c r="A24" s="2" t="s">
        <v>72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7"/>
      <c r="O24" s="38"/>
      <c r="P24" s="38"/>
      <c r="Q24" s="38"/>
      <c r="R24" s="38"/>
      <c r="S24" s="38"/>
      <c r="T24" s="38"/>
      <c r="U24" s="38"/>
      <c r="V24" s="67"/>
      <c r="W24" s="36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 spans="1:46" ht="20.25" customHeight="1">
      <c r="A25" s="2" t="s">
        <v>73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1:46" ht="20.25" customHeight="1">
      <c r="A26" s="2" t="s">
        <v>74</v>
      </c>
      <c r="B26" s="30"/>
      <c r="C26" s="30"/>
      <c r="D26" s="30"/>
      <c r="E26" s="30"/>
      <c r="F26" s="30"/>
      <c r="G26" s="30"/>
      <c r="H26" s="30"/>
      <c r="I26" s="30"/>
      <c r="J26" s="70">
        <v>1.5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65"/>
      <c r="Y26" s="39"/>
      <c r="Z26" s="39"/>
      <c r="AA26" s="39"/>
      <c r="AB26" s="39"/>
      <c r="AC26" s="39"/>
      <c r="AD26" s="52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 spans="1:46" ht="20.25" customHeight="1">
      <c r="A27" s="2" t="s">
        <v>75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6"/>
      <c r="X27" s="40"/>
      <c r="Y27" s="66"/>
      <c r="Z27" s="41"/>
      <c r="AA27" s="41"/>
      <c r="AB27" s="41"/>
      <c r="AC27" s="41"/>
      <c r="AD27" s="46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 spans="1:46" ht="20.25" customHeight="1">
      <c r="A28" s="2" t="s">
        <v>76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6"/>
      <c r="X28" s="40"/>
      <c r="Y28" s="41"/>
      <c r="Z28" s="66"/>
      <c r="AA28" s="41"/>
      <c r="AB28" s="41"/>
      <c r="AC28" s="41"/>
      <c r="AD28" s="46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 spans="1:46" ht="20.25" customHeight="1">
      <c r="A29" s="2" t="s">
        <v>77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6"/>
      <c r="X29" s="39"/>
      <c r="Y29" s="41"/>
      <c r="Z29" s="41"/>
      <c r="AA29" s="66"/>
      <c r="AB29" s="41"/>
      <c r="AC29" s="41"/>
      <c r="AD29" s="46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 spans="1:46" ht="20.25" customHeight="1">
      <c r="A30" s="2" t="s">
        <v>78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6"/>
      <c r="X30" s="40"/>
      <c r="Y30" s="41"/>
      <c r="Z30" s="41"/>
      <c r="AA30" s="41"/>
      <c r="AB30" s="66"/>
      <c r="AC30" s="41"/>
      <c r="AD30" s="53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spans="1:46" ht="20.25" customHeight="1">
      <c r="A31" s="2" t="s">
        <v>79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6"/>
      <c r="X31" s="39"/>
      <c r="Y31" s="41"/>
      <c r="Z31" s="41"/>
      <c r="AA31" s="41"/>
      <c r="AB31" s="41"/>
      <c r="AC31" s="66"/>
      <c r="AD31" s="46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1:46" ht="20.25" customHeight="1">
      <c r="A32" s="2" t="s">
        <v>80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6"/>
      <c r="X32" s="52"/>
      <c r="Y32" s="53"/>
      <c r="Z32" s="53"/>
      <c r="AA32" s="53"/>
      <c r="AB32" s="53"/>
      <c r="AC32" s="53"/>
      <c r="AD32" s="67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spans="1:46" ht="20.25" customHeight="1">
      <c r="A33" s="2" t="s">
        <v>81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6"/>
      <c r="X33" s="30"/>
      <c r="Y33" s="30"/>
      <c r="Z33" s="30"/>
      <c r="AA33" s="30"/>
      <c r="AB33" s="30"/>
      <c r="AC33" s="30"/>
      <c r="AD33" s="30"/>
      <c r="AE33" s="65"/>
      <c r="AF33" s="47"/>
      <c r="AG33" s="47"/>
      <c r="AH33" s="47"/>
      <c r="AI33" s="47"/>
      <c r="AJ33" s="48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 spans="1:46" ht="20.25" customHeight="1">
      <c r="A34" s="2" t="s">
        <v>82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6"/>
      <c r="X34" s="30"/>
      <c r="Y34" s="30"/>
      <c r="Z34" s="30"/>
      <c r="AA34" s="30"/>
      <c r="AB34" s="30"/>
      <c r="AC34" s="30"/>
      <c r="AD34" s="30"/>
      <c r="AE34" s="51"/>
      <c r="AF34" s="66"/>
      <c r="AG34" s="42"/>
      <c r="AH34" s="42"/>
      <c r="AI34" s="42"/>
      <c r="AJ34" s="49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spans="1:46" ht="20.25" customHeight="1">
      <c r="A35" s="2" t="s">
        <v>83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6"/>
      <c r="X35" s="30"/>
      <c r="Y35" s="30"/>
      <c r="Z35" s="30"/>
      <c r="AA35" s="30"/>
      <c r="AB35" s="30"/>
      <c r="AC35" s="30"/>
      <c r="AD35" s="30"/>
      <c r="AE35" s="51"/>
      <c r="AF35" s="42"/>
      <c r="AG35" s="66"/>
      <c r="AH35" s="42"/>
      <c r="AI35" s="42"/>
      <c r="AJ35" s="49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 spans="1:46" ht="20.25" customHeight="1">
      <c r="A36" s="2" t="s">
        <v>84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6"/>
      <c r="X36" s="30"/>
      <c r="Y36" s="30"/>
      <c r="Z36" s="30"/>
      <c r="AA36" s="30"/>
      <c r="AB36" s="30"/>
      <c r="AC36" s="30"/>
      <c r="AD36" s="30"/>
      <c r="AE36" s="51"/>
      <c r="AF36" s="42"/>
      <c r="AG36" s="42"/>
      <c r="AH36" s="66"/>
      <c r="AI36" s="42"/>
      <c r="AJ36" s="49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 spans="1:46" ht="20.25" customHeight="1">
      <c r="A37" s="2" t="s">
        <v>85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6"/>
      <c r="X37" s="30"/>
      <c r="Y37" s="30"/>
      <c r="Z37" s="30"/>
      <c r="AA37" s="30"/>
      <c r="AB37" s="30"/>
      <c r="AC37" s="30"/>
      <c r="AD37" s="30"/>
      <c r="AE37" s="51"/>
      <c r="AF37" s="42"/>
      <c r="AG37" s="42"/>
      <c r="AH37" s="42"/>
      <c r="AI37" s="66"/>
      <c r="AJ37" s="49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 spans="1:46" ht="20.25" customHeight="1">
      <c r="A38" s="2" t="s">
        <v>86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45"/>
      <c r="P38" s="30"/>
      <c r="Q38" s="30"/>
      <c r="R38" s="30"/>
      <c r="S38" s="30"/>
      <c r="T38" s="30"/>
      <c r="U38" s="30"/>
      <c r="V38" s="30"/>
      <c r="W38" s="36"/>
      <c r="X38" s="30"/>
      <c r="Y38" s="30"/>
      <c r="Z38" s="30"/>
      <c r="AA38" s="30"/>
      <c r="AB38" s="30"/>
      <c r="AC38" s="30"/>
      <c r="AD38" s="30"/>
      <c r="AE38" s="55"/>
      <c r="AF38" s="56"/>
      <c r="AG38" s="56"/>
      <c r="AH38" s="56"/>
      <c r="AI38" s="56"/>
      <c r="AJ38" s="67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 spans="1:46" ht="20.25" customHeight="1">
      <c r="A39" s="2" t="s">
        <v>87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6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65"/>
      <c r="AL39" s="50"/>
      <c r="AM39" s="50"/>
      <c r="AN39" s="50"/>
      <c r="AO39" s="60"/>
      <c r="AP39" s="30"/>
      <c r="AQ39" s="30"/>
      <c r="AR39" s="30"/>
      <c r="AS39" s="30"/>
      <c r="AT39" s="30"/>
    </row>
    <row r="40" spans="1:46" ht="20.25" customHeight="1">
      <c r="A40" s="2" t="s">
        <v>88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6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54"/>
      <c r="AL40" s="66"/>
      <c r="AM40" s="43"/>
      <c r="AN40" s="43"/>
      <c r="AO40" s="61"/>
      <c r="AP40" s="30"/>
      <c r="AQ40" s="30"/>
      <c r="AR40" s="30"/>
      <c r="AS40" s="30"/>
      <c r="AT40" s="30"/>
    </row>
    <row r="41" spans="1:46" ht="20.25" customHeight="1">
      <c r="A41" s="2" t="s">
        <v>89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6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54"/>
      <c r="AL41" s="43"/>
      <c r="AM41" s="66"/>
      <c r="AN41" s="43"/>
      <c r="AO41" s="61"/>
      <c r="AP41" s="30"/>
      <c r="AQ41" s="30"/>
      <c r="AR41" s="30"/>
      <c r="AS41" s="30"/>
      <c r="AT41" s="30"/>
    </row>
    <row r="42" spans="1:46" ht="20.25" customHeight="1">
      <c r="A42" s="2" t="s">
        <v>90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6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54"/>
      <c r="AL42" s="43"/>
      <c r="AM42" s="43"/>
      <c r="AN42" s="66"/>
      <c r="AO42" s="61"/>
      <c r="AP42" s="30"/>
      <c r="AQ42" s="30"/>
      <c r="AR42" s="30"/>
      <c r="AS42" s="30"/>
      <c r="AT42" s="30"/>
    </row>
    <row r="43" spans="1:46" ht="20.25" customHeight="1">
      <c r="A43" s="2" t="s">
        <v>91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6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58"/>
      <c r="AL43" s="59"/>
      <c r="AM43" s="59"/>
      <c r="AN43" s="59"/>
      <c r="AO43" s="67"/>
      <c r="AP43" s="45"/>
      <c r="AQ43" s="30"/>
      <c r="AR43" s="30"/>
      <c r="AS43" s="30"/>
      <c r="AT43" s="30"/>
    </row>
    <row r="44" spans="1:46" ht="20.25" customHeight="1">
      <c r="A44" s="2" t="s">
        <v>92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6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45"/>
      <c r="AP44" s="65"/>
      <c r="AQ44" s="62"/>
      <c r="AR44" s="62"/>
      <c r="AS44" s="62"/>
      <c r="AT44" s="62"/>
    </row>
    <row r="45" spans="1:46" ht="20.25" customHeight="1">
      <c r="A45" s="2" t="s">
        <v>93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57"/>
      <c r="AQ45" s="66"/>
      <c r="AR45" s="44"/>
      <c r="AS45" s="44"/>
      <c r="AT45" s="44"/>
    </row>
    <row r="46" spans="1:46" ht="20.25" customHeight="1">
      <c r="A46" s="2" t="s">
        <v>94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57"/>
      <c r="AQ46" s="44"/>
      <c r="AR46" s="66"/>
      <c r="AS46" s="44"/>
      <c r="AT46" s="44"/>
    </row>
    <row r="47" spans="1:46" ht="20.25" customHeight="1">
      <c r="A47" s="2" t="s">
        <v>95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57"/>
      <c r="AQ47" s="44"/>
      <c r="AR47" s="44"/>
      <c r="AS47" s="66"/>
      <c r="AT47" s="44"/>
    </row>
    <row r="48" spans="1:46" ht="20.25" customHeight="1">
      <c r="A48" s="2" t="s">
        <v>96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6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57"/>
      <c r="AQ48" s="44"/>
      <c r="AR48" s="44"/>
      <c r="AS48" s="44"/>
      <c r="AT48" s="66"/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2">
    <mergeCell ref="B1:F1"/>
    <mergeCell ref="B51:C51"/>
  </mergeCells>
  <phoneticPr fontId="2" type="noConversion"/>
  <pageMargins left="0.7" right="0.7" top="0.75" bottom="0.75" header="0.3" footer="0.3"/>
  <pageSetup paperSize="9" orientation="portrait" horizontalDpi="200" verticalDpi="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zoomScale="140" zoomScaleNormal="140" zoomScalePageLayoutView="190" workbookViewId="0">
      <selection activeCell="AD34" sqref="AD34"/>
    </sheetView>
  </sheetViews>
  <sheetFormatPr baseColWidth="10" defaultColWidth="8.83203125" defaultRowHeight="15"/>
  <cols>
    <col min="2" max="9" width="7.6640625" customWidth="1"/>
    <col min="10" max="10" width="3.6640625" customWidth="1"/>
    <col min="12" max="19" width="4" customWidth="1"/>
    <col min="20" max="20" width="4.33203125" customWidth="1"/>
    <col min="21" max="29" width="3.83203125" customWidth="1"/>
  </cols>
  <sheetData>
    <row r="1" spans="1:19">
      <c r="A1" s="15" t="s">
        <v>119</v>
      </c>
      <c r="K1" t="s">
        <v>143</v>
      </c>
    </row>
    <row r="2" spans="1:19">
      <c r="B2" t="s">
        <v>161</v>
      </c>
      <c r="C2" t="s">
        <v>171</v>
      </c>
      <c r="D2" t="s">
        <v>172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L2" t="s">
        <v>161</v>
      </c>
      <c r="M2" t="s">
        <v>171</v>
      </c>
      <c r="N2" t="s">
        <v>172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</row>
    <row r="3" spans="1:19">
      <c r="A3" t="s">
        <v>161</v>
      </c>
      <c r="B3" s="212" t="str">
        <f>IF((L3*$B$45)+(L14*$B$46)+(L25*$B$47)+(L36*$B$48)+V47+V58+V69,((L3*$B$45)+(L14*$B$46)+(L25*$B$47)+(L36*$B$48)+V47+V58)*1000,"")</f>
        <v/>
      </c>
      <c r="C3" s="212" t="str">
        <f t="shared" ref="C3:I3" si="0">IF((M3*$B$45)+(M14*$B$46)+(M25*$B$47)+(M36*$B$48)+W47+W58+W69,((M3*$B$45)+(M14*$B$46)+(M25*$B$47)+(M36*$B$48)+W47+W58)*1000,"")</f>
        <v/>
      </c>
      <c r="D3" s="212">
        <f t="shared" si="0"/>
        <v>4600.0000000000009</v>
      </c>
      <c r="E3" s="212" t="str">
        <f t="shared" si="0"/>
        <v/>
      </c>
      <c r="F3" s="212" t="str">
        <f t="shared" si="0"/>
        <v/>
      </c>
      <c r="G3" s="212" t="str">
        <f t="shared" si="0"/>
        <v/>
      </c>
      <c r="H3" s="212">
        <f t="shared" si="0"/>
        <v>4700</v>
      </c>
      <c r="I3" s="212">
        <f t="shared" si="0"/>
        <v>4300.0000000000009</v>
      </c>
      <c r="K3" t="s">
        <v>161</v>
      </c>
      <c r="L3" s="16"/>
      <c r="N3">
        <v>2</v>
      </c>
    </row>
    <row r="4" spans="1:19">
      <c r="A4" t="s">
        <v>171</v>
      </c>
      <c r="B4" s="212" t="str">
        <f t="shared" ref="B4:B10" si="1">IF((L4*$B$45)+(L15*$B$46)+(L26*$B$47)+(L37*$B$48)+V48+V59+V70,((L4*$B$45)+(L15*$B$46)+(L26*$B$47)+(L37*$B$48)+V48+V59)*1000,"")</f>
        <v/>
      </c>
      <c r="C4" s="212" t="str">
        <f t="shared" ref="C4:C10" si="2">IF((M4*$B$45)+(M15*$B$46)+(M26*$B$47)+(M37*$B$48)+W48+W59+W70,((M4*$B$45)+(M15*$B$46)+(M26*$B$47)+(M37*$B$48)+W48+W59)*1000,"")</f>
        <v/>
      </c>
      <c r="D4" s="212">
        <f t="shared" ref="D4:D10" si="3">IF((N4*$B$45)+(N15*$B$46)+(N26*$B$47)+(N37*$B$48)+X48+X59+X70,((N4*$B$45)+(N15*$B$46)+(N26*$B$47)+(N37*$B$48)+X48+X59)*1000,"")</f>
        <v>2600</v>
      </c>
      <c r="E4" s="212">
        <f t="shared" ref="E4:E10" si="4">IF((O4*$B$45)+(O15*$B$46)+(O26*$B$47)+(O37*$B$48)+Y48+Y59+Y70,((O4*$B$45)+(O15*$B$46)+(O26*$B$47)+(O37*$B$48)+Y48+Y59)*1000,"")</f>
        <v>1800</v>
      </c>
      <c r="F4" s="212" t="str">
        <f t="shared" ref="F4:F10" si="5">IF((P4*$B$45)+(P15*$B$46)+(P26*$B$47)+(P37*$B$48)+Z48+Z59+Z70,((P4*$B$45)+(P15*$B$46)+(P26*$B$47)+(P37*$B$48)+Z48+Z59)*1000,"")</f>
        <v/>
      </c>
      <c r="G4" s="212">
        <f t="shared" ref="G4:G10" si="6">IF((Q4*$B$45)+(Q15*$B$46)+(Q26*$B$47)+(Q37*$B$48)+AA48+AA59+AA70,((Q4*$B$45)+(Q15*$B$46)+(Q26*$B$47)+(Q37*$B$48)+AA48+AA59)*1000,"")</f>
        <v>3600</v>
      </c>
      <c r="H4" s="212" t="str">
        <f t="shared" ref="H4:H10" si="7">IF((R4*$B$45)+(R15*$B$46)+(R26*$B$47)+(R37*$B$48)+AB48+AB59+AB70,((R4*$B$45)+(R15*$B$46)+(R26*$B$47)+(R37*$B$48)+AB48+AB59)*1000,"")</f>
        <v/>
      </c>
      <c r="I4" s="212" t="str">
        <f t="shared" ref="I4:I10" si="8">IF((S4*$B$45)+(S15*$B$46)+(S26*$B$47)+(S37*$B$48)+AC48+AC59+AC70,((S4*$B$45)+(S15*$B$46)+(S26*$B$47)+(S37*$B$48)+AC48+AC59)*1000,"")</f>
        <v/>
      </c>
      <c r="K4" t="s">
        <v>171</v>
      </c>
      <c r="M4" s="16"/>
      <c r="N4">
        <v>2</v>
      </c>
      <c r="O4">
        <v>2</v>
      </c>
      <c r="Q4">
        <v>4</v>
      </c>
    </row>
    <row r="5" spans="1:19">
      <c r="A5" t="s">
        <v>172</v>
      </c>
      <c r="B5" s="212">
        <f t="shared" si="1"/>
        <v>4600.0000000000009</v>
      </c>
      <c r="C5" s="212">
        <f t="shared" si="2"/>
        <v>2600</v>
      </c>
      <c r="D5" s="212" t="str">
        <f t="shared" si="3"/>
        <v/>
      </c>
      <c r="E5" s="212">
        <f t="shared" si="4"/>
        <v>5600</v>
      </c>
      <c r="F5" s="212">
        <f t="shared" si="5"/>
        <v>4200</v>
      </c>
      <c r="G5" s="212" t="str">
        <f t="shared" si="6"/>
        <v/>
      </c>
      <c r="H5" s="212" t="str">
        <f t="shared" si="7"/>
        <v/>
      </c>
      <c r="I5" s="212" t="str">
        <f t="shared" si="8"/>
        <v/>
      </c>
      <c r="K5" t="s">
        <v>172</v>
      </c>
      <c r="L5">
        <v>2</v>
      </c>
      <c r="M5">
        <v>2</v>
      </c>
      <c r="N5" s="16"/>
      <c r="O5">
        <v>4</v>
      </c>
      <c r="P5">
        <v>2</v>
      </c>
    </row>
    <row r="6" spans="1:19">
      <c r="A6" t="s">
        <v>163</v>
      </c>
      <c r="B6" s="212" t="str">
        <f t="shared" si="1"/>
        <v/>
      </c>
      <c r="C6" s="212">
        <f t="shared" si="2"/>
        <v>1800</v>
      </c>
      <c r="D6" s="212">
        <f t="shared" si="3"/>
        <v>5600</v>
      </c>
      <c r="E6" s="212" t="str">
        <f t="shared" si="4"/>
        <v/>
      </c>
      <c r="F6" s="212" t="str">
        <f t="shared" si="5"/>
        <v/>
      </c>
      <c r="G6" s="212" t="str">
        <f t="shared" si="6"/>
        <v/>
      </c>
      <c r="H6" s="212" t="str">
        <f t="shared" si="7"/>
        <v/>
      </c>
      <c r="I6" s="212" t="str">
        <f t="shared" si="8"/>
        <v/>
      </c>
      <c r="K6" t="s">
        <v>163</v>
      </c>
      <c r="M6">
        <v>2</v>
      </c>
      <c r="N6">
        <v>4</v>
      </c>
      <c r="O6" s="16"/>
    </row>
    <row r="7" spans="1:19">
      <c r="A7" t="s">
        <v>164</v>
      </c>
      <c r="B7" s="212" t="str">
        <f t="shared" si="1"/>
        <v/>
      </c>
      <c r="C7" s="212" t="str">
        <f t="shared" si="2"/>
        <v/>
      </c>
      <c r="D7" s="212">
        <f t="shared" si="3"/>
        <v>4200</v>
      </c>
      <c r="E7" s="212" t="str">
        <f t="shared" si="4"/>
        <v/>
      </c>
      <c r="F7" s="212" t="str">
        <f t="shared" si="5"/>
        <v/>
      </c>
      <c r="G7" s="212" t="str">
        <f t="shared" si="6"/>
        <v/>
      </c>
      <c r="H7" s="212" t="str">
        <f t="shared" si="7"/>
        <v/>
      </c>
      <c r="I7" s="212">
        <f t="shared" si="8"/>
        <v>4000</v>
      </c>
      <c r="K7" t="s">
        <v>164</v>
      </c>
      <c r="N7">
        <v>2</v>
      </c>
      <c r="P7" s="16"/>
    </row>
    <row r="8" spans="1:19">
      <c r="A8" t="s">
        <v>165</v>
      </c>
      <c r="B8" s="212" t="str">
        <f t="shared" si="1"/>
        <v/>
      </c>
      <c r="C8" s="212">
        <f t="shared" si="2"/>
        <v>3600</v>
      </c>
      <c r="D8" s="212" t="str">
        <f t="shared" si="3"/>
        <v/>
      </c>
      <c r="E8" s="212" t="str">
        <f t="shared" si="4"/>
        <v/>
      </c>
      <c r="F8" s="212" t="str">
        <f t="shared" si="5"/>
        <v/>
      </c>
      <c r="G8" s="212" t="str">
        <f t="shared" si="6"/>
        <v/>
      </c>
      <c r="H8" s="212">
        <f t="shared" si="7"/>
        <v>8000</v>
      </c>
      <c r="I8" s="212" t="str">
        <f t="shared" si="8"/>
        <v/>
      </c>
      <c r="K8" t="s">
        <v>165</v>
      </c>
      <c r="M8">
        <v>4</v>
      </c>
      <c r="Q8" s="16"/>
    </row>
    <row r="9" spans="1:19">
      <c r="A9" t="s">
        <v>166</v>
      </c>
      <c r="B9" s="212">
        <f t="shared" si="1"/>
        <v>4700</v>
      </c>
      <c r="C9" s="212" t="str">
        <f t="shared" si="2"/>
        <v/>
      </c>
      <c r="D9" s="212" t="str">
        <f t="shared" si="3"/>
        <v/>
      </c>
      <c r="E9" s="212" t="str">
        <f t="shared" si="4"/>
        <v/>
      </c>
      <c r="F9" s="212" t="str">
        <f t="shared" si="5"/>
        <v/>
      </c>
      <c r="G9" s="212">
        <f t="shared" si="6"/>
        <v>8000</v>
      </c>
      <c r="H9" s="212" t="str">
        <f t="shared" si="7"/>
        <v/>
      </c>
      <c r="I9" s="212" t="str">
        <f t="shared" si="8"/>
        <v/>
      </c>
      <c r="K9" t="s">
        <v>166</v>
      </c>
      <c r="R9" s="16"/>
    </row>
    <row r="10" spans="1:19">
      <c r="A10" t="s">
        <v>167</v>
      </c>
      <c r="B10" s="212">
        <f t="shared" si="1"/>
        <v>4300.0000000000009</v>
      </c>
      <c r="C10" s="212" t="str">
        <f t="shared" si="2"/>
        <v/>
      </c>
      <c r="D10" s="212" t="str">
        <f t="shared" si="3"/>
        <v/>
      </c>
      <c r="E10" s="212" t="str">
        <f t="shared" si="4"/>
        <v/>
      </c>
      <c r="F10" s="212">
        <f t="shared" si="5"/>
        <v>4000</v>
      </c>
      <c r="G10" s="212" t="str">
        <f t="shared" si="6"/>
        <v/>
      </c>
      <c r="H10" s="212" t="str">
        <f t="shared" si="7"/>
        <v/>
      </c>
      <c r="I10" s="212" t="str">
        <f t="shared" si="8"/>
        <v/>
      </c>
      <c r="K10" t="s">
        <v>167</v>
      </c>
      <c r="S10" s="16"/>
    </row>
    <row r="12" spans="1:19">
      <c r="A12" s="15" t="s">
        <v>152</v>
      </c>
      <c r="K12" t="s">
        <v>117</v>
      </c>
    </row>
    <row r="13" spans="1:19">
      <c r="B13" t="s">
        <v>161</v>
      </c>
      <c r="C13" t="s">
        <v>171</v>
      </c>
      <c r="D13" t="s">
        <v>172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L13" t="s">
        <v>161</v>
      </c>
      <c r="M13" t="s">
        <v>171</v>
      </c>
      <c r="N13" t="s">
        <v>172</v>
      </c>
      <c r="O13" t="s">
        <v>163</v>
      </c>
      <c r="P13" t="s">
        <v>164</v>
      </c>
      <c r="Q13" t="s">
        <v>165</v>
      </c>
      <c r="R13" t="s">
        <v>166</v>
      </c>
      <c r="S13" t="s">
        <v>167</v>
      </c>
    </row>
    <row r="14" spans="1:19">
      <c r="A14" t="s">
        <v>161</v>
      </c>
      <c r="B14" s="22" t="str">
        <f t="shared" ref="B14:H14" si="9">IF(ISERROR(1/((L14/$C$31)+(L36/$C$33)+(L3/$C$30)+(L25/$C$32)+(L58/$C$35)+(L69/$C$36)+(L47/$C$34))),"",1/((L14/$C$31)+(L36/$C$33)+(L3/$C$30)+(L25/$C$32)+(L58/$C$35)+(L69/$C$36)+(L47/$C$34)))</f>
        <v/>
      </c>
      <c r="C14" s="22" t="str">
        <f t="shared" si="9"/>
        <v/>
      </c>
      <c r="D14" s="22">
        <f t="shared" si="9"/>
        <v>1.8857142857142855E-3</v>
      </c>
      <c r="E14" s="22" t="str">
        <f t="shared" si="9"/>
        <v/>
      </c>
      <c r="F14" s="22" t="str">
        <f t="shared" si="9"/>
        <v/>
      </c>
      <c r="G14" s="22" t="str">
        <f t="shared" si="9"/>
        <v/>
      </c>
      <c r="H14" s="22">
        <f t="shared" si="9"/>
        <v>2.8870861797162376E-3</v>
      </c>
      <c r="I14" s="22">
        <f>IF(ISERROR(1/((S14/$C$31)+(S36/$C$33)+(S3/$C$30)+(S25/$C$32)+(S58/$C$35)+(S69/$C$36)+(S47/$C$34))),"",1/((S14/$C$31)+(S36/$C$33)+(S3/$C$30)+(S25/$C$32)+(S58/$C$35)+(S69/$C$36)+(S47/$C$34)))</f>
        <v>3.0674157303370786E-3</v>
      </c>
      <c r="K14" t="s">
        <v>161</v>
      </c>
      <c r="L14" s="16"/>
      <c r="R14">
        <v>1</v>
      </c>
      <c r="S14">
        <v>3</v>
      </c>
    </row>
    <row r="15" spans="1:19">
      <c r="A15" t="s">
        <v>171</v>
      </c>
      <c r="B15" s="22" t="str">
        <f t="shared" ref="B15:B21" si="10">IF(ISERROR(1/((L15/$C$31)+(L37/$C$33)+(L4/$C$30)+(L26/$C$32)+(L59/$C$35)+(L70/$C$36)+(L48/$C$34))),"",1/((L15/$C$31)+(L37/$C$33)+(L4/$C$30)+(L26/$C$32)+(L59/$C$35)+(L70/$C$36)+(L48/$C$34)))</f>
        <v/>
      </c>
      <c r="C15" s="22" t="str">
        <f t="shared" ref="C15:C21" si="11">IF(ISERROR(1/((M15/$C$31)+(M37/$C$33)+(M4/$C$30)+(M26/$C$32)+(M59/$C$35)+(M70/$C$36)+(M48/$C$34))),"",1/((M15/$C$31)+(M37/$C$33)+(M4/$C$30)+(M26/$C$32)+(M59/$C$35)+(M70/$C$36)+(M48/$C$34)))</f>
        <v/>
      </c>
      <c r="D15" s="22">
        <f t="shared" ref="D15:D21" si="12">IF(ISERROR(1/((N15/$C$31)+(N37/$C$33)+(N4/$C$30)+(N26/$C$32)+(N59/$C$35)+(N70/$C$36)+(N48/$C$34))),"",1/((N15/$C$31)+(N37/$C$33)+(N4/$C$30)+(N26/$C$32)+(N59/$C$35)+(N70/$C$36)+(N48/$C$34)))</f>
        <v>2.4315789473684209E-3</v>
      </c>
      <c r="E15" s="22">
        <f t="shared" ref="E15:E21" si="13">IF(ISERROR(1/((O15/$C$31)+(O37/$C$33)+(O4/$C$30)+(O26/$C$32)+(O59/$C$35)+(O70/$C$36)+(O48/$C$34))),"",1/((O15/$C$31)+(O37/$C$33)+(O4/$C$30)+(O26/$C$32)+(O59/$C$35)+(O70/$C$36)+(O48/$C$34)))</f>
        <v>2.7499999999999998E-3</v>
      </c>
      <c r="F15" s="22" t="str">
        <f t="shared" ref="F15:F21" si="14">IF(ISERROR(1/((P15/$C$31)+(P37/$C$33)+(P4/$C$30)+(P26/$C$32)+(P59/$C$35)+(P70/$C$36)+(P48/$C$34))),"",1/((P15/$C$31)+(P37/$C$33)+(P4/$C$30)+(P26/$C$32)+(P59/$C$35)+(P70/$C$36)+(P48/$C$34)))</f>
        <v/>
      </c>
      <c r="G15" s="22">
        <f t="shared" ref="G15:G21" si="15">IF(ISERROR(1/((Q15/$C$31)+(Q37/$C$33)+(Q4/$C$30)+(Q26/$C$32)+(Q59/$C$35)+(Q70/$C$36)+(Q48/$C$34))),"",1/((Q15/$C$31)+(Q37/$C$33)+(Q4/$C$30)+(Q26/$C$32)+(Q59/$C$35)+(Q70/$C$36)+(Q48/$C$34)))</f>
        <v>1.3749999999999999E-3</v>
      </c>
      <c r="H15" s="22" t="str">
        <f t="shared" ref="H15:I21" si="16">IF(ISERROR(1/((R15/$C$31)+(R37/$C$33)+(R4/$C$30)+(R26/$C$32)+(R59/$C$35)+(R70/$C$36)+(R48/$C$34))),"",1/((R15/$C$31)+(R37/$C$33)+(R4/$C$30)+(R26/$C$32)+(R59/$C$35)+(R70/$C$36)+(R48/$C$34)))</f>
        <v/>
      </c>
      <c r="I15" s="22" t="str">
        <f t="shared" si="16"/>
        <v/>
      </c>
      <c r="K15" t="s">
        <v>171</v>
      </c>
      <c r="M15" s="16"/>
    </row>
    <row r="16" spans="1:19">
      <c r="A16" t="s">
        <v>172</v>
      </c>
      <c r="B16" s="22">
        <f t="shared" si="10"/>
        <v>1.8857142857142855E-3</v>
      </c>
      <c r="C16" s="22">
        <f t="shared" si="11"/>
        <v>2.4315789473684209E-3</v>
      </c>
      <c r="D16" s="22" t="str">
        <f t="shared" si="12"/>
        <v/>
      </c>
      <c r="E16" s="22">
        <f t="shared" si="13"/>
        <v>1.1815856777493605E-3</v>
      </c>
      <c r="F16" s="22">
        <f t="shared" si="14"/>
        <v>1.9743589743589744E-3</v>
      </c>
      <c r="G16" s="22" t="str">
        <f t="shared" si="15"/>
        <v/>
      </c>
      <c r="H16" s="22" t="str">
        <f t="shared" si="16"/>
        <v/>
      </c>
      <c r="I16" s="22" t="str">
        <f t="shared" ref="I16:I21" si="17">IF(ISERROR(1/((S16/$C$31)+(S38/$C$33)+(S5/$C$30)+(S27/$C$32)+(S60/$C$35)+(S71/$C$36)+(S49/$C$34))),"",1/((S16/$C$31)+(S38/$C$33)+(S5/$C$30)+(S27/$C$32)+(S60/$C$35)+(S71/$C$36)+(S49/$C$34)))</f>
        <v/>
      </c>
      <c r="K16" t="s">
        <v>172</v>
      </c>
      <c r="N16" s="16"/>
    </row>
    <row r="17" spans="1:19">
      <c r="A17" t="s">
        <v>163</v>
      </c>
      <c r="B17" s="22" t="str">
        <f t="shared" si="10"/>
        <v/>
      </c>
      <c r="C17" s="22">
        <f t="shared" si="11"/>
        <v>2.7499999999999998E-3</v>
      </c>
      <c r="D17" s="22">
        <f t="shared" si="12"/>
        <v>1.1815856777493605E-3</v>
      </c>
      <c r="E17" s="22" t="str">
        <f t="shared" si="13"/>
        <v/>
      </c>
      <c r="F17" s="22" t="str">
        <f t="shared" si="14"/>
        <v/>
      </c>
      <c r="G17" s="22" t="str">
        <f t="shared" si="15"/>
        <v/>
      </c>
      <c r="H17" s="22" t="str">
        <f t="shared" si="16"/>
        <v/>
      </c>
      <c r="I17" s="22" t="str">
        <f t="shared" si="17"/>
        <v/>
      </c>
      <c r="K17" t="s">
        <v>163</v>
      </c>
      <c r="O17" s="16"/>
    </row>
    <row r="18" spans="1:19">
      <c r="A18" t="s">
        <v>164</v>
      </c>
      <c r="B18" s="22" t="str">
        <f t="shared" si="10"/>
        <v/>
      </c>
      <c r="C18" s="22" t="str">
        <f t="shared" si="11"/>
        <v/>
      </c>
      <c r="D18" s="22">
        <f t="shared" si="12"/>
        <v>1.9743589743589744E-3</v>
      </c>
      <c r="E18" s="22" t="str">
        <f t="shared" si="13"/>
        <v/>
      </c>
      <c r="F18" s="22" t="str">
        <f t="shared" si="14"/>
        <v/>
      </c>
      <c r="G18" s="22" t="str">
        <f t="shared" si="15"/>
        <v/>
      </c>
      <c r="H18" s="22" t="str">
        <f t="shared" si="16"/>
        <v/>
      </c>
      <c r="I18" s="22">
        <f t="shared" si="17"/>
        <v>4.5079999999999999E-3</v>
      </c>
      <c r="K18" t="s">
        <v>164</v>
      </c>
      <c r="P18" s="16"/>
    </row>
    <row r="19" spans="1:19">
      <c r="A19" t="s">
        <v>165</v>
      </c>
      <c r="B19" s="22" t="str">
        <f t="shared" si="10"/>
        <v/>
      </c>
      <c r="C19" s="22">
        <f t="shared" si="11"/>
        <v>1.3749999999999999E-3</v>
      </c>
      <c r="D19" s="22" t="str">
        <f t="shared" si="12"/>
        <v/>
      </c>
      <c r="E19" s="22" t="str">
        <f t="shared" si="13"/>
        <v/>
      </c>
      <c r="F19" s="22" t="str">
        <f t="shared" si="14"/>
        <v/>
      </c>
      <c r="G19" s="22" t="str">
        <f t="shared" si="15"/>
        <v/>
      </c>
      <c r="H19" s="22">
        <f t="shared" si="16"/>
        <v>3.1000000000000003E-3</v>
      </c>
      <c r="I19" s="22" t="str">
        <f t="shared" si="17"/>
        <v/>
      </c>
      <c r="K19" t="s">
        <v>165</v>
      </c>
      <c r="Q19" s="16"/>
    </row>
    <row r="20" spans="1:19">
      <c r="A20" t="s">
        <v>166</v>
      </c>
      <c r="B20" s="22">
        <f t="shared" si="10"/>
        <v>2.8870861797162376E-3</v>
      </c>
      <c r="C20" s="22" t="str">
        <f t="shared" si="11"/>
        <v/>
      </c>
      <c r="D20" s="22" t="str">
        <f t="shared" si="12"/>
        <v/>
      </c>
      <c r="E20" s="22" t="str">
        <f t="shared" si="13"/>
        <v/>
      </c>
      <c r="F20" s="22" t="str">
        <f t="shared" si="14"/>
        <v/>
      </c>
      <c r="G20" s="22">
        <f t="shared" si="15"/>
        <v>3.1000000000000003E-3</v>
      </c>
      <c r="H20" s="22" t="str">
        <f t="shared" si="16"/>
        <v/>
      </c>
      <c r="I20" s="22" t="str">
        <f t="shared" si="17"/>
        <v/>
      </c>
      <c r="K20" t="s">
        <v>166</v>
      </c>
      <c r="L20">
        <v>1</v>
      </c>
      <c r="R20" s="16"/>
    </row>
    <row r="21" spans="1:19">
      <c r="A21" t="s">
        <v>167</v>
      </c>
      <c r="B21" s="22">
        <f t="shared" si="10"/>
        <v>3.0674157303370786E-3</v>
      </c>
      <c r="C21" s="22" t="str">
        <f t="shared" si="11"/>
        <v/>
      </c>
      <c r="D21" s="22" t="str">
        <f t="shared" si="12"/>
        <v/>
      </c>
      <c r="E21" s="22" t="str">
        <f t="shared" si="13"/>
        <v/>
      </c>
      <c r="F21" s="22">
        <f t="shared" si="14"/>
        <v>4.5079999999999999E-3</v>
      </c>
      <c r="G21" s="22" t="str">
        <f t="shared" si="15"/>
        <v/>
      </c>
      <c r="H21" s="22" t="str">
        <f t="shared" si="16"/>
        <v/>
      </c>
      <c r="I21" s="22" t="str">
        <f t="shared" si="17"/>
        <v/>
      </c>
      <c r="J21" t="s">
        <v>151</v>
      </c>
      <c r="K21" t="s">
        <v>167</v>
      </c>
      <c r="L21">
        <v>3</v>
      </c>
      <c r="S21" s="16"/>
    </row>
    <row r="22" spans="1:19">
      <c r="I22" s="22"/>
    </row>
    <row r="23" spans="1:19">
      <c r="J23" t="s">
        <v>151</v>
      </c>
      <c r="K23" s="187" t="s">
        <v>144</v>
      </c>
      <c r="L23" s="187"/>
      <c r="M23" s="187"/>
      <c r="N23" s="187"/>
      <c r="O23" s="187"/>
      <c r="P23" s="187"/>
    </row>
    <row r="24" spans="1:19">
      <c r="A24" s="21" t="s">
        <v>123</v>
      </c>
      <c r="K24" s="187"/>
      <c r="L24" t="s">
        <v>161</v>
      </c>
      <c r="M24" t="s">
        <v>171</v>
      </c>
      <c r="N24" t="s">
        <v>172</v>
      </c>
      <c r="O24" t="s">
        <v>163</v>
      </c>
      <c r="P24" t="s">
        <v>164</v>
      </c>
      <c r="Q24" t="s">
        <v>165</v>
      </c>
      <c r="R24" t="s">
        <v>166</v>
      </c>
      <c r="S24" t="s">
        <v>167</v>
      </c>
    </row>
    <row r="25" spans="1:19">
      <c r="A25" s="21" t="s">
        <v>124</v>
      </c>
      <c r="K25" t="s">
        <v>161</v>
      </c>
      <c r="L25" s="16"/>
      <c r="N25">
        <v>7</v>
      </c>
      <c r="R25">
        <v>2</v>
      </c>
      <c r="S25">
        <v>4</v>
      </c>
    </row>
    <row r="26" spans="1:19">
      <c r="A26" s="21" t="s">
        <v>159</v>
      </c>
      <c r="K26" t="s">
        <v>171</v>
      </c>
      <c r="M26" s="16"/>
      <c r="N26">
        <v>2</v>
      </c>
    </row>
    <row r="27" spans="1:19">
      <c r="A27" s="21" t="s">
        <v>160</v>
      </c>
      <c r="K27" t="s">
        <v>172</v>
      </c>
      <c r="L27">
        <v>7</v>
      </c>
      <c r="M27">
        <v>2</v>
      </c>
      <c r="N27" s="16"/>
      <c r="O27">
        <v>5</v>
      </c>
      <c r="P27">
        <v>6</v>
      </c>
    </row>
    <row r="28" spans="1:19">
      <c r="K28" t="s">
        <v>163</v>
      </c>
      <c r="N28">
        <v>5</v>
      </c>
      <c r="O28" s="16"/>
    </row>
    <row r="29" spans="1:19">
      <c r="A29" s="189" t="s">
        <v>153</v>
      </c>
      <c r="B29" s="18"/>
      <c r="C29" s="18"/>
      <c r="D29" s="18"/>
      <c r="J29" t="s">
        <v>151</v>
      </c>
      <c r="K29" t="s">
        <v>164</v>
      </c>
      <c r="N29">
        <v>6</v>
      </c>
      <c r="P29" s="16"/>
    </row>
    <row r="30" spans="1:19">
      <c r="A30" s="18" t="s">
        <v>100</v>
      </c>
      <c r="B30" s="18">
        <v>5.47</v>
      </c>
      <c r="C30" s="20">
        <v>5.4999999999999997E-3</v>
      </c>
      <c r="D30" s="20"/>
      <c r="J30" t="s">
        <v>151</v>
      </c>
      <c r="K30" t="s">
        <v>165</v>
      </c>
      <c r="Q30" s="16"/>
    </row>
    <row r="31" spans="1:19">
      <c r="A31" s="18" t="s">
        <v>101</v>
      </c>
      <c r="B31" s="19">
        <v>12.6</v>
      </c>
      <c r="C31" s="20">
        <v>1.2999999999999999E-2</v>
      </c>
      <c r="D31" s="20"/>
      <c r="J31" t="s">
        <v>151</v>
      </c>
      <c r="K31" t="s">
        <v>166</v>
      </c>
      <c r="L31">
        <v>2</v>
      </c>
      <c r="R31" s="16"/>
    </row>
    <row r="32" spans="1:19">
      <c r="A32" s="18" t="s">
        <v>102</v>
      </c>
      <c r="B32" s="19">
        <v>42.5</v>
      </c>
      <c r="C32" s="20">
        <v>4.2000000000000003E-2</v>
      </c>
      <c r="D32" s="20"/>
      <c r="K32" t="s">
        <v>167</v>
      </c>
      <c r="L32">
        <v>4</v>
      </c>
      <c r="S32" s="16"/>
    </row>
    <row r="33" spans="1:29">
      <c r="A33" s="18" t="s">
        <v>121</v>
      </c>
      <c r="B33" s="19">
        <v>42.5</v>
      </c>
      <c r="C33" s="20">
        <v>4.2000000000000003E-2</v>
      </c>
      <c r="D33" s="20"/>
    </row>
    <row r="34" spans="1:29">
      <c r="A34" s="18" t="s">
        <v>120</v>
      </c>
      <c r="B34" s="19">
        <v>4.508</v>
      </c>
      <c r="C34" s="20">
        <v>4.5079999999999999E-3</v>
      </c>
      <c r="D34" s="20"/>
      <c r="K34" t="s">
        <v>118</v>
      </c>
    </row>
    <row r="35" spans="1:29">
      <c r="A35" s="18" t="s">
        <v>148</v>
      </c>
      <c r="B35" s="18">
        <v>3.06</v>
      </c>
      <c r="C35" s="20">
        <v>3.0999999999999999E-3</v>
      </c>
      <c r="D35" s="20"/>
      <c r="K35" s="187"/>
      <c r="L35" t="s">
        <v>161</v>
      </c>
      <c r="M35" t="s">
        <v>171</v>
      </c>
      <c r="N35" t="s">
        <v>172</v>
      </c>
      <c r="O35" t="s">
        <v>163</v>
      </c>
      <c r="P35" t="s">
        <v>164</v>
      </c>
      <c r="Q35" t="s">
        <v>165</v>
      </c>
      <c r="R35" t="s">
        <v>166</v>
      </c>
      <c r="S35" t="s">
        <v>167</v>
      </c>
    </row>
    <row r="36" spans="1:29">
      <c r="A36" s="18" t="s">
        <v>149</v>
      </c>
      <c r="B36" s="18">
        <v>5.47</v>
      </c>
      <c r="C36" s="20">
        <v>5.4999999999999997E-3</v>
      </c>
      <c r="D36" s="20"/>
      <c r="K36" t="s">
        <v>161</v>
      </c>
      <c r="L36" s="16"/>
    </row>
    <row r="37" spans="1:29">
      <c r="A37" s="18" t="s">
        <v>122</v>
      </c>
      <c r="B37" s="18"/>
      <c r="C37" s="18"/>
      <c r="D37" s="18"/>
      <c r="K37" t="s">
        <v>171</v>
      </c>
      <c r="M37" s="16"/>
    </row>
    <row r="38" spans="1:29">
      <c r="A38" s="18" t="s">
        <v>150</v>
      </c>
      <c r="B38" s="18"/>
      <c r="C38" s="18"/>
      <c r="D38" s="18"/>
      <c r="K38" t="s">
        <v>172</v>
      </c>
      <c r="N38" s="16"/>
    </row>
    <row r="39" spans="1:29">
      <c r="K39" t="s">
        <v>163</v>
      </c>
      <c r="O39" s="16"/>
    </row>
    <row r="40" spans="1:29">
      <c r="K40" t="s">
        <v>164</v>
      </c>
      <c r="P40" s="16"/>
    </row>
    <row r="41" spans="1:29">
      <c r="K41" t="s">
        <v>165</v>
      </c>
      <c r="Q41" s="16"/>
    </row>
    <row r="42" spans="1:29">
      <c r="K42" t="s">
        <v>166</v>
      </c>
      <c r="R42" s="16"/>
    </row>
    <row r="43" spans="1:29">
      <c r="K43" t="s">
        <v>167</v>
      </c>
      <c r="S43" s="16"/>
    </row>
    <row r="44" spans="1:29">
      <c r="A44" s="189" t="s">
        <v>168</v>
      </c>
      <c r="B44" s="18"/>
      <c r="C44" s="18"/>
      <c r="D44" s="18"/>
    </row>
    <row r="45" spans="1:29">
      <c r="A45" s="18" t="s">
        <v>154</v>
      </c>
      <c r="B45" s="18">
        <v>0.9</v>
      </c>
      <c r="C45" s="20"/>
      <c r="D45" s="20"/>
      <c r="K45" t="s">
        <v>147</v>
      </c>
      <c r="U45" t="s">
        <v>156</v>
      </c>
    </row>
    <row r="46" spans="1:29">
      <c r="A46" s="18" t="s">
        <v>101</v>
      </c>
      <c r="B46" s="19">
        <v>0.9</v>
      </c>
      <c r="C46" s="20"/>
      <c r="D46" s="20"/>
      <c r="K46" s="187"/>
      <c r="L46" t="s">
        <v>161</v>
      </c>
      <c r="M46" t="s">
        <v>171</v>
      </c>
      <c r="N46" t="s">
        <v>172</v>
      </c>
      <c r="O46" t="s">
        <v>163</v>
      </c>
      <c r="P46" t="s">
        <v>164</v>
      </c>
      <c r="Q46" t="s">
        <v>165</v>
      </c>
      <c r="R46" t="s">
        <v>166</v>
      </c>
      <c r="S46" t="s">
        <v>167</v>
      </c>
      <c r="U46" s="187"/>
      <c r="V46" t="s">
        <v>161</v>
      </c>
      <c r="W46" t="s">
        <v>171</v>
      </c>
      <c r="X46" t="s">
        <v>172</v>
      </c>
      <c r="Y46" t="s">
        <v>163</v>
      </c>
      <c r="Z46" t="s">
        <v>164</v>
      </c>
      <c r="AA46" t="s">
        <v>165</v>
      </c>
      <c r="AB46" t="s">
        <v>166</v>
      </c>
      <c r="AC46" t="s">
        <v>167</v>
      </c>
    </row>
    <row r="47" spans="1:29">
      <c r="A47" s="18" t="s">
        <v>102</v>
      </c>
      <c r="B47" s="19">
        <v>0.4</v>
      </c>
      <c r="C47" s="20"/>
      <c r="D47" s="20"/>
      <c r="K47" t="s">
        <v>161</v>
      </c>
      <c r="L47" s="16"/>
      <c r="R47">
        <v>1</v>
      </c>
      <c r="U47" t="s">
        <v>161</v>
      </c>
      <c r="V47" s="16"/>
      <c r="AB47">
        <v>3</v>
      </c>
    </row>
    <row r="48" spans="1:29">
      <c r="A48" s="18" t="s">
        <v>103</v>
      </c>
      <c r="B48" s="19">
        <v>0.2</v>
      </c>
      <c r="C48" s="20"/>
      <c r="D48" s="20"/>
      <c r="K48" t="s">
        <v>171</v>
      </c>
      <c r="M48" s="16"/>
      <c r="U48" t="s">
        <v>171</v>
      </c>
      <c r="W48" s="16"/>
    </row>
    <row r="49" spans="1:29">
      <c r="A49" s="18" t="s">
        <v>155</v>
      </c>
      <c r="B49" s="18"/>
      <c r="C49" s="20"/>
      <c r="D49" s="20"/>
      <c r="K49" t="s">
        <v>172</v>
      </c>
      <c r="N49" s="16"/>
      <c r="U49" t="s">
        <v>172</v>
      </c>
      <c r="X49" s="16"/>
    </row>
    <row r="50" spans="1:29">
      <c r="K50" t="s">
        <v>163</v>
      </c>
      <c r="O50" s="16"/>
      <c r="U50" t="s">
        <v>163</v>
      </c>
      <c r="Y50" s="16"/>
    </row>
    <row r="51" spans="1:29">
      <c r="K51" t="s">
        <v>164</v>
      </c>
      <c r="P51" s="16"/>
      <c r="S51">
        <v>1</v>
      </c>
      <c r="U51" t="s">
        <v>164</v>
      </c>
      <c r="Z51" s="16"/>
      <c r="AC51">
        <v>4</v>
      </c>
    </row>
    <row r="52" spans="1:29">
      <c r="K52" t="s">
        <v>165</v>
      </c>
      <c r="Q52" s="16"/>
      <c r="U52" t="s">
        <v>165</v>
      </c>
      <c r="AA52" s="16"/>
    </row>
    <row r="53" spans="1:29">
      <c r="K53" t="s">
        <v>166</v>
      </c>
      <c r="L53">
        <v>1</v>
      </c>
      <c r="R53" s="16"/>
      <c r="U53" t="s">
        <v>166</v>
      </c>
      <c r="V53">
        <v>3</v>
      </c>
      <c r="AB53" s="16"/>
    </row>
    <row r="54" spans="1:29">
      <c r="K54" t="s">
        <v>167</v>
      </c>
      <c r="P54">
        <v>1</v>
      </c>
      <c r="S54" s="16"/>
      <c r="U54" t="s">
        <v>167</v>
      </c>
      <c r="Z54">
        <v>4</v>
      </c>
      <c r="AC54" s="16"/>
    </row>
    <row r="56" spans="1:29">
      <c r="K56" t="s">
        <v>146</v>
      </c>
      <c r="U56" t="s">
        <v>157</v>
      </c>
    </row>
    <row r="57" spans="1:29">
      <c r="K57" s="187"/>
      <c r="L57" t="s">
        <v>161</v>
      </c>
      <c r="M57" t="s">
        <v>171</v>
      </c>
      <c r="N57" t="s">
        <v>172</v>
      </c>
      <c r="O57" t="s">
        <v>163</v>
      </c>
      <c r="P57" t="s">
        <v>164</v>
      </c>
      <c r="Q57" t="s">
        <v>165</v>
      </c>
      <c r="R57" t="s">
        <v>166</v>
      </c>
      <c r="S57" t="s">
        <v>167</v>
      </c>
      <c r="U57" s="187"/>
      <c r="V57" t="s">
        <v>161</v>
      </c>
      <c r="W57" t="s">
        <v>171</v>
      </c>
      <c r="X57" t="s">
        <v>172</v>
      </c>
      <c r="Y57" t="s">
        <v>163</v>
      </c>
      <c r="Z57" t="s">
        <v>164</v>
      </c>
      <c r="AA57" t="s">
        <v>165</v>
      </c>
      <c r="AB57" t="s">
        <v>166</v>
      </c>
      <c r="AC57" t="s">
        <v>167</v>
      </c>
    </row>
    <row r="58" spans="1:29">
      <c r="K58" t="s">
        <v>161</v>
      </c>
      <c r="L58" s="16"/>
      <c r="U58" t="s">
        <v>161</v>
      </c>
      <c r="V58" s="16"/>
    </row>
    <row r="59" spans="1:29">
      <c r="K59" t="s">
        <v>171</v>
      </c>
      <c r="M59" s="16"/>
      <c r="U59" t="s">
        <v>171</v>
      </c>
      <c r="W59" s="16"/>
    </row>
    <row r="60" spans="1:29">
      <c r="K60" t="s">
        <v>172</v>
      </c>
      <c r="N60" s="16"/>
      <c r="U60" t="s">
        <v>172</v>
      </c>
      <c r="X60" s="16"/>
    </row>
    <row r="61" spans="1:29">
      <c r="K61" t="s">
        <v>163</v>
      </c>
      <c r="O61" s="16"/>
      <c r="U61" t="s">
        <v>163</v>
      </c>
      <c r="Y61" s="16"/>
    </row>
    <row r="62" spans="1:29">
      <c r="K62" t="s">
        <v>164</v>
      </c>
      <c r="P62" s="16"/>
      <c r="U62" t="s">
        <v>164</v>
      </c>
      <c r="Z62" s="16"/>
    </row>
    <row r="63" spans="1:29">
      <c r="K63" t="s">
        <v>165</v>
      </c>
      <c r="Q63" s="16"/>
      <c r="R63">
        <v>1</v>
      </c>
      <c r="U63" t="s">
        <v>165</v>
      </c>
      <c r="AA63" s="16"/>
      <c r="AB63">
        <v>8</v>
      </c>
    </row>
    <row r="64" spans="1:29">
      <c r="K64" t="s">
        <v>166</v>
      </c>
      <c r="Q64">
        <v>1</v>
      </c>
      <c r="R64" s="16"/>
      <c r="U64" t="s">
        <v>166</v>
      </c>
      <c r="AA64">
        <v>8</v>
      </c>
      <c r="AB64" s="16"/>
    </row>
    <row r="65" spans="11:29">
      <c r="K65" t="s">
        <v>167</v>
      </c>
      <c r="S65" s="16"/>
      <c r="U65" t="s">
        <v>167</v>
      </c>
      <c r="AC65" s="16"/>
    </row>
    <row r="67" spans="11:29">
      <c r="K67" t="s">
        <v>145</v>
      </c>
      <c r="U67" t="s">
        <v>158</v>
      </c>
    </row>
    <row r="68" spans="11:29">
      <c r="K68" s="187"/>
      <c r="L68" t="s">
        <v>161</v>
      </c>
      <c r="M68" t="s">
        <v>171</v>
      </c>
      <c r="N68" t="s">
        <v>172</v>
      </c>
      <c r="O68" t="s">
        <v>163</v>
      </c>
      <c r="P68" t="s">
        <v>164</v>
      </c>
      <c r="Q68" t="s">
        <v>165</v>
      </c>
      <c r="R68" t="s">
        <v>166</v>
      </c>
      <c r="S68" t="s">
        <v>167</v>
      </c>
      <c r="U68" s="187"/>
      <c r="V68" t="s">
        <v>161</v>
      </c>
      <c r="W68" t="s">
        <v>171</v>
      </c>
      <c r="X68" t="s">
        <v>172</v>
      </c>
      <c r="Y68" t="s">
        <v>163</v>
      </c>
      <c r="Z68" t="s">
        <v>164</v>
      </c>
      <c r="AA68" t="s">
        <v>165</v>
      </c>
      <c r="AB68" t="s">
        <v>166</v>
      </c>
      <c r="AC68" t="s">
        <v>167</v>
      </c>
    </row>
    <row r="69" spans="11:29">
      <c r="K69" t="s">
        <v>161</v>
      </c>
      <c r="L69" s="16"/>
      <c r="U69" t="s">
        <v>161</v>
      </c>
      <c r="V69" s="16"/>
    </row>
    <row r="70" spans="11:29">
      <c r="K70" t="s">
        <v>171</v>
      </c>
      <c r="M70" s="16"/>
      <c r="U70" t="s">
        <v>171</v>
      </c>
      <c r="W70" s="16"/>
    </row>
    <row r="71" spans="11:29">
      <c r="K71" t="s">
        <v>172</v>
      </c>
      <c r="N71" s="16"/>
      <c r="U71" t="s">
        <v>172</v>
      </c>
      <c r="X71" s="16"/>
    </row>
    <row r="72" spans="11:29">
      <c r="K72" t="s">
        <v>163</v>
      </c>
      <c r="O72" s="16"/>
      <c r="U72" t="s">
        <v>163</v>
      </c>
      <c r="Y72" s="16"/>
    </row>
    <row r="73" spans="11:29">
      <c r="K73" t="s">
        <v>164</v>
      </c>
      <c r="P73" s="16"/>
      <c r="U73" t="s">
        <v>164</v>
      </c>
      <c r="Z73" s="16"/>
    </row>
    <row r="74" spans="11:29">
      <c r="K74" t="s">
        <v>165</v>
      </c>
      <c r="Q74" s="16"/>
      <c r="U74" t="s">
        <v>165</v>
      </c>
      <c r="AA74" s="16"/>
    </row>
    <row r="75" spans="11:29">
      <c r="K75" t="s">
        <v>166</v>
      </c>
      <c r="R75" s="16"/>
      <c r="U75" t="s">
        <v>166</v>
      </c>
      <c r="AB75" s="16"/>
    </row>
    <row r="76" spans="11:29">
      <c r="K76" t="s">
        <v>167</v>
      </c>
      <c r="S76" s="16"/>
      <c r="U76" t="s">
        <v>167</v>
      </c>
      <c r="AC76" s="16"/>
    </row>
  </sheetData>
  <phoneticPr fontId="2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9"/>
  <sheetViews>
    <sheetView zoomScale="130" zoomScaleNormal="130" zoomScalePageLayoutView="190" workbookViewId="0">
      <selection activeCell="P7" sqref="P7"/>
    </sheetView>
  </sheetViews>
  <sheetFormatPr baseColWidth="10" defaultColWidth="8.83203125" defaultRowHeight="15"/>
  <cols>
    <col min="5" max="8" width="8.83203125" customWidth="1"/>
    <col min="9" max="9" width="3.6640625" customWidth="1"/>
    <col min="11" max="17" width="4" customWidth="1"/>
    <col min="18" max="18" width="4.33203125" customWidth="1"/>
    <col min="19" max="26" width="3.83203125" customWidth="1"/>
  </cols>
  <sheetData>
    <row r="1" spans="1:17">
      <c r="A1" s="15" t="s">
        <v>119</v>
      </c>
      <c r="J1" t="s">
        <v>143</v>
      </c>
    </row>
    <row r="2" spans="1:17"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</row>
    <row r="3" spans="1:17">
      <c r="A3" t="s">
        <v>161</v>
      </c>
      <c r="B3" s="212" t="str">
        <f>IF((K3*$B$43)+(K13*$B$44)+(K23*$B$45)+(K33*$B$46)+T43+T53+T63,((K3*$B$43)+(K13*$B$44)+(K23*$B$45)+(K33*$B$46)+T43+T53)*1000,"")</f>
        <v/>
      </c>
      <c r="C3" s="212">
        <f t="shared" ref="C3:H3" si="0">IF((L3*$B$43)+(L13*$B$44)+(L23*$B$45)+(L33*$B$46)+U43+U53+U63,((L3*$B$43)+(L13*$B$44)+(L23*$B$45)+(L33*$B$46)+U43+U53)*1000,"")</f>
        <v>4600.0000000000009</v>
      </c>
      <c r="D3" s="212" t="str">
        <f t="shared" si="0"/>
        <v/>
      </c>
      <c r="E3" s="212" t="str">
        <f t="shared" si="0"/>
        <v/>
      </c>
      <c r="F3" s="212" t="str">
        <f t="shared" si="0"/>
        <v/>
      </c>
      <c r="G3" s="212">
        <f t="shared" si="0"/>
        <v>4700</v>
      </c>
      <c r="H3" s="212">
        <f t="shared" si="0"/>
        <v>4300.0000000000009</v>
      </c>
      <c r="J3" t="s">
        <v>161</v>
      </c>
      <c r="K3" s="16"/>
      <c r="L3">
        <v>2</v>
      </c>
    </row>
    <row r="4" spans="1:17">
      <c r="A4" t="s">
        <v>162</v>
      </c>
      <c r="B4" s="212">
        <f t="shared" ref="B4:B9" si="1">IF((K4*$B$43)+(K14*$B$44)+(K24*$B$45)+(K34*$B$46)+T44+T54+T64,((K4*$B$43)+(K14*$B$44)+(K24*$B$45)+(K34*$B$46)+T44+T54)*1000,"")</f>
        <v>4600.0000000000009</v>
      </c>
      <c r="C4" s="212" t="str">
        <f t="shared" ref="C4:C9" si="2">IF((L4*$B$43)+(L14*$B$44)+(L24*$B$45)+(L34*$B$46)+U44+U54+U64,((L4*$B$43)+(L14*$B$44)+(L24*$B$45)+(L34*$B$46)+U44+U54)*1000,"")</f>
        <v/>
      </c>
      <c r="D4" s="212">
        <f>IF((M4*$B$43)+(M14*$B$44)+(M24*$B$45)+(M34*$B$46)+V44+V54+V64,((M4*$B$43)+(M14*$B$44)+(M24*$B$45)+(M34*$B$46)+V44+V54)*1000,"")</f>
        <v>7400</v>
      </c>
      <c r="E4" s="212">
        <f t="shared" ref="E4:E9" si="3">IF((N4*$B$43)+(N14*$B$44)+(N24*$B$45)+(N34*$B$46)+W44+W54+W64,((N4*$B$43)+(N14*$B$44)+(N24*$B$45)+(N34*$B$46)+W44+W54)*1000,"")</f>
        <v>4200</v>
      </c>
      <c r="F4" s="212">
        <f t="shared" ref="F4:F9" si="4">IF((O4*$B$43)+(O14*$B$44)+(O24*$B$45)+(O34*$B$46)+X44+X54+X64,((O4*$B$43)+(O14*$B$44)+(O24*$B$45)+(O34*$B$46)+X44+X54)*1000,"")</f>
        <v>3600</v>
      </c>
      <c r="G4" s="212" t="str">
        <f t="shared" ref="G4:G9" si="5">IF((P4*$B$43)+(P14*$B$44)+(P24*$B$45)+(P34*$B$46)+Y44+Y54+Y64,((P4*$B$43)+(P14*$B$44)+(P24*$B$45)+(P34*$B$46)+Y44+Y54)*1000,"")</f>
        <v/>
      </c>
      <c r="H4" s="212" t="str">
        <f t="shared" ref="H4:H9" si="6">IF((Q4*$B$43)+(Q14*$B$44)+(Q24*$B$45)+(Q34*$B$46)+Z44+Z54+Z64,((Q4*$B$43)+(Q14*$B$44)+(Q24*$B$45)+(Q34*$B$46)+Z44+Z54)*1000,"")</f>
        <v/>
      </c>
      <c r="J4" t="s">
        <v>162</v>
      </c>
      <c r="K4">
        <v>2</v>
      </c>
      <c r="L4" s="16"/>
      <c r="M4">
        <v>6</v>
      </c>
      <c r="N4">
        <v>2</v>
      </c>
      <c r="O4">
        <v>4</v>
      </c>
    </row>
    <row r="5" spans="1:17">
      <c r="A5" t="s">
        <v>163</v>
      </c>
      <c r="B5" s="212" t="str">
        <f t="shared" si="1"/>
        <v/>
      </c>
      <c r="C5" s="212">
        <f t="shared" si="2"/>
        <v>7400</v>
      </c>
      <c r="D5" s="212" t="str">
        <f t="shared" ref="D5:D9" si="7">IF((M5*$B$43)+(M15*$B$44)+(M25*$B$45)+(M35*$B$46)+V45+V55+V65,((M5*$B$43)+(M15*$B$44)+(M25*$B$45)+(M35*$B$46)+V45+V55)*1000,"")</f>
        <v/>
      </c>
      <c r="E5" s="212" t="str">
        <f t="shared" si="3"/>
        <v/>
      </c>
      <c r="F5" s="212" t="str">
        <f t="shared" si="4"/>
        <v/>
      </c>
      <c r="G5" s="212" t="str">
        <f t="shared" si="5"/>
        <v/>
      </c>
      <c r="H5" s="212" t="str">
        <f t="shared" si="6"/>
        <v/>
      </c>
      <c r="J5" t="s">
        <v>163</v>
      </c>
      <c r="L5">
        <v>6</v>
      </c>
      <c r="M5" s="16"/>
    </row>
    <row r="6" spans="1:17">
      <c r="A6" t="s">
        <v>164</v>
      </c>
      <c r="B6" s="212" t="str">
        <f t="shared" si="1"/>
        <v/>
      </c>
      <c r="C6" s="212">
        <f t="shared" si="2"/>
        <v>4200</v>
      </c>
      <c r="D6" s="212" t="str">
        <f t="shared" si="7"/>
        <v/>
      </c>
      <c r="E6" s="212" t="str">
        <f t="shared" si="3"/>
        <v/>
      </c>
      <c r="F6" s="212" t="str">
        <f t="shared" si="4"/>
        <v/>
      </c>
      <c r="G6" s="212" t="str">
        <f t="shared" si="5"/>
        <v/>
      </c>
      <c r="H6" s="212">
        <f t="shared" si="6"/>
        <v>4000</v>
      </c>
      <c r="J6" t="s">
        <v>164</v>
      </c>
      <c r="L6">
        <v>2</v>
      </c>
      <c r="N6" s="16"/>
    </row>
    <row r="7" spans="1:17">
      <c r="A7" t="s">
        <v>165</v>
      </c>
      <c r="B7" s="212" t="str">
        <f t="shared" si="1"/>
        <v/>
      </c>
      <c r="C7" s="212">
        <f t="shared" si="2"/>
        <v>3600</v>
      </c>
      <c r="D7" s="212" t="str">
        <f t="shared" si="7"/>
        <v/>
      </c>
      <c r="E7" s="212" t="str">
        <f t="shared" si="3"/>
        <v/>
      </c>
      <c r="F7" s="212" t="str">
        <f t="shared" si="4"/>
        <v/>
      </c>
      <c r="G7" s="212">
        <f t="shared" si="5"/>
        <v>8000</v>
      </c>
      <c r="H7" s="212" t="str">
        <f t="shared" si="6"/>
        <v/>
      </c>
      <c r="J7" t="s">
        <v>165</v>
      </c>
      <c r="L7">
        <v>4</v>
      </c>
      <c r="O7" s="16"/>
    </row>
    <row r="8" spans="1:17">
      <c r="A8" t="s">
        <v>166</v>
      </c>
      <c r="B8" s="212">
        <f t="shared" si="1"/>
        <v>4700</v>
      </c>
      <c r="C8" s="212" t="str">
        <f t="shared" si="2"/>
        <v/>
      </c>
      <c r="D8" s="212" t="str">
        <f t="shared" si="7"/>
        <v/>
      </c>
      <c r="E8" s="212" t="str">
        <f t="shared" si="3"/>
        <v/>
      </c>
      <c r="F8" s="212">
        <f t="shared" si="4"/>
        <v>8000</v>
      </c>
      <c r="G8" s="212" t="str">
        <f t="shared" si="5"/>
        <v/>
      </c>
      <c r="H8" s="212" t="str">
        <f t="shared" si="6"/>
        <v/>
      </c>
      <c r="J8" t="s">
        <v>166</v>
      </c>
      <c r="P8" s="16"/>
    </row>
    <row r="9" spans="1:17">
      <c r="A9" t="s">
        <v>167</v>
      </c>
      <c r="B9" s="212">
        <f t="shared" si="1"/>
        <v>4300.0000000000009</v>
      </c>
      <c r="C9" s="212" t="str">
        <f t="shared" si="2"/>
        <v/>
      </c>
      <c r="D9" s="212" t="str">
        <f t="shared" si="7"/>
        <v/>
      </c>
      <c r="E9" s="212">
        <f t="shared" si="3"/>
        <v>4000</v>
      </c>
      <c r="F9" s="212" t="str">
        <f t="shared" si="4"/>
        <v/>
      </c>
      <c r="G9" s="212" t="str">
        <f t="shared" si="5"/>
        <v/>
      </c>
      <c r="H9" s="212" t="str">
        <f t="shared" si="6"/>
        <v/>
      </c>
      <c r="J9" t="s">
        <v>167</v>
      </c>
      <c r="Q9" s="16"/>
    </row>
    <row r="11" spans="1:17">
      <c r="A11" s="15" t="s">
        <v>152</v>
      </c>
      <c r="J11" t="s">
        <v>117</v>
      </c>
    </row>
    <row r="12" spans="1:17">
      <c r="B12" t="s">
        <v>161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K12" t="s">
        <v>161</v>
      </c>
      <c r="L12" t="s">
        <v>162</v>
      </c>
      <c r="M12" t="s">
        <v>163</v>
      </c>
      <c r="N12" t="s">
        <v>164</v>
      </c>
      <c r="O12" t="s">
        <v>165</v>
      </c>
      <c r="P12" t="s">
        <v>166</v>
      </c>
      <c r="Q12" t="s">
        <v>167</v>
      </c>
    </row>
    <row r="13" spans="1:17">
      <c r="A13" t="s">
        <v>161</v>
      </c>
      <c r="B13" s="23" t="str">
        <f>IF(ISERROR(1/((K13/$C$29)+(K33/$C$31)+(K3/$C$28)+(K23/$C$30)+(K53/$C$33)+(K63/$C$34)+(K43/$C$32))),"",1/((K13/$C$29)+(K33/$C$31)+(K3/$C$28)+(K23/$C$30)+(K53/$C$33)+(K63/$C$34)+(K43/$C$32)))</f>
        <v/>
      </c>
      <c r="C13" s="22">
        <f t="shared" ref="C13:H19" si="8">IF(ISERROR(1/((L13/$C$29)+(L33/$C$31)+(L3/$C$28)+(L23/$C$30)+(L53/$C$33)+(L63/$C$34)+(L43/$C$32))),"",1/((L13/$C$29)+(L33/$C$31)+(L3/$C$28)+(L23/$C$30)+(L53/$C$33)+(L63/$C$34)+(L43/$C$32)))</f>
        <v>1.8857142857142855E-3</v>
      </c>
      <c r="D13" s="22" t="str">
        <f t="shared" si="8"/>
        <v/>
      </c>
      <c r="E13" s="22" t="str">
        <f t="shared" si="8"/>
        <v/>
      </c>
      <c r="F13" s="22" t="str">
        <f t="shared" si="8"/>
        <v/>
      </c>
      <c r="G13" s="22">
        <f t="shared" si="8"/>
        <v>2.8870861797162376E-3</v>
      </c>
      <c r="H13" s="22">
        <f t="shared" si="8"/>
        <v>3.0674157303370786E-3</v>
      </c>
      <c r="J13" t="s">
        <v>161</v>
      </c>
      <c r="K13" s="16"/>
      <c r="P13">
        <v>1</v>
      </c>
      <c r="Q13">
        <v>3</v>
      </c>
    </row>
    <row r="14" spans="1:17">
      <c r="A14" t="s">
        <v>162</v>
      </c>
      <c r="B14" s="22">
        <f t="shared" ref="B14:B19" si="9">IF(ISERROR(1/((K14/$C$29)+(K34/$C$31)+(K4/$C$28)+(K24/$C$30)+(K54/$C$33)+(K64/$C$34)+(K44/$C$32))),"",1/((K14/$C$29)+(K34/$C$31)+(K4/$C$28)+(K24/$C$30)+(K54/$C$33)+(K64/$C$34)+(K44/$C$32)))</f>
        <v>1.8857142857142855E-3</v>
      </c>
      <c r="C14" s="23" t="str">
        <f t="shared" si="8"/>
        <v/>
      </c>
      <c r="D14" s="22">
        <f t="shared" si="8"/>
        <v>8.2647584973166363E-4</v>
      </c>
      <c r="E14" s="22">
        <f t="shared" si="8"/>
        <v>1.9743589743589744E-3</v>
      </c>
      <c r="F14" s="22">
        <f t="shared" si="8"/>
        <v>1.3749999999999999E-3</v>
      </c>
      <c r="G14" s="22" t="str">
        <f t="shared" si="8"/>
        <v/>
      </c>
      <c r="H14" s="22" t="str">
        <f t="shared" si="8"/>
        <v/>
      </c>
      <c r="J14" t="s">
        <v>162</v>
      </c>
      <c r="L14" s="16"/>
    </row>
    <row r="15" spans="1:17">
      <c r="A15" t="s">
        <v>163</v>
      </c>
      <c r="B15" s="22" t="str">
        <f t="shared" si="9"/>
        <v/>
      </c>
      <c r="C15" s="22">
        <f t="shared" si="8"/>
        <v>8.2647584973166363E-4</v>
      </c>
      <c r="D15" s="23" t="str">
        <f t="shared" si="8"/>
        <v/>
      </c>
      <c r="E15" s="22" t="str">
        <f t="shared" si="8"/>
        <v/>
      </c>
      <c r="F15" s="22" t="str">
        <f t="shared" si="8"/>
        <v/>
      </c>
      <c r="G15" s="22" t="str">
        <f t="shared" si="8"/>
        <v/>
      </c>
      <c r="H15" s="22" t="str">
        <f t="shared" si="8"/>
        <v/>
      </c>
      <c r="J15" t="s">
        <v>163</v>
      </c>
      <c r="M15" s="16"/>
    </row>
    <row r="16" spans="1:17">
      <c r="A16" t="s">
        <v>164</v>
      </c>
      <c r="B16" s="22" t="str">
        <f t="shared" si="9"/>
        <v/>
      </c>
      <c r="C16" s="22">
        <f t="shared" si="8"/>
        <v>1.9743589743589744E-3</v>
      </c>
      <c r="D16" s="22" t="str">
        <f t="shared" si="8"/>
        <v/>
      </c>
      <c r="E16" s="23" t="str">
        <f t="shared" si="8"/>
        <v/>
      </c>
      <c r="F16" t="str">
        <f t="shared" si="8"/>
        <v/>
      </c>
      <c r="G16" t="str">
        <f t="shared" si="8"/>
        <v/>
      </c>
      <c r="H16">
        <f t="shared" si="8"/>
        <v>4.5079999999999999E-3</v>
      </c>
      <c r="J16" t="s">
        <v>164</v>
      </c>
      <c r="N16" s="16"/>
    </row>
    <row r="17" spans="1:17">
      <c r="A17" t="s">
        <v>165</v>
      </c>
      <c r="B17" t="str">
        <f t="shared" si="9"/>
        <v/>
      </c>
      <c r="C17">
        <f t="shared" si="8"/>
        <v>1.3749999999999999E-3</v>
      </c>
      <c r="D17" t="str">
        <f t="shared" si="8"/>
        <v/>
      </c>
      <c r="E17" t="str">
        <f t="shared" si="8"/>
        <v/>
      </c>
      <c r="F17" s="23" t="str">
        <f t="shared" si="8"/>
        <v/>
      </c>
      <c r="G17">
        <f t="shared" si="8"/>
        <v>3.1000000000000003E-3</v>
      </c>
      <c r="H17" t="str">
        <f t="shared" si="8"/>
        <v/>
      </c>
      <c r="J17" t="s">
        <v>165</v>
      </c>
      <c r="O17" s="16"/>
    </row>
    <row r="18" spans="1:17">
      <c r="A18" t="s">
        <v>166</v>
      </c>
      <c r="B18">
        <f t="shared" si="9"/>
        <v>2.8870861797162376E-3</v>
      </c>
      <c r="C18" t="str">
        <f t="shared" si="8"/>
        <v/>
      </c>
      <c r="D18" t="str">
        <f t="shared" si="8"/>
        <v/>
      </c>
      <c r="E18" t="str">
        <f t="shared" si="8"/>
        <v/>
      </c>
      <c r="F18">
        <f t="shared" si="8"/>
        <v>3.1000000000000003E-3</v>
      </c>
      <c r="G18" s="23" t="str">
        <f t="shared" si="8"/>
        <v/>
      </c>
      <c r="H18" t="str">
        <f t="shared" si="8"/>
        <v/>
      </c>
      <c r="J18" t="s">
        <v>166</v>
      </c>
      <c r="K18">
        <v>1</v>
      </c>
      <c r="P18" s="16"/>
    </row>
    <row r="19" spans="1:17">
      <c r="A19" t="s">
        <v>167</v>
      </c>
      <c r="B19">
        <f t="shared" si="9"/>
        <v>3.0674157303370786E-3</v>
      </c>
      <c r="C19" t="str">
        <f t="shared" si="8"/>
        <v/>
      </c>
      <c r="D19" t="str">
        <f t="shared" si="8"/>
        <v/>
      </c>
      <c r="E19">
        <f t="shared" si="8"/>
        <v>4.5079999999999999E-3</v>
      </c>
      <c r="F19" t="str">
        <f t="shared" si="8"/>
        <v/>
      </c>
      <c r="G19" t="str">
        <f t="shared" si="8"/>
        <v/>
      </c>
      <c r="H19" s="23" t="str">
        <f t="shared" si="8"/>
        <v/>
      </c>
      <c r="I19" t="s">
        <v>151</v>
      </c>
      <c r="J19" t="s">
        <v>167</v>
      </c>
      <c r="K19">
        <v>3</v>
      </c>
      <c r="Q19" s="16"/>
    </row>
    <row r="20" spans="1:17">
      <c r="H20" s="22"/>
    </row>
    <row r="21" spans="1:17">
      <c r="I21" t="s">
        <v>151</v>
      </c>
      <c r="J21" s="187" t="s">
        <v>144</v>
      </c>
      <c r="K21" s="187"/>
      <c r="L21" s="187"/>
      <c r="M21" s="187"/>
      <c r="N21" s="187"/>
    </row>
    <row r="22" spans="1:17">
      <c r="A22" s="21" t="s">
        <v>123</v>
      </c>
      <c r="J22" s="187"/>
      <c r="K22" t="s">
        <v>161</v>
      </c>
      <c r="L22" t="s">
        <v>162</v>
      </c>
      <c r="M22" t="s">
        <v>163</v>
      </c>
      <c r="N22" t="s">
        <v>164</v>
      </c>
      <c r="O22" t="s">
        <v>165</v>
      </c>
      <c r="P22" t="s">
        <v>166</v>
      </c>
      <c r="Q22" t="s">
        <v>167</v>
      </c>
    </row>
    <row r="23" spans="1:17">
      <c r="A23" s="21" t="s">
        <v>124</v>
      </c>
      <c r="J23" t="s">
        <v>161</v>
      </c>
      <c r="K23" s="16"/>
      <c r="L23">
        <v>7</v>
      </c>
      <c r="P23">
        <v>2</v>
      </c>
      <c r="Q23">
        <v>4</v>
      </c>
    </row>
    <row r="24" spans="1:17">
      <c r="A24" s="21" t="s">
        <v>159</v>
      </c>
      <c r="J24" t="s">
        <v>162</v>
      </c>
      <c r="K24">
        <v>7</v>
      </c>
      <c r="L24" s="16"/>
      <c r="M24">
        <v>5</v>
      </c>
      <c r="N24">
        <v>6</v>
      </c>
    </row>
    <row r="25" spans="1:17">
      <c r="A25" s="21" t="s">
        <v>160</v>
      </c>
      <c r="J25" t="s">
        <v>163</v>
      </c>
      <c r="L25">
        <v>5</v>
      </c>
      <c r="M25" s="16"/>
    </row>
    <row r="26" spans="1:17">
      <c r="J26" t="s">
        <v>164</v>
      </c>
      <c r="L26">
        <v>6</v>
      </c>
      <c r="N26" s="16"/>
    </row>
    <row r="27" spans="1:17">
      <c r="A27" s="189" t="s">
        <v>153</v>
      </c>
      <c r="B27" s="18"/>
      <c r="C27" s="18"/>
      <c r="I27" t="s">
        <v>151</v>
      </c>
      <c r="J27" t="s">
        <v>165</v>
      </c>
      <c r="O27" s="16"/>
    </row>
    <row r="28" spans="1:17">
      <c r="A28" s="18" t="s">
        <v>100</v>
      </c>
      <c r="B28" s="18">
        <v>5.47</v>
      </c>
      <c r="C28" s="20">
        <v>5.4999999999999997E-3</v>
      </c>
      <c r="I28" t="s">
        <v>151</v>
      </c>
      <c r="J28" t="s">
        <v>166</v>
      </c>
      <c r="K28">
        <v>2</v>
      </c>
      <c r="P28" s="16"/>
    </row>
    <row r="29" spans="1:17">
      <c r="A29" s="18" t="s">
        <v>101</v>
      </c>
      <c r="B29" s="19">
        <v>12.6</v>
      </c>
      <c r="C29" s="20">
        <v>1.2999999999999999E-2</v>
      </c>
      <c r="I29" t="s">
        <v>151</v>
      </c>
      <c r="J29" t="s">
        <v>167</v>
      </c>
      <c r="K29">
        <v>4</v>
      </c>
      <c r="Q29" s="16"/>
    </row>
    <row r="30" spans="1:17">
      <c r="A30" s="18" t="s">
        <v>102</v>
      </c>
      <c r="B30" s="19">
        <v>42.5</v>
      </c>
      <c r="C30" s="20">
        <v>4.2000000000000003E-2</v>
      </c>
    </row>
    <row r="31" spans="1:17">
      <c r="A31" s="18" t="s">
        <v>121</v>
      </c>
      <c r="B31" s="19">
        <v>42.5</v>
      </c>
      <c r="C31" s="20">
        <v>4.2000000000000003E-2</v>
      </c>
      <c r="J31" t="s">
        <v>118</v>
      </c>
    </row>
    <row r="32" spans="1:17">
      <c r="A32" s="18" t="s">
        <v>120</v>
      </c>
      <c r="B32" s="19">
        <v>4.508</v>
      </c>
      <c r="C32" s="20">
        <v>4.5079999999999999E-3</v>
      </c>
      <c r="J32" s="187"/>
      <c r="K32" t="s">
        <v>161</v>
      </c>
      <c r="L32" t="s">
        <v>162</v>
      </c>
      <c r="M32" t="s">
        <v>163</v>
      </c>
      <c r="N32" t="s">
        <v>164</v>
      </c>
      <c r="O32" t="s">
        <v>165</v>
      </c>
      <c r="P32" t="s">
        <v>166</v>
      </c>
      <c r="Q32" t="s">
        <v>167</v>
      </c>
    </row>
    <row r="33" spans="1:26">
      <c r="A33" s="18" t="s">
        <v>148</v>
      </c>
      <c r="B33" s="18">
        <v>3.06</v>
      </c>
      <c r="C33" s="20">
        <v>3.0999999999999999E-3</v>
      </c>
      <c r="J33" t="s">
        <v>161</v>
      </c>
      <c r="K33" s="16"/>
    </row>
    <row r="34" spans="1:26">
      <c r="A34" s="18" t="s">
        <v>149</v>
      </c>
      <c r="B34" s="18">
        <v>5.47</v>
      </c>
      <c r="C34" s="20">
        <v>5.4999999999999997E-3</v>
      </c>
      <c r="J34" t="s">
        <v>162</v>
      </c>
      <c r="L34" s="16"/>
    </row>
    <row r="35" spans="1:26">
      <c r="A35" s="18" t="s">
        <v>122</v>
      </c>
      <c r="B35" s="18"/>
      <c r="C35" s="18"/>
      <c r="J35" t="s">
        <v>163</v>
      </c>
      <c r="M35" s="16"/>
    </row>
    <row r="36" spans="1:26">
      <c r="A36" s="18" t="s">
        <v>150</v>
      </c>
      <c r="B36" s="18"/>
      <c r="C36" s="18"/>
      <c r="J36" t="s">
        <v>164</v>
      </c>
      <c r="N36" s="16"/>
    </row>
    <row r="37" spans="1:26">
      <c r="J37" t="s">
        <v>165</v>
      </c>
      <c r="O37" s="16"/>
    </row>
    <row r="38" spans="1:26">
      <c r="J38" t="s">
        <v>166</v>
      </c>
      <c r="P38" s="16"/>
    </row>
    <row r="39" spans="1:26">
      <c r="J39" t="s">
        <v>167</v>
      </c>
      <c r="Q39" s="16"/>
    </row>
    <row r="41" spans="1:26">
      <c r="J41" t="s">
        <v>147</v>
      </c>
      <c r="S41" t="s">
        <v>156</v>
      </c>
    </row>
    <row r="42" spans="1:26">
      <c r="A42" s="189" t="s">
        <v>168</v>
      </c>
      <c r="B42" s="18"/>
      <c r="C42" s="18"/>
      <c r="J42" s="187"/>
      <c r="K42" t="s">
        <v>161</v>
      </c>
      <c r="L42" t="s">
        <v>162</v>
      </c>
      <c r="M42" t="s">
        <v>163</v>
      </c>
      <c r="N42" t="s">
        <v>164</v>
      </c>
      <c r="O42" t="s">
        <v>165</v>
      </c>
      <c r="P42" t="s">
        <v>166</v>
      </c>
      <c r="Q42" t="s">
        <v>167</v>
      </c>
      <c r="S42" s="187"/>
      <c r="T42" t="s">
        <v>161</v>
      </c>
      <c r="U42" t="s">
        <v>162</v>
      </c>
      <c r="V42" t="s">
        <v>163</v>
      </c>
      <c r="W42" t="s">
        <v>164</v>
      </c>
      <c r="X42" t="s">
        <v>165</v>
      </c>
      <c r="Y42" t="s">
        <v>166</v>
      </c>
      <c r="Z42" t="s">
        <v>167</v>
      </c>
    </row>
    <row r="43" spans="1:26">
      <c r="A43" s="18" t="s">
        <v>154</v>
      </c>
      <c r="B43" s="18">
        <v>0.9</v>
      </c>
      <c r="C43" s="20"/>
      <c r="J43" t="s">
        <v>161</v>
      </c>
      <c r="K43" s="16"/>
      <c r="P43">
        <v>1</v>
      </c>
      <c r="S43" t="s">
        <v>161</v>
      </c>
      <c r="T43" s="16"/>
      <c r="Y43">
        <v>3</v>
      </c>
    </row>
    <row r="44" spans="1:26">
      <c r="A44" s="18" t="s">
        <v>101</v>
      </c>
      <c r="B44" s="19">
        <v>0.9</v>
      </c>
      <c r="C44" s="20"/>
      <c r="J44" t="s">
        <v>162</v>
      </c>
      <c r="L44" s="16"/>
      <c r="S44" t="s">
        <v>162</v>
      </c>
      <c r="U44" s="16"/>
    </row>
    <row r="45" spans="1:26">
      <c r="A45" s="18" t="s">
        <v>102</v>
      </c>
      <c r="B45" s="19">
        <v>0.4</v>
      </c>
      <c r="C45" s="20"/>
      <c r="J45" t="s">
        <v>163</v>
      </c>
      <c r="M45" s="16"/>
      <c r="S45" t="s">
        <v>163</v>
      </c>
      <c r="V45" s="16"/>
    </row>
    <row r="46" spans="1:26">
      <c r="A46" s="18" t="s">
        <v>103</v>
      </c>
      <c r="B46" s="19">
        <v>0.2</v>
      </c>
      <c r="C46" s="20"/>
      <c r="J46" t="s">
        <v>164</v>
      </c>
      <c r="N46" s="16"/>
      <c r="Q46">
        <v>1</v>
      </c>
      <c r="S46" t="s">
        <v>164</v>
      </c>
      <c r="W46" s="16"/>
      <c r="Z46">
        <v>4</v>
      </c>
    </row>
    <row r="47" spans="1:26">
      <c r="A47" s="18" t="s">
        <v>155</v>
      </c>
      <c r="B47" s="18"/>
      <c r="C47" s="20"/>
      <c r="J47" t="s">
        <v>165</v>
      </c>
      <c r="O47" s="16"/>
      <c r="S47" t="s">
        <v>165</v>
      </c>
      <c r="X47" s="16"/>
    </row>
    <row r="48" spans="1:26">
      <c r="J48" t="s">
        <v>166</v>
      </c>
      <c r="K48">
        <v>1</v>
      </c>
      <c r="P48" s="16"/>
      <c r="S48" t="s">
        <v>166</v>
      </c>
      <c r="T48">
        <v>3</v>
      </c>
      <c r="Y48" s="16"/>
    </row>
    <row r="49" spans="10:26">
      <c r="J49" t="s">
        <v>167</v>
      </c>
      <c r="N49">
        <v>1</v>
      </c>
      <c r="Q49" s="16"/>
      <c r="S49" t="s">
        <v>167</v>
      </c>
      <c r="W49">
        <v>4</v>
      </c>
      <c r="Z49" s="16"/>
    </row>
    <row r="51" spans="10:26">
      <c r="J51" t="s">
        <v>146</v>
      </c>
      <c r="S51" t="s">
        <v>157</v>
      </c>
    </row>
    <row r="52" spans="10:26">
      <c r="J52" s="187"/>
      <c r="K52" t="s">
        <v>161</v>
      </c>
      <c r="L52" t="s">
        <v>162</v>
      </c>
      <c r="M52" t="s">
        <v>163</v>
      </c>
      <c r="N52" t="s">
        <v>164</v>
      </c>
      <c r="O52" t="s">
        <v>165</v>
      </c>
      <c r="P52" t="s">
        <v>166</v>
      </c>
      <c r="Q52" t="s">
        <v>167</v>
      </c>
      <c r="S52" s="187"/>
      <c r="T52" t="s">
        <v>161</v>
      </c>
      <c r="U52" t="s">
        <v>162</v>
      </c>
      <c r="V52" t="s">
        <v>163</v>
      </c>
      <c r="W52" t="s">
        <v>164</v>
      </c>
      <c r="X52" t="s">
        <v>165</v>
      </c>
      <c r="Y52" t="s">
        <v>166</v>
      </c>
      <c r="Z52" t="s">
        <v>167</v>
      </c>
    </row>
    <row r="53" spans="10:26">
      <c r="J53" t="s">
        <v>161</v>
      </c>
      <c r="K53" s="16"/>
      <c r="S53" t="s">
        <v>161</v>
      </c>
      <c r="T53" s="16"/>
    </row>
    <row r="54" spans="10:26">
      <c r="J54" t="s">
        <v>162</v>
      </c>
      <c r="L54" s="16"/>
      <c r="S54" t="s">
        <v>162</v>
      </c>
      <c r="U54" s="16"/>
    </row>
    <row r="55" spans="10:26">
      <c r="J55" t="s">
        <v>163</v>
      </c>
      <c r="M55" s="16"/>
      <c r="S55" t="s">
        <v>163</v>
      </c>
      <c r="V55" s="16"/>
    </row>
    <row r="56" spans="10:26">
      <c r="J56" t="s">
        <v>164</v>
      </c>
      <c r="N56" s="16"/>
      <c r="S56" t="s">
        <v>164</v>
      </c>
      <c r="W56" s="16"/>
    </row>
    <row r="57" spans="10:26">
      <c r="J57" t="s">
        <v>165</v>
      </c>
      <c r="O57" s="16"/>
      <c r="P57">
        <v>1</v>
      </c>
      <c r="S57" t="s">
        <v>165</v>
      </c>
      <c r="X57" s="16"/>
      <c r="Y57">
        <v>8</v>
      </c>
    </row>
    <row r="58" spans="10:26">
      <c r="J58" t="s">
        <v>166</v>
      </c>
      <c r="O58">
        <v>1</v>
      </c>
      <c r="P58" s="16"/>
      <c r="S58" t="s">
        <v>166</v>
      </c>
      <c r="X58">
        <v>8</v>
      </c>
      <c r="Y58" s="16"/>
    </row>
    <row r="59" spans="10:26">
      <c r="J59" t="s">
        <v>167</v>
      </c>
      <c r="Q59" s="16"/>
      <c r="S59" t="s">
        <v>167</v>
      </c>
      <c r="Z59" s="16"/>
    </row>
    <row r="61" spans="10:26">
      <c r="J61" t="s">
        <v>145</v>
      </c>
      <c r="S61" t="s">
        <v>158</v>
      </c>
    </row>
    <row r="62" spans="10:26">
      <c r="J62" s="187"/>
      <c r="K62" t="s">
        <v>161</v>
      </c>
      <c r="L62" t="s">
        <v>162</v>
      </c>
      <c r="M62" t="s">
        <v>163</v>
      </c>
      <c r="N62" t="s">
        <v>164</v>
      </c>
      <c r="O62" t="s">
        <v>165</v>
      </c>
      <c r="P62" t="s">
        <v>166</v>
      </c>
      <c r="Q62" t="s">
        <v>167</v>
      </c>
      <c r="S62" s="187"/>
      <c r="T62" t="s">
        <v>161</v>
      </c>
      <c r="U62" t="s">
        <v>162</v>
      </c>
      <c r="V62" t="s">
        <v>163</v>
      </c>
      <c r="W62" t="s">
        <v>164</v>
      </c>
      <c r="X62" t="s">
        <v>165</v>
      </c>
      <c r="Y62" t="s">
        <v>166</v>
      </c>
      <c r="Z62" t="s">
        <v>167</v>
      </c>
    </row>
    <row r="63" spans="10:26">
      <c r="J63" t="s">
        <v>161</v>
      </c>
      <c r="K63" s="16"/>
      <c r="S63" t="s">
        <v>161</v>
      </c>
      <c r="T63" s="16"/>
    </row>
    <row r="64" spans="10:26">
      <c r="J64" t="s">
        <v>162</v>
      </c>
      <c r="L64" s="16"/>
      <c r="S64" t="s">
        <v>162</v>
      </c>
      <c r="U64" s="16"/>
    </row>
    <row r="65" spans="10:26">
      <c r="J65" t="s">
        <v>163</v>
      </c>
      <c r="M65" s="16"/>
      <c r="S65" t="s">
        <v>163</v>
      </c>
      <c r="V65" s="16"/>
    </row>
    <row r="66" spans="10:26">
      <c r="J66" t="s">
        <v>164</v>
      </c>
      <c r="N66" s="16"/>
      <c r="S66" t="s">
        <v>164</v>
      </c>
      <c r="W66" s="16"/>
    </row>
    <row r="67" spans="10:26">
      <c r="J67" t="s">
        <v>165</v>
      </c>
      <c r="O67" s="16"/>
      <c r="S67" t="s">
        <v>165</v>
      </c>
      <c r="X67" s="16"/>
    </row>
    <row r="68" spans="10:26">
      <c r="J68" t="s">
        <v>166</v>
      </c>
      <c r="P68" s="16"/>
      <c r="S68" t="s">
        <v>166</v>
      </c>
      <c r="Y68" s="16"/>
    </row>
    <row r="69" spans="10:26">
      <c r="J69" t="s">
        <v>167</v>
      </c>
      <c r="Q69" s="16"/>
      <c r="S69" t="s">
        <v>167</v>
      </c>
      <c r="Z69" s="16"/>
    </row>
  </sheetData>
  <phoneticPr fontId="2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5"/>
  <sheetViews>
    <sheetView topLeftCell="A12" zoomScale="103" zoomScaleNormal="100" zoomScalePageLayoutView="175" workbookViewId="0">
      <selection activeCell="C3" sqref="C3"/>
    </sheetView>
  </sheetViews>
  <sheetFormatPr baseColWidth="10" defaultColWidth="8.83203125" defaultRowHeight="15"/>
  <cols>
    <col min="5" max="6" width="8.83203125" customWidth="1"/>
    <col min="7" max="7" width="3.6640625" customWidth="1"/>
  </cols>
  <sheetData>
    <row r="1" spans="1:17">
      <c r="A1" s="15" t="s">
        <v>119</v>
      </c>
      <c r="H1" t="s">
        <v>143</v>
      </c>
    </row>
    <row r="2" spans="1:17">
      <c r="B2" t="s">
        <v>113</v>
      </c>
      <c r="C2" t="s">
        <v>114</v>
      </c>
      <c r="D2" t="s">
        <v>115</v>
      </c>
      <c r="E2" t="s">
        <v>116</v>
      </c>
      <c r="F2" t="s">
        <v>167</v>
      </c>
      <c r="I2" t="s">
        <v>113</v>
      </c>
      <c r="J2" t="s">
        <v>114</v>
      </c>
      <c r="K2" t="s">
        <v>115</v>
      </c>
      <c r="L2" t="s">
        <v>116</v>
      </c>
      <c r="M2" t="s">
        <v>167</v>
      </c>
      <c r="O2" s="189" t="s">
        <v>153</v>
      </c>
      <c r="P2" s="18"/>
      <c r="Q2" s="18"/>
    </row>
    <row r="3" spans="1:17">
      <c r="A3" t="s">
        <v>113</v>
      </c>
      <c r="B3" s="212">
        <f>1000*((I3*$P$14)+(I11*$P$15)+(I19*$P$16)+(I27*$P$17)+P35+P43+P51)</f>
        <v>0</v>
      </c>
      <c r="C3" s="212">
        <f t="shared" ref="C3:F3" si="0">1000*((J3*$P$14)+(J11*$P$15)+(J19*$P$16)+(J27*$P$17)+Q35+Q43+Q51)</f>
        <v>4400</v>
      </c>
      <c r="D3" s="212">
        <f t="shared" si="0"/>
        <v>0</v>
      </c>
      <c r="E3" s="212">
        <f t="shared" si="0"/>
        <v>1800</v>
      </c>
      <c r="F3" s="212">
        <f t="shared" si="0"/>
        <v>0</v>
      </c>
      <c r="H3" t="s">
        <v>113</v>
      </c>
      <c r="I3" s="16"/>
      <c r="O3" s="18" t="s">
        <v>100</v>
      </c>
      <c r="P3" s="18">
        <v>5.47</v>
      </c>
      <c r="Q3" s="20">
        <v>5.4999999999999997E-3</v>
      </c>
    </row>
    <row r="4" spans="1:17">
      <c r="A4" t="s">
        <v>114</v>
      </c>
      <c r="B4" s="212">
        <f t="shared" ref="B4:B7" si="1">1000*((I4*$P$14)+(I12*$P$15)+(I20*$P$16)+(I28*$P$17)+P36+P44+P52)</f>
        <v>4400</v>
      </c>
      <c r="C4" s="212">
        <f t="shared" ref="C4:C7" si="2">1000*((J4*$P$14)+(J12*$P$15)+(J20*$P$16)+(J28*$P$17)+Q36+Q44+Q52)</f>
        <v>0</v>
      </c>
      <c r="D4" s="212">
        <f t="shared" ref="D4:D7" si="3">1000*((K4*$P$14)+(K12*$P$15)+(K20*$P$16)+(K28*$P$17)+R36+R44+R52)</f>
        <v>3600</v>
      </c>
      <c r="E4" s="212">
        <f t="shared" ref="E4:E7" si="4">1000*((L4*$P$14)+(L12*$P$15)+(L20*$P$16)+(L28*$P$17)+S36+S44+S52)</f>
        <v>600.00000000000011</v>
      </c>
      <c r="F4" s="212">
        <f t="shared" ref="F4:F7" si="5">1000*((M4*$P$14)+(M12*$P$15)+(M20*$P$16)+(M28*$P$17)+T36+T44+T52)</f>
        <v>0</v>
      </c>
      <c r="H4" t="s">
        <v>114</v>
      </c>
      <c r="J4" s="16"/>
      <c r="O4" s="18" t="s">
        <v>101</v>
      </c>
      <c r="P4" s="19">
        <v>12.6</v>
      </c>
      <c r="Q4" s="20">
        <v>1.2999999999999999E-2</v>
      </c>
    </row>
    <row r="5" spans="1:17">
      <c r="A5" t="s">
        <v>115</v>
      </c>
      <c r="B5" s="212">
        <f t="shared" si="1"/>
        <v>0</v>
      </c>
      <c r="C5" s="212">
        <f t="shared" si="2"/>
        <v>3600</v>
      </c>
      <c r="D5" s="212">
        <f t="shared" si="3"/>
        <v>0</v>
      </c>
      <c r="E5" s="212">
        <f t="shared" si="4"/>
        <v>8400</v>
      </c>
      <c r="F5" s="212">
        <f t="shared" si="5"/>
        <v>2700</v>
      </c>
      <c r="H5" t="s">
        <v>115</v>
      </c>
      <c r="K5" s="16"/>
      <c r="O5" s="18" t="s">
        <v>102</v>
      </c>
      <c r="P5" s="19">
        <v>42.5</v>
      </c>
      <c r="Q5" s="20">
        <v>4.2000000000000003E-2</v>
      </c>
    </row>
    <row r="6" spans="1:17">
      <c r="A6" t="s">
        <v>116</v>
      </c>
      <c r="B6" s="212">
        <f t="shared" si="1"/>
        <v>1800</v>
      </c>
      <c r="C6" s="212">
        <f t="shared" si="2"/>
        <v>600.00000000000011</v>
      </c>
      <c r="D6" s="212">
        <f t="shared" si="3"/>
        <v>8400</v>
      </c>
      <c r="E6" s="212">
        <f t="shared" si="4"/>
        <v>0</v>
      </c>
      <c r="F6" s="212">
        <f t="shared" si="5"/>
        <v>0</v>
      </c>
      <c r="H6" t="s">
        <v>116</v>
      </c>
      <c r="L6" s="16"/>
      <c r="O6" s="18" t="s">
        <v>121</v>
      </c>
      <c r="P6" s="19">
        <v>42.5</v>
      </c>
      <c r="Q6" s="20">
        <v>4.2000000000000003E-2</v>
      </c>
    </row>
    <row r="7" spans="1:17">
      <c r="A7" t="s">
        <v>167</v>
      </c>
      <c r="B7" s="212">
        <f t="shared" si="1"/>
        <v>0</v>
      </c>
      <c r="C7" s="212">
        <f t="shared" si="2"/>
        <v>0</v>
      </c>
      <c r="D7" s="212">
        <f t="shared" si="3"/>
        <v>2700</v>
      </c>
      <c r="E7" s="212">
        <f t="shared" si="4"/>
        <v>0</v>
      </c>
      <c r="F7" s="212">
        <f t="shared" si="5"/>
        <v>0</v>
      </c>
      <c r="H7" t="s">
        <v>167</v>
      </c>
      <c r="M7" s="16"/>
      <c r="O7" s="18" t="s">
        <v>120</v>
      </c>
      <c r="P7" s="19">
        <v>4.508</v>
      </c>
      <c r="Q7" s="20">
        <v>4.5079999999999999E-3</v>
      </c>
    </row>
    <row r="8" spans="1:17">
      <c r="O8" s="18" t="s">
        <v>148</v>
      </c>
      <c r="P8" s="18">
        <v>3.06</v>
      </c>
      <c r="Q8" s="20">
        <v>3.0999999999999999E-3</v>
      </c>
    </row>
    <row r="9" spans="1:17">
      <c r="A9" s="15" t="s">
        <v>152</v>
      </c>
      <c r="H9" t="s">
        <v>117</v>
      </c>
      <c r="O9" s="18" t="s">
        <v>149</v>
      </c>
      <c r="P9" s="18">
        <v>5.47</v>
      </c>
      <c r="Q9" s="20">
        <v>5.4999999999999997E-3</v>
      </c>
    </row>
    <row r="10" spans="1:17">
      <c r="B10" s="22" t="s">
        <v>113</v>
      </c>
      <c r="C10" s="22" t="s">
        <v>114</v>
      </c>
      <c r="D10" s="22" t="s">
        <v>115</v>
      </c>
      <c r="E10" s="22" t="s">
        <v>116</v>
      </c>
      <c r="F10" s="22" t="s">
        <v>167</v>
      </c>
      <c r="I10" t="s">
        <v>113</v>
      </c>
      <c r="J10" t="s">
        <v>114</v>
      </c>
      <c r="K10" t="s">
        <v>115</v>
      </c>
      <c r="L10" t="s">
        <v>116</v>
      </c>
      <c r="M10" t="s">
        <v>167</v>
      </c>
      <c r="O10" s="18" t="s">
        <v>122</v>
      </c>
      <c r="P10" s="18"/>
      <c r="Q10" s="18"/>
    </row>
    <row r="11" spans="1:17">
      <c r="A11" t="s">
        <v>113</v>
      </c>
      <c r="B11" s="23"/>
      <c r="C11" s="22">
        <f>1/((J11/$Q$4)+(J27/$Q$6)+(J3/$Q$3)+(J19/$Q$5)+(J43/$Q$8)+(J51/$Q$9)+(J35/$Q$7))</f>
        <v>2.4818181818181818E-3</v>
      </c>
      <c r="D11" s="24">
        <f>C11</f>
        <v>2.4818181818181818E-3</v>
      </c>
      <c r="E11" s="22">
        <f>1/((L11/$Q$4)+(L27/$Q$6)+(L3/$Q$3)+(L19/$Q$5)+(L43/$Q$8)+(L51/$Q$9)+(L35/$Q$7))</f>
        <v>6.5000000000000006E-3</v>
      </c>
      <c r="F11" s="22"/>
      <c r="H11" t="s">
        <v>113</v>
      </c>
      <c r="I11" s="16"/>
      <c r="J11">
        <v>4</v>
      </c>
      <c r="L11">
        <v>2</v>
      </c>
      <c r="O11" s="18" t="s">
        <v>150</v>
      </c>
      <c r="P11" s="18"/>
      <c r="Q11" s="18"/>
    </row>
    <row r="12" spans="1:17">
      <c r="A12" t="s">
        <v>114</v>
      </c>
      <c r="B12" s="22">
        <f>1/((I12/$Q$4)+(I28/$Q$6)+(I4/$Q$3)+(I20/$Q$5)+(I44/$Q$8)+(I52/$Q$9)+(I36/$Q$7))</f>
        <v>2.4818181818181818E-3</v>
      </c>
      <c r="C12" s="23"/>
      <c r="D12" s="22">
        <f>1/((K12/$Q$4)+(K28/$Q$6)+(K36/$Q$7))</f>
        <v>3.2500000000000003E-3</v>
      </c>
      <c r="E12" s="22">
        <f>1/((L12/$Q$4)+(L28/$Q$6)+(L4/$Q$3)+(L20/$Q$5)+(L44/$Q$8)+(L52/$Q$9)+(L36/$Q$7))</f>
        <v>1.4E-2</v>
      </c>
      <c r="F12" s="22"/>
      <c r="H12" t="s">
        <v>114</v>
      </c>
      <c r="I12">
        <v>4</v>
      </c>
      <c r="J12" s="16"/>
      <c r="K12">
        <v>4</v>
      </c>
    </row>
    <row r="13" spans="1:17">
      <c r="A13" t="s">
        <v>115</v>
      </c>
      <c r="B13" s="24">
        <f>B12</f>
        <v>2.4818181818181818E-3</v>
      </c>
      <c r="C13" s="22">
        <f>1/((J13/$Q$4)+(J29/$Q$6)+(J5/$Q$3)+(J21/$Q$5)+(J45/$Q$8)+(J53/$Q$9)+(J37/$Q$7))</f>
        <v>3.2500000000000003E-3</v>
      </c>
      <c r="D13" s="23"/>
      <c r="E13" s="22">
        <f>1/((L13/$Q$4)+(L29/$Q$6)+(L5/$Q$3)+(L21/$Q$5)+(L45/$Q$8)+(L53/$Q$9)+(L37/$Q$7))</f>
        <v>9.9408818907288968E-4</v>
      </c>
      <c r="F13" s="22">
        <f t="shared" ref="F13" si="6">1/((M13/$Q$4)+(M29/$Q$6)+(M5/$Q$3)+(M21/$Q$5)+(M45/$Q$8)+(M53/$Q$9)+(M37/$Q$7))</f>
        <v>4.3333333333333331E-3</v>
      </c>
      <c r="H13" t="s">
        <v>115</v>
      </c>
      <c r="J13">
        <v>4</v>
      </c>
      <c r="K13" s="16"/>
      <c r="L13">
        <v>6</v>
      </c>
      <c r="M13">
        <v>3</v>
      </c>
      <c r="O13" s="189" t="s">
        <v>119</v>
      </c>
      <c r="P13" s="18"/>
      <c r="Q13" s="18"/>
    </row>
    <row r="14" spans="1:17">
      <c r="A14" t="s">
        <v>116</v>
      </c>
      <c r="B14" s="22">
        <f>1/((I14/$Q$4)+(I30/$Q$6)+(I6/$Q$3)+(I22/$Q$5)+(I46/$Q$8)+(I54/$Q$9)+(I38/$Q$7))</f>
        <v>6.5000000000000006E-3</v>
      </c>
      <c r="C14" s="22">
        <f>1/((J14/$Q$4)+(J30/$Q$6)+(J6/$Q$3)+(J22/$Q$5)+(J46/$Q$8)+(J54/$Q$9)+(J38/$Q$7))</f>
        <v>1.4E-2</v>
      </c>
      <c r="D14" s="22">
        <f>1/((K14/$Q$4)+(K30/$Q$6)+(K6/$Q$3)+(K22/$Q$5)+(K46/$Q$8)+(K54/$Q$9)+(K38/$Q$7))</f>
        <v>9.9408818907288968E-4</v>
      </c>
      <c r="E14" s="23"/>
      <c r="F14" s="22"/>
      <c r="H14" t="s">
        <v>116</v>
      </c>
      <c r="I14">
        <v>2</v>
      </c>
      <c r="K14">
        <v>6</v>
      </c>
      <c r="L14" s="16"/>
      <c r="O14" s="18" t="s">
        <v>154</v>
      </c>
      <c r="P14" s="18">
        <v>0.9</v>
      </c>
      <c r="Q14" s="20"/>
    </row>
    <row r="15" spans="1:17">
      <c r="A15" t="s">
        <v>167</v>
      </c>
      <c r="B15" s="22"/>
      <c r="C15" s="22"/>
      <c r="D15" s="22">
        <f t="shared" ref="D15" si="7">1/((K15/$Q$4)+(K31/$Q$6)+(K7/$Q$3)+(K23/$Q$5)+(K47/$Q$8)+(K55/$Q$9)+(K39/$Q$7))</f>
        <v>4.3333333333333331E-3</v>
      </c>
      <c r="E15" s="22"/>
      <c r="F15" s="23"/>
      <c r="H15" t="s">
        <v>167</v>
      </c>
      <c r="K15">
        <v>3</v>
      </c>
      <c r="M15" s="16"/>
      <c r="O15" s="18" t="s">
        <v>101</v>
      </c>
      <c r="P15" s="19">
        <v>0.9</v>
      </c>
      <c r="Q15" s="20"/>
    </row>
    <row r="16" spans="1:17">
      <c r="G16" t="s">
        <v>151</v>
      </c>
      <c r="O16" s="18" t="s">
        <v>102</v>
      </c>
      <c r="P16" s="19">
        <v>0.4</v>
      </c>
      <c r="Q16" s="20"/>
    </row>
    <row r="17" spans="1:17">
      <c r="A17" s="21" t="s">
        <v>123</v>
      </c>
      <c r="G17" t="s">
        <v>151</v>
      </c>
      <c r="H17" s="187" t="s">
        <v>144</v>
      </c>
      <c r="I17" s="187"/>
      <c r="J17" s="187"/>
      <c r="K17" s="187"/>
      <c r="L17" s="187"/>
      <c r="M17" s="187"/>
      <c r="O17" s="18" t="s">
        <v>103</v>
      </c>
      <c r="P17" s="19">
        <v>0.2</v>
      </c>
      <c r="Q17" s="20"/>
    </row>
    <row r="18" spans="1:17">
      <c r="A18" s="21" t="s">
        <v>124</v>
      </c>
      <c r="H18" s="187"/>
      <c r="I18" t="s">
        <v>113</v>
      </c>
      <c r="J18" t="s">
        <v>114</v>
      </c>
      <c r="K18" t="s">
        <v>115</v>
      </c>
      <c r="L18" t="s">
        <v>116</v>
      </c>
      <c r="M18" t="s">
        <v>167</v>
      </c>
      <c r="O18" s="18" t="s">
        <v>155</v>
      </c>
      <c r="P18" s="18"/>
      <c r="Q18" s="20"/>
    </row>
    <row r="19" spans="1:17">
      <c r="A19" s="21" t="s">
        <v>159</v>
      </c>
      <c r="H19" t="s">
        <v>113</v>
      </c>
      <c r="I19" s="188"/>
      <c r="J19" s="187"/>
      <c r="K19" s="187"/>
      <c r="L19" s="187"/>
      <c r="M19" s="187"/>
    </row>
    <row r="20" spans="1:17">
      <c r="A20" s="21" t="s">
        <v>160</v>
      </c>
      <c r="H20" t="s">
        <v>114</v>
      </c>
      <c r="I20" s="187"/>
      <c r="J20" s="188"/>
      <c r="K20" s="187"/>
      <c r="L20" s="187"/>
      <c r="M20" s="187"/>
    </row>
    <row r="21" spans="1:17">
      <c r="H21" t="s">
        <v>115</v>
      </c>
      <c r="I21" s="187"/>
      <c r="J21" s="187"/>
      <c r="K21" s="188"/>
      <c r="L21" s="187"/>
      <c r="M21" s="187"/>
    </row>
    <row r="22" spans="1:17">
      <c r="A22" s="15" t="s">
        <v>169</v>
      </c>
      <c r="H22" t="s">
        <v>116</v>
      </c>
      <c r="I22" s="187"/>
      <c r="J22" s="187"/>
      <c r="K22" s="187"/>
      <c r="L22" s="188"/>
    </row>
    <row r="23" spans="1:17">
      <c r="B23" t="s">
        <v>113</v>
      </c>
      <c r="C23" t="s">
        <v>114</v>
      </c>
      <c r="D23" t="s">
        <v>115</v>
      </c>
      <c r="E23" t="s">
        <v>116</v>
      </c>
      <c r="F23" t="s">
        <v>167</v>
      </c>
      <c r="G23" t="s">
        <v>151</v>
      </c>
      <c r="H23" t="s">
        <v>167</v>
      </c>
      <c r="M23" s="188"/>
    </row>
    <row r="24" spans="1:17">
      <c r="A24" t="s">
        <v>113</v>
      </c>
      <c r="B24">
        <v>0</v>
      </c>
      <c r="C24">
        <v>372</v>
      </c>
      <c r="D24" s="18">
        <f>C24+D25</f>
        <v>704</v>
      </c>
      <c r="E24">
        <v>607</v>
      </c>
      <c r="F24">
        <v>0</v>
      </c>
      <c r="G24" t="s">
        <v>151</v>
      </c>
    </row>
    <row r="25" spans="1:17">
      <c r="A25" t="s">
        <v>114</v>
      </c>
      <c r="B25">
        <v>372</v>
      </c>
      <c r="C25">
        <v>0</v>
      </c>
      <c r="D25">
        <v>332</v>
      </c>
      <c r="E25">
        <v>488</v>
      </c>
      <c r="F25">
        <v>0</v>
      </c>
      <c r="G25" t="s">
        <v>151</v>
      </c>
      <c r="H25" t="s">
        <v>118</v>
      </c>
    </row>
    <row r="26" spans="1:17">
      <c r="A26" t="s">
        <v>115</v>
      </c>
      <c r="B26" s="18">
        <f>B25+C26</f>
        <v>704</v>
      </c>
      <c r="C26">
        <v>332</v>
      </c>
      <c r="D26">
        <v>0</v>
      </c>
      <c r="E26">
        <v>535</v>
      </c>
      <c r="F26">
        <v>500</v>
      </c>
      <c r="I26" t="s">
        <v>113</v>
      </c>
      <c r="J26" t="s">
        <v>114</v>
      </c>
      <c r="K26" t="s">
        <v>115</v>
      </c>
      <c r="L26" t="s">
        <v>116</v>
      </c>
      <c r="M26" t="s">
        <v>167</v>
      </c>
    </row>
    <row r="27" spans="1:17">
      <c r="A27" t="s">
        <v>116</v>
      </c>
      <c r="B27">
        <v>607</v>
      </c>
      <c r="C27">
        <v>488</v>
      </c>
      <c r="D27">
        <v>535</v>
      </c>
      <c r="E27">
        <v>0</v>
      </c>
      <c r="F27">
        <v>0</v>
      </c>
      <c r="H27" t="s">
        <v>113</v>
      </c>
      <c r="I27" s="16"/>
      <c r="J27">
        <v>4</v>
      </c>
    </row>
    <row r="28" spans="1:17">
      <c r="A28" t="s">
        <v>167</v>
      </c>
      <c r="B28">
        <v>0</v>
      </c>
      <c r="C28">
        <v>0</v>
      </c>
      <c r="D28">
        <v>500</v>
      </c>
      <c r="E28">
        <v>0</v>
      </c>
      <c r="F28">
        <v>0</v>
      </c>
      <c r="H28" t="s">
        <v>114</v>
      </c>
      <c r="I28">
        <v>4</v>
      </c>
      <c r="J28" s="16"/>
      <c r="L28">
        <v>3</v>
      </c>
    </row>
    <row r="29" spans="1:17">
      <c r="H29" t="s">
        <v>115</v>
      </c>
      <c r="K29" s="16"/>
    </row>
    <row r="30" spans="1:17">
      <c r="H30" t="s">
        <v>116</v>
      </c>
      <c r="J30">
        <v>3</v>
      </c>
      <c r="L30" s="16"/>
    </row>
    <row r="31" spans="1:17">
      <c r="H31" t="s">
        <v>167</v>
      </c>
      <c r="M31" s="16"/>
    </row>
    <row r="33" spans="8:20">
      <c r="H33" t="s">
        <v>147</v>
      </c>
      <c r="O33" t="s">
        <v>156</v>
      </c>
    </row>
    <row r="34" spans="8:20">
      <c r="I34" t="s">
        <v>113</v>
      </c>
      <c r="J34" t="s">
        <v>114</v>
      </c>
      <c r="K34" t="s">
        <v>115</v>
      </c>
      <c r="L34" t="s">
        <v>116</v>
      </c>
      <c r="M34" t="s">
        <v>167</v>
      </c>
      <c r="P34" t="s">
        <v>113</v>
      </c>
      <c r="Q34" t="s">
        <v>114</v>
      </c>
      <c r="R34" t="s">
        <v>115</v>
      </c>
      <c r="S34" t="s">
        <v>116</v>
      </c>
      <c r="T34" t="s">
        <v>167</v>
      </c>
    </row>
    <row r="35" spans="8:20">
      <c r="H35" t="s">
        <v>113</v>
      </c>
      <c r="I35" s="16"/>
      <c r="O35" t="s">
        <v>113</v>
      </c>
      <c r="P35" s="16"/>
    </row>
    <row r="36" spans="8:20">
      <c r="H36" t="s">
        <v>114</v>
      </c>
      <c r="J36" s="16"/>
      <c r="O36" t="s">
        <v>114</v>
      </c>
      <c r="Q36" s="16"/>
    </row>
    <row r="37" spans="8:20">
      <c r="H37" t="s">
        <v>115</v>
      </c>
      <c r="K37" s="16"/>
      <c r="L37">
        <v>1</v>
      </c>
      <c r="O37" t="s">
        <v>115</v>
      </c>
      <c r="R37" s="16"/>
      <c r="S37">
        <v>3</v>
      </c>
    </row>
    <row r="38" spans="8:20">
      <c r="H38" t="s">
        <v>116</v>
      </c>
      <c r="K38">
        <v>1</v>
      </c>
      <c r="L38" s="16"/>
      <c r="O38" t="s">
        <v>116</v>
      </c>
      <c r="R38">
        <v>3</v>
      </c>
      <c r="S38" s="16"/>
    </row>
    <row r="39" spans="8:20">
      <c r="H39" t="s">
        <v>167</v>
      </c>
      <c r="M39" s="16"/>
      <c r="O39" t="s">
        <v>167</v>
      </c>
      <c r="T39" s="16"/>
    </row>
    <row r="41" spans="8:20">
      <c r="H41" t="s">
        <v>146</v>
      </c>
      <c r="O41" t="s">
        <v>157</v>
      </c>
    </row>
    <row r="42" spans="8:20">
      <c r="I42" t="s">
        <v>113</v>
      </c>
      <c r="J42" t="s">
        <v>114</v>
      </c>
      <c r="K42" t="s">
        <v>115</v>
      </c>
      <c r="L42" t="s">
        <v>116</v>
      </c>
      <c r="M42" t="s">
        <v>167</v>
      </c>
      <c r="P42" t="s">
        <v>113</v>
      </c>
      <c r="Q42" t="s">
        <v>114</v>
      </c>
      <c r="R42" t="s">
        <v>115</v>
      </c>
      <c r="S42" t="s">
        <v>116</v>
      </c>
      <c r="T42" t="s">
        <v>167</v>
      </c>
    </row>
    <row r="43" spans="8:20">
      <c r="H43" t="s">
        <v>113</v>
      </c>
      <c r="I43" s="16"/>
      <c r="O43" t="s">
        <v>113</v>
      </c>
      <c r="P43" s="16"/>
    </row>
    <row r="44" spans="8:20">
      <c r="H44" t="s">
        <v>114</v>
      </c>
      <c r="J44" s="16"/>
      <c r="O44" t="s">
        <v>114</v>
      </c>
      <c r="Q44" s="16"/>
    </row>
    <row r="45" spans="8:20">
      <c r="H45" t="s">
        <v>115</v>
      </c>
      <c r="K45" s="16"/>
      <c r="L45">
        <v>1</v>
      </c>
      <c r="O45" t="s">
        <v>115</v>
      </c>
      <c r="R45" s="16"/>
    </row>
    <row r="46" spans="8:20">
      <c r="H46" t="s">
        <v>116</v>
      </c>
      <c r="K46">
        <v>1</v>
      </c>
      <c r="L46" s="16"/>
      <c r="O46" t="s">
        <v>116</v>
      </c>
      <c r="S46" s="16"/>
    </row>
    <row r="47" spans="8:20">
      <c r="H47" t="s">
        <v>167</v>
      </c>
      <c r="M47" s="16"/>
      <c r="O47" t="s">
        <v>167</v>
      </c>
      <c r="T47" s="16"/>
    </row>
    <row r="49" spans="8:20">
      <c r="H49" t="s">
        <v>145</v>
      </c>
      <c r="O49" t="s">
        <v>158</v>
      </c>
    </row>
    <row r="50" spans="8:20">
      <c r="I50" t="s">
        <v>113</v>
      </c>
      <c r="J50" t="s">
        <v>114</v>
      </c>
      <c r="K50" t="s">
        <v>115</v>
      </c>
      <c r="L50" t="s">
        <v>116</v>
      </c>
      <c r="M50" t="s">
        <v>167</v>
      </c>
      <c r="P50" t="s">
        <v>113</v>
      </c>
      <c r="Q50" t="s">
        <v>114</v>
      </c>
      <c r="R50" t="s">
        <v>115</v>
      </c>
      <c r="S50" t="s">
        <v>116</v>
      </c>
      <c r="T50" t="s">
        <v>167</v>
      </c>
    </row>
    <row r="51" spans="8:20">
      <c r="H51" t="s">
        <v>113</v>
      </c>
      <c r="I51" s="16"/>
      <c r="O51" t="s">
        <v>113</v>
      </c>
      <c r="P51" s="16"/>
    </row>
    <row r="52" spans="8:20">
      <c r="H52" t="s">
        <v>114</v>
      </c>
      <c r="J52" s="16"/>
      <c r="O52" t="s">
        <v>114</v>
      </c>
      <c r="Q52" s="16"/>
    </row>
    <row r="53" spans="8:20">
      <c r="H53" t="s">
        <v>115</v>
      </c>
      <c r="K53" s="16"/>
      <c r="O53" t="s">
        <v>115</v>
      </c>
      <c r="R53" s="16"/>
    </row>
    <row r="54" spans="8:20">
      <c r="H54" t="s">
        <v>116</v>
      </c>
      <c r="L54" s="16"/>
      <c r="O54" t="s">
        <v>116</v>
      </c>
      <c r="S54" s="16"/>
    </row>
    <row r="55" spans="8:20">
      <c r="H55" t="s">
        <v>167</v>
      </c>
      <c r="M55" s="16"/>
      <c r="O55" t="s">
        <v>167</v>
      </c>
      <c r="T55" s="16"/>
    </row>
  </sheetData>
  <phoneticPr fontId="2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zoomScale="110" zoomScaleNormal="110" zoomScalePageLayoutView="175" workbookViewId="0">
      <selection activeCell="C8" sqref="C8"/>
    </sheetView>
  </sheetViews>
  <sheetFormatPr baseColWidth="10" defaultColWidth="8.83203125" defaultRowHeight="15"/>
  <cols>
    <col min="4" max="4" width="3.6640625" customWidth="1"/>
  </cols>
  <sheetData>
    <row r="1" spans="1:11">
      <c r="A1" s="15" t="s">
        <v>119</v>
      </c>
      <c r="E1" t="s">
        <v>143</v>
      </c>
    </row>
    <row r="2" spans="1:11">
      <c r="B2" t="s">
        <v>170</v>
      </c>
      <c r="C2" t="s">
        <v>167</v>
      </c>
      <c r="F2" t="s">
        <v>170</v>
      </c>
      <c r="G2" t="s">
        <v>167</v>
      </c>
      <c r="I2" s="189" t="s">
        <v>153</v>
      </c>
      <c r="J2" s="18"/>
      <c r="K2" s="18"/>
    </row>
    <row r="3" spans="1:11">
      <c r="A3" t="s">
        <v>170</v>
      </c>
      <c r="B3" s="212">
        <f>1000*((F3*$J$14)+(F8*$J$15)+(F13*$J$16)+(F19*$J$17)+J24+J29+J45)</f>
        <v>0</v>
      </c>
      <c r="C3" s="212">
        <f>1000*((G3*$J$14)+(G8*$J$15)+(G13*$J$16)+(G19*$J$17)+K24+K29+K45)</f>
        <v>11700.000000000002</v>
      </c>
      <c r="E3" t="s">
        <v>170</v>
      </c>
      <c r="F3" s="16"/>
      <c r="I3" s="18" t="s">
        <v>100</v>
      </c>
      <c r="J3" s="18">
        <v>5.47</v>
      </c>
      <c r="K3" s="20">
        <v>5.4999999999999997E-3</v>
      </c>
    </row>
    <row r="4" spans="1:11">
      <c r="A4" t="s">
        <v>167</v>
      </c>
      <c r="B4" s="212">
        <f>1000*((F4*$J$14)+(F9*$J$15)+(F14*$J$16)+(F20*$J$17)+J25+J30+J46)</f>
        <v>11700.000000000002</v>
      </c>
      <c r="C4" s="212">
        <f>1000*((G4*$J$14)+(G9*$J$15)+(G14*$J$16)+(G20*$J$17)+K25+K30+K46)</f>
        <v>0</v>
      </c>
      <c r="E4" t="s">
        <v>167</v>
      </c>
      <c r="G4" s="16"/>
      <c r="I4" s="18" t="s">
        <v>101</v>
      </c>
      <c r="J4" s="19">
        <v>12.6</v>
      </c>
      <c r="K4" s="20">
        <v>1.2999999999999999E-2</v>
      </c>
    </row>
    <row r="5" spans="1:11">
      <c r="I5" s="18" t="s">
        <v>102</v>
      </c>
      <c r="J5" s="19">
        <v>42.5</v>
      </c>
      <c r="K5" s="20">
        <v>4.2000000000000003E-2</v>
      </c>
    </row>
    <row r="6" spans="1:11">
      <c r="A6" s="15" t="s">
        <v>152</v>
      </c>
      <c r="E6" t="s">
        <v>117</v>
      </c>
      <c r="I6" s="18" t="s">
        <v>121</v>
      </c>
      <c r="J6" s="19">
        <v>42.5</v>
      </c>
      <c r="K6" s="20">
        <v>4.2000000000000003E-2</v>
      </c>
    </row>
    <row r="7" spans="1:11">
      <c r="B7" t="s">
        <v>170</v>
      </c>
      <c r="C7" t="s">
        <v>167</v>
      </c>
      <c r="F7" t="s">
        <v>170</v>
      </c>
      <c r="G7" t="s">
        <v>167</v>
      </c>
      <c r="I7" s="18" t="s">
        <v>120</v>
      </c>
      <c r="J7" s="19">
        <v>4.508</v>
      </c>
      <c r="K7" s="20">
        <v>4.5079999999999999E-3</v>
      </c>
    </row>
    <row r="8" spans="1:11">
      <c r="A8" t="s">
        <v>170</v>
      </c>
      <c r="B8" s="23"/>
      <c r="C8" s="22">
        <f>1/((G8/$K$4)+(G19/$K$6)+(G3/$K$3)+(G13/$K$5)+(G29/$K$8)+(G34/$K$9)+(G24/$K$7))</f>
        <v>1E-3</v>
      </c>
      <c r="E8" t="s">
        <v>170</v>
      </c>
      <c r="F8" s="16"/>
      <c r="G8">
        <v>13</v>
      </c>
      <c r="I8" s="18" t="s">
        <v>148</v>
      </c>
      <c r="J8" s="18">
        <v>3.06</v>
      </c>
      <c r="K8" s="20">
        <v>3.0999999999999999E-3</v>
      </c>
    </row>
    <row r="9" spans="1:11">
      <c r="A9" t="s">
        <v>167</v>
      </c>
      <c r="B9" s="22">
        <f>1/((F9/$K$4)+(F20/$K$6)+(F4/$K$3)+(F14/$K$5)+(F30/$K$8)+(F35/$K$9)+(F25/$K$7))</f>
        <v>1E-3</v>
      </c>
      <c r="C9" s="23"/>
      <c r="E9" t="s">
        <v>167</v>
      </c>
      <c r="F9">
        <v>13</v>
      </c>
      <c r="G9" s="16"/>
      <c r="I9" s="18" t="s">
        <v>149</v>
      </c>
      <c r="J9" s="18">
        <v>5.47</v>
      </c>
      <c r="K9" s="20">
        <v>5.4999999999999997E-3</v>
      </c>
    </row>
    <row r="10" spans="1:11">
      <c r="I10" s="18" t="s">
        <v>122</v>
      </c>
      <c r="J10" s="18"/>
      <c r="K10" s="18"/>
    </row>
    <row r="11" spans="1:11">
      <c r="A11" s="21" t="s">
        <v>123</v>
      </c>
      <c r="D11" t="s">
        <v>151</v>
      </c>
      <c r="E11" s="187" t="s">
        <v>144</v>
      </c>
      <c r="F11" s="187"/>
      <c r="G11" s="187"/>
      <c r="I11" s="18" t="s">
        <v>150</v>
      </c>
      <c r="J11" s="18"/>
      <c r="K11" s="18"/>
    </row>
    <row r="12" spans="1:11">
      <c r="A12" s="21" t="s">
        <v>124</v>
      </c>
      <c r="D12" t="s">
        <v>151</v>
      </c>
      <c r="E12" s="187"/>
      <c r="F12" t="s">
        <v>170</v>
      </c>
      <c r="G12" t="s">
        <v>167</v>
      </c>
    </row>
    <row r="13" spans="1:11">
      <c r="A13" s="21" t="s">
        <v>159</v>
      </c>
      <c r="D13" t="s">
        <v>151</v>
      </c>
      <c r="E13" t="s">
        <v>170</v>
      </c>
      <c r="F13" s="188"/>
      <c r="G13" s="187"/>
      <c r="I13" s="189" t="s">
        <v>119</v>
      </c>
      <c r="J13" s="18"/>
      <c r="K13" s="18"/>
    </row>
    <row r="14" spans="1:11">
      <c r="A14" s="21" t="s">
        <v>160</v>
      </c>
      <c r="E14" t="s">
        <v>167</v>
      </c>
      <c r="F14" s="187"/>
      <c r="G14" s="188"/>
      <c r="I14" s="18" t="s">
        <v>154</v>
      </c>
      <c r="J14" s="18">
        <v>0.9</v>
      </c>
      <c r="K14" s="20"/>
    </row>
    <row r="15" spans="1:11">
      <c r="I15" s="18" t="s">
        <v>101</v>
      </c>
      <c r="J15" s="19">
        <v>0.9</v>
      </c>
      <c r="K15" s="20"/>
    </row>
    <row r="16" spans="1:11">
      <c r="A16" s="15" t="s">
        <v>169</v>
      </c>
      <c r="D16" t="s">
        <v>151</v>
      </c>
      <c r="I16" s="18" t="s">
        <v>102</v>
      </c>
      <c r="J16" s="19">
        <v>0.4</v>
      </c>
      <c r="K16" s="20"/>
    </row>
    <row r="17" spans="1:11">
      <c r="B17" t="s">
        <v>170</v>
      </c>
      <c r="C17" t="s">
        <v>167</v>
      </c>
      <c r="D17" t="s">
        <v>151</v>
      </c>
      <c r="E17" t="s">
        <v>118</v>
      </c>
      <c r="I17" s="18" t="s">
        <v>103</v>
      </c>
      <c r="J17" s="19">
        <v>0.2</v>
      </c>
      <c r="K17" s="20"/>
    </row>
    <row r="18" spans="1:11">
      <c r="A18" t="s">
        <v>170</v>
      </c>
      <c r="B18">
        <v>0</v>
      </c>
      <c r="C18" s="18">
        <v>500</v>
      </c>
      <c r="F18" t="s">
        <v>170</v>
      </c>
      <c r="G18" t="s">
        <v>167</v>
      </c>
      <c r="I18" s="18" t="s">
        <v>155</v>
      </c>
      <c r="J18" s="18"/>
      <c r="K18" s="20"/>
    </row>
    <row r="19" spans="1:11">
      <c r="A19" t="s">
        <v>167</v>
      </c>
      <c r="B19" s="18">
        <v>500</v>
      </c>
      <c r="C19">
        <v>0</v>
      </c>
      <c r="E19" s="187" t="s">
        <v>170</v>
      </c>
      <c r="F19" s="16"/>
    </row>
    <row r="20" spans="1:11">
      <c r="E20" s="187" t="s">
        <v>167</v>
      </c>
      <c r="G20" s="16"/>
    </row>
    <row r="22" spans="1:11">
      <c r="D22" t="s">
        <v>151</v>
      </c>
      <c r="E22" t="s">
        <v>147</v>
      </c>
      <c r="I22" t="s">
        <v>156</v>
      </c>
    </row>
    <row r="23" spans="1:11">
      <c r="D23" t="s">
        <v>151</v>
      </c>
      <c r="F23" t="s">
        <v>170</v>
      </c>
      <c r="G23" t="s">
        <v>167</v>
      </c>
      <c r="J23" t="s">
        <v>170</v>
      </c>
      <c r="K23" t="s">
        <v>167</v>
      </c>
    </row>
    <row r="24" spans="1:11">
      <c r="D24" t="s">
        <v>151</v>
      </c>
      <c r="E24" s="187" t="s">
        <v>170</v>
      </c>
      <c r="F24" s="16"/>
      <c r="I24" s="187" t="s">
        <v>170</v>
      </c>
      <c r="J24" s="16"/>
    </row>
    <row r="25" spans="1:11">
      <c r="E25" s="187" t="s">
        <v>167</v>
      </c>
      <c r="G25" s="16"/>
      <c r="I25" s="187" t="s">
        <v>167</v>
      </c>
      <c r="K25" s="16"/>
    </row>
    <row r="27" spans="1:11">
      <c r="E27" t="s">
        <v>146</v>
      </c>
      <c r="I27" t="s">
        <v>157</v>
      </c>
    </row>
    <row r="28" spans="1:11">
      <c r="F28" t="s">
        <v>170</v>
      </c>
      <c r="G28" t="s">
        <v>167</v>
      </c>
      <c r="J28" t="s">
        <v>170</v>
      </c>
      <c r="K28" t="s">
        <v>167</v>
      </c>
    </row>
    <row r="29" spans="1:11">
      <c r="E29" s="187" t="s">
        <v>170</v>
      </c>
      <c r="F29" s="16"/>
      <c r="I29" s="187" t="s">
        <v>170</v>
      </c>
      <c r="J29" s="16"/>
    </row>
    <row r="30" spans="1:11">
      <c r="E30" s="187" t="s">
        <v>167</v>
      </c>
      <c r="G30" s="16"/>
      <c r="I30" s="187" t="s">
        <v>167</v>
      </c>
      <c r="K30" s="16"/>
    </row>
    <row r="32" spans="1:11">
      <c r="E32" t="s">
        <v>145</v>
      </c>
    </row>
    <row r="33" spans="5:11">
      <c r="F33" t="s">
        <v>170</v>
      </c>
      <c r="G33" t="s">
        <v>167</v>
      </c>
    </row>
    <row r="34" spans="5:11">
      <c r="E34" s="187" t="s">
        <v>170</v>
      </c>
      <c r="F34" s="16"/>
    </row>
    <row r="35" spans="5:11">
      <c r="E35" s="187" t="s">
        <v>167</v>
      </c>
      <c r="G35" s="16"/>
    </row>
    <row r="43" spans="5:11">
      <c r="I43" t="s">
        <v>158</v>
      </c>
    </row>
    <row r="44" spans="5:11">
      <c r="J44" t="s">
        <v>113</v>
      </c>
      <c r="K44" t="s">
        <v>114</v>
      </c>
    </row>
    <row r="45" spans="5:11">
      <c r="I45" t="s">
        <v>113</v>
      </c>
      <c r="J45" s="16"/>
    </row>
    <row r="46" spans="5:11">
      <c r="I46" t="s">
        <v>114</v>
      </c>
      <c r="K46" s="16"/>
    </row>
  </sheetData>
  <phoneticPr fontId="2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57"/>
  <sheetViews>
    <sheetView topLeftCell="A2" workbookViewId="0">
      <selection sqref="A1:XFD1048576"/>
    </sheetView>
  </sheetViews>
  <sheetFormatPr baseColWidth="10" defaultColWidth="71.5" defaultRowHeight="20.25" customHeight="1"/>
  <sheetData>
    <row r="1" spans="1:46" ht="20.25" customHeight="1">
      <c r="B1" s="73" t="s">
        <v>128</v>
      </c>
      <c r="C1" s="17"/>
      <c r="D1" s="17"/>
      <c r="E1" s="17"/>
      <c r="F1" s="17"/>
      <c r="G1" s="1"/>
    </row>
    <row r="2" spans="1:46" ht="20.25" customHeight="1">
      <c r="A2" s="1"/>
      <c r="B2" s="1" t="s">
        <v>138</v>
      </c>
      <c r="C2" s="1" t="s">
        <v>132</v>
      </c>
      <c r="D2" s="1" t="s">
        <v>136</v>
      </c>
      <c r="E2" s="1" t="s">
        <v>137</v>
      </c>
      <c r="F2" s="72" t="s">
        <v>105</v>
      </c>
      <c r="G2" s="72" t="s">
        <v>126</v>
      </c>
      <c r="H2" t="s">
        <v>130</v>
      </c>
      <c r="I2" t="s">
        <v>131</v>
      </c>
      <c r="J2" t="s">
        <v>142</v>
      </c>
    </row>
    <row r="3" spans="1:46" ht="20.25" customHeight="1"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54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12</v>
      </c>
      <c r="O3" s="2" t="s">
        <v>13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</row>
    <row r="4" spans="1:46" ht="20.25" customHeight="1">
      <c r="A4" s="2" t="s">
        <v>55</v>
      </c>
      <c r="B4" s="105" t="str">
        <f>IF(ISERROR(FIND($B$2,Lines!B4))=TRUE,"",IF('750'!B4="","ERR","")) &amp; IF(ISERROR(FIND($C$2,Lines!B4))=TRUE,"",IF('500'!B4="","ERR","")) &amp; IF(ISERROR(FIND($D$2,Lines!B4))=TRUE,"",IF('330'!B4="","ERR","")) &amp; IF(ISERROR(FIND($E$2,Lines!B4))=TRUE,"",IF('220'!B4="","ERR",""))&amp; IF(ISERROR(FIND($F$2,Lines!B4))=TRUE,"",IF(AND('500DC'!B4="",'800DC'!B4=""),"ERR","")) &amp; IF(ISERROR(FIND($G$2,Lines!B4))=TRUE,"",IF('1000'!B4="","ERR","")) &amp; IF(ISERROR(FIND($H$2,Lines!B4))=TRUE,"",IF('500DC'!B4="","ERR","")) &amp; IF(ISERROR(FIND($I$2,Lines!B4))=TRUE,"",IF('800DC'!B4="","ERR","")) &amp; IF(ISERROR(FIND($J$2,Lines!B4))=TRUE,"",IF('1000'!B4="","ERR",""))</f>
        <v/>
      </c>
      <c r="C4" s="106" t="str">
        <f>IF(ISERROR(FIND($B$2,Lines!C4))=TRUE,"",IF('750'!C4="","ERR","")) &amp; IF(ISERROR(FIND($C$2,Lines!C4))=TRUE,"",IF('500'!C4="","ERR","")) &amp; IF(ISERROR(FIND($D$2,Lines!C4))=TRUE,"",IF('330'!C4="","ERR","")) &amp; IF(ISERROR(FIND($E$2,Lines!C4))=TRUE,"",IF('220'!C4="","ERR",""))&amp; IF(ISERROR(FIND($F$2,Lines!C4))=TRUE,"",IF(AND('500DC'!C4="",'800DC'!C4=""),"ERR","")) &amp; IF(ISERROR(FIND($G$2,Lines!C4))=TRUE,"",IF('1000'!C4="","ERR","")) &amp; IF(ISERROR(FIND($H$2,Lines!C4))=TRUE,"",IF('500DC'!C4="","ERR","")) &amp; IF(ISERROR(FIND($I$2,Lines!C4))=TRUE,"",IF('800DC'!C4="","ERR","")) &amp; IF(ISERROR(FIND($J$2,Lines!C4))=TRUE,"",IF('1000'!C4="","ERR",""))</f>
        <v/>
      </c>
      <c r="D4" s="106" t="str">
        <f>IF(ISERROR(FIND($B$2,Lines!D4))=TRUE,"",IF('750'!D4="","ERR","")) &amp; IF(ISERROR(FIND($C$2,Lines!D4))=TRUE,"",IF('500'!D4="","ERR","")) &amp; IF(ISERROR(FIND($D$2,Lines!D4))=TRUE,"",IF('330'!D4="","ERR","")) &amp; IF(ISERROR(FIND($E$2,Lines!D4))=TRUE,"",IF('220'!D4="","ERR",""))&amp; IF(ISERROR(FIND($F$2,Lines!D4))=TRUE,"",IF(AND('500DC'!D4="",'800DC'!D4=""),"ERR","")) &amp; IF(ISERROR(FIND($G$2,Lines!D4))=TRUE,"",IF('1000'!D4="","ERR","")) &amp; IF(ISERROR(FIND($H$2,Lines!D4))=TRUE,"",IF('500DC'!D4="","ERR","")) &amp; IF(ISERROR(FIND($I$2,Lines!D4))=TRUE,"",IF('800DC'!D4="","ERR","")) &amp; IF(ISERROR(FIND($J$2,Lines!D4))=TRUE,"",IF('1000'!D4="","ERR",""))</f>
        <v/>
      </c>
      <c r="E4" s="106" t="str">
        <f>IF(ISERROR(FIND($B$2,Lines!E4))=TRUE,"",IF('750'!E4="","ERR","")) &amp; IF(ISERROR(FIND($C$2,Lines!E4))=TRUE,"",IF('500'!E4="","ERR","")) &amp; IF(ISERROR(FIND($D$2,Lines!E4))=TRUE,"",IF('330'!E4="","ERR","")) &amp; IF(ISERROR(FIND($E$2,Lines!E4))=TRUE,"",IF('220'!E4="","ERR",""))&amp; IF(ISERROR(FIND($F$2,Lines!E4))=TRUE,"",IF(AND('500DC'!E4="",'800DC'!E4=""),"ERR","")) &amp; IF(ISERROR(FIND($G$2,Lines!E4))=TRUE,"",IF('1000'!E4="","ERR","")) &amp; IF(ISERROR(FIND($H$2,Lines!E4))=TRUE,"",IF('500DC'!E4="","ERR","")) &amp; IF(ISERROR(FIND($I$2,Lines!E4))=TRUE,"",IF('800DC'!E4="","ERR","")) &amp; IF(ISERROR(FIND($J$2,Lines!E4))=TRUE,"",IF('1000'!E4="","ERR",""))</f>
        <v/>
      </c>
      <c r="F4" s="106" t="str">
        <f>IF(ISERROR(FIND($B$2,Lines!F4))=TRUE,"",IF('750'!F4="","ERR","")) &amp; IF(ISERROR(FIND($C$2,Lines!F4))=TRUE,"",IF('500'!F4="","ERR","")) &amp; IF(ISERROR(FIND($D$2,Lines!F4))=TRUE,"",IF('330'!F4="","ERR","")) &amp; IF(ISERROR(FIND($E$2,Lines!F4))=TRUE,"",IF('220'!F4="","ERR",""))&amp; IF(ISERROR(FIND($F$2,Lines!F4))=TRUE,"",IF(AND('500DC'!F4="",'800DC'!F4=""),"ERR","")) &amp; IF(ISERROR(FIND($G$2,Lines!F4))=TRUE,"",IF('1000'!F4="","ERR","")) &amp; IF(ISERROR(FIND($H$2,Lines!F4))=TRUE,"",IF('500DC'!F4="","ERR","")) &amp; IF(ISERROR(FIND($I$2,Lines!F4))=TRUE,"",IF('800DC'!F4="","ERR","")) &amp; IF(ISERROR(FIND($J$2,Lines!F4))=TRUE,"",IF('1000'!F4="","ERR",""))</f>
        <v/>
      </c>
      <c r="G4" s="106" t="str">
        <f>IF(ISERROR(FIND($B$2,Lines!G4))=TRUE,"",IF('750'!G4="","ERR","")) &amp; IF(ISERROR(FIND($C$2,Lines!G4))=TRUE,"",IF('500'!G4="","ERR","")) &amp; IF(ISERROR(FIND($D$2,Lines!G4))=TRUE,"",IF('330'!G4="","ERR","")) &amp; IF(ISERROR(FIND($E$2,Lines!G4))=TRUE,"",IF('220'!G4="","ERR",""))&amp; IF(ISERROR(FIND($F$2,Lines!G4))=TRUE,"",IF(AND('500DC'!G4="",'800DC'!G4=""),"ERR","")) &amp; IF(ISERROR(FIND($G$2,Lines!G4))=TRUE,"",IF('1000'!G4="","ERR","")) &amp; IF(ISERROR(FIND($H$2,Lines!G4))=TRUE,"",IF('500DC'!G4="","ERR","")) &amp; IF(ISERROR(FIND($I$2,Lines!G4))=TRUE,"",IF('800DC'!G4="","ERR","")) &amp; IF(ISERROR(FIND($J$2,Lines!G4))=TRUE,"",IF('1000'!G4="","ERR",""))</f>
        <v/>
      </c>
      <c r="H4" s="106" t="str">
        <f>IF(ISERROR(FIND($B$2,Lines!H4))=TRUE,"",IF('750'!H4="","ERR","")) &amp; IF(ISERROR(FIND($C$2,Lines!H4))=TRUE,"",IF('500'!H4="","ERR","")) &amp; IF(ISERROR(FIND($D$2,Lines!H4))=TRUE,"",IF('330'!H4="","ERR","")) &amp; IF(ISERROR(FIND($E$2,Lines!H4))=TRUE,"",IF('220'!H4="","ERR",""))&amp; IF(ISERROR(FIND($F$2,Lines!H4))=TRUE,"",IF(AND('500DC'!H4="",'800DC'!H4=""),"ERR","")) &amp; IF(ISERROR(FIND($G$2,Lines!H4))=TRUE,"",IF('1000'!H4="","ERR","")) &amp; IF(ISERROR(FIND($H$2,Lines!H4))=TRUE,"",IF('500DC'!H4="","ERR","")) &amp; IF(ISERROR(FIND($I$2,Lines!H4))=TRUE,"",IF('800DC'!H4="","ERR","")) &amp; IF(ISERROR(FIND($J$2,Lines!H4))=TRUE,"",IF('1000'!H4="","ERR",""))</f>
        <v/>
      </c>
      <c r="I4" s="106" t="str">
        <f>IF(ISERROR(FIND($B$2,Lines!I4))=TRUE,"",IF('750'!I4="","ERR","")) &amp; IF(ISERROR(FIND($C$2,Lines!I4))=TRUE,"",IF('500'!I4="","ERR","")) &amp; IF(ISERROR(FIND($D$2,Lines!I4))=TRUE,"",IF('330'!I4="","ERR","")) &amp; IF(ISERROR(FIND($E$2,Lines!I4))=TRUE,"",IF('220'!I4="","ERR",""))&amp; IF(ISERROR(FIND($F$2,Lines!I4))=TRUE,"",IF(AND('500DC'!I4="",'800DC'!I4=""),"ERR","")) &amp; IF(ISERROR(FIND($G$2,Lines!I4))=TRUE,"",IF('1000'!I4="","ERR","")) &amp; IF(ISERROR(FIND($H$2,Lines!I4))=TRUE,"",IF('500DC'!I4="","ERR","")) &amp; IF(ISERROR(FIND($I$2,Lines!I4))=TRUE,"",IF('800DC'!I4="","ERR","")) &amp; IF(ISERROR(FIND($J$2,Lines!I4))=TRUE,"",IF('1000'!I4="","ERR",""))</f>
        <v/>
      </c>
      <c r="J4" s="106" t="str">
        <f>IF(ISERROR(FIND($B$2,Lines!J4))=TRUE,"",IF('750'!J4="","ERR","")) &amp; IF(ISERROR(FIND($C$2,Lines!J4))=TRUE,"",IF('500'!J4="","ERR","")) &amp; IF(ISERROR(FIND($D$2,Lines!J4))=TRUE,"",IF('330'!J4="","ERR","")) &amp; IF(ISERROR(FIND($E$2,Lines!J4))=TRUE,"",IF('220'!J4="","ERR",""))&amp; IF(ISERROR(FIND($F$2,Lines!J4))=TRUE,"",IF(AND('500DC'!J4="",'800DC'!J4=""),"ERR","")) &amp; IF(ISERROR(FIND($G$2,Lines!J4))=TRUE,"",IF('1000'!J4="","ERR","")) &amp; IF(ISERROR(FIND($H$2,Lines!J4))=TRUE,"",IF('500DC'!J4="","ERR","")) &amp; IF(ISERROR(FIND($I$2,Lines!J4))=TRUE,"",IF('800DC'!J4="","ERR","")) &amp; IF(ISERROR(FIND($J$2,Lines!J4))=TRUE,"",IF('1000'!J4="","ERR",""))</f>
        <v/>
      </c>
      <c r="K4" s="106" t="str">
        <f>IF(ISERROR(FIND($B$2,Lines!K4))=TRUE,"",IF('750'!K4="","ERR","")) &amp; IF(ISERROR(FIND($C$2,Lines!K4))=TRUE,"",IF('500'!K4="","ERR","")) &amp; IF(ISERROR(FIND($D$2,Lines!K4))=TRUE,"",IF('330'!K4="","ERR","")) &amp; IF(ISERROR(FIND($E$2,Lines!K4))=TRUE,"",IF('220'!K4="","ERR",""))&amp; IF(ISERROR(FIND($F$2,Lines!K4))=TRUE,"",IF(AND('500DC'!K4="",'800DC'!K4=""),"ERR","")) &amp; IF(ISERROR(FIND($G$2,Lines!K4))=TRUE,"",IF('1000'!K4="","ERR","")) &amp; IF(ISERROR(FIND($H$2,Lines!K4))=TRUE,"",IF('500DC'!K4="","ERR","")) &amp; IF(ISERROR(FIND($I$2,Lines!K4))=TRUE,"",IF('800DC'!K4="","ERR","")) &amp; IF(ISERROR(FIND($J$2,Lines!K4))=TRUE,"",IF('1000'!K4="","ERR",""))</f>
        <v/>
      </c>
      <c r="L4" s="106" t="str">
        <f>IF(ISERROR(FIND($B$2,Lines!L4))=TRUE,"",IF('750'!L4="","ERR","")) &amp; IF(ISERROR(FIND($C$2,Lines!L4))=TRUE,"",IF('500'!L4="","ERR","")) &amp; IF(ISERROR(FIND($D$2,Lines!L4))=TRUE,"",IF('330'!L4="","ERR","")) &amp; IF(ISERROR(FIND($E$2,Lines!L4))=TRUE,"",IF('220'!L4="","ERR",""))&amp; IF(ISERROR(FIND($F$2,Lines!L4))=TRUE,"",IF(AND('500DC'!L4="",'800DC'!L4=""),"ERR","")) &amp; IF(ISERROR(FIND($G$2,Lines!L4))=TRUE,"",IF('1000'!L4="","ERR","")) &amp; IF(ISERROR(FIND($H$2,Lines!L4))=TRUE,"",IF('500DC'!L4="","ERR","")) &amp; IF(ISERROR(FIND($I$2,Lines!L4))=TRUE,"",IF('800DC'!L4="","ERR","")) &amp; IF(ISERROR(FIND($J$2,Lines!L4))=TRUE,"",IF('1000'!L4="","ERR",""))</f>
        <v/>
      </c>
      <c r="M4" s="107" t="str">
        <f>IF(ISERROR(FIND($B$2,Lines!M4))=TRUE,"",IF('750'!M4="","ERR","")) &amp; IF(ISERROR(FIND($C$2,Lines!M4))=TRUE,"",IF('500'!M4="","ERR","")) &amp; IF(ISERROR(FIND($D$2,Lines!M4))=TRUE,"",IF('330'!M4="","ERR","")) &amp; IF(ISERROR(FIND($E$2,Lines!M4))=TRUE,"",IF('220'!M4="","ERR",""))&amp; IF(ISERROR(FIND($F$2,Lines!M4))=TRUE,"",IF(AND('500DC'!M4="",'800DC'!M4=""),"ERR","")) &amp; IF(ISERROR(FIND($G$2,Lines!M4))=TRUE,"",IF('1000'!M4="","ERR","")) &amp; IF(ISERROR(FIND($H$2,Lines!M4))=TRUE,"",IF('500DC'!M4="","ERR","")) &amp; IF(ISERROR(FIND($I$2,Lines!M4))=TRUE,"",IF('800DC'!M4="","ERR","")) &amp; IF(ISERROR(FIND($J$2,Lines!M4))=TRUE,"",IF('1000'!M4="","ERR",""))</f>
        <v/>
      </c>
      <c r="N4" s="108" t="str">
        <f>IF(ISERROR(FIND($B$2,Lines!N4))=TRUE,"",IF('750'!N4="","ERR","")) &amp; IF(ISERROR(FIND($C$2,Lines!N4))=TRUE,"",IF('500'!N4="","ERR","")) &amp; IF(ISERROR(FIND($D$2,Lines!N4))=TRUE,"",IF('330'!N4="","ERR","")) &amp; IF(ISERROR(FIND($E$2,Lines!N4))=TRUE,"",IF('220'!N4="","ERR",""))&amp; IF(ISERROR(FIND($F$2,Lines!N4))=TRUE,"",IF(AND('500DC'!N4="",'800DC'!N4=""),"ERR","")) &amp; IF(ISERROR(FIND($G$2,Lines!N4))=TRUE,"",IF('1000'!N4="","ERR","")) &amp; IF(ISERROR(FIND($H$2,Lines!N4))=TRUE,"",IF('500DC'!N4="","ERR","")) &amp; IF(ISERROR(FIND($I$2,Lines!N4))=TRUE,"",IF('800DC'!N4="","ERR","")) &amp; IF(ISERROR(FIND($J$2,Lines!N4))=TRUE,"",IF('1000'!N4="","ERR",""))</f>
        <v/>
      </c>
      <c r="O4" s="108" t="str">
        <f>IF(ISERROR(FIND($B$2,Lines!O4))=TRUE,"",IF('750'!O4="","ERR","")) &amp; IF(ISERROR(FIND($C$2,Lines!O4))=TRUE,"",IF('500'!O4="","ERR","")) &amp; IF(ISERROR(FIND($D$2,Lines!O4))=TRUE,"",IF('330'!O4="","ERR","")) &amp; IF(ISERROR(FIND($E$2,Lines!O4))=TRUE,"",IF('220'!O4="","ERR",""))&amp; IF(ISERROR(FIND($F$2,Lines!O4))=TRUE,"",IF(AND('500DC'!O4="",'800DC'!O4=""),"ERR","")) &amp; IF(ISERROR(FIND($G$2,Lines!O4))=TRUE,"",IF('1000'!O4="","ERR","")) &amp; IF(ISERROR(FIND($H$2,Lines!O4))=TRUE,"",IF('500DC'!O4="","ERR","")) &amp; IF(ISERROR(FIND($I$2,Lines!O4))=TRUE,"",IF('800DC'!O4="","ERR","")) &amp; IF(ISERROR(FIND($J$2,Lines!O4))=TRUE,"",IF('1000'!O4="","ERR",""))</f>
        <v/>
      </c>
      <c r="P4" s="108" t="str">
        <f>IF(ISERROR(FIND($B$2,Lines!P4))=TRUE,"",IF('750'!P4="","ERR","")) &amp; IF(ISERROR(FIND($C$2,Lines!P4))=TRUE,"",IF('500'!P4="","ERR","")) &amp; IF(ISERROR(FIND($D$2,Lines!P4))=TRUE,"",IF('330'!P4="","ERR","")) &amp; IF(ISERROR(FIND($E$2,Lines!P4))=TRUE,"",IF('220'!P4="","ERR",""))&amp; IF(ISERROR(FIND($F$2,Lines!P4))=TRUE,"",IF(AND('500DC'!P4="",'800DC'!P4=""),"ERR","")) &amp; IF(ISERROR(FIND($G$2,Lines!P4))=TRUE,"",IF('1000'!P4="","ERR","")) &amp; IF(ISERROR(FIND($H$2,Lines!P4))=TRUE,"",IF('500DC'!P4="","ERR","")) &amp; IF(ISERROR(FIND($I$2,Lines!P4))=TRUE,"",IF('800DC'!P4="","ERR","")) &amp; IF(ISERROR(FIND($J$2,Lines!P4))=TRUE,"",IF('1000'!P4="","ERR",""))</f>
        <v/>
      </c>
      <c r="Q4" s="108" t="str">
        <f>IF(ISERROR(FIND($B$2,Lines!Q4))=TRUE,"",IF('750'!Q4="","ERR","")) &amp; IF(ISERROR(FIND($C$2,Lines!Q4))=TRUE,"",IF('500'!Q4="","ERR","")) &amp; IF(ISERROR(FIND($D$2,Lines!Q4))=TRUE,"",IF('330'!Q4="","ERR","")) &amp; IF(ISERROR(FIND($E$2,Lines!Q4))=TRUE,"",IF('220'!Q4="","ERR",""))&amp; IF(ISERROR(FIND($F$2,Lines!Q4))=TRUE,"",IF(AND('500DC'!Q4="",'800DC'!Q4=""),"ERR","")) &amp; IF(ISERROR(FIND($G$2,Lines!Q4))=TRUE,"",IF('1000'!Q4="","ERR","")) &amp; IF(ISERROR(FIND($H$2,Lines!Q4))=TRUE,"",IF('500DC'!Q4="","ERR","")) &amp; IF(ISERROR(FIND($I$2,Lines!Q4))=TRUE,"",IF('800DC'!Q4="","ERR","")) &amp; IF(ISERROR(FIND($J$2,Lines!Q4))=TRUE,"",IF('1000'!Q4="","ERR",""))</f>
        <v/>
      </c>
      <c r="R4" s="108" t="str">
        <f>IF(ISERROR(FIND($B$2,Lines!R4))=TRUE,"",IF('750'!R4="","ERR","")) &amp; IF(ISERROR(FIND($C$2,Lines!R4))=TRUE,"",IF('500'!R4="","ERR","")) &amp; IF(ISERROR(FIND($D$2,Lines!R4))=TRUE,"",IF('330'!R4="","ERR","")) &amp; IF(ISERROR(FIND($E$2,Lines!R4))=TRUE,"",IF('220'!R4="","ERR",""))&amp; IF(ISERROR(FIND($F$2,Lines!R4))=TRUE,"",IF(AND('500DC'!R4="",'800DC'!R4=""),"ERR","")) &amp; IF(ISERROR(FIND($G$2,Lines!R4))=TRUE,"",IF('1000'!R4="","ERR","")) &amp; IF(ISERROR(FIND($H$2,Lines!R4))=TRUE,"",IF('500DC'!R4="","ERR","")) &amp; IF(ISERROR(FIND($I$2,Lines!R4))=TRUE,"",IF('800DC'!R4="","ERR","")) &amp; IF(ISERROR(FIND($J$2,Lines!R4))=TRUE,"",IF('1000'!R4="","ERR",""))</f>
        <v/>
      </c>
      <c r="S4" s="108" t="str">
        <f>IF(ISERROR(FIND($B$2,Lines!S4))=TRUE,"",IF('750'!S4="","ERR","")) &amp; IF(ISERROR(FIND($C$2,Lines!S4))=TRUE,"",IF('500'!S4="","ERR","")) &amp; IF(ISERROR(FIND($D$2,Lines!S4))=TRUE,"",IF('330'!S4="","ERR","")) &amp; IF(ISERROR(FIND($E$2,Lines!S4))=TRUE,"",IF('220'!S4="","ERR",""))&amp; IF(ISERROR(FIND($F$2,Lines!S4))=TRUE,"",IF(AND('500DC'!S4="",'800DC'!S4=""),"ERR","")) &amp; IF(ISERROR(FIND($G$2,Lines!S4))=TRUE,"",IF('1000'!S4="","ERR","")) &amp; IF(ISERROR(FIND($H$2,Lines!S4))=TRUE,"",IF('500DC'!S4="","ERR","")) &amp; IF(ISERROR(FIND($I$2,Lines!S4))=TRUE,"",IF('800DC'!S4="","ERR","")) &amp; IF(ISERROR(FIND($J$2,Lines!S4))=TRUE,"",IF('1000'!S4="","ERR",""))</f>
        <v/>
      </c>
      <c r="T4" s="108" t="str">
        <f>IF(ISERROR(FIND($B$2,Lines!T4))=TRUE,"",IF('750'!T4="","ERR","")) &amp; IF(ISERROR(FIND($C$2,Lines!T4))=TRUE,"",IF('500'!T4="","ERR","")) &amp; IF(ISERROR(FIND($D$2,Lines!T4))=TRUE,"",IF('330'!T4="","ERR","")) &amp; IF(ISERROR(FIND($E$2,Lines!T4))=TRUE,"",IF('220'!T4="","ERR",""))&amp; IF(ISERROR(FIND($F$2,Lines!T4))=TRUE,"",IF(AND('500DC'!T4="",'800DC'!T4=""),"ERR","")) &amp; IF(ISERROR(FIND($G$2,Lines!T4))=TRUE,"",IF('1000'!T4="","ERR","")) &amp; IF(ISERROR(FIND($H$2,Lines!T4))=TRUE,"",IF('500DC'!T4="","ERR","")) &amp; IF(ISERROR(FIND($I$2,Lines!T4))=TRUE,"",IF('800DC'!T4="","ERR","")) &amp; IF(ISERROR(FIND($J$2,Lines!T4))=TRUE,"",IF('1000'!T4="","ERR",""))</f>
        <v/>
      </c>
      <c r="U4" s="108" t="str">
        <f>IF(ISERROR(FIND($B$2,Lines!U4))=TRUE,"",IF('750'!U4="","ERR","")) &amp; IF(ISERROR(FIND($C$2,Lines!U4))=TRUE,"",IF('500'!U4="","ERR","")) &amp; IF(ISERROR(FIND($D$2,Lines!U4))=TRUE,"",IF('330'!U4="","ERR","")) &amp; IF(ISERROR(FIND($E$2,Lines!U4))=TRUE,"",IF('220'!U4="","ERR",""))&amp; IF(ISERROR(FIND($F$2,Lines!U4))=TRUE,"",IF(AND('500DC'!U4="",'800DC'!U4=""),"ERR","")) &amp; IF(ISERROR(FIND($G$2,Lines!U4))=TRUE,"",IF('1000'!U4="","ERR","")) &amp; IF(ISERROR(FIND($H$2,Lines!U4))=TRUE,"",IF('500DC'!U4="","ERR","")) &amp; IF(ISERROR(FIND($I$2,Lines!U4))=TRUE,"",IF('800DC'!U4="","ERR","")) &amp; IF(ISERROR(FIND($J$2,Lines!U4))=TRUE,"",IF('1000'!U4="","ERR",""))</f>
        <v/>
      </c>
      <c r="V4" s="108" t="str">
        <f>IF(ISERROR(FIND($B$2,Lines!V4))=TRUE,"",IF('750'!V4="","ERR","")) &amp; IF(ISERROR(FIND($C$2,Lines!V4))=TRUE,"",IF('500'!V4="","ERR","")) &amp; IF(ISERROR(FIND($D$2,Lines!V4))=TRUE,"",IF('330'!V4="","ERR","")) &amp; IF(ISERROR(FIND($E$2,Lines!V4))=TRUE,"",IF('220'!V4="","ERR",""))&amp; IF(ISERROR(FIND($F$2,Lines!V4))=TRUE,"",IF(AND('500DC'!V4="",'800DC'!V4=""),"ERR","")) &amp; IF(ISERROR(FIND($G$2,Lines!V4))=TRUE,"",IF('1000'!V4="","ERR","")) &amp; IF(ISERROR(FIND($H$2,Lines!V4))=TRUE,"",IF('500DC'!V4="","ERR","")) &amp; IF(ISERROR(FIND($I$2,Lines!V4))=TRUE,"",IF('800DC'!V4="","ERR","")) &amp; IF(ISERROR(FIND($J$2,Lines!V4))=TRUE,"",IF('1000'!V4="","ERR",""))</f>
        <v/>
      </c>
      <c r="W4" s="109" t="str">
        <f>IF(ISERROR(FIND($B$2,Lines!W4))=TRUE,"",IF('750'!W4="","ERR","")) &amp; IF(ISERROR(FIND($C$2,Lines!W4))=TRUE,"",IF('500'!W4="","ERR","")) &amp; IF(ISERROR(FIND($D$2,Lines!W4))=TRUE,"",IF('330'!W4="","ERR","")) &amp; IF(ISERROR(FIND($E$2,Lines!W4))=TRUE,"",IF('220'!W4="","ERR",""))&amp; IF(ISERROR(FIND($F$2,Lines!W4))=TRUE,"",IF(AND('500DC'!W4="",'800DC'!W4=""),"ERR","")) &amp; IF(ISERROR(FIND($G$2,Lines!W4))=TRUE,"",IF('1000'!W4="","ERR","")) &amp; IF(ISERROR(FIND($H$2,Lines!W4))=TRUE,"",IF('500DC'!W4="","ERR","")) &amp; IF(ISERROR(FIND($I$2,Lines!W4))=TRUE,"",IF('800DC'!W4="","ERR","")) &amp; IF(ISERROR(FIND($J$2,Lines!W4))=TRUE,"",IF('1000'!W4="","ERR",""))</f>
        <v/>
      </c>
      <c r="X4" s="108" t="str">
        <f>IF(ISERROR(FIND($B$2,Lines!X4))=TRUE,"",IF('750'!X4="","ERR","")) &amp; IF(ISERROR(FIND($C$2,Lines!X4))=TRUE,"",IF('500'!X4="","ERR","")) &amp; IF(ISERROR(FIND($D$2,Lines!X4))=TRUE,"",IF('330'!X4="","ERR","")) &amp; IF(ISERROR(FIND($E$2,Lines!X4))=TRUE,"",IF('220'!X4="","ERR",""))&amp; IF(ISERROR(FIND($F$2,Lines!X4))=TRUE,"",IF(AND('500DC'!X4="",'800DC'!X4=""),"ERR","")) &amp; IF(ISERROR(FIND($G$2,Lines!X4))=TRUE,"",IF('1000'!X4="","ERR","")) &amp; IF(ISERROR(FIND($H$2,Lines!X4))=TRUE,"",IF('500DC'!X4="","ERR","")) &amp; IF(ISERROR(FIND($I$2,Lines!X4))=TRUE,"",IF('800DC'!X4="","ERR","")) &amp; IF(ISERROR(FIND($J$2,Lines!X4))=TRUE,"",IF('1000'!X4="","ERR",""))</f>
        <v/>
      </c>
      <c r="Y4" s="108" t="str">
        <f>IF(ISERROR(FIND($B$2,Lines!Y4))=TRUE,"",IF('750'!Y4="","ERR","")) &amp; IF(ISERROR(FIND($C$2,Lines!Y4))=TRUE,"",IF('500'!Y4="","ERR","")) &amp; IF(ISERROR(FIND($D$2,Lines!Y4))=TRUE,"",IF('330'!Y4="","ERR","")) &amp; IF(ISERROR(FIND($E$2,Lines!Y4))=TRUE,"",IF('220'!Y4="","ERR",""))&amp; IF(ISERROR(FIND($F$2,Lines!Y4))=TRUE,"",IF(AND('500DC'!Y4="",'800DC'!Y4=""),"ERR","")) &amp; IF(ISERROR(FIND($G$2,Lines!Y4))=TRUE,"",IF('1000'!Y4="","ERR","")) &amp; IF(ISERROR(FIND($H$2,Lines!Y4))=TRUE,"",IF('500DC'!Y4="","ERR","")) &amp; IF(ISERROR(FIND($I$2,Lines!Y4))=TRUE,"",IF('800DC'!Y4="","ERR","")) &amp; IF(ISERROR(FIND($J$2,Lines!Y4))=TRUE,"",IF('1000'!Y4="","ERR",""))</f>
        <v/>
      </c>
      <c r="Z4" s="108" t="str">
        <f>IF(ISERROR(FIND($B$2,Lines!Z4))=TRUE,"",IF('750'!Z4="","ERR","")) &amp; IF(ISERROR(FIND($C$2,Lines!Z4))=TRUE,"",IF('500'!Z4="","ERR","")) &amp; IF(ISERROR(FIND($D$2,Lines!Z4))=TRUE,"",IF('330'!Z4="","ERR","")) &amp; IF(ISERROR(FIND($E$2,Lines!Z4))=TRUE,"",IF('220'!Z4="","ERR",""))&amp; IF(ISERROR(FIND($F$2,Lines!Z4))=TRUE,"",IF(AND('500DC'!Z4="",'800DC'!Z4=""),"ERR","")) &amp; IF(ISERROR(FIND($G$2,Lines!Z4))=TRUE,"",IF('1000'!Z4="","ERR","")) &amp; IF(ISERROR(FIND($H$2,Lines!Z4))=TRUE,"",IF('500DC'!Z4="","ERR","")) &amp; IF(ISERROR(FIND($I$2,Lines!Z4))=TRUE,"",IF('800DC'!Z4="","ERR","")) &amp; IF(ISERROR(FIND($J$2,Lines!Z4))=TRUE,"",IF('1000'!Z4="","ERR",""))</f>
        <v/>
      </c>
      <c r="AA4" s="108" t="str">
        <f>IF(ISERROR(FIND($B$2,Lines!AA4))=TRUE,"",IF('750'!AA4="","ERR","")) &amp; IF(ISERROR(FIND($C$2,Lines!AA4))=TRUE,"",IF('500'!AA4="","ERR","")) &amp; IF(ISERROR(FIND($D$2,Lines!AA4))=TRUE,"",IF('330'!AA4="","ERR","")) &amp; IF(ISERROR(FIND($E$2,Lines!AA4))=TRUE,"",IF('220'!AA4="","ERR",""))&amp; IF(ISERROR(FIND($F$2,Lines!AA4))=TRUE,"",IF(AND('500DC'!AA4="",'800DC'!AA4=""),"ERR","")) &amp; IF(ISERROR(FIND($G$2,Lines!AA4))=TRUE,"",IF('1000'!AA4="","ERR","")) &amp; IF(ISERROR(FIND($H$2,Lines!AA4))=TRUE,"",IF('500DC'!AA4="","ERR","")) &amp; IF(ISERROR(FIND($I$2,Lines!AA4))=TRUE,"",IF('800DC'!AA4="","ERR","")) &amp; IF(ISERROR(FIND($J$2,Lines!AA4))=TRUE,"",IF('1000'!AA4="","ERR",""))</f>
        <v/>
      </c>
      <c r="AB4" s="108" t="str">
        <f>IF(ISERROR(FIND($B$2,Lines!AB4))=TRUE,"",IF('750'!AB4="","ERR","")) &amp; IF(ISERROR(FIND($C$2,Lines!AB4))=TRUE,"",IF('500'!AB4="","ERR","")) &amp; IF(ISERROR(FIND($D$2,Lines!AB4))=TRUE,"",IF('330'!AB4="","ERR","")) &amp; IF(ISERROR(FIND($E$2,Lines!AB4))=TRUE,"",IF('220'!AB4="","ERR",""))&amp; IF(ISERROR(FIND($F$2,Lines!AB4))=TRUE,"",IF(AND('500DC'!AB4="",'800DC'!AB4=""),"ERR","")) &amp; IF(ISERROR(FIND($G$2,Lines!AB4))=TRUE,"",IF('1000'!AB4="","ERR","")) &amp; IF(ISERROR(FIND($H$2,Lines!AB4))=TRUE,"",IF('500DC'!AB4="","ERR","")) &amp; IF(ISERROR(FIND($I$2,Lines!AB4))=TRUE,"",IF('800DC'!AB4="","ERR","")) &amp; IF(ISERROR(FIND($J$2,Lines!AB4))=TRUE,"",IF('1000'!AB4="","ERR",""))</f>
        <v/>
      </c>
      <c r="AC4" s="108" t="str">
        <f>IF(ISERROR(FIND($B$2,Lines!AC4))=TRUE,"",IF('750'!AC4="","ERR","")) &amp; IF(ISERROR(FIND($C$2,Lines!AC4))=TRUE,"",IF('500'!AC4="","ERR","")) &amp; IF(ISERROR(FIND($D$2,Lines!AC4))=TRUE,"",IF('330'!AC4="","ERR","")) &amp; IF(ISERROR(FIND($E$2,Lines!AC4))=TRUE,"",IF('220'!AC4="","ERR",""))&amp; IF(ISERROR(FIND($F$2,Lines!AC4))=TRUE,"",IF(AND('500DC'!AC4="",'800DC'!AC4=""),"ERR","")) &amp; IF(ISERROR(FIND($G$2,Lines!AC4))=TRUE,"",IF('1000'!AC4="","ERR","")) &amp; IF(ISERROR(FIND($H$2,Lines!AC4))=TRUE,"",IF('500DC'!AC4="","ERR","")) &amp; IF(ISERROR(FIND($I$2,Lines!AC4))=TRUE,"",IF('800DC'!AC4="","ERR","")) &amp; IF(ISERROR(FIND($J$2,Lines!AC4))=TRUE,"",IF('1000'!AC4="","ERR",""))</f>
        <v/>
      </c>
      <c r="AD4" s="108" t="str">
        <f>IF(ISERROR(FIND($B$2,Lines!AD4))=TRUE,"",IF('750'!AD4="","ERR","")) &amp; IF(ISERROR(FIND($C$2,Lines!AD4))=TRUE,"",IF('500'!AD4="","ERR","")) &amp; IF(ISERROR(FIND($D$2,Lines!AD4))=TRUE,"",IF('330'!AD4="","ERR","")) &amp; IF(ISERROR(FIND($E$2,Lines!AD4))=TRUE,"",IF('220'!AD4="","ERR",""))&amp; IF(ISERROR(FIND($F$2,Lines!AD4))=TRUE,"",IF(AND('500DC'!AD4="",'800DC'!AD4=""),"ERR","")) &amp; IF(ISERROR(FIND($G$2,Lines!AD4))=TRUE,"",IF('1000'!AD4="","ERR","")) &amp; IF(ISERROR(FIND($H$2,Lines!AD4))=TRUE,"",IF('500DC'!AD4="","ERR","")) &amp; IF(ISERROR(FIND($I$2,Lines!AD4))=TRUE,"",IF('800DC'!AD4="","ERR","")) &amp; IF(ISERROR(FIND($J$2,Lines!AD4))=TRUE,"",IF('1000'!AD4="","ERR",""))</f>
        <v/>
      </c>
      <c r="AE4" s="108" t="str">
        <f>IF(ISERROR(FIND($B$2,Lines!AE4))=TRUE,"",IF('750'!AE4="","ERR","")) &amp; IF(ISERROR(FIND($C$2,Lines!AE4))=TRUE,"",IF('500'!AE4="","ERR","")) &amp; IF(ISERROR(FIND($D$2,Lines!AE4))=TRUE,"",IF('330'!AE4="","ERR","")) &amp; IF(ISERROR(FIND($E$2,Lines!AE4))=TRUE,"",IF('220'!AE4="","ERR",""))&amp; IF(ISERROR(FIND($F$2,Lines!AE4))=TRUE,"",IF(AND('500DC'!AE4="",'800DC'!AE4=""),"ERR","")) &amp; IF(ISERROR(FIND($G$2,Lines!AE4))=TRUE,"",IF('1000'!AE4="","ERR","")) &amp; IF(ISERROR(FIND($H$2,Lines!AE4))=TRUE,"",IF('500DC'!AE4="","ERR","")) &amp; IF(ISERROR(FIND($I$2,Lines!AE4))=TRUE,"",IF('800DC'!AE4="","ERR","")) &amp; IF(ISERROR(FIND($J$2,Lines!AE4))=TRUE,"",IF('1000'!AE4="","ERR",""))</f>
        <v/>
      </c>
      <c r="AF4" s="108" t="str">
        <f>IF(ISERROR(FIND($B$2,Lines!AF4))=TRUE,"",IF('750'!AF4="","ERR","")) &amp; IF(ISERROR(FIND($C$2,Lines!AF4))=TRUE,"",IF('500'!AF4="","ERR","")) &amp; IF(ISERROR(FIND($D$2,Lines!AF4))=TRUE,"",IF('330'!AF4="","ERR","")) &amp; IF(ISERROR(FIND($E$2,Lines!AF4))=TRUE,"",IF('220'!AF4="","ERR",""))&amp; IF(ISERROR(FIND($F$2,Lines!AF4))=TRUE,"",IF(AND('500DC'!AF4="",'800DC'!AF4=""),"ERR","")) &amp; IF(ISERROR(FIND($G$2,Lines!AF4))=TRUE,"",IF('1000'!AF4="","ERR","")) &amp; IF(ISERROR(FIND($H$2,Lines!AF4))=TRUE,"",IF('500DC'!AF4="","ERR","")) &amp; IF(ISERROR(FIND($I$2,Lines!AF4))=TRUE,"",IF('800DC'!AF4="","ERR","")) &amp; IF(ISERROR(FIND($J$2,Lines!AF4))=TRUE,"",IF('1000'!AF4="","ERR",""))</f>
        <v/>
      </c>
      <c r="AG4" s="108" t="str">
        <f>IF(ISERROR(FIND($B$2,Lines!AG4))=TRUE,"",IF('750'!AG4="","ERR","")) &amp; IF(ISERROR(FIND($C$2,Lines!AG4))=TRUE,"",IF('500'!AG4="","ERR","")) &amp; IF(ISERROR(FIND($D$2,Lines!AG4))=TRUE,"",IF('330'!AG4="","ERR","")) &amp; IF(ISERROR(FIND($E$2,Lines!AG4))=TRUE,"",IF('220'!AG4="","ERR",""))&amp; IF(ISERROR(FIND($F$2,Lines!AG4))=TRUE,"",IF(AND('500DC'!AG4="",'800DC'!AG4=""),"ERR","")) &amp; IF(ISERROR(FIND($G$2,Lines!AG4))=TRUE,"",IF('1000'!AG4="","ERR","")) &amp; IF(ISERROR(FIND($H$2,Lines!AG4))=TRUE,"",IF('500DC'!AG4="","ERR","")) &amp; IF(ISERROR(FIND($I$2,Lines!AG4))=TRUE,"",IF('800DC'!AG4="","ERR","")) &amp; IF(ISERROR(FIND($J$2,Lines!AG4))=TRUE,"",IF('1000'!AG4="","ERR",""))</f>
        <v/>
      </c>
      <c r="AH4" s="108" t="str">
        <f>IF(ISERROR(FIND($B$2,Lines!AH4))=TRUE,"",IF('750'!AH4="","ERR","")) &amp; IF(ISERROR(FIND($C$2,Lines!AH4))=TRUE,"",IF('500'!AH4="","ERR","")) &amp; IF(ISERROR(FIND($D$2,Lines!AH4))=TRUE,"",IF('330'!AH4="","ERR","")) &amp; IF(ISERROR(FIND($E$2,Lines!AH4))=TRUE,"",IF('220'!AH4="","ERR",""))&amp; IF(ISERROR(FIND($F$2,Lines!AH4))=TRUE,"",IF(AND('500DC'!AH4="",'800DC'!AH4=""),"ERR","")) &amp; IF(ISERROR(FIND($G$2,Lines!AH4))=TRUE,"",IF('1000'!AH4="","ERR","")) &amp; IF(ISERROR(FIND($H$2,Lines!AH4))=TRUE,"",IF('500DC'!AH4="","ERR","")) &amp; IF(ISERROR(FIND($I$2,Lines!AH4))=TRUE,"",IF('800DC'!AH4="","ERR","")) &amp; IF(ISERROR(FIND($J$2,Lines!AH4))=TRUE,"",IF('1000'!AH4="","ERR",""))</f>
        <v/>
      </c>
      <c r="AI4" s="108" t="str">
        <f>IF(ISERROR(FIND($B$2,Lines!AI4))=TRUE,"",IF('750'!AI4="","ERR","")) &amp; IF(ISERROR(FIND($C$2,Lines!AI4))=TRUE,"",IF('500'!AI4="","ERR","")) &amp; IF(ISERROR(FIND($D$2,Lines!AI4))=TRUE,"",IF('330'!AI4="","ERR","")) &amp; IF(ISERROR(FIND($E$2,Lines!AI4))=TRUE,"",IF('220'!AI4="","ERR",""))&amp; IF(ISERROR(FIND($F$2,Lines!AI4))=TRUE,"",IF(AND('500DC'!AI4="",'800DC'!AI4=""),"ERR","")) &amp; IF(ISERROR(FIND($G$2,Lines!AI4))=TRUE,"",IF('1000'!AI4="","ERR","")) &amp; IF(ISERROR(FIND($H$2,Lines!AI4))=TRUE,"",IF('500DC'!AI4="","ERR","")) &amp; IF(ISERROR(FIND($I$2,Lines!AI4))=TRUE,"",IF('800DC'!AI4="","ERR","")) &amp; IF(ISERROR(FIND($J$2,Lines!AI4))=TRUE,"",IF('1000'!AI4="","ERR",""))</f>
        <v/>
      </c>
      <c r="AJ4" s="108" t="str">
        <f>IF(ISERROR(FIND($B$2,Lines!AJ4))=TRUE,"",IF('750'!AJ4="","ERR","")) &amp; IF(ISERROR(FIND($C$2,Lines!AJ4))=TRUE,"",IF('500'!AJ4="","ERR","")) &amp; IF(ISERROR(FIND($D$2,Lines!AJ4))=TRUE,"",IF('330'!AJ4="","ERR","")) &amp; IF(ISERROR(FIND($E$2,Lines!AJ4))=TRUE,"",IF('220'!AJ4="","ERR",""))&amp; IF(ISERROR(FIND($F$2,Lines!AJ4))=TRUE,"",IF(AND('500DC'!AJ4="",'800DC'!AJ4=""),"ERR","")) &amp; IF(ISERROR(FIND($G$2,Lines!AJ4))=TRUE,"",IF('1000'!AJ4="","ERR","")) &amp; IF(ISERROR(FIND($H$2,Lines!AJ4))=TRUE,"",IF('500DC'!AJ4="","ERR","")) &amp; IF(ISERROR(FIND($I$2,Lines!AJ4))=TRUE,"",IF('800DC'!AJ4="","ERR","")) &amp; IF(ISERROR(FIND($J$2,Lines!AJ4))=TRUE,"",IF('1000'!AJ4="","ERR",""))</f>
        <v/>
      </c>
      <c r="AK4" s="108" t="str">
        <f>IF(ISERROR(FIND($B$2,Lines!AK4))=TRUE,"",IF('750'!AK4="","ERR","")) &amp; IF(ISERROR(FIND($C$2,Lines!AK4))=TRUE,"",IF('500'!AK4="","ERR","")) &amp; IF(ISERROR(FIND($D$2,Lines!AK4))=TRUE,"",IF('330'!AK4="","ERR","")) &amp; IF(ISERROR(FIND($E$2,Lines!AK4))=TRUE,"",IF('220'!AK4="","ERR",""))&amp; IF(ISERROR(FIND($F$2,Lines!AK4))=TRUE,"",IF(AND('500DC'!AK4="",'800DC'!AK4=""),"ERR","")) &amp; IF(ISERROR(FIND($G$2,Lines!AK4))=TRUE,"",IF('1000'!AK4="","ERR","")) &amp; IF(ISERROR(FIND($H$2,Lines!AK4))=TRUE,"",IF('500DC'!AK4="","ERR","")) &amp; IF(ISERROR(FIND($I$2,Lines!AK4))=TRUE,"",IF('800DC'!AK4="","ERR","")) &amp; IF(ISERROR(FIND($J$2,Lines!AK4))=TRUE,"",IF('1000'!AK4="","ERR",""))</f>
        <v/>
      </c>
      <c r="AL4" s="108" t="str">
        <f>IF(ISERROR(FIND($B$2,Lines!AL4))=TRUE,"",IF('750'!AL4="","ERR","")) &amp; IF(ISERROR(FIND($C$2,Lines!AL4))=TRUE,"",IF('500'!AL4="","ERR","")) &amp; IF(ISERROR(FIND($D$2,Lines!AL4))=TRUE,"",IF('330'!AL4="","ERR","")) &amp; IF(ISERROR(FIND($E$2,Lines!AL4))=TRUE,"",IF('220'!AL4="","ERR",""))&amp; IF(ISERROR(FIND($F$2,Lines!AL4))=TRUE,"",IF(AND('500DC'!AL4="",'800DC'!AL4=""),"ERR","")) &amp; IF(ISERROR(FIND($G$2,Lines!AL4))=TRUE,"",IF('1000'!AL4="","ERR","")) &amp; IF(ISERROR(FIND($H$2,Lines!AL4))=TRUE,"",IF('500DC'!AL4="","ERR","")) &amp; IF(ISERROR(FIND($I$2,Lines!AL4))=TRUE,"",IF('800DC'!AL4="","ERR","")) &amp; IF(ISERROR(FIND($J$2,Lines!AL4))=TRUE,"",IF('1000'!AL4="","ERR",""))</f>
        <v/>
      </c>
      <c r="AM4" s="108" t="str">
        <f>IF(ISERROR(FIND($B$2,Lines!AM4))=TRUE,"",IF('750'!AM4="","ERR","")) &amp; IF(ISERROR(FIND($C$2,Lines!AM4))=TRUE,"",IF('500'!AM4="","ERR","")) &amp; IF(ISERROR(FIND($D$2,Lines!AM4))=TRUE,"",IF('330'!AM4="","ERR","")) &amp; IF(ISERROR(FIND($E$2,Lines!AM4))=TRUE,"",IF('220'!AM4="","ERR",""))&amp; IF(ISERROR(FIND($F$2,Lines!AM4))=TRUE,"",IF(AND('500DC'!AM4="",'800DC'!AM4=""),"ERR","")) &amp; IF(ISERROR(FIND($G$2,Lines!AM4))=TRUE,"",IF('1000'!AM4="","ERR","")) &amp; IF(ISERROR(FIND($H$2,Lines!AM4))=TRUE,"",IF('500DC'!AM4="","ERR","")) &amp; IF(ISERROR(FIND($I$2,Lines!AM4))=TRUE,"",IF('800DC'!AM4="","ERR","")) &amp; IF(ISERROR(FIND($J$2,Lines!AM4))=TRUE,"",IF('1000'!AM4="","ERR",""))</f>
        <v/>
      </c>
      <c r="AN4" s="108" t="str">
        <f>IF(ISERROR(FIND($B$2,Lines!AN4))=TRUE,"",IF('750'!AN4="","ERR","")) &amp; IF(ISERROR(FIND($C$2,Lines!AN4))=TRUE,"",IF('500'!AN4="","ERR","")) &amp; IF(ISERROR(FIND($D$2,Lines!AN4))=TRUE,"",IF('330'!AN4="","ERR","")) &amp; IF(ISERROR(FIND($E$2,Lines!AN4))=TRUE,"",IF('220'!AN4="","ERR",""))&amp; IF(ISERROR(FIND($F$2,Lines!AN4))=TRUE,"",IF(AND('500DC'!AN4="",'800DC'!AN4=""),"ERR","")) &amp; IF(ISERROR(FIND($G$2,Lines!AN4))=TRUE,"",IF('1000'!AN4="","ERR","")) &amp; IF(ISERROR(FIND($H$2,Lines!AN4))=TRUE,"",IF('500DC'!AN4="","ERR","")) &amp; IF(ISERROR(FIND($I$2,Lines!AN4))=TRUE,"",IF('800DC'!AN4="","ERR","")) &amp; IF(ISERROR(FIND($J$2,Lines!AN4))=TRUE,"",IF('1000'!AN4="","ERR",""))</f>
        <v/>
      </c>
      <c r="AO4" s="108" t="str">
        <f>IF(ISERROR(FIND($B$2,Lines!AO4))=TRUE,"",IF('750'!AO4="","ERR","")) &amp; IF(ISERROR(FIND($C$2,Lines!AO4))=TRUE,"",IF('500'!AO4="","ERR","")) &amp; IF(ISERROR(FIND($D$2,Lines!AO4))=TRUE,"",IF('330'!AO4="","ERR","")) &amp; IF(ISERROR(FIND($E$2,Lines!AO4))=TRUE,"",IF('220'!AO4="","ERR",""))&amp; IF(ISERROR(FIND($F$2,Lines!AO4))=TRUE,"",IF(AND('500DC'!AO4="",'800DC'!AO4=""),"ERR","")) &amp; IF(ISERROR(FIND($G$2,Lines!AO4))=TRUE,"",IF('1000'!AO4="","ERR","")) &amp; IF(ISERROR(FIND($H$2,Lines!AO4))=TRUE,"",IF('500DC'!AO4="","ERR","")) &amp; IF(ISERROR(FIND($I$2,Lines!AO4))=TRUE,"",IF('800DC'!AO4="","ERR","")) &amp; IF(ISERROR(FIND($J$2,Lines!AO4))=TRUE,"",IF('1000'!AO4="","ERR",""))</f>
        <v/>
      </c>
      <c r="AP4" s="108" t="str">
        <f>IF(ISERROR(FIND($B$2,Lines!AP4))=TRUE,"",IF('750'!AP4="","ERR","")) &amp; IF(ISERROR(FIND($C$2,Lines!AP4))=TRUE,"",IF('500'!AP4="","ERR","")) &amp; IF(ISERROR(FIND($D$2,Lines!AP4))=TRUE,"",IF('330'!AP4="","ERR","")) &amp; IF(ISERROR(FIND($E$2,Lines!AP4))=TRUE,"",IF('220'!AP4="","ERR",""))&amp; IF(ISERROR(FIND($F$2,Lines!AP4))=TRUE,"",IF(AND('500DC'!AP4="",'800DC'!AP4=""),"ERR","")) &amp; IF(ISERROR(FIND($G$2,Lines!AP4))=TRUE,"",IF('1000'!AP4="","ERR","")) &amp; IF(ISERROR(FIND($H$2,Lines!AP4))=TRUE,"",IF('500DC'!AP4="","ERR","")) &amp; IF(ISERROR(FIND($I$2,Lines!AP4))=TRUE,"",IF('800DC'!AP4="","ERR","")) &amp; IF(ISERROR(FIND($J$2,Lines!AP4))=TRUE,"",IF('1000'!AP4="","ERR",""))</f>
        <v/>
      </c>
      <c r="AQ4" s="108" t="str">
        <f>IF(ISERROR(FIND($B$2,Lines!AQ4))=TRUE,"",IF('750'!AQ4="","ERR","")) &amp; IF(ISERROR(FIND($C$2,Lines!AQ4))=TRUE,"",IF('500'!AQ4="","ERR","")) &amp; IF(ISERROR(FIND($D$2,Lines!AQ4))=TRUE,"",IF('330'!AQ4="","ERR","")) &amp; IF(ISERROR(FIND($E$2,Lines!AQ4))=TRUE,"",IF('220'!AQ4="","ERR",""))&amp; IF(ISERROR(FIND($F$2,Lines!AQ4))=TRUE,"",IF(AND('500DC'!AQ4="",'800DC'!AQ4=""),"ERR","")) &amp; IF(ISERROR(FIND($G$2,Lines!AQ4))=TRUE,"",IF('1000'!AQ4="","ERR","")) &amp; IF(ISERROR(FIND($H$2,Lines!AQ4))=TRUE,"",IF('500DC'!AQ4="","ERR","")) &amp; IF(ISERROR(FIND($I$2,Lines!AQ4))=TRUE,"",IF('800DC'!AQ4="","ERR","")) &amp; IF(ISERROR(FIND($J$2,Lines!AQ4))=TRUE,"",IF('1000'!AQ4="","ERR",""))</f>
        <v/>
      </c>
      <c r="AR4" s="108" t="str">
        <f>IF(ISERROR(FIND($B$2,Lines!AR4))=TRUE,"",IF('750'!AR4="","ERR","")) &amp; IF(ISERROR(FIND($C$2,Lines!AR4))=TRUE,"",IF('500'!AR4="","ERR","")) &amp; IF(ISERROR(FIND($D$2,Lines!AR4))=TRUE,"",IF('330'!AR4="","ERR","")) &amp; IF(ISERROR(FIND($E$2,Lines!AR4))=TRUE,"",IF('220'!AR4="","ERR",""))&amp; IF(ISERROR(FIND($F$2,Lines!AR4))=TRUE,"",IF(AND('500DC'!AR4="",'800DC'!AR4=""),"ERR","")) &amp; IF(ISERROR(FIND($G$2,Lines!AR4))=TRUE,"",IF('1000'!AR4="","ERR","")) &amp; IF(ISERROR(FIND($H$2,Lines!AR4))=TRUE,"",IF('500DC'!AR4="","ERR","")) &amp; IF(ISERROR(FIND($I$2,Lines!AR4))=TRUE,"",IF('800DC'!AR4="","ERR","")) &amp; IF(ISERROR(FIND($J$2,Lines!AR4))=TRUE,"",IF('1000'!AR4="","ERR",""))</f>
        <v/>
      </c>
      <c r="AS4" s="108" t="str">
        <f>IF(ISERROR(FIND($B$2,Lines!AS4))=TRUE,"",IF('750'!AS4="","ERR","")) &amp; IF(ISERROR(FIND($C$2,Lines!AS4))=TRUE,"",IF('500'!AS4="","ERR","")) &amp; IF(ISERROR(FIND($D$2,Lines!AS4))=TRUE,"",IF('330'!AS4="","ERR","")) &amp; IF(ISERROR(FIND($E$2,Lines!AS4))=TRUE,"",IF('220'!AS4="","ERR",""))&amp; IF(ISERROR(FIND($F$2,Lines!AS4))=TRUE,"",IF(AND('500DC'!AS4="",'800DC'!AS4=""),"ERR","")) &amp; IF(ISERROR(FIND($G$2,Lines!AS4))=TRUE,"",IF('1000'!AS4="","ERR","")) &amp; IF(ISERROR(FIND($H$2,Lines!AS4))=TRUE,"",IF('500DC'!AS4="","ERR","")) &amp; IF(ISERROR(FIND($I$2,Lines!AS4))=TRUE,"",IF('800DC'!AS4="","ERR","")) &amp; IF(ISERROR(FIND($J$2,Lines!AS4))=TRUE,"",IF('1000'!AS4="","ERR",""))</f>
        <v/>
      </c>
      <c r="AT4" s="108" t="str">
        <f>IF(ISERROR(FIND($B$2,Lines!AT4))=TRUE,"",IF('750'!AT4="","ERR","")) &amp; IF(ISERROR(FIND($C$2,Lines!AT4))=TRUE,"",IF('500'!AT4="","ERR","")) &amp; IF(ISERROR(FIND($D$2,Lines!AT4))=TRUE,"",IF('330'!AT4="","ERR","")) &amp; IF(ISERROR(FIND($E$2,Lines!AT4))=TRUE,"",IF('220'!AT4="","ERR",""))&amp; IF(ISERROR(FIND($F$2,Lines!AT4))=TRUE,"",IF(AND('500DC'!AT4="",'800DC'!AT4=""),"ERR","")) &amp; IF(ISERROR(FIND($G$2,Lines!AT4))=TRUE,"",IF('1000'!AT4="","ERR","")) &amp; IF(ISERROR(FIND($H$2,Lines!AT4))=TRUE,"",IF('500DC'!AT4="","ERR","")) &amp; IF(ISERROR(FIND($I$2,Lines!AT4))=TRUE,"",IF('800DC'!AT4="","ERR","")) &amp; IF(ISERROR(FIND($J$2,Lines!AT4))=TRUE,"",IF('1000'!AT4="","ERR",""))</f>
        <v/>
      </c>
    </row>
    <row r="5" spans="1:46" ht="20.25" customHeight="1">
      <c r="A5" s="2" t="s">
        <v>56</v>
      </c>
      <c r="B5" s="106" t="str">
        <f>IF(ISERROR(FIND($B$2,Lines!B5))=TRUE,"",IF('750'!B5="","ERR","")) &amp; IF(ISERROR(FIND($C$2,Lines!B5))=TRUE,"",IF('500'!B5="","ERR","")) &amp; IF(ISERROR(FIND($D$2,Lines!B5))=TRUE,"",IF('330'!B5="","ERR","")) &amp; IF(ISERROR(FIND($E$2,Lines!B5))=TRUE,"",IF('220'!B5="","ERR",""))&amp; IF(ISERROR(FIND($F$2,Lines!B5))=TRUE,"",IF(AND('500DC'!B5="",'800DC'!B5=""),"ERR","")) &amp; IF(ISERROR(FIND($G$2,Lines!B5))=TRUE,"",IF('1000'!B5="","ERR","")) &amp; IF(ISERROR(FIND($H$2,Lines!B5))=TRUE,"",IF('500DC'!B5="","ERR","")) &amp; IF(ISERROR(FIND($I$2,Lines!B5))=TRUE,"",IF('800DC'!B5="","ERR","")) &amp; IF(ISERROR(FIND($J$2,Lines!B5))=TRUE,"",IF('1000'!B5="","ERR",""))</f>
        <v/>
      </c>
      <c r="C5" s="105" t="str">
        <f>IF(ISERROR(FIND($B$2,Lines!C5))=TRUE,"",IF('750'!C5="","ERR","")) &amp; IF(ISERROR(FIND($C$2,Lines!C5))=TRUE,"",IF('500'!C5="","ERR","")) &amp; IF(ISERROR(FIND($D$2,Lines!C5))=TRUE,"",IF('330'!C5="","ERR","")) &amp; IF(ISERROR(FIND($E$2,Lines!C5))=TRUE,"",IF('220'!C5="","ERR",""))&amp; IF(ISERROR(FIND($F$2,Lines!C5))=TRUE,"",IF(AND('500DC'!C5="",'800DC'!C5=""),"ERR","")) &amp; IF(ISERROR(FIND($G$2,Lines!C5))=TRUE,"",IF('1000'!C5="","ERR","")) &amp; IF(ISERROR(FIND($H$2,Lines!C5))=TRUE,"",IF('500DC'!C5="","ERR","")) &amp; IF(ISERROR(FIND($I$2,Lines!C5))=TRUE,"",IF('800DC'!C5="","ERR","")) &amp; IF(ISERROR(FIND($J$2,Lines!C5))=TRUE,"",IF('1000'!C5="","ERR",""))</f>
        <v/>
      </c>
      <c r="D5" s="106" t="str">
        <f>IF(ISERROR(FIND($B$2,Lines!D5))=TRUE,"",IF('750'!D5="","ERR","")) &amp; IF(ISERROR(FIND($C$2,Lines!D5))=TRUE,"",IF('500'!D5="","ERR","")) &amp; IF(ISERROR(FIND($D$2,Lines!D5))=TRUE,"",IF('330'!D5="","ERR","")) &amp; IF(ISERROR(FIND($E$2,Lines!D5))=TRUE,"",IF('220'!D5="","ERR",""))&amp; IF(ISERROR(FIND($F$2,Lines!D5))=TRUE,"",IF(AND('500DC'!D5="",'800DC'!D5=""),"ERR","")) &amp; IF(ISERROR(FIND($G$2,Lines!D5))=TRUE,"",IF('1000'!D5="","ERR","")) &amp; IF(ISERROR(FIND($H$2,Lines!D5))=TRUE,"",IF('500DC'!D5="","ERR","")) &amp; IF(ISERROR(FIND($I$2,Lines!D5))=TRUE,"",IF('800DC'!D5="","ERR","")) &amp; IF(ISERROR(FIND($J$2,Lines!D5))=TRUE,"",IF('1000'!D5="","ERR",""))</f>
        <v/>
      </c>
      <c r="E5" s="106" t="str">
        <f>IF(ISERROR(FIND($B$2,Lines!E5))=TRUE,"",IF('750'!E5="","ERR","")) &amp; IF(ISERROR(FIND($C$2,Lines!E5))=TRUE,"",IF('500'!E5="","ERR","")) &amp; IF(ISERROR(FIND($D$2,Lines!E5))=TRUE,"",IF('330'!E5="","ERR","")) &amp; IF(ISERROR(FIND($E$2,Lines!E5))=TRUE,"",IF('220'!E5="","ERR",""))&amp; IF(ISERROR(FIND($F$2,Lines!E5))=TRUE,"",IF(AND('500DC'!E5="",'800DC'!E5=""),"ERR","")) &amp; IF(ISERROR(FIND($G$2,Lines!E5))=TRUE,"",IF('1000'!E5="","ERR","")) &amp; IF(ISERROR(FIND($H$2,Lines!E5))=TRUE,"",IF('500DC'!E5="","ERR","")) &amp; IF(ISERROR(FIND($I$2,Lines!E5))=TRUE,"",IF('800DC'!E5="","ERR","")) &amp; IF(ISERROR(FIND($J$2,Lines!E5))=TRUE,"",IF('1000'!E5="","ERR",""))</f>
        <v/>
      </c>
      <c r="F5" s="106" t="str">
        <f>IF(ISERROR(FIND($B$2,Lines!F5))=TRUE,"",IF('750'!F5="","ERR","")) &amp; IF(ISERROR(FIND($C$2,Lines!F5))=TRUE,"",IF('500'!F5="","ERR","")) &amp; IF(ISERROR(FIND($D$2,Lines!F5))=TRUE,"",IF('330'!F5="","ERR","")) &amp; IF(ISERROR(FIND($E$2,Lines!F5))=TRUE,"",IF('220'!F5="","ERR",""))&amp; IF(ISERROR(FIND($F$2,Lines!F5))=TRUE,"",IF(AND('500DC'!F5="",'800DC'!F5=""),"ERR","")) &amp; IF(ISERROR(FIND($G$2,Lines!F5))=TRUE,"",IF('1000'!F5="","ERR","")) &amp; IF(ISERROR(FIND($H$2,Lines!F5))=TRUE,"",IF('500DC'!F5="","ERR","")) &amp; IF(ISERROR(FIND($I$2,Lines!F5))=TRUE,"",IF('800DC'!F5="","ERR","")) &amp; IF(ISERROR(FIND($J$2,Lines!F5))=TRUE,"",IF('1000'!F5="","ERR",""))</f>
        <v/>
      </c>
      <c r="G5" s="106" t="str">
        <f>IF(ISERROR(FIND($B$2,Lines!G5))=TRUE,"",IF('750'!G5="","ERR","")) &amp; IF(ISERROR(FIND($C$2,Lines!G5))=TRUE,"",IF('500'!G5="","ERR","")) &amp; IF(ISERROR(FIND($D$2,Lines!G5))=TRUE,"",IF('330'!G5="","ERR","")) &amp; IF(ISERROR(FIND($E$2,Lines!G5))=TRUE,"",IF('220'!G5="","ERR",""))&amp; IF(ISERROR(FIND($F$2,Lines!G5))=TRUE,"",IF(AND('500DC'!G5="",'800DC'!G5=""),"ERR","")) &amp; IF(ISERROR(FIND($G$2,Lines!G5))=TRUE,"",IF('1000'!G5="","ERR","")) &amp; IF(ISERROR(FIND($H$2,Lines!G5))=TRUE,"",IF('500DC'!G5="","ERR","")) &amp; IF(ISERROR(FIND($I$2,Lines!G5))=TRUE,"",IF('800DC'!G5="","ERR","")) &amp; IF(ISERROR(FIND($J$2,Lines!G5))=TRUE,"",IF('1000'!G5="","ERR",""))</f>
        <v/>
      </c>
      <c r="H5" s="106" t="str">
        <f>IF(ISERROR(FIND($B$2,Lines!H5))=TRUE,"",IF('750'!H5="","ERR","")) &amp; IF(ISERROR(FIND($C$2,Lines!H5))=TRUE,"",IF('500'!H5="","ERR","")) &amp; IF(ISERROR(FIND($D$2,Lines!H5))=TRUE,"",IF('330'!H5="","ERR","")) &amp; IF(ISERROR(FIND($E$2,Lines!H5))=TRUE,"",IF('220'!H5="","ERR",""))&amp; IF(ISERROR(FIND($F$2,Lines!H5))=TRUE,"",IF(AND('500DC'!H5="",'800DC'!H5=""),"ERR","")) &amp; IF(ISERROR(FIND($G$2,Lines!H5))=TRUE,"",IF('1000'!H5="","ERR","")) &amp; IF(ISERROR(FIND($H$2,Lines!H5))=TRUE,"",IF('500DC'!H5="","ERR","")) &amp; IF(ISERROR(FIND($I$2,Lines!H5))=TRUE,"",IF('800DC'!H5="","ERR","")) &amp; IF(ISERROR(FIND($J$2,Lines!H5))=TRUE,"",IF('1000'!H5="","ERR",""))</f>
        <v/>
      </c>
      <c r="I5" s="106" t="str">
        <f>IF(ISERROR(FIND($B$2,Lines!I5))=TRUE,"",IF('750'!I5="","ERR","")) &amp; IF(ISERROR(FIND($C$2,Lines!I5))=TRUE,"",IF('500'!I5="","ERR","")) &amp; IF(ISERROR(FIND($D$2,Lines!I5))=TRUE,"",IF('330'!I5="","ERR","")) &amp; IF(ISERROR(FIND($E$2,Lines!I5))=TRUE,"",IF('220'!I5="","ERR",""))&amp; IF(ISERROR(FIND($F$2,Lines!I5))=TRUE,"",IF(AND('500DC'!I5="",'800DC'!I5=""),"ERR","")) &amp; IF(ISERROR(FIND($G$2,Lines!I5))=TRUE,"",IF('1000'!I5="","ERR","")) &amp; IF(ISERROR(FIND($H$2,Lines!I5))=TRUE,"",IF('500DC'!I5="","ERR","")) &amp; IF(ISERROR(FIND($I$2,Lines!I5))=TRUE,"",IF('800DC'!I5="","ERR","")) &amp; IF(ISERROR(FIND($J$2,Lines!I5))=TRUE,"",IF('1000'!I5="","ERR",""))</f>
        <v/>
      </c>
      <c r="J5" s="106" t="str">
        <f>IF(ISERROR(FIND($B$2,Lines!J5))=TRUE,"",IF('750'!J5="","ERR","")) &amp; IF(ISERROR(FIND($C$2,Lines!J5))=TRUE,"",IF('500'!J5="","ERR","")) &amp; IF(ISERROR(FIND($D$2,Lines!J5))=TRUE,"",IF('330'!J5="","ERR","")) &amp; IF(ISERROR(FIND($E$2,Lines!J5))=TRUE,"",IF('220'!J5="","ERR",""))&amp; IF(ISERROR(FIND($F$2,Lines!J5))=TRUE,"",IF(AND('500DC'!J5="",'800DC'!J5=""),"ERR","")) &amp; IF(ISERROR(FIND($G$2,Lines!J5))=TRUE,"",IF('1000'!J5="","ERR","")) &amp; IF(ISERROR(FIND($H$2,Lines!J5))=TRUE,"",IF('500DC'!J5="","ERR","")) &amp; IF(ISERROR(FIND($I$2,Lines!J5))=TRUE,"",IF('800DC'!J5="","ERR","")) &amp; IF(ISERROR(FIND($J$2,Lines!J5))=TRUE,"",IF('1000'!J5="","ERR",""))</f>
        <v/>
      </c>
      <c r="K5" s="106" t="str">
        <f>IF(ISERROR(FIND($B$2,Lines!K5))=TRUE,"",IF('750'!K5="","ERR","")) &amp; IF(ISERROR(FIND($C$2,Lines!K5))=TRUE,"",IF('500'!K5="","ERR","")) &amp; IF(ISERROR(FIND($D$2,Lines!K5))=TRUE,"",IF('330'!K5="","ERR","")) &amp; IF(ISERROR(FIND($E$2,Lines!K5))=TRUE,"",IF('220'!K5="","ERR",""))&amp; IF(ISERROR(FIND($F$2,Lines!K5))=TRUE,"",IF(AND('500DC'!K5="",'800DC'!K5=""),"ERR","")) &amp; IF(ISERROR(FIND($G$2,Lines!K5))=TRUE,"",IF('1000'!K5="","ERR","")) &amp; IF(ISERROR(FIND($H$2,Lines!K5))=TRUE,"",IF('500DC'!K5="","ERR","")) &amp; IF(ISERROR(FIND($I$2,Lines!K5))=TRUE,"",IF('800DC'!K5="","ERR","")) &amp; IF(ISERROR(FIND($J$2,Lines!K5))=TRUE,"",IF('1000'!K5="","ERR",""))</f>
        <v/>
      </c>
      <c r="L5" s="106" t="str">
        <f>IF(ISERROR(FIND($B$2,Lines!L5))=TRUE,"",IF('750'!L5="","ERR","")) &amp; IF(ISERROR(FIND($C$2,Lines!L5))=TRUE,"",IF('500'!L5="","ERR","")) &amp; IF(ISERROR(FIND($D$2,Lines!L5))=TRUE,"",IF('330'!L5="","ERR","")) &amp; IF(ISERROR(FIND($E$2,Lines!L5))=TRUE,"",IF('220'!L5="","ERR",""))&amp; IF(ISERROR(FIND($F$2,Lines!L5))=TRUE,"",IF(AND('500DC'!L5="",'800DC'!L5=""),"ERR","")) &amp; IF(ISERROR(FIND($G$2,Lines!L5))=TRUE,"",IF('1000'!L5="","ERR","")) &amp; IF(ISERROR(FIND($H$2,Lines!L5))=TRUE,"",IF('500DC'!L5="","ERR","")) &amp; IF(ISERROR(FIND($I$2,Lines!L5))=TRUE,"",IF('800DC'!L5="","ERR","")) &amp; IF(ISERROR(FIND($J$2,Lines!L5))=TRUE,"",IF('1000'!L5="","ERR",""))</f>
        <v/>
      </c>
      <c r="M5" s="107" t="str">
        <f>IF(ISERROR(FIND($B$2,Lines!M5))=TRUE,"",IF('750'!M5="","ERR","")) &amp; IF(ISERROR(FIND($C$2,Lines!M5))=TRUE,"",IF('500'!M5="","ERR","")) &amp; IF(ISERROR(FIND($D$2,Lines!M5))=TRUE,"",IF('330'!M5="","ERR","")) &amp; IF(ISERROR(FIND($E$2,Lines!M5))=TRUE,"",IF('220'!M5="","ERR",""))&amp; IF(ISERROR(FIND($F$2,Lines!M5))=TRUE,"",IF(AND('500DC'!M5="",'800DC'!M5=""),"ERR","")) &amp; IF(ISERROR(FIND($G$2,Lines!M5))=TRUE,"",IF('1000'!M5="","ERR","")) &amp; IF(ISERROR(FIND($H$2,Lines!M5))=TRUE,"",IF('500DC'!M5="","ERR","")) &amp; IF(ISERROR(FIND($I$2,Lines!M5))=TRUE,"",IF('800DC'!M5="","ERR","")) &amp; IF(ISERROR(FIND($J$2,Lines!M5))=TRUE,"",IF('1000'!M5="","ERR",""))</f>
        <v/>
      </c>
      <c r="N5" s="108" t="str">
        <f>IF(ISERROR(FIND($B$2,Lines!N5))=TRUE,"",IF('750'!N5="","ERR","")) &amp; IF(ISERROR(FIND($C$2,Lines!N5))=TRUE,"",IF('500'!N5="","ERR","")) &amp; IF(ISERROR(FIND($D$2,Lines!N5))=TRUE,"",IF('330'!N5="","ERR","")) &amp; IF(ISERROR(FIND($E$2,Lines!N5))=TRUE,"",IF('220'!N5="","ERR",""))&amp; IF(ISERROR(FIND($F$2,Lines!N5))=TRUE,"",IF(AND('500DC'!N5="",'800DC'!N5=""),"ERR","")) &amp; IF(ISERROR(FIND($G$2,Lines!N5))=TRUE,"",IF('1000'!N5="","ERR","")) &amp; IF(ISERROR(FIND($H$2,Lines!N5))=TRUE,"",IF('500DC'!N5="","ERR","")) &amp; IF(ISERROR(FIND($I$2,Lines!N5))=TRUE,"",IF('800DC'!N5="","ERR","")) &amp; IF(ISERROR(FIND($J$2,Lines!N5))=TRUE,"",IF('1000'!N5="","ERR",""))</f>
        <v/>
      </c>
      <c r="O5" s="108" t="str">
        <f>IF(ISERROR(FIND($B$2,Lines!O5))=TRUE,"",IF('750'!O5="","ERR","")) &amp; IF(ISERROR(FIND($C$2,Lines!O5))=TRUE,"",IF('500'!O5="","ERR","")) &amp; IF(ISERROR(FIND($D$2,Lines!O5))=TRUE,"",IF('330'!O5="","ERR","")) &amp; IF(ISERROR(FIND($E$2,Lines!O5))=TRUE,"",IF('220'!O5="","ERR",""))&amp; IF(ISERROR(FIND($F$2,Lines!O5))=TRUE,"",IF(AND('500DC'!O5="",'800DC'!O5=""),"ERR","")) &amp; IF(ISERROR(FIND($G$2,Lines!O5))=TRUE,"",IF('1000'!O5="","ERR","")) &amp; IF(ISERROR(FIND($H$2,Lines!O5))=TRUE,"",IF('500DC'!O5="","ERR","")) &amp; IF(ISERROR(FIND($I$2,Lines!O5))=TRUE,"",IF('800DC'!O5="","ERR","")) &amp; IF(ISERROR(FIND($J$2,Lines!O5))=TRUE,"",IF('1000'!O5="","ERR",""))</f>
        <v/>
      </c>
      <c r="P5" s="108" t="str">
        <f>IF(ISERROR(FIND($B$2,Lines!P5))=TRUE,"",IF('750'!P5="","ERR","")) &amp; IF(ISERROR(FIND($C$2,Lines!P5))=TRUE,"",IF('500'!P5="","ERR","")) &amp; IF(ISERROR(FIND($D$2,Lines!P5))=TRUE,"",IF('330'!P5="","ERR","")) &amp; IF(ISERROR(FIND($E$2,Lines!P5))=TRUE,"",IF('220'!P5="","ERR",""))&amp; IF(ISERROR(FIND($F$2,Lines!P5))=TRUE,"",IF(AND('500DC'!P5="",'800DC'!P5=""),"ERR","")) &amp; IF(ISERROR(FIND($G$2,Lines!P5))=TRUE,"",IF('1000'!P5="","ERR","")) &amp; IF(ISERROR(FIND($H$2,Lines!P5))=TRUE,"",IF('500DC'!P5="","ERR","")) &amp; IF(ISERROR(FIND($I$2,Lines!P5))=TRUE,"",IF('800DC'!P5="","ERR","")) &amp; IF(ISERROR(FIND($J$2,Lines!P5))=TRUE,"",IF('1000'!P5="","ERR",""))</f>
        <v/>
      </c>
      <c r="Q5" s="108" t="str">
        <f>IF(ISERROR(FIND($B$2,Lines!Q5))=TRUE,"",IF('750'!Q5="","ERR","")) &amp; IF(ISERROR(FIND($C$2,Lines!Q5))=TRUE,"",IF('500'!Q5="","ERR","")) &amp; IF(ISERROR(FIND($D$2,Lines!Q5))=TRUE,"",IF('330'!Q5="","ERR","")) &amp; IF(ISERROR(FIND($E$2,Lines!Q5))=TRUE,"",IF('220'!Q5="","ERR",""))&amp; IF(ISERROR(FIND($F$2,Lines!Q5))=TRUE,"",IF(AND('500DC'!Q5="",'800DC'!Q5=""),"ERR","")) &amp; IF(ISERROR(FIND($G$2,Lines!Q5))=TRUE,"",IF('1000'!Q5="","ERR","")) &amp; IF(ISERROR(FIND($H$2,Lines!Q5))=TRUE,"",IF('500DC'!Q5="","ERR","")) &amp; IF(ISERROR(FIND($I$2,Lines!Q5))=TRUE,"",IF('800DC'!Q5="","ERR","")) &amp; IF(ISERROR(FIND($J$2,Lines!Q5))=TRUE,"",IF('1000'!Q5="","ERR",""))</f>
        <v/>
      </c>
      <c r="R5" s="108" t="str">
        <f>IF(ISERROR(FIND($B$2,Lines!R5))=TRUE,"",IF('750'!R5="","ERR","")) &amp; IF(ISERROR(FIND($C$2,Lines!R5))=TRUE,"",IF('500'!R5="","ERR","")) &amp; IF(ISERROR(FIND($D$2,Lines!R5))=TRUE,"",IF('330'!R5="","ERR","")) &amp; IF(ISERROR(FIND($E$2,Lines!R5))=TRUE,"",IF('220'!R5="","ERR",""))&amp; IF(ISERROR(FIND($F$2,Lines!R5))=TRUE,"",IF(AND('500DC'!R5="",'800DC'!R5=""),"ERR","")) &amp; IF(ISERROR(FIND($G$2,Lines!R5))=TRUE,"",IF('1000'!R5="","ERR","")) &amp; IF(ISERROR(FIND($H$2,Lines!R5))=TRUE,"",IF('500DC'!R5="","ERR","")) &amp; IF(ISERROR(FIND($I$2,Lines!R5))=TRUE,"",IF('800DC'!R5="","ERR","")) &amp; IF(ISERROR(FIND($J$2,Lines!R5))=TRUE,"",IF('1000'!R5="","ERR",""))</f>
        <v/>
      </c>
      <c r="S5" s="108" t="str">
        <f>IF(ISERROR(FIND($B$2,Lines!S5))=TRUE,"",IF('750'!S5="","ERR","")) &amp; IF(ISERROR(FIND($C$2,Lines!S5))=TRUE,"",IF('500'!S5="","ERR","")) &amp; IF(ISERROR(FIND($D$2,Lines!S5))=TRUE,"",IF('330'!S5="","ERR","")) &amp; IF(ISERROR(FIND($E$2,Lines!S5))=TRUE,"",IF('220'!S5="","ERR",""))&amp; IF(ISERROR(FIND($F$2,Lines!S5))=TRUE,"",IF(AND('500DC'!S5="",'800DC'!S5=""),"ERR","")) &amp; IF(ISERROR(FIND($G$2,Lines!S5))=TRUE,"",IF('1000'!S5="","ERR","")) &amp; IF(ISERROR(FIND($H$2,Lines!S5))=TRUE,"",IF('500DC'!S5="","ERR","")) &amp; IF(ISERROR(FIND($I$2,Lines!S5))=TRUE,"",IF('800DC'!S5="","ERR","")) &amp; IF(ISERROR(FIND($J$2,Lines!S5))=TRUE,"",IF('1000'!S5="","ERR",""))</f>
        <v/>
      </c>
      <c r="T5" s="108" t="str">
        <f>IF(ISERROR(FIND($B$2,Lines!T5))=TRUE,"",IF('750'!T5="","ERR","")) &amp; IF(ISERROR(FIND($C$2,Lines!T5))=TRUE,"",IF('500'!T5="","ERR","")) &amp; IF(ISERROR(FIND($D$2,Lines!T5))=TRUE,"",IF('330'!T5="","ERR","")) &amp; IF(ISERROR(FIND($E$2,Lines!T5))=TRUE,"",IF('220'!T5="","ERR",""))&amp; IF(ISERROR(FIND($F$2,Lines!T5))=TRUE,"",IF(AND('500DC'!T5="",'800DC'!T5=""),"ERR","")) &amp; IF(ISERROR(FIND($G$2,Lines!T5))=TRUE,"",IF('1000'!T5="","ERR","")) &amp; IF(ISERROR(FIND($H$2,Lines!T5))=TRUE,"",IF('500DC'!T5="","ERR","")) &amp; IF(ISERROR(FIND($I$2,Lines!T5))=TRUE,"",IF('800DC'!T5="","ERR","")) &amp; IF(ISERROR(FIND($J$2,Lines!T5))=TRUE,"",IF('1000'!T5="","ERR",""))</f>
        <v/>
      </c>
      <c r="U5" s="108" t="str">
        <f>IF(ISERROR(FIND($B$2,Lines!U5))=TRUE,"",IF('750'!U5="","ERR","")) &amp; IF(ISERROR(FIND($C$2,Lines!U5))=TRUE,"",IF('500'!U5="","ERR","")) &amp; IF(ISERROR(FIND($D$2,Lines!U5))=TRUE,"",IF('330'!U5="","ERR","")) &amp; IF(ISERROR(FIND($E$2,Lines!U5))=TRUE,"",IF('220'!U5="","ERR",""))&amp; IF(ISERROR(FIND($F$2,Lines!U5))=TRUE,"",IF(AND('500DC'!U5="",'800DC'!U5=""),"ERR","")) &amp; IF(ISERROR(FIND($G$2,Lines!U5))=TRUE,"",IF('1000'!U5="","ERR","")) &amp; IF(ISERROR(FIND($H$2,Lines!U5))=TRUE,"",IF('500DC'!U5="","ERR","")) &amp; IF(ISERROR(FIND($I$2,Lines!U5))=TRUE,"",IF('800DC'!U5="","ERR","")) &amp; IF(ISERROR(FIND($J$2,Lines!U5))=TRUE,"",IF('1000'!U5="","ERR",""))</f>
        <v/>
      </c>
      <c r="V5" s="108" t="str">
        <f>IF(ISERROR(FIND($B$2,Lines!V5))=TRUE,"",IF('750'!V5="","ERR","")) &amp; IF(ISERROR(FIND($C$2,Lines!V5))=TRUE,"",IF('500'!V5="","ERR","")) &amp; IF(ISERROR(FIND($D$2,Lines!V5))=TRUE,"",IF('330'!V5="","ERR","")) &amp; IF(ISERROR(FIND($E$2,Lines!V5))=TRUE,"",IF('220'!V5="","ERR",""))&amp; IF(ISERROR(FIND($F$2,Lines!V5))=TRUE,"",IF(AND('500DC'!V5="",'800DC'!V5=""),"ERR","")) &amp; IF(ISERROR(FIND($G$2,Lines!V5))=TRUE,"",IF('1000'!V5="","ERR","")) &amp; IF(ISERROR(FIND($H$2,Lines!V5))=TRUE,"",IF('500DC'!V5="","ERR","")) &amp; IF(ISERROR(FIND($I$2,Lines!V5))=TRUE,"",IF('800DC'!V5="","ERR","")) &amp; IF(ISERROR(FIND($J$2,Lines!V5))=TRUE,"",IF('1000'!V5="","ERR",""))</f>
        <v/>
      </c>
      <c r="W5" s="109" t="str">
        <f>IF(ISERROR(FIND($B$2,Lines!W5))=TRUE,"",IF('750'!W5="","ERR","")) &amp; IF(ISERROR(FIND($C$2,Lines!W5))=TRUE,"",IF('500'!W5="","ERR","")) &amp; IF(ISERROR(FIND($D$2,Lines!W5))=TRUE,"",IF('330'!W5="","ERR","")) &amp; IF(ISERROR(FIND($E$2,Lines!W5))=TRUE,"",IF('220'!W5="","ERR",""))&amp; IF(ISERROR(FIND($F$2,Lines!W5))=TRUE,"",IF(AND('500DC'!W5="",'800DC'!W5=""),"ERR","")) &amp; IF(ISERROR(FIND($G$2,Lines!W5))=TRUE,"",IF('1000'!W5="","ERR","")) &amp; IF(ISERROR(FIND($H$2,Lines!W5))=TRUE,"",IF('500DC'!W5="","ERR","")) &amp; IF(ISERROR(FIND($I$2,Lines!W5))=TRUE,"",IF('800DC'!W5="","ERR","")) &amp; IF(ISERROR(FIND($J$2,Lines!W5))=TRUE,"",IF('1000'!W5="","ERR",""))</f>
        <v/>
      </c>
      <c r="X5" s="108" t="str">
        <f>IF(ISERROR(FIND($B$2,Lines!X5))=TRUE,"",IF('750'!X5="","ERR","")) &amp; IF(ISERROR(FIND($C$2,Lines!X5))=TRUE,"",IF('500'!X5="","ERR","")) &amp; IF(ISERROR(FIND($D$2,Lines!X5))=TRUE,"",IF('330'!X5="","ERR","")) &amp; IF(ISERROR(FIND($E$2,Lines!X5))=TRUE,"",IF('220'!X5="","ERR",""))&amp; IF(ISERROR(FIND($F$2,Lines!X5))=TRUE,"",IF(AND('500DC'!X5="",'800DC'!X5=""),"ERR","")) &amp; IF(ISERROR(FIND($G$2,Lines!X5))=TRUE,"",IF('1000'!X5="","ERR","")) &amp; IF(ISERROR(FIND($H$2,Lines!X5))=TRUE,"",IF('500DC'!X5="","ERR","")) &amp; IF(ISERROR(FIND($I$2,Lines!X5))=TRUE,"",IF('800DC'!X5="","ERR","")) &amp; IF(ISERROR(FIND($J$2,Lines!X5))=TRUE,"",IF('1000'!X5="","ERR",""))</f>
        <v/>
      </c>
      <c r="Y5" s="108" t="str">
        <f>IF(ISERROR(FIND($B$2,Lines!Y5))=TRUE,"",IF('750'!Y5="","ERR","")) &amp; IF(ISERROR(FIND($C$2,Lines!Y5))=TRUE,"",IF('500'!Y5="","ERR","")) &amp; IF(ISERROR(FIND($D$2,Lines!Y5))=TRUE,"",IF('330'!Y5="","ERR","")) &amp; IF(ISERROR(FIND($E$2,Lines!Y5))=TRUE,"",IF('220'!Y5="","ERR",""))&amp; IF(ISERROR(FIND($F$2,Lines!Y5))=TRUE,"",IF(AND('500DC'!Y5="",'800DC'!Y5=""),"ERR","")) &amp; IF(ISERROR(FIND($G$2,Lines!Y5))=TRUE,"",IF('1000'!Y5="","ERR","")) &amp; IF(ISERROR(FIND($H$2,Lines!Y5))=TRUE,"",IF('500DC'!Y5="","ERR","")) &amp; IF(ISERROR(FIND($I$2,Lines!Y5))=TRUE,"",IF('800DC'!Y5="","ERR","")) &amp; IF(ISERROR(FIND($J$2,Lines!Y5))=TRUE,"",IF('1000'!Y5="","ERR",""))</f>
        <v/>
      </c>
      <c r="Z5" s="108" t="str">
        <f>IF(ISERROR(FIND($B$2,Lines!Z5))=TRUE,"",IF('750'!Z5="","ERR","")) &amp; IF(ISERROR(FIND($C$2,Lines!Z5))=TRUE,"",IF('500'!Z5="","ERR","")) &amp; IF(ISERROR(FIND($D$2,Lines!Z5))=TRUE,"",IF('330'!Z5="","ERR","")) &amp; IF(ISERROR(FIND($E$2,Lines!Z5))=TRUE,"",IF('220'!Z5="","ERR",""))&amp; IF(ISERROR(FIND($F$2,Lines!Z5))=TRUE,"",IF(AND('500DC'!Z5="",'800DC'!Z5=""),"ERR","")) &amp; IF(ISERROR(FIND($G$2,Lines!Z5))=TRUE,"",IF('1000'!Z5="","ERR","")) &amp; IF(ISERROR(FIND($H$2,Lines!Z5))=TRUE,"",IF('500DC'!Z5="","ERR","")) &amp; IF(ISERROR(FIND($I$2,Lines!Z5))=TRUE,"",IF('800DC'!Z5="","ERR","")) &amp; IF(ISERROR(FIND($J$2,Lines!Z5))=TRUE,"",IF('1000'!Z5="","ERR",""))</f>
        <v/>
      </c>
      <c r="AA5" s="108" t="str">
        <f>IF(ISERROR(FIND($B$2,Lines!AA5))=TRUE,"",IF('750'!AA5="","ERR","")) &amp; IF(ISERROR(FIND($C$2,Lines!AA5))=TRUE,"",IF('500'!AA5="","ERR","")) &amp; IF(ISERROR(FIND($D$2,Lines!AA5))=TRUE,"",IF('330'!AA5="","ERR","")) &amp; IF(ISERROR(FIND($E$2,Lines!AA5))=TRUE,"",IF('220'!AA5="","ERR",""))&amp; IF(ISERROR(FIND($F$2,Lines!AA5))=TRUE,"",IF(AND('500DC'!AA5="",'800DC'!AA5=""),"ERR","")) &amp; IF(ISERROR(FIND($G$2,Lines!AA5))=TRUE,"",IF('1000'!AA5="","ERR","")) &amp; IF(ISERROR(FIND($H$2,Lines!AA5))=TRUE,"",IF('500DC'!AA5="","ERR","")) &amp; IF(ISERROR(FIND($I$2,Lines!AA5))=TRUE,"",IF('800DC'!AA5="","ERR","")) &amp; IF(ISERROR(FIND($J$2,Lines!AA5))=TRUE,"",IF('1000'!AA5="","ERR",""))</f>
        <v/>
      </c>
      <c r="AB5" s="108" t="str">
        <f>IF(ISERROR(FIND($B$2,Lines!AB5))=TRUE,"",IF('750'!AB5="","ERR","")) &amp; IF(ISERROR(FIND($C$2,Lines!AB5))=TRUE,"",IF('500'!AB5="","ERR","")) &amp; IF(ISERROR(FIND($D$2,Lines!AB5))=TRUE,"",IF('330'!AB5="","ERR","")) &amp; IF(ISERROR(FIND($E$2,Lines!AB5))=TRUE,"",IF('220'!AB5="","ERR",""))&amp; IF(ISERROR(FIND($F$2,Lines!AB5))=TRUE,"",IF(AND('500DC'!AB5="",'800DC'!AB5=""),"ERR","")) &amp; IF(ISERROR(FIND($G$2,Lines!AB5))=TRUE,"",IF('1000'!AB5="","ERR","")) &amp; IF(ISERROR(FIND($H$2,Lines!AB5))=TRUE,"",IF('500DC'!AB5="","ERR","")) &amp; IF(ISERROR(FIND($I$2,Lines!AB5))=TRUE,"",IF('800DC'!AB5="","ERR","")) &amp; IF(ISERROR(FIND($J$2,Lines!AB5))=TRUE,"",IF('1000'!AB5="","ERR",""))</f>
        <v/>
      </c>
      <c r="AC5" s="108" t="str">
        <f>IF(ISERROR(FIND($B$2,Lines!AC5))=TRUE,"",IF('750'!AC5="","ERR","")) &amp; IF(ISERROR(FIND($C$2,Lines!AC5))=TRUE,"",IF('500'!AC5="","ERR","")) &amp; IF(ISERROR(FIND($D$2,Lines!AC5))=TRUE,"",IF('330'!AC5="","ERR","")) &amp; IF(ISERROR(FIND($E$2,Lines!AC5))=TRUE,"",IF('220'!AC5="","ERR",""))&amp; IF(ISERROR(FIND($F$2,Lines!AC5))=TRUE,"",IF(AND('500DC'!AC5="",'800DC'!AC5=""),"ERR","")) &amp; IF(ISERROR(FIND($G$2,Lines!AC5))=TRUE,"",IF('1000'!AC5="","ERR","")) &amp; IF(ISERROR(FIND($H$2,Lines!AC5))=TRUE,"",IF('500DC'!AC5="","ERR","")) &amp; IF(ISERROR(FIND($I$2,Lines!AC5))=TRUE,"",IF('800DC'!AC5="","ERR","")) &amp; IF(ISERROR(FIND($J$2,Lines!AC5))=TRUE,"",IF('1000'!AC5="","ERR",""))</f>
        <v/>
      </c>
      <c r="AD5" s="108" t="str">
        <f>IF(ISERROR(FIND($B$2,Lines!AD5))=TRUE,"",IF('750'!AD5="","ERR","")) &amp; IF(ISERROR(FIND($C$2,Lines!AD5))=TRUE,"",IF('500'!AD5="","ERR","")) &amp; IF(ISERROR(FIND($D$2,Lines!AD5))=TRUE,"",IF('330'!AD5="","ERR","")) &amp; IF(ISERROR(FIND($E$2,Lines!AD5))=TRUE,"",IF('220'!AD5="","ERR",""))&amp; IF(ISERROR(FIND($F$2,Lines!AD5))=TRUE,"",IF(AND('500DC'!AD5="",'800DC'!AD5=""),"ERR","")) &amp; IF(ISERROR(FIND($G$2,Lines!AD5))=TRUE,"",IF('1000'!AD5="","ERR","")) &amp; IF(ISERROR(FIND($H$2,Lines!AD5))=TRUE,"",IF('500DC'!AD5="","ERR","")) &amp; IF(ISERROR(FIND($I$2,Lines!AD5))=TRUE,"",IF('800DC'!AD5="","ERR","")) &amp; IF(ISERROR(FIND($J$2,Lines!AD5))=TRUE,"",IF('1000'!AD5="","ERR",""))</f>
        <v/>
      </c>
      <c r="AE5" s="108" t="str">
        <f>IF(ISERROR(FIND($B$2,Lines!AE5))=TRUE,"",IF('750'!AE5="","ERR","")) &amp; IF(ISERROR(FIND($C$2,Lines!AE5))=TRUE,"",IF('500'!AE5="","ERR","")) &amp; IF(ISERROR(FIND($D$2,Lines!AE5))=TRUE,"",IF('330'!AE5="","ERR","")) &amp; IF(ISERROR(FIND($E$2,Lines!AE5))=TRUE,"",IF('220'!AE5="","ERR",""))&amp; IF(ISERROR(FIND($F$2,Lines!AE5))=TRUE,"",IF(AND('500DC'!AE5="",'800DC'!AE5=""),"ERR","")) &amp; IF(ISERROR(FIND($G$2,Lines!AE5))=TRUE,"",IF('1000'!AE5="","ERR","")) &amp; IF(ISERROR(FIND($H$2,Lines!AE5))=TRUE,"",IF('500DC'!AE5="","ERR","")) &amp; IF(ISERROR(FIND($I$2,Lines!AE5))=TRUE,"",IF('800DC'!AE5="","ERR","")) &amp; IF(ISERROR(FIND($J$2,Lines!AE5))=TRUE,"",IF('1000'!AE5="","ERR",""))</f>
        <v/>
      </c>
      <c r="AF5" s="108" t="str">
        <f>IF(ISERROR(FIND($B$2,Lines!AF5))=TRUE,"",IF('750'!AF5="","ERR","")) &amp; IF(ISERROR(FIND($C$2,Lines!AF5))=TRUE,"",IF('500'!AF5="","ERR","")) &amp; IF(ISERROR(FIND($D$2,Lines!AF5))=TRUE,"",IF('330'!AF5="","ERR","")) &amp; IF(ISERROR(FIND($E$2,Lines!AF5))=TRUE,"",IF('220'!AF5="","ERR",""))&amp; IF(ISERROR(FIND($F$2,Lines!AF5))=TRUE,"",IF(AND('500DC'!AF5="",'800DC'!AF5=""),"ERR","")) &amp; IF(ISERROR(FIND($G$2,Lines!AF5))=TRUE,"",IF('1000'!AF5="","ERR","")) &amp; IF(ISERROR(FIND($H$2,Lines!AF5))=TRUE,"",IF('500DC'!AF5="","ERR","")) &amp; IF(ISERROR(FIND($I$2,Lines!AF5))=TRUE,"",IF('800DC'!AF5="","ERR","")) &amp; IF(ISERROR(FIND($J$2,Lines!AF5))=TRUE,"",IF('1000'!AF5="","ERR",""))</f>
        <v/>
      </c>
      <c r="AG5" s="108" t="str">
        <f>IF(ISERROR(FIND($B$2,Lines!AG5))=TRUE,"",IF('750'!AG5="","ERR","")) &amp; IF(ISERROR(FIND($C$2,Lines!AG5))=TRUE,"",IF('500'!AG5="","ERR","")) &amp; IF(ISERROR(FIND($D$2,Lines!AG5))=TRUE,"",IF('330'!AG5="","ERR","")) &amp; IF(ISERROR(FIND($E$2,Lines!AG5))=TRUE,"",IF('220'!AG5="","ERR",""))&amp; IF(ISERROR(FIND($F$2,Lines!AG5))=TRUE,"",IF(AND('500DC'!AG5="",'800DC'!AG5=""),"ERR","")) &amp; IF(ISERROR(FIND($G$2,Lines!AG5))=TRUE,"",IF('1000'!AG5="","ERR","")) &amp; IF(ISERROR(FIND($H$2,Lines!AG5))=TRUE,"",IF('500DC'!AG5="","ERR","")) &amp; IF(ISERROR(FIND($I$2,Lines!AG5))=TRUE,"",IF('800DC'!AG5="","ERR","")) &amp; IF(ISERROR(FIND($J$2,Lines!AG5))=TRUE,"",IF('1000'!AG5="","ERR",""))</f>
        <v/>
      </c>
      <c r="AH5" s="108" t="str">
        <f>IF(ISERROR(FIND($B$2,Lines!AH5))=TRUE,"",IF('750'!AH5="","ERR","")) &amp; IF(ISERROR(FIND($C$2,Lines!AH5))=TRUE,"",IF('500'!AH5="","ERR","")) &amp; IF(ISERROR(FIND($D$2,Lines!AH5))=TRUE,"",IF('330'!AH5="","ERR","")) &amp; IF(ISERROR(FIND($E$2,Lines!AH5))=TRUE,"",IF('220'!AH5="","ERR",""))&amp; IF(ISERROR(FIND($F$2,Lines!AH5))=TRUE,"",IF(AND('500DC'!AH5="",'800DC'!AH5=""),"ERR","")) &amp; IF(ISERROR(FIND($G$2,Lines!AH5))=TRUE,"",IF('1000'!AH5="","ERR","")) &amp; IF(ISERROR(FIND($H$2,Lines!AH5))=TRUE,"",IF('500DC'!AH5="","ERR","")) &amp; IF(ISERROR(FIND($I$2,Lines!AH5))=TRUE,"",IF('800DC'!AH5="","ERR","")) &amp; IF(ISERROR(FIND($J$2,Lines!AH5))=TRUE,"",IF('1000'!AH5="","ERR",""))</f>
        <v/>
      </c>
      <c r="AI5" s="108" t="str">
        <f>IF(ISERROR(FIND($B$2,Lines!AI5))=TRUE,"",IF('750'!AI5="","ERR","")) &amp; IF(ISERROR(FIND($C$2,Lines!AI5))=TRUE,"",IF('500'!AI5="","ERR","")) &amp; IF(ISERROR(FIND($D$2,Lines!AI5))=TRUE,"",IF('330'!AI5="","ERR","")) &amp; IF(ISERROR(FIND($E$2,Lines!AI5))=TRUE,"",IF('220'!AI5="","ERR",""))&amp; IF(ISERROR(FIND($F$2,Lines!AI5))=TRUE,"",IF(AND('500DC'!AI5="",'800DC'!AI5=""),"ERR","")) &amp; IF(ISERROR(FIND($G$2,Lines!AI5))=TRUE,"",IF('1000'!AI5="","ERR","")) &amp; IF(ISERROR(FIND($H$2,Lines!AI5))=TRUE,"",IF('500DC'!AI5="","ERR","")) &amp; IF(ISERROR(FIND($I$2,Lines!AI5))=TRUE,"",IF('800DC'!AI5="","ERR","")) &amp; IF(ISERROR(FIND($J$2,Lines!AI5))=TRUE,"",IF('1000'!AI5="","ERR",""))</f>
        <v/>
      </c>
      <c r="AJ5" s="108" t="str">
        <f>IF(ISERROR(FIND($B$2,Lines!AJ5))=TRUE,"",IF('750'!AJ5="","ERR","")) &amp; IF(ISERROR(FIND($C$2,Lines!AJ5))=TRUE,"",IF('500'!AJ5="","ERR","")) &amp; IF(ISERROR(FIND($D$2,Lines!AJ5))=TRUE,"",IF('330'!AJ5="","ERR","")) &amp; IF(ISERROR(FIND($E$2,Lines!AJ5))=TRUE,"",IF('220'!AJ5="","ERR",""))&amp; IF(ISERROR(FIND($F$2,Lines!AJ5))=TRUE,"",IF(AND('500DC'!AJ5="",'800DC'!AJ5=""),"ERR","")) &amp; IF(ISERROR(FIND($G$2,Lines!AJ5))=TRUE,"",IF('1000'!AJ5="","ERR","")) &amp; IF(ISERROR(FIND($H$2,Lines!AJ5))=TRUE,"",IF('500DC'!AJ5="","ERR","")) &amp; IF(ISERROR(FIND($I$2,Lines!AJ5))=TRUE,"",IF('800DC'!AJ5="","ERR","")) &amp; IF(ISERROR(FIND($J$2,Lines!AJ5))=TRUE,"",IF('1000'!AJ5="","ERR",""))</f>
        <v/>
      </c>
      <c r="AK5" s="108" t="str">
        <f>IF(ISERROR(FIND($B$2,Lines!AK5))=TRUE,"",IF('750'!AK5="","ERR","")) &amp; IF(ISERROR(FIND($C$2,Lines!AK5))=TRUE,"",IF('500'!AK5="","ERR","")) &amp; IF(ISERROR(FIND($D$2,Lines!AK5))=TRUE,"",IF('330'!AK5="","ERR","")) &amp; IF(ISERROR(FIND($E$2,Lines!AK5))=TRUE,"",IF('220'!AK5="","ERR",""))&amp; IF(ISERROR(FIND($F$2,Lines!AK5))=TRUE,"",IF(AND('500DC'!AK5="",'800DC'!AK5=""),"ERR","")) &amp; IF(ISERROR(FIND($G$2,Lines!AK5))=TRUE,"",IF('1000'!AK5="","ERR","")) &amp; IF(ISERROR(FIND($H$2,Lines!AK5))=TRUE,"",IF('500DC'!AK5="","ERR","")) &amp; IF(ISERROR(FIND($I$2,Lines!AK5))=TRUE,"",IF('800DC'!AK5="","ERR","")) &amp; IF(ISERROR(FIND($J$2,Lines!AK5))=TRUE,"",IF('1000'!AK5="","ERR",""))</f>
        <v/>
      </c>
      <c r="AL5" s="108" t="str">
        <f>IF(ISERROR(FIND($B$2,Lines!AL5))=TRUE,"",IF('750'!AL5="","ERR","")) &amp; IF(ISERROR(FIND($C$2,Lines!AL5))=TRUE,"",IF('500'!AL5="","ERR","")) &amp; IF(ISERROR(FIND($D$2,Lines!AL5))=TRUE,"",IF('330'!AL5="","ERR","")) &amp; IF(ISERROR(FIND($E$2,Lines!AL5))=TRUE,"",IF('220'!AL5="","ERR",""))&amp; IF(ISERROR(FIND($F$2,Lines!AL5))=TRUE,"",IF(AND('500DC'!AL5="",'800DC'!AL5=""),"ERR","")) &amp; IF(ISERROR(FIND($G$2,Lines!AL5))=TRUE,"",IF('1000'!AL5="","ERR","")) &amp; IF(ISERROR(FIND($H$2,Lines!AL5))=TRUE,"",IF('500DC'!AL5="","ERR","")) &amp; IF(ISERROR(FIND($I$2,Lines!AL5))=TRUE,"",IF('800DC'!AL5="","ERR","")) &amp; IF(ISERROR(FIND($J$2,Lines!AL5))=TRUE,"",IF('1000'!AL5="","ERR",""))</f>
        <v/>
      </c>
      <c r="AM5" s="108" t="str">
        <f>IF(ISERROR(FIND($B$2,Lines!AM5))=TRUE,"",IF('750'!AM5="","ERR","")) &amp; IF(ISERROR(FIND($C$2,Lines!AM5))=TRUE,"",IF('500'!AM5="","ERR","")) &amp; IF(ISERROR(FIND($D$2,Lines!AM5))=TRUE,"",IF('330'!AM5="","ERR","")) &amp; IF(ISERROR(FIND($E$2,Lines!AM5))=TRUE,"",IF('220'!AM5="","ERR",""))&amp; IF(ISERROR(FIND($F$2,Lines!AM5))=TRUE,"",IF(AND('500DC'!AM5="",'800DC'!AM5=""),"ERR","")) &amp; IF(ISERROR(FIND($G$2,Lines!AM5))=TRUE,"",IF('1000'!AM5="","ERR","")) &amp; IF(ISERROR(FIND($H$2,Lines!AM5))=TRUE,"",IF('500DC'!AM5="","ERR","")) &amp; IF(ISERROR(FIND($I$2,Lines!AM5))=TRUE,"",IF('800DC'!AM5="","ERR","")) &amp; IF(ISERROR(FIND($J$2,Lines!AM5))=TRUE,"",IF('1000'!AM5="","ERR",""))</f>
        <v/>
      </c>
      <c r="AN5" s="108" t="str">
        <f>IF(ISERROR(FIND($B$2,Lines!AN5))=TRUE,"",IF('750'!AN5="","ERR","")) &amp; IF(ISERROR(FIND($C$2,Lines!AN5))=TRUE,"",IF('500'!AN5="","ERR","")) &amp; IF(ISERROR(FIND($D$2,Lines!AN5))=TRUE,"",IF('330'!AN5="","ERR","")) &amp; IF(ISERROR(FIND($E$2,Lines!AN5))=TRUE,"",IF('220'!AN5="","ERR",""))&amp; IF(ISERROR(FIND($F$2,Lines!AN5))=TRUE,"",IF(AND('500DC'!AN5="",'800DC'!AN5=""),"ERR","")) &amp; IF(ISERROR(FIND($G$2,Lines!AN5))=TRUE,"",IF('1000'!AN5="","ERR","")) &amp; IF(ISERROR(FIND($H$2,Lines!AN5))=TRUE,"",IF('500DC'!AN5="","ERR","")) &amp; IF(ISERROR(FIND($I$2,Lines!AN5))=TRUE,"",IF('800DC'!AN5="","ERR","")) &amp; IF(ISERROR(FIND($J$2,Lines!AN5))=TRUE,"",IF('1000'!AN5="","ERR",""))</f>
        <v/>
      </c>
      <c r="AO5" s="108" t="str">
        <f>IF(ISERROR(FIND($B$2,Lines!AO5))=TRUE,"",IF('750'!AO5="","ERR","")) &amp; IF(ISERROR(FIND($C$2,Lines!AO5))=TRUE,"",IF('500'!AO5="","ERR","")) &amp; IF(ISERROR(FIND($D$2,Lines!AO5))=TRUE,"",IF('330'!AO5="","ERR","")) &amp; IF(ISERROR(FIND($E$2,Lines!AO5))=TRUE,"",IF('220'!AO5="","ERR",""))&amp; IF(ISERROR(FIND($F$2,Lines!AO5))=TRUE,"",IF(AND('500DC'!AO5="",'800DC'!AO5=""),"ERR","")) &amp; IF(ISERROR(FIND($G$2,Lines!AO5))=TRUE,"",IF('1000'!AO5="","ERR","")) &amp; IF(ISERROR(FIND($H$2,Lines!AO5))=TRUE,"",IF('500DC'!AO5="","ERR","")) &amp; IF(ISERROR(FIND($I$2,Lines!AO5))=TRUE,"",IF('800DC'!AO5="","ERR","")) &amp; IF(ISERROR(FIND($J$2,Lines!AO5))=TRUE,"",IF('1000'!AO5="","ERR",""))</f>
        <v/>
      </c>
      <c r="AP5" s="108" t="str">
        <f>IF(ISERROR(FIND($B$2,Lines!AP5))=TRUE,"",IF('750'!AP5="","ERR","")) &amp; IF(ISERROR(FIND($C$2,Lines!AP5))=TRUE,"",IF('500'!AP5="","ERR","")) &amp; IF(ISERROR(FIND($D$2,Lines!AP5))=TRUE,"",IF('330'!AP5="","ERR","")) &amp; IF(ISERROR(FIND($E$2,Lines!AP5))=TRUE,"",IF('220'!AP5="","ERR",""))&amp; IF(ISERROR(FIND($F$2,Lines!AP5))=TRUE,"",IF(AND('500DC'!AP5="",'800DC'!AP5=""),"ERR","")) &amp; IF(ISERROR(FIND($G$2,Lines!AP5))=TRUE,"",IF('1000'!AP5="","ERR","")) &amp; IF(ISERROR(FIND($H$2,Lines!AP5))=TRUE,"",IF('500DC'!AP5="","ERR","")) &amp; IF(ISERROR(FIND($I$2,Lines!AP5))=TRUE,"",IF('800DC'!AP5="","ERR","")) &amp; IF(ISERROR(FIND($J$2,Lines!AP5))=TRUE,"",IF('1000'!AP5="","ERR",""))</f>
        <v/>
      </c>
      <c r="AQ5" s="108" t="str">
        <f>IF(ISERROR(FIND($B$2,Lines!AQ5))=TRUE,"",IF('750'!AQ5="","ERR","")) &amp; IF(ISERROR(FIND($C$2,Lines!AQ5))=TRUE,"",IF('500'!AQ5="","ERR","")) &amp; IF(ISERROR(FIND($D$2,Lines!AQ5))=TRUE,"",IF('330'!AQ5="","ERR","")) &amp; IF(ISERROR(FIND($E$2,Lines!AQ5))=TRUE,"",IF('220'!AQ5="","ERR",""))&amp; IF(ISERROR(FIND($F$2,Lines!AQ5))=TRUE,"",IF(AND('500DC'!AQ5="",'800DC'!AQ5=""),"ERR","")) &amp; IF(ISERROR(FIND($G$2,Lines!AQ5))=TRUE,"",IF('1000'!AQ5="","ERR","")) &amp; IF(ISERROR(FIND($H$2,Lines!AQ5))=TRUE,"",IF('500DC'!AQ5="","ERR","")) &amp; IF(ISERROR(FIND($I$2,Lines!AQ5))=TRUE,"",IF('800DC'!AQ5="","ERR","")) &amp; IF(ISERROR(FIND($J$2,Lines!AQ5))=TRUE,"",IF('1000'!AQ5="","ERR",""))</f>
        <v/>
      </c>
      <c r="AR5" s="108" t="str">
        <f>IF(ISERROR(FIND($B$2,Lines!AR5))=TRUE,"",IF('750'!AR5="","ERR","")) &amp; IF(ISERROR(FIND($C$2,Lines!AR5))=TRUE,"",IF('500'!AR5="","ERR","")) &amp; IF(ISERROR(FIND($D$2,Lines!AR5))=TRUE,"",IF('330'!AR5="","ERR","")) &amp; IF(ISERROR(FIND($E$2,Lines!AR5))=TRUE,"",IF('220'!AR5="","ERR",""))&amp; IF(ISERROR(FIND($F$2,Lines!AR5))=TRUE,"",IF(AND('500DC'!AR5="",'800DC'!AR5=""),"ERR","")) &amp; IF(ISERROR(FIND($G$2,Lines!AR5))=TRUE,"",IF('1000'!AR5="","ERR","")) &amp; IF(ISERROR(FIND($H$2,Lines!AR5))=TRUE,"",IF('500DC'!AR5="","ERR","")) &amp; IF(ISERROR(FIND($I$2,Lines!AR5))=TRUE,"",IF('800DC'!AR5="","ERR","")) &amp; IF(ISERROR(FIND($J$2,Lines!AR5))=TRUE,"",IF('1000'!AR5="","ERR",""))</f>
        <v/>
      </c>
      <c r="AS5" s="108" t="str">
        <f>IF(ISERROR(FIND($B$2,Lines!AS5))=TRUE,"",IF('750'!AS5="","ERR","")) &amp; IF(ISERROR(FIND($C$2,Lines!AS5))=TRUE,"",IF('500'!AS5="","ERR","")) &amp; IF(ISERROR(FIND($D$2,Lines!AS5))=TRUE,"",IF('330'!AS5="","ERR","")) &amp; IF(ISERROR(FIND($E$2,Lines!AS5))=TRUE,"",IF('220'!AS5="","ERR",""))&amp; IF(ISERROR(FIND($F$2,Lines!AS5))=TRUE,"",IF(AND('500DC'!AS5="",'800DC'!AS5=""),"ERR","")) &amp; IF(ISERROR(FIND($G$2,Lines!AS5))=TRUE,"",IF('1000'!AS5="","ERR","")) &amp; IF(ISERROR(FIND($H$2,Lines!AS5))=TRUE,"",IF('500DC'!AS5="","ERR","")) &amp; IF(ISERROR(FIND($I$2,Lines!AS5))=TRUE,"",IF('800DC'!AS5="","ERR","")) &amp; IF(ISERROR(FIND($J$2,Lines!AS5))=TRUE,"",IF('1000'!AS5="","ERR",""))</f>
        <v/>
      </c>
      <c r="AT5" s="108" t="str">
        <f>IF(ISERROR(FIND($B$2,Lines!AT5))=TRUE,"",IF('750'!AT5="","ERR","")) &amp; IF(ISERROR(FIND($C$2,Lines!AT5))=TRUE,"",IF('500'!AT5="","ERR","")) &amp; IF(ISERROR(FIND($D$2,Lines!AT5))=TRUE,"",IF('330'!AT5="","ERR","")) &amp; IF(ISERROR(FIND($E$2,Lines!AT5))=TRUE,"",IF('220'!AT5="","ERR",""))&amp; IF(ISERROR(FIND($F$2,Lines!AT5))=TRUE,"",IF(AND('500DC'!AT5="",'800DC'!AT5=""),"ERR","")) &amp; IF(ISERROR(FIND($G$2,Lines!AT5))=TRUE,"",IF('1000'!AT5="","ERR","")) &amp; IF(ISERROR(FIND($H$2,Lines!AT5))=TRUE,"",IF('500DC'!AT5="","ERR","")) &amp; IF(ISERROR(FIND($I$2,Lines!AT5))=TRUE,"",IF('800DC'!AT5="","ERR","")) &amp; IF(ISERROR(FIND($J$2,Lines!AT5))=TRUE,"",IF('1000'!AT5="","ERR",""))</f>
        <v/>
      </c>
    </row>
    <row r="6" spans="1:46" ht="20.25" customHeight="1">
      <c r="A6" s="2" t="s">
        <v>57</v>
      </c>
      <c r="B6" s="106" t="str">
        <f>IF(ISERROR(FIND($B$2,Lines!B6))=TRUE,"",IF('750'!B6="","ERR","")) &amp; IF(ISERROR(FIND($C$2,Lines!B6))=TRUE,"",IF('500'!B6="","ERR","")) &amp; IF(ISERROR(FIND($D$2,Lines!B6))=TRUE,"",IF('330'!B6="","ERR","")) &amp; IF(ISERROR(FIND($E$2,Lines!B6))=TRUE,"",IF('220'!B6="","ERR",""))&amp; IF(ISERROR(FIND($F$2,Lines!B6))=TRUE,"",IF(AND('500DC'!B6="",'800DC'!B6=""),"ERR","")) &amp; IF(ISERROR(FIND($G$2,Lines!B6))=TRUE,"",IF('1000'!B6="","ERR","")) &amp; IF(ISERROR(FIND($H$2,Lines!B6))=TRUE,"",IF('500DC'!B6="","ERR","")) &amp; IF(ISERROR(FIND($I$2,Lines!B6))=TRUE,"",IF('800DC'!B6="","ERR","")) &amp; IF(ISERROR(FIND($J$2,Lines!B6))=TRUE,"",IF('1000'!B6="","ERR",""))</f>
        <v/>
      </c>
      <c r="C6" s="106" t="str">
        <f>IF(ISERROR(FIND($B$2,Lines!C6))=TRUE,"",IF('750'!C6="","ERR","")) &amp; IF(ISERROR(FIND($C$2,Lines!C6))=TRUE,"",IF('500'!C6="","ERR","")) &amp; IF(ISERROR(FIND($D$2,Lines!C6))=TRUE,"",IF('330'!C6="","ERR","")) &amp; IF(ISERROR(FIND($E$2,Lines!C6))=TRUE,"",IF('220'!C6="","ERR",""))&amp; IF(ISERROR(FIND($F$2,Lines!C6))=TRUE,"",IF(AND('500DC'!C6="",'800DC'!C6=""),"ERR","")) &amp; IF(ISERROR(FIND($G$2,Lines!C6))=TRUE,"",IF('1000'!C6="","ERR","")) &amp; IF(ISERROR(FIND($H$2,Lines!C6))=TRUE,"",IF('500DC'!C6="","ERR","")) &amp; IF(ISERROR(FIND($I$2,Lines!C6))=TRUE,"",IF('800DC'!C6="","ERR","")) &amp; IF(ISERROR(FIND($J$2,Lines!C6))=TRUE,"",IF('1000'!C6="","ERR",""))</f>
        <v/>
      </c>
      <c r="D6" s="105" t="str">
        <f>IF(ISERROR(FIND($B$2,Lines!D6))=TRUE,"",IF('750'!D6="","ERR","")) &amp; IF(ISERROR(FIND($C$2,Lines!D6))=TRUE,"",IF('500'!D6="","ERR","")) &amp; IF(ISERROR(FIND($D$2,Lines!D6))=TRUE,"",IF('330'!D6="","ERR","")) &amp; IF(ISERROR(FIND($E$2,Lines!D6))=TRUE,"",IF('220'!D6="","ERR",""))&amp; IF(ISERROR(FIND($F$2,Lines!D6))=TRUE,"",IF(AND('500DC'!D6="",'800DC'!D6=""),"ERR","")) &amp; IF(ISERROR(FIND($G$2,Lines!D6))=TRUE,"",IF('1000'!D6="","ERR","")) &amp; IF(ISERROR(FIND($H$2,Lines!D6))=TRUE,"",IF('500DC'!D6="","ERR","")) &amp; IF(ISERROR(FIND($I$2,Lines!D6))=TRUE,"",IF('800DC'!D6="","ERR","")) &amp; IF(ISERROR(FIND($J$2,Lines!D6))=TRUE,"",IF('1000'!D6="","ERR",""))</f>
        <v/>
      </c>
      <c r="E6" s="106" t="str">
        <f>IF(ISERROR(FIND($B$2,Lines!E6))=TRUE,"",IF('750'!E6="","ERR","")) &amp; IF(ISERROR(FIND($C$2,Lines!E6))=TRUE,"",IF('500'!E6="","ERR","")) &amp; IF(ISERROR(FIND($D$2,Lines!E6))=TRUE,"",IF('330'!E6="","ERR","")) &amp; IF(ISERROR(FIND($E$2,Lines!E6))=TRUE,"",IF('220'!E6="","ERR",""))&amp; IF(ISERROR(FIND($F$2,Lines!E6))=TRUE,"",IF(AND('500DC'!E6="",'800DC'!E6=""),"ERR","")) &amp; IF(ISERROR(FIND($G$2,Lines!E6))=TRUE,"",IF('1000'!E6="","ERR","")) &amp; IF(ISERROR(FIND($H$2,Lines!E6))=TRUE,"",IF('500DC'!E6="","ERR","")) &amp; IF(ISERROR(FIND($I$2,Lines!E6))=TRUE,"",IF('800DC'!E6="","ERR","")) &amp; IF(ISERROR(FIND($J$2,Lines!E6))=TRUE,"",IF('1000'!E6="","ERR",""))</f>
        <v/>
      </c>
      <c r="F6" s="106" t="str">
        <f>IF(ISERROR(FIND($B$2,Lines!F6))=TRUE,"",IF('750'!F6="","ERR","")) &amp; IF(ISERROR(FIND($C$2,Lines!F6))=TRUE,"",IF('500'!F6="","ERR","")) &amp; IF(ISERROR(FIND($D$2,Lines!F6))=TRUE,"",IF('330'!F6="","ERR","")) &amp; IF(ISERROR(FIND($E$2,Lines!F6))=TRUE,"",IF('220'!F6="","ERR",""))&amp; IF(ISERROR(FIND($F$2,Lines!F6))=TRUE,"",IF(AND('500DC'!F6="",'800DC'!F6=""),"ERR","")) &amp; IF(ISERROR(FIND($G$2,Lines!F6))=TRUE,"",IF('1000'!F6="","ERR","")) &amp; IF(ISERROR(FIND($H$2,Lines!F6))=TRUE,"",IF('500DC'!F6="","ERR","")) &amp; IF(ISERROR(FIND($I$2,Lines!F6))=TRUE,"",IF('800DC'!F6="","ERR","")) &amp; IF(ISERROR(FIND($J$2,Lines!F6))=TRUE,"",IF('1000'!F6="","ERR",""))</f>
        <v/>
      </c>
      <c r="G6" s="106" t="str">
        <f>IF(ISERROR(FIND($B$2,Lines!G6))=TRUE,"",IF('750'!G6="","ERR","")) &amp; IF(ISERROR(FIND($C$2,Lines!G6))=TRUE,"",IF('500'!G6="","ERR","")) &amp; IF(ISERROR(FIND($D$2,Lines!G6))=TRUE,"",IF('330'!G6="","ERR","")) &amp; IF(ISERROR(FIND($E$2,Lines!G6))=TRUE,"",IF('220'!G6="","ERR",""))&amp; IF(ISERROR(FIND($F$2,Lines!G6))=TRUE,"",IF(AND('500DC'!G6="",'800DC'!G6=""),"ERR","")) &amp; IF(ISERROR(FIND($G$2,Lines!G6))=TRUE,"",IF('1000'!G6="","ERR","")) &amp; IF(ISERROR(FIND($H$2,Lines!G6))=TRUE,"",IF('500DC'!G6="","ERR","")) &amp; IF(ISERROR(FIND($I$2,Lines!G6))=TRUE,"",IF('800DC'!G6="","ERR","")) &amp; IF(ISERROR(FIND($J$2,Lines!G6))=TRUE,"",IF('1000'!G6="","ERR",""))</f>
        <v/>
      </c>
      <c r="H6" s="106" t="str">
        <f>IF(ISERROR(FIND($B$2,Lines!H6))=TRUE,"",IF('750'!H6="","ERR","")) &amp; IF(ISERROR(FIND($C$2,Lines!H6))=TRUE,"",IF('500'!H6="","ERR","")) &amp; IF(ISERROR(FIND($D$2,Lines!H6))=TRUE,"",IF('330'!H6="","ERR","")) &amp; IF(ISERROR(FIND($E$2,Lines!H6))=TRUE,"",IF('220'!H6="","ERR",""))&amp; IF(ISERROR(FIND($F$2,Lines!H6))=TRUE,"",IF(AND('500DC'!H6="",'800DC'!H6=""),"ERR","")) &amp; IF(ISERROR(FIND($G$2,Lines!H6))=TRUE,"",IF('1000'!H6="","ERR","")) &amp; IF(ISERROR(FIND($H$2,Lines!H6))=TRUE,"",IF('500DC'!H6="","ERR","")) &amp; IF(ISERROR(FIND($I$2,Lines!H6))=TRUE,"",IF('800DC'!H6="","ERR","")) &amp; IF(ISERROR(FIND($J$2,Lines!H6))=TRUE,"",IF('1000'!H6="","ERR",""))</f>
        <v/>
      </c>
      <c r="I6" s="106" t="str">
        <f>IF(ISERROR(FIND($B$2,Lines!I6))=TRUE,"",IF('750'!I6="","ERR","")) &amp; IF(ISERROR(FIND($C$2,Lines!I6))=TRUE,"",IF('500'!I6="","ERR","")) &amp; IF(ISERROR(FIND($D$2,Lines!I6))=TRUE,"",IF('330'!I6="","ERR","")) &amp; IF(ISERROR(FIND($E$2,Lines!I6))=TRUE,"",IF('220'!I6="","ERR",""))&amp; IF(ISERROR(FIND($F$2,Lines!I6))=TRUE,"",IF(AND('500DC'!I6="",'800DC'!I6=""),"ERR","")) &amp; IF(ISERROR(FIND($G$2,Lines!I6))=TRUE,"",IF('1000'!I6="","ERR","")) &amp; IF(ISERROR(FIND($H$2,Lines!I6))=TRUE,"",IF('500DC'!I6="","ERR","")) &amp; IF(ISERROR(FIND($I$2,Lines!I6))=TRUE,"",IF('800DC'!I6="","ERR","")) &amp; IF(ISERROR(FIND($J$2,Lines!I6))=TRUE,"",IF('1000'!I6="","ERR",""))</f>
        <v/>
      </c>
      <c r="J6" s="106" t="str">
        <f>IF(ISERROR(FIND($B$2,Lines!J6))=TRUE,"",IF('750'!J6="","ERR","")) &amp; IF(ISERROR(FIND($C$2,Lines!J6))=TRUE,"",IF('500'!J6="","ERR","")) &amp; IF(ISERROR(FIND($D$2,Lines!J6))=TRUE,"",IF('330'!J6="","ERR","")) &amp; IF(ISERROR(FIND($E$2,Lines!J6))=TRUE,"",IF('220'!J6="","ERR",""))&amp; IF(ISERROR(FIND($F$2,Lines!J6))=TRUE,"",IF(AND('500DC'!J6="",'800DC'!J6=""),"ERR","")) &amp; IF(ISERROR(FIND($G$2,Lines!J6))=TRUE,"",IF('1000'!J6="","ERR","")) &amp; IF(ISERROR(FIND($H$2,Lines!J6))=TRUE,"",IF('500DC'!J6="","ERR","")) &amp; IF(ISERROR(FIND($I$2,Lines!J6))=TRUE,"",IF('800DC'!J6="","ERR","")) &amp; IF(ISERROR(FIND($J$2,Lines!J6))=TRUE,"",IF('1000'!J6="","ERR",""))</f>
        <v/>
      </c>
      <c r="K6" s="106" t="str">
        <f>IF(ISERROR(FIND($B$2,Lines!K6))=TRUE,"",IF('750'!K6="","ERR","")) &amp; IF(ISERROR(FIND($C$2,Lines!K6))=TRUE,"",IF('500'!K6="","ERR","")) &amp; IF(ISERROR(FIND($D$2,Lines!K6))=TRUE,"",IF('330'!K6="","ERR","")) &amp; IF(ISERROR(FIND($E$2,Lines!K6))=TRUE,"",IF('220'!K6="","ERR",""))&amp; IF(ISERROR(FIND($F$2,Lines!K6))=TRUE,"",IF(AND('500DC'!K6="",'800DC'!K6=""),"ERR","")) &amp; IF(ISERROR(FIND($G$2,Lines!K6))=TRUE,"",IF('1000'!K6="","ERR","")) &amp; IF(ISERROR(FIND($H$2,Lines!K6))=TRUE,"",IF('500DC'!K6="","ERR","")) &amp; IF(ISERROR(FIND($I$2,Lines!K6))=TRUE,"",IF('800DC'!K6="","ERR","")) &amp; IF(ISERROR(FIND($J$2,Lines!K6))=TRUE,"",IF('1000'!K6="","ERR",""))</f>
        <v/>
      </c>
      <c r="L6" s="106" t="str">
        <f>IF(ISERROR(FIND($B$2,Lines!L6))=TRUE,"",IF('750'!L6="","ERR","")) &amp; IF(ISERROR(FIND($C$2,Lines!L6))=TRUE,"",IF('500'!L6="","ERR","")) &amp; IF(ISERROR(FIND($D$2,Lines!L6))=TRUE,"",IF('330'!L6="","ERR","")) &amp; IF(ISERROR(FIND($E$2,Lines!L6))=TRUE,"",IF('220'!L6="","ERR",""))&amp; IF(ISERROR(FIND($F$2,Lines!L6))=TRUE,"",IF(AND('500DC'!L6="",'800DC'!L6=""),"ERR","")) &amp; IF(ISERROR(FIND($G$2,Lines!L6))=TRUE,"",IF('1000'!L6="","ERR","")) &amp; IF(ISERROR(FIND($H$2,Lines!L6))=TRUE,"",IF('500DC'!L6="","ERR","")) &amp; IF(ISERROR(FIND($I$2,Lines!L6))=TRUE,"",IF('800DC'!L6="","ERR","")) &amp; IF(ISERROR(FIND($J$2,Lines!L6))=TRUE,"",IF('1000'!L6="","ERR",""))</f>
        <v/>
      </c>
      <c r="M6" s="107" t="str">
        <f>IF(ISERROR(FIND($B$2,Lines!M6))=TRUE,"",IF('750'!M6="","ERR","")) &amp; IF(ISERROR(FIND($C$2,Lines!M6))=TRUE,"",IF('500'!M6="","ERR","")) &amp; IF(ISERROR(FIND($D$2,Lines!M6))=TRUE,"",IF('330'!M6="","ERR","")) &amp; IF(ISERROR(FIND($E$2,Lines!M6))=TRUE,"",IF('220'!M6="","ERR",""))&amp; IF(ISERROR(FIND($F$2,Lines!M6))=TRUE,"",IF(AND('500DC'!M6="",'800DC'!M6=""),"ERR","")) &amp; IF(ISERROR(FIND($G$2,Lines!M6))=TRUE,"",IF('1000'!M6="","ERR","")) &amp; IF(ISERROR(FIND($H$2,Lines!M6))=TRUE,"",IF('500DC'!M6="","ERR","")) &amp; IF(ISERROR(FIND($I$2,Lines!M6))=TRUE,"",IF('800DC'!M6="","ERR","")) &amp; IF(ISERROR(FIND($J$2,Lines!M6))=TRUE,"",IF('1000'!M6="","ERR",""))</f>
        <v/>
      </c>
      <c r="N6" s="108" t="str">
        <f>IF(ISERROR(FIND($B$2,Lines!N6))=TRUE,"",IF('750'!N6="","ERR","")) &amp; IF(ISERROR(FIND($C$2,Lines!N6))=TRUE,"",IF('500'!N6="","ERR","")) &amp; IF(ISERROR(FIND($D$2,Lines!N6))=TRUE,"",IF('330'!N6="","ERR","")) &amp; IF(ISERROR(FIND($E$2,Lines!N6))=TRUE,"",IF('220'!N6="","ERR",""))&amp; IF(ISERROR(FIND($F$2,Lines!N6))=TRUE,"",IF(AND('500DC'!N6="",'800DC'!N6=""),"ERR","")) &amp; IF(ISERROR(FIND($G$2,Lines!N6))=TRUE,"",IF('1000'!N6="","ERR","")) &amp; IF(ISERROR(FIND($H$2,Lines!N6))=TRUE,"",IF('500DC'!N6="","ERR","")) &amp; IF(ISERROR(FIND($I$2,Lines!N6))=TRUE,"",IF('800DC'!N6="","ERR","")) &amp; IF(ISERROR(FIND($J$2,Lines!N6))=TRUE,"",IF('1000'!N6="","ERR",""))</f>
        <v/>
      </c>
      <c r="O6" s="108" t="str">
        <f>IF(ISERROR(FIND($B$2,Lines!O6))=TRUE,"",IF('750'!O6="","ERR","")) &amp; IF(ISERROR(FIND($C$2,Lines!O6))=TRUE,"",IF('500'!O6="","ERR","")) &amp; IF(ISERROR(FIND($D$2,Lines!O6))=TRUE,"",IF('330'!O6="","ERR","")) &amp; IF(ISERROR(FIND($E$2,Lines!O6))=TRUE,"",IF('220'!O6="","ERR",""))&amp; IF(ISERROR(FIND($F$2,Lines!O6))=TRUE,"",IF(AND('500DC'!O6="",'800DC'!O6=""),"ERR","")) &amp; IF(ISERROR(FIND($G$2,Lines!O6))=TRUE,"",IF('1000'!O6="","ERR","")) &amp; IF(ISERROR(FIND($H$2,Lines!O6))=TRUE,"",IF('500DC'!O6="","ERR","")) &amp; IF(ISERROR(FIND($I$2,Lines!O6))=TRUE,"",IF('800DC'!O6="","ERR","")) &amp; IF(ISERROR(FIND($J$2,Lines!O6))=TRUE,"",IF('1000'!O6="","ERR",""))</f>
        <v/>
      </c>
      <c r="P6" s="108" t="str">
        <f>IF(ISERROR(FIND($B$2,Lines!P6))=TRUE,"",IF('750'!P6="","ERR","")) &amp; IF(ISERROR(FIND($C$2,Lines!P6))=TRUE,"",IF('500'!P6="","ERR","")) &amp; IF(ISERROR(FIND($D$2,Lines!P6))=TRUE,"",IF('330'!P6="","ERR","")) &amp; IF(ISERROR(FIND($E$2,Lines!P6))=TRUE,"",IF('220'!P6="","ERR",""))&amp; IF(ISERROR(FIND($F$2,Lines!P6))=TRUE,"",IF(AND('500DC'!P6="",'800DC'!P6=""),"ERR","")) &amp; IF(ISERROR(FIND($G$2,Lines!P6))=TRUE,"",IF('1000'!P6="","ERR","")) &amp; IF(ISERROR(FIND($H$2,Lines!P6))=TRUE,"",IF('500DC'!P6="","ERR","")) &amp; IF(ISERROR(FIND($I$2,Lines!P6))=TRUE,"",IF('800DC'!P6="","ERR","")) &amp; IF(ISERROR(FIND($J$2,Lines!P6))=TRUE,"",IF('1000'!P6="","ERR",""))</f>
        <v/>
      </c>
      <c r="Q6" s="108" t="str">
        <f>IF(ISERROR(FIND($B$2,Lines!Q6))=TRUE,"",IF('750'!Q6="","ERR","")) &amp; IF(ISERROR(FIND($C$2,Lines!Q6))=TRUE,"",IF('500'!Q6="","ERR","")) &amp; IF(ISERROR(FIND($D$2,Lines!Q6))=TRUE,"",IF('330'!Q6="","ERR","")) &amp; IF(ISERROR(FIND($E$2,Lines!Q6))=TRUE,"",IF('220'!Q6="","ERR",""))&amp; IF(ISERROR(FIND($F$2,Lines!Q6))=TRUE,"",IF(AND('500DC'!Q6="",'800DC'!Q6=""),"ERR","")) &amp; IF(ISERROR(FIND($G$2,Lines!Q6))=TRUE,"",IF('1000'!Q6="","ERR","")) &amp; IF(ISERROR(FIND($H$2,Lines!Q6))=TRUE,"",IF('500DC'!Q6="","ERR","")) &amp; IF(ISERROR(FIND($I$2,Lines!Q6))=TRUE,"",IF('800DC'!Q6="","ERR","")) &amp; IF(ISERROR(FIND($J$2,Lines!Q6))=TRUE,"",IF('1000'!Q6="","ERR",""))</f>
        <v/>
      </c>
      <c r="R6" s="108" t="str">
        <f>IF(ISERROR(FIND($B$2,Lines!R6))=TRUE,"",IF('750'!R6="","ERR","")) &amp; IF(ISERROR(FIND($C$2,Lines!R6))=TRUE,"",IF('500'!R6="","ERR","")) &amp; IF(ISERROR(FIND($D$2,Lines!R6))=TRUE,"",IF('330'!R6="","ERR","")) &amp; IF(ISERROR(FIND($E$2,Lines!R6))=TRUE,"",IF('220'!R6="","ERR",""))&amp; IF(ISERROR(FIND($F$2,Lines!R6))=TRUE,"",IF(AND('500DC'!R6="",'800DC'!R6=""),"ERR","")) &amp; IF(ISERROR(FIND($G$2,Lines!R6))=TRUE,"",IF('1000'!R6="","ERR","")) &amp; IF(ISERROR(FIND($H$2,Lines!R6))=TRUE,"",IF('500DC'!R6="","ERR","")) &amp; IF(ISERROR(FIND($I$2,Lines!R6))=TRUE,"",IF('800DC'!R6="","ERR","")) &amp; IF(ISERROR(FIND($J$2,Lines!R6))=TRUE,"",IF('1000'!R6="","ERR",""))</f>
        <v/>
      </c>
      <c r="S6" s="108" t="str">
        <f>IF(ISERROR(FIND($B$2,Lines!S6))=TRUE,"",IF('750'!S6="","ERR","")) &amp; IF(ISERROR(FIND($C$2,Lines!S6))=TRUE,"",IF('500'!S6="","ERR","")) &amp; IF(ISERROR(FIND($D$2,Lines!S6))=TRUE,"",IF('330'!S6="","ERR","")) &amp; IF(ISERROR(FIND($E$2,Lines!S6))=TRUE,"",IF('220'!S6="","ERR",""))&amp; IF(ISERROR(FIND($F$2,Lines!S6))=TRUE,"",IF(AND('500DC'!S6="",'800DC'!S6=""),"ERR","")) &amp; IF(ISERROR(FIND($G$2,Lines!S6))=TRUE,"",IF('1000'!S6="","ERR","")) &amp; IF(ISERROR(FIND($H$2,Lines!S6))=TRUE,"",IF('500DC'!S6="","ERR","")) &amp; IF(ISERROR(FIND($I$2,Lines!S6))=TRUE,"",IF('800DC'!S6="","ERR","")) &amp; IF(ISERROR(FIND($J$2,Lines!S6))=TRUE,"",IF('1000'!S6="","ERR",""))</f>
        <v/>
      </c>
      <c r="T6" s="108" t="str">
        <f>IF(ISERROR(FIND($B$2,Lines!T6))=TRUE,"",IF('750'!T6="","ERR","")) &amp; IF(ISERROR(FIND($C$2,Lines!T6))=TRUE,"",IF('500'!T6="","ERR","")) &amp; IF(ISERROR(FIND($D$2,Lines!T6))=TRUE,"",IF('330'!T6="","ERR","")) &amp; IF(ISERROR(FIND($E$2,Lines!T6))=TRUE,"",IF('220'!T6="","ERR",""))&amp; IF(ISERROR(FIND($F$2,Lines!T6))=TRUE,"",IF(AND('500DC'!T6="",'800DC'!T6=""),"ERR","")) &amp; IF(ISERROR(FIND($G$2,Lines!T6))=TRUE,"",IF('1000'!T6="","ERR","")) &amp; IF(ISERROR(FIND($H$2,Lines!T6))=TRUE,"",IF('500DC'!T6="","ERR","")) &amp; IF(ISERROR(FIND($I$2,Lines!T6))=TRUE,"",IF('800DC'!T6="","ERR","")) &amp; IF(ISERROR(FIND($J$2,Lines!T6))=TRUE,"",IF('1000'!T6="","ERR",""))</f>
        <v/>
      </c>
      <c r="U6" s="108" t="str">
        <f>IF(ISERROR(FIND($B$2,Lines!U6))=TRUE,"",IF('750'!U6="","ERR","")) &amp; IF(ISERROR(FIND($C$2,Lines!U6))=TRUE,"",IF('500'!U6="","ERR","")) &amp; IF(ISERROR(FIND($D$2,Lines!U6))=TRUE,"",IF('330'!U6="","ERR","")) &amp; IF(ISERROR(FIND($E$2,Lines!U6))=TRUE,"",IF('220'!U6="","ERR",""))&amp; IF(ISERROR(FIND($F$2,Lines!U6))=TRUE,"",IF(AND('500DC'!U6="",'800DC'!U6=""),"ERR","")) &amp; IF(ISERROR(FIND($G$2,Lines!U6))=TRUE,"",IF('1000'!U6="","ERR","")) &amp; IF(ISERROR(FIND($H$2,Lines!U6))=TRUE,"",IF('500DC'!U6="","ERR","")) &amp; IF(ISERROR(FIND($I$2,Lines!U6))=TRUE,"",IF('800DC'!U6="","ERR","")) &amp; IF(ISERROR(FIND($J$2,Lines!U6))=TRUE,"",IF('1000'!U6="","ERR",""))</f>
        <v/>
      </c>
      <c r="V6" s="108" t="str">
        <f>IF(ISERROR(FIND($B$2,Lines!V6))=TRUE,"",IF('750'!V6="","ERR","")) &amp; IF(ISERROR(FIND($C$2,Lines!V6))=TRUE,"",IF('500'!V6="","ERR","")) &amp; IF(ISERROR(FIND($D$2,Lines!V6))=TRUE,"",IF('330'!V6="","ERR","")) &amp; IF(ISERROR(FIND($E$2,Lines!V6))=TRUE,"",IF('220'!V6="","ERR",""))&amp; IF(ISERROR(FIND($F$2,Lines!V6))=TRUE,"",IF(AND('500DC'!V6="",'800DC'!V6=""),"ERR","")) &amp; IF(ISERROR(FIND($G$2,Lines!V6))=TRUE,"",IF('1000'!V6="","ERR","")) &amp; IF(ISERROR(FIND($H$2,Lines!V6))=TRUE,"",IF('500DC'!V6="","ERR","")) &amp; IF(ISERROR(FIND($I$2,Lines!V6))=TRUE,"",IF('800DC'!V6="","ERR","")) &amp; IF(ISERROR(FIND($J$2,Lines!V6))=TRUE,"",IF('1000'!V6="","ERR",""))</f>
        <v/>
      </c>
      <c r="W6" s="109" t="str">
        <f>IF(ISERROR(FIND($B$2,Lines!W6))=TRUE,"",IF('750'!W6="","ERR","")) &amp; IF(ISERROR(FIND($C$2,Lines!W6))=TRUE,"",IF('500'!W6="","ERR","")) &amp; IF(ISERROR(FIND($D$2,Lines!W6))=TRUE,"",IF('330'!W6="","ERR","")) &amp; IF(ISERROR(FIND($E$2,Lines!W6))=TRUE,"",IF('220'!W6="","ERR",""))&amp; IF(ISERROR(FIND($F$2,Lines!W6))=TRUE,"",IF(AND('500DC'!W6="",'800DC'!W6=""),"ERR","")) &amp; IF(ISERROR(FIND($G$2,Lines!W6))=TRUE,"",IF('1000'!W6="","ERR","")) &amp; IF(ISERROR(FIND($H$2,Lines!W6))=TRUE,"",IF('500DC'!W6="","ERR","")) &amp; IF(ISERROR(FIND($I$2,Lines!W6))=TRUE,"",IF('800DC'!W6="","ERR","")) &amp; IF(ISERROR(FIND($J$2,Lines!W6))=TRUE,"",IF('1000'!W6="","ERR",""))</f>
        <v/>
      </c>
      <c r="X6" s="108" t="str">
        <f>IF(ISERROR(FIND($B$2,Lines!X6))=TRUE,"",IF('750'!X6="","ERR","")) &amp; IF(ISERROR(FIND($C$2,Lines!X6))=TRUE,"",IF('500'!X6="","ERR","")) &amp; IF(ISERROR(FIND($D$2,Lines!X6))=TRUE,"",IF('330'!X6="","ERR","")) &amp; IF(ISERROR(FIND($E$2,Lines!X6))=TRUE,"",IF('220'!X6="","ERR",""))&amp; IF(ISERROR(FIND($F$2,Lines!X6))=TRUE,"",IF(AND('500DC'!X6="",'800DC'!X6=""),"ERR","")) &amp; IF(ISERROR(FIND($G$2,Lines!X6))=TRUE,"",IF('1000'!X6="","ERR","")) &amp; IF(ISERROR(FIND($H$2,Lines!X6))=TRUE,"",IF('500DC'!X6="","ERR","")) &amp; IF(ISERROR(FIND($I$2,Lines!X6))=TRUE,"",IF('800DC'!X6="","ERR","")) &amp; IF(ISERROR(FIND($J$2,Lines!X6))=TRUE,"",IF('1000'!X6="","ERR",""))</f>
        <v/>
      </c>
      <c r="Y6" s="108" t="str">
        <f>IF(ISERROR(FIND($B$2,Lines!Y6))=TRUE,"",IF('750'!Y6="","ERR","")) &amp; IF(ISERROR(FIND($C$2,Lines!Y6))=TRUE,"",IF('500'!Y6="","ERR","")) &amp; IF(ISERROR(FIND($D$2,Lines!Y6))=TRUE,"",IF('330'!Y6="","ERR","")) &amp; IF(ISERROR(FIND($E$2,Lines!Y6))=TRUE,"",IF('220'!Y6="","ERR",""))&amp; IF(ISERROR(FIND($F$2,Lines!Y6))=TRUE,"",IF(AND('500DC'!Y6="",'800DC'!Y6=""),"ERR","")) &amp; IF(ISERROR(FIND($G$2,Lines!Y6))=TRUE,"",IF('1000'!Y6="","ERR","")) &amp; IF(ISERROR(FIND($H$2,Lines!Y6))=TRUE,"",IF('500DC'!Y6="","ERR","")) &amp; IF(ISERROR(FIND($I$2,Lines!Y6))=TRUE,"",IF('800DC'!Y6="","ERR","")) &amp; IF(ISERROR(FIND($J$2,Lines!Y6))=TRUE,"",IF('1000'!Y6="","ERR",""))</f>
        <v/>
      </c>
      <c r="Z6" s="108" t="str">
        <f>IF(ISERROR(FIND($B$2,Lines!Z6))=TRUE,"",IF('750'!Z6="","ERR","")) &amp; IF(ISERROR(FIND($C$2,Lines!Z6))=TRUE,"",IF('500'!Z6="","ERR","")) &amp; IF(ISERROR(FIND($D$2,Lines!Z6))=TRUE,"",IF('330'!Z6="","ERR","")) &amp; IF(ISERROR(FIND($E$2,Lines!Z6))=TRUE,"",IF('220'!Z6="","ERR",""))&amp; IF(ISERROR(FIND($F$2,Lines!Z6))=TRUE,"",IF(AND('500DC'!Z6="",'800DC'!Z6=""),"ERR","")) &amp; IF(ISERROR(FIND($G$2,Lines!Z6))=TRUE,"",IF('1000'!Z6="","ERR","")) &amp; IF(ISERROR(FIND($H$2,Lines!Z6))=TRUE,"",IF('500DC'!Z6="","ERR","")) &amp; IF(ISERROR(FIND($I$2,Lines!Z6))=TRUE,"",IF('800DC'!Z6="","ERR","")) &amp; IF(ISERROR(FIND($J$2,Lines!Z6))=TRUE,"",IF('1000'!Z6="","ERR",""))</f>
        <v/>
      </c>
      <c r="AA6" s="108" t="str">
        <f>IF(ISERROR(FIND($B$2,Lines!AA6))=TRUE,"",IF('750'!AA6="","ERR","")) &amp; IF(ISERROR(FIND($C$2,Lines!AA6))=TRUE,"",IF('500'!AA6="","ERR","")) &amp; IF(ISERROR(FIND($D$2,Lines!AA6))=TRUE,"",IF('330'!AA6="","ERR","")) &amp; IF(ISERROR(FIND($E$2,Lines!AA6))=TRUE,"",IF('220'!AA6="","ERR",""))&amp; IF(ISERROR(FIND($F$2,Lines!AA6))=TRUE,"",IF(AND('500DC'!AA6="",'800DC'!AA6=""),"ERR","")) &amp; IF(ISERROR(FIND($G$2,Lines!AA6))=TRUE,"",IF('1000'!AA6="","ERR","")) &amp; IF(ISERROR(FIND($H$2,Lines!AA6))=TRUE,"",IF('500DC'!AA6="","ERR","")) &amp; IF(ISERROR(FIND($I$2,Lines!AA6))=TRUE,"",IF('800DC'!AA6="","ERR","")) &amp; IF(ISERROR(FIND($J$2,Lines!AA6))=TRUE,"",IF('1000'!AA6="","ERR",""))</f>
        <v/>
      </c>
      <c r="AB6" s="108" t="str">
        <f>IF(ISERROR(FIND($B$2,Lines!AB6))=TRUE,"",IF('750'!AB6="","ERR","")) &amp; IF(ISERROR(FIND($C$2,Lines!AB6))=TRUE,"",IF('500'!AB6="","ERR","")) &amp; IF(ISERROR(FIND($D$2,Lines!AB6))=TRUE,"",IF('330'!AB6="","ERR","")) &amp; IF(ISERROR(FIND($E$2,Lines!AB6))=TRUE,"",IF('220'!AB6="","ERR",""))&amp; IF(ISERROR(FIND($F$2,Lines!AB6))=TRUE,"",IF(AND('500DC'!AB6="",'800DC'!AB6=""),"ERR","")) &amp; IF(ISERROR(FIND($G$2,Lines!AB6))=TRUE,"",IF('1000'!AB6="","ERR","")) &amp; IF(ISERROR(FIND($H$2,Lines!AB6))=TRUE,"",IF('500DC'!AB6="","ERR","")) &amp; IF(ISERROR(FIND($I$2,Lines!AB6))=TRUE,"",IF('800DC'!AB6="","ERR","")) &amp; IF(ISERROR(FIND($J$2,Lines!AB6))=TRUE,"",IF('1000'!AB6="","ERR",""))</f>
        <v/>
      </c>
      <c r="AC6" s="108" t="str">
        <f>IF(ISERROR(FIND($B$2,Lines!AC6))=TRUE,"",IF('750'!AC6="","ERR","")) &amp; IF(ISERROR(FIND($C$2,Lines!AC6))=TRUE,"",IF('500'!AC6="","ERR","")) &amp; IF(ISERROR(FIND($D$2,Lines!AC6))=TRUE,"",IF('330'!AC6="","ERR","")) &amp; IF(ISERROR(FIND($E$2,Lines!AC6))=TRUE,"",IF('220'!AC6="","ERR",""))&amp; IF(ISERROR(FIND($F$2,Lines!AC6))=TRUE,"",IF(AND('500DC'!AC6="",'800DC'!AC6=""),"ERR","")) &amp; IF(ISERROR(FIND($G$2,Lines!AC6))=TRUE,"",IF('1000'!AC6="","ERR","")) &amp; IF(ISERROR(FIND($H$2,Lines!AC6))=TRUE,"",IF('500DC'!AC6="","ERR","")) &amp; IF(ISERROR(FIND($I$2,Lines!AC6))=TRUE,"",IF('800DC'!AC6="","ERR","")) &amp; IF(ISERROR(FIND($J$2,Lines!AC6))=TRUE,"",IF('1000'!AC6="","ERR",""))</f>
        <v/>
      </c>
      <c r="AD6" s="108" t="str">
        <f>IF(ISERROR(FIND($B$2,Lines!AD6))=TRUE,"",IF('750'!AD6="","ERR","")) &amp; IF(ISERROR(FIND($C$2,Lines!AD6))=TRUE,"",IF('500'!AD6="","ERR","")) &amp; IF(ISERROR(FIND($D$2,Lines!AD6))=TRUE,"",IF('330'!AD6="","ERR","")) &amp; IF(ISERROR(FIND($E$2,Lines!AD6))=TRUE,"",IF('220'!AD6="","ERR",""))&amp; IF(ISERROR(FIND($F$2,Lines!AD6))=TRUE,"",IF(AND('500DC'!AD6="",'800DC'!AD6=""),"ERR","")) &amp; IF(ISERROR(FIND($G$2,Lines!AD6))=TRUE,"",IF('1000'!AD6="","ERR","")) &amp; IF(ISERROR(FIND($H$2,Lines!AD6))=TRUE,"",IF('500DC'!AD6="","ERR","")) &amp; IF(ISERROR(FIND($I$2,Lines!AD6))=TRUE,"",IF('800DC'!AD6="","ERR","")) &amp; IF(ISERROR(FIND($J$2,Lines!AD6))=TRUE,"",IF('1000'!AD6="","ERR",""))</f>
        <v/>
      </c>
      <c r="AE6" s="108" t="str">
        <f>IF(ISERROR(FIND($B$2,Lines!AE6))=TRUE,"",IF('750'!AE6="","ERR","")) &amp; IF(ISERROR(FIND($C$2,Lines!AE6))=TRUE,"",IF('500'!AE6="","ERR","")) &amp; IF(ISERROR(FIND($D$2,Lines!AE6))=TRUE,"",IF('330'!AE6="","ERR","")) &amp; IF(ISERROR(FIND($E$2,Lines!AE6))=TRUE,"",IF('220'!AE6="","ERR",""))&amp; IF(ISERROR(FIND($F$2,Lines!AE6))=TRUE,"",IF(AND('500DC'!AE6="",'800DC'!AE6=""),"ERR","")) &amp; IF(ISERROR(FIND($G$2,Lines!AE6))=TRUE,"",IF('1000'!AE6="","ERR","")) &amp; IF(ISERROR(FIND($H$2,Lines!AE6))=TRUE,"",IF('500DC'!AE6="","ERR","")) &amp; IF(ISERROR(FIND($I$2,Lines!AE6))=TRUE,"",IF('800DC'!AE6="","ERR","")) &amp; IF(ISERROR(FIND($J$2,Lines!AE6))=TRUE,"",IF('1000'!AE6="","ERR",""))</f>
        <v/>
      </c>
      <c r="AF6" s="108" t="str">
        <f>IF(ISERROR(FIND($B$2,Lines!AF6))=TRUE,"",IF('750'!AF6="","ERR","")) &amp; IF(ISERROR(FIND($C$2,Lines!AF6))=TRUE,"",IF('500'!AF6="","ERR","")) &amp; IF(ISERROR(FIND($D$2,Lines!AF6))=TRUE,"",IF('330'!AF6="","ERR","")) &amp; IF(ISERROR(FIND($E$2,Lines!AF6))=TRUE,"",IF('220'!AF6="","ERR",""))&amp; IF(ISERROR(FIND($F$2,Lines!AF6))=TRUE,"",IF(AND('500DC'!AF6="",'800DC'!AF6=""),"ERR","")) &amp; IF(ISERROR(FIND($G$2,Lines!AF6))=TRUE,"",IF('1000'!AF6="","ERR","")) &amp; IF(ISERROR(FIND($H$2,Lines!AF6))=TRUE,"",IF('500DC'!AF6="","ERR","")) &amp; IF(ISERROR(FIND($I$2,Lines!AF6))=TRUE,"",IF('800DC'!AF6="","ERR","")) &amp; IF(ISERROR(FIND($J$2,Lines!AF6))=TRUE,"",IF('1000'!AF6="","ERR",""))</f>
        <v/>
      </c>
      <c r="AG6" s="108" t="str">
        <f>IF(ISERROR(FIND($B$2,Lines!AG6))=TRUE,"",IF('750'!AG6="","ERR","")) &amp; IF(ISERROR(FIND($C$2,Lines!AG6))=TRUE,"",IF('500'!AG6="","ERR","")) &amp; IF(ISERROR(FIND($D$2,Lines!AG6))=TRUE,"",IF('330'!AG6="","ERR","")) &amp; IF(ISERROR(FIND($E$2,Lines!AG6))=TRUE,"",IF('220'!AG6="","ERR",""))&amp; IF(ISERROR(FIND($F$2,Lines!AG6))=TRUE,"",IF(AND('500DC'!AG6="",'800DC'!AG6=""),"ERR","")) &amp; IF(ISERROR(FIND($G$2,Lines!AG6))=TRUE,"",IF('1000'!AG6="","ERR","")) &amp; IF(ISERROR(FIND($H$2,Lines!AG6))=TRUE,"",IF('500DC'!AG6="","ERR","")) &amp; IF(ISERROR(FIND($I$2,Lines!AG6))=TRUE,"",IF('800DC'!AG6="","ERR","")) &amp; IF(ISERROR(FIND($J$2,Lines!AG6))=TRUE,"",IF('1000'!AG6="","ERR",""))</f>
        <v/>
      </c>
      <c r="AH6" s="108" t="str">
        <f>IF(ISERROR(FIND($B$2,Lines!AH6))=TRUE,"",IF('750'!AH6="","ERR","")) &amp; IF(ISERROR(FIND($C$2,Lines!AH6))=TRUE,"",IF('500'!AH6="","ERR","")) &amp; IF(ISERROR(FIND($D$2,Lines!AH6))=TRUE,"",IF('330'!AH6="","ERR","")) &amp; IF(ISERROR(FIND($E$2,Lines!AH6))=TRUE,"",IF('220'!AH6="","ERR",""))&amp; IF(ISERROR(FIND($F$2,Lines!AH6))=TRUE,"",IF(AND('500DC'!AH6="",'800DC'!AH6=""),"ERR","")) &amp; IF(ISERROR(FIND($G$2,Lines!AH6))=TRUE,"",IF('1000'!AH6="","ERR","")) &amp; IF(ISERROR(FIND($H$2,Lines!AH6))=TRUE,"",IF('500DC'!AH6="","ERR","")) &amp; IF(ISERROR(FIND($I$2,Lines!AH6))=TRUE,"",IF('800DC'!AH6="","ERR","")) &amp; IF(ISERROR(FIND($J$2,Lines!AH6))=TRUE,"",IF('1000'!AH6="","ERR",""))</f>
        <v/>
      </c>
      <c r="AI6" s="108" t="str">
        <f>IF(ISERROR(FIND($B$2,Lines!AI6))=TRUE,"",IF('750'!AI6="","ERR","")) &amp; IF(ISERROR(FIND($C$2,Lines!AI6))=TRUE,"",IF('500'!AI6="","ERR","")) &amp; IF(ISERROR(FIND($D$2,Lines!AI6))=TRUE,"",IF('330'!AI6="","ERR","")) &amp; IF(ISERROR(FIND($E$2,Lines!AI6))=TRUE,"",IF('220'!AI6="","ERR",""))&amp; IF(ISERROR(FIND($F$2,Lines!AI6))=TRUE,"",IF(AND('500DC'!AI6="",'800DC'!AI6=""),"ERR","")) &amp; IF(ISERROR(FIND($G$2,Lines!AI6))=TRUE,"",IF('1000'!AI6="","ERR","")) &amp; IF(ISERROR(FIND($H$2,Lines!AI6))=TRUE,"",IF('500DC'!AI6="","ERR","")) &amp; IF(ISERROR(FIND($I$2,Lines!AI6))=TRUE,"",IF('800DC'!AI6="","ERR","")) &amp; IF(ISERROR(FIND($J$2,Lines!AI6))=TRUE,"",IF('1000'!AI6="","ERR",""))</f>
        <v/>
      </c>
      <c r="AJ6" s="108" t="str">
        <f>IF(ISERROR(FIND($B$2,Lines!AJ6))=TRUE,"",IF('750'!AJ6="","ERR","")) &amp; IF(ISERROR(FIND($C$2,Lines!AJ6))=TRUE,"",IF('500'!AJ6="","ERR","")) &amp; IF(ISERROR(FIND($D$2,Lines!AJ6))=TRUE,"",IF('330'!AJ6="","ERR","")) &amp; IF(ISERROR(FIND($E$2,Lines!AJ6))=TRUE,"",IF('220'!AJ6="","ERR",""))&amp; IF(ISERROR(FIND($F$2,Lines!AJ6))=TRUE,"",IF(AND('500DC'!AJ6="",'800DC'!AJ6=""),"ERR","")) &amp; IF(ISERROR(FIND($G$2,Lines!AJ6))=TRUE,"",IF('1000'!AJ6="","ERR","")) &amp; IF(ISERROR(FIND($H$2,Lines!AJ6))=TRUE,"",IF('500DC'!AJ6="","ERR","")) &amp; IF(ISERROR(FIND($I$2,Lines!AJ6))=TRUE,"",IF('800DC'!AJ6="","ERR","")) &amp; IF(ISERROR(FIND($J$2,Lines!AJ6))=TRUE,"",IF('1000'!AJ6="","ERR",""))</f>
        <v/>
      </c>
      <c r="AK6" s="108" t="str">
        <f>IF(ISERROR(FIND($B$2,Lines!AK6))=TRUE,"",IF('750'!AK6="","ERR","")) &amp; IF(ISERROR(FIND($C$2,Lines!AK6))=TRUE,"",IF('500'!AK6="","ERR","")) &amp; IF(ISERROR(FIND($D$2,Lines!AK6))=TRUE,"",IF('330'!AK6="","ERR","")) &amp; IF(ISERROR(FIND($E$2,Lines!AK6))=TRUE,"",IF('220'!AK6="","ERR",""))&amp; IF(ISERROR(FIND($F$2,Lines!AK6))=TRUE,"",IF(AND('500DC'!AK6="",'800DC'!AK6=""),"ERR","")) &amp; IF(ISERROR(FIND($G$2,Lines!AK6))=TRUE,"",IF('1000'!AK6="","ERR","")) &amp; IF(ISERROR(FIND($H$2,Lines!AK6))=TRUE,"",IF('500DC'!AK6="","ERR","")) &amp; IF(ISERROR(FIND($I$2,Lines!AK6))=TRUE,"",IF('800DC'!AK6="","ERR","")) &amp; IF(ISERROR(FIND($J$2,Lines!AK6))=TRUE,"",IF('1000'!AK6="","ERR",""))</f>
        <v/>
      </c>
      <c r="AL6" s="108" t="str">
        <f>IF(ISERROR(FIND($B$2,Lines!AL6))=TRUE,"",IF('750'!AL6="","ERR","")) &amp; IF(ISERROR(FIND($C$2,Lines!AL6))=TRUE,"",IF('500'!AL6="","ERR","")) &amp; IF(ISERROR(FIND($D$2,Lines!AL6))=TRUE,"",IF('330'!AL6="","ERR","")) &amp; IF(ISERROR(FIND($E$2,Lines!AL6))=TRUE,"",IF('220'!AL6="","ERR",""))&amp; IF(ISERROR(FIND($F$2,Lines!AL6))=TRUE,"",IF(AND('500DC'!AL6="",'800DC'!AL6=""),"ERR","")) &amp; IF(ISERROR(FIND($G$2,Lines!AL6))=TRUE,"",IF('1000'!AL6="","ERR","")) &amp; IF(ISERROR(FIND($H$2,Lines!AL6))=TRUE,"",IF('500DC'!AL6="","ERR","")) &amp; IF(ISERROR(FIND($I$2,Lines!AL6))=TRUE,"",IF('800DC'!AL6="","ERR","")) &amp; IF(ISERROR(FIND($J$2,Lines!AL6))=TRUE,"",IF('1000'!AL6="","ERR",""))</f>
        <v/>
      </c>
      <c r="AM6" s="108" t="str">
        <f>IF(ISERROR(FIND($B$2,Lines!AM6))=TRUE,"",IF('750'!AM6="","ERR","")) &amp; IF(ISERROR(FIND($C$2,Lines!AM6))=TRUE,"",IF('500'!AM6="","ERR","")) &amp; IF(ISERROR(FIND($D$2,Lines!AM6))=TRUE,"",IF('330'!AM6="","ERR","")) &amp; IF(ISERROR(FIND($E$2,Lines!AM6))=TRUE,"",IF('220'!AM6="","ERR",""))&amp; IF(ISERROR(FIND($F$2,Lines!AM6))=TRUE,"",IF(AND('500DC'!AM6="",'800DC'!AM6=""),"ERR","")) &amp; IF(ISERROR(FIND($G$2,Lines!AM6))=TRUE,"",IF('1000'!AM6="","ERR","")) &amp; IF(ISERROR(FIND($H$2,Lines!AM6))=TRUE,"",IF('500DC'!AM6="","ERR","")) &amp; IF(ISERROR(FIND($I$2,Lines!AM6))=TRUE,"",IF('800DC'!AM6="","ERR","")) &amp; IF(ISERROR(FIND($J$2,Lines!AM6))=TRUE,"",IF('1000'!AM6="","ERR",""))</f>
        <v/>
      </c>
      <c r="AN6" s="108" t="str">
        <f>IF(ISERROR(FIND($B$2,Lines!AN6))=TRUE,"",IF('750'!AN6="","ERR","")) &amp; IF(ISERROR(FIND($C$2,Lines!AN6))=TRUE,"",IF('500'!AN6="","ERR","")) &amp; IF(ISERROR(FIND($D$2,Lines!AN6))=TRUE,"",IF('330'!AN6="","ERR","")) &amp; IF(ISERROR(FIND($E$2,Lines!AN6))=TRUE,"",IF('220'!AN6="","ERR",""))&amp; IF(ISERROR(FIND($F$2,Lines!AN6))=TRUE,"",IF(AND('500DC'!AN6="",'800DC'!AN6=""),"ERR","")) &amp; IF(ISERROR(FIND($G$2,Lines!AN6))=TRUE,"",IF('1000'!AN6="","ERR","")) &amp; IF(ISERROR(FIND($H$2,Lines!AN6))=TRUE,"",IF('500DC'!AN6="","ERR","")) &amp; IF(ISERROR(FIND($I$2,Lines!AN6))=TRUE,"",IF('800DC'!AN6="","ERR","")) &amp; IF(ISERROR(FIND($J$2,Lines!AN6))=TRUE,"",IF('1000'!AN6="","ERR",""))</f>
        <v/>
      </c>
      <c r="AO6" s="108" t="str">
        <f>IF(ISERROR(FIND($B$2,Lines!AO6))=TRUE,"",IF('750'!AO6="","ERR","")) &amp; IF(ISERROR(FIND($C$2,Lines!AO6))=TRUE,"",IF('500'!AO6="","ERR","")) &amp; IF(ISERROR(FIND($D$2,Lines!AO6))=TRUE,"",IF('330'!AO6="","ERR","")) &amp; IF(ISERROR(FIND($E$2,Lines!AO6))=TRUE,"",IF('220'!AO6="","ERR",""))&amp; IF(ISERROR(FIND($F$2,Lines!AO6))=TRUE,"",IF(AND('500DC'!AO6="",'800DC'!AO6=""),"ERR","")) &amp; IF(ISERROR(FIND($G$2,Lines!AO6))=TRUE,"",IF('1000'!AO6="","ERR","")) &amp; IF(ISERROR(FIND($H$2,Lines!AO6))=TRUE,"",IF('500DC'!AO6="","ERR","")) &amp; IF(ISERROR(FIND($I$2,Lines!AO6))=TRUE,"",IF('800DC'!AO6="","ERR","")) &amp; IF(ISERROR(FIND($J$2,Lines!AO6))=TRUE,"",IF('1000'!AO6="","ERR",""))</f>
        <v/>
      </c>
      <c r="AP6" s="108" t="str">
        <f>IF(ISERROR(FIND($B$2,Lines!AP6))=TRUE,"",IF('750'!AP6="","ERR","")) &amp; IF(ISERROR(FIND($C$2,Lines!AP6))=TRUE,"",IF('500'!AP6="","ERR","")) &amp; IF(ISERROR(FIND($D$2,Lines!AP6))=TRUE,"",IF('330'!AP6="","ERR","")) &amp; IF(ISERROR(FIND($E$2,Lines!AP6))=TRUE,"",IF('220'!AP6="","ERR",""))&amp; IF(ISERROR(FIND($F$2,Lines!AP6))=TRUE,"",IF(AND('500DC'!AP6="",'800DC'!AP6=""),"ERR","")) &amp; IF(ISERROR(FIND($G$2,Lines!AP6))=TRUE,"",IF('1000'!AP6="","ERR","")) &amp; IF(ISERROR(FIND($H$2,Lines!AP6))=TRUE,"",IF('500DC'!AP6="","ERR","")) &amp; IF(ISERROR(FIND($I$2,Lines!AP6))=TRUE,"",IF('800DC'!AP6="","ERR","")) &amp; IF(ISERROR(FIND($J$2,Lines!AP6))=TRUE,"",IF('1000'!AP6="","ERR",""))</f>
        <v/>
      </c>
      <c r="AQ6" s="108" t="str">
        <f>IF(ISERROR(FIND($B$2,Lines!AQ6))=TRUE,"",IF('750'!AQ6="","ERR","")) &amp; IF(ISERROR(FIND($C$2,Lines!AQ6))=TRUE,"",IF('500'!AQ6="","ERR","")) &amp; IF(ISERROR(FIND($D$2,Lines!AQ6))=TRUE,"",IF('330'!AQ6="","ERR","")) &amp; IF(ISERROR(FIND($E$2,Lines!AQ6))=TRUE,"",IF('220'!AQ6="","ERR",""))&amp; IF(ISERROR(FIND($F$2,Lines!AQ6))=TRUE,"",IF(AND('500DC'!AQ6="",'800DC'!AQ6=""),"ERR","")) &amp; IF(ISERROR(FIND($G$2,Lines!AQ6))=TRUE,"",IF('1000'!AQ6="","ERR","")) &amp; IF(ISERROR(FIND($H$2,Lines!AQ6))=TRUE,"",IF('500DC'!AQ6="","ERR","")) &amp; IF(ISERROR(FIND($I$2,Lines!AQ6))=TRUE,"",IF('800DC'!AQ6="","ERR","")) &amp; IF(ISERROR(FIND($J$2,Lines!AQ6))=TRUE,"",IF('1000'!AQ6="","ERR",""))</f>
        <v/>
      </c>
      <c r="AR6" s="108" t="str">
        <f>IF(ISERROR(FIND($B$2,Lines!AR6))=TRUE,"",IF('750'!AR6="","ERR","")) &amp; IF(ISERROR(FIND($C$2,Lines!AR6))=TRUE,"",IF('500'!AR6="","ERR","")) &amp; IF(ISERROR(FIND($D$2,Lines!AR6))=TRUE,"",IF('330'!AR6="","ERR","")) &amp; IF(ISERROR(FIND($E$2,Lines!AR6))=TRUE,"",IF('220'!AR6="","ERR",""))&amp; IF(ISERROR(FIND($F$2,Lines!AR6))=TRUE,"",IF(AND('500DC'!AR6="",'800DC'!AR6=""),"ERR","")) &amp; IF(ISERROR(FIND($G$2,Lines!AR6))=TRUE,"",IF('1000'!AR6="","ERR","")) &amp; IF(ISERROR(FIND($H$2,Lines!AR6))=TRUE,"",IF('500DC'!AR6="","ERR","")) &amp; IF(ISERROR(FIND($I$2,Lines!AR6))=TRUE,"",IF('800DC'!AR6="","ERR","")) &amp; IF(ISERROR(FIND($J$2,Lines!AR6))=TRUE,"",IF('1000'!AR6="","ERR",""))</f>
        <v/>
      </c>
      <c r="AS6" s="108" t="str">
        <f>IF(ISERROR(FIND($B$2,Lines!AS6))=TRUE,"",IF('750'!AS6="","ERR","")) &amp; IF(ISERROR(FIND($C$2,Lines!AS6))=TRUE,"",IF('500'!AS6="","ERR","")) &amp; IF(ISERROR(FIND($D$2,Lines!AS6))=TRUE,"",IF('330'!AS6="","ERR","")) &amp; IF(ISERROR(FIND($E$2,Lines!AS6))=TRUE,"",IF('220'!AS6="","ERR",""))&amp; IF(ISERROR(FIND($F$2,Lines!AS6))=TRUE,"",IF(AND('500DC'!AS6="",'800DC'!AS6=""),"ERR","")) &amp; IF(ISERROR(FIND($G$2,Lines!AS6))=TRUE,"",IF('1000'!AS6="","ERR","")) &amp; IF(ISERROR(FIND($H$2,Lines!AS6))=TRUE,"",IF('500DC'!AS6="","ERR","")) &amp; IF(ISERROR(FIND($I$2,Lines!AS6))=TRUE,"",IF('800DC'!AS6="","ERR","")) &amp; IF(ISERROR(FIND($J$2,Lines!AS6))=TRUE,"",IF('1000'!AS6="","ERR",""))</f>
        <v/>
      </c>
      <c r="AT6" s="108" t="str">
        <f>IF(ISERROR(FIND($B$2,Lines!AT6))=TRUE,"",IF('750'!AT6="","ERR","")) &amp; IF(ISERROR(FIND($C$2,Lines!AT6))=TRUE,"",IF('500'!AT6="","ERR","")) &amp; IF(ISERROR(FIND($D$2,Lines!AT6))=TRUE,"",IF('330'!AT6="","ERR","")) &amp; IF(ISERROR(FIND($E$2,Lines!AT6))=TRUE,"",IF('220'!AT6="","ERR",""))&amp; IF(ISERROR(FIND($F$2,Lines!AT6))=TRUE,"",IF(AND('500DC'!AT6="",'800DC'!AT6=""),"ERR","")) &amp; IF(ISERROR(FIND($G$2,Lines!AT6))=TRUE,"",IF('1000'!AT6="","ERR","")) &amp; IF(ISERROR(FIND($H$2,Lines!AT6))=TRUE,"",IF('500DC'!AT6="","ERR","")) &amp; IF(ISERROR(FIND($I$2,Lines!AT6))=TRUE,"",IF('800DC'!AT6="","ERR","")) &amp; IF(ISERROR(FIND($J$2,Lines!AT6))=TRUE,"",IF('1000'!AT6="","ERR",""))</f>
        <v/>
      </c>
    </row>
    <row r="7" spans="1:46" ht="20.25" customHeight="1">
      <c r="A7" s="2" t="s">
        <v>58</v>
      </c>
      <c r="B7" s="106" t="str">
        <f>IF(ISERROR(FIND($B$2,Lines!B7))=TRUE,"",IF('750'!B7="","ERR","")) &amp; IF(ISERROR(FIND($C$2,Lines!B7))=TRUE,"",IF('500'!B7="","ERR","")) &amp; IF(ISERROR(FIND($D$2,Lines!B7))=TRUE,"",IF('330'!B7="","ERR","")) &amp; IF(ISERROR(FIND($E$2,Lines!B7))=TRUE,"",IF('220'!B7="","ERR",""))&amp; IF(ISERROR(FIND($F$2,Lines!B7))=TRUE,"",IF(AND('500DC'!B7="",'800DC'!B7=""),"ERR","")) &amp; IF(ISERROR(FIND($G$2,Lines!B7))=TRUE,"",IF('1000'!B7="","ERR","")) &amp; IF(ISERROR(FIND($H$2,Lines!B7))=TRUE,"",IF('500DC'!B7="","ERR","")) &amp; IF(ISERROR(FIND($I$2,Lines!B7))=TRUE,"",IF('800DC'!B7="","ERR","")) &amp; IF(ISERROR(FIND($J$2,Lines!B7))=TRUE,"",IF('1000'!B7="","ERR",""))</f>
        <v/>
      </c>
      <c r="C7" s="106" t="str">
        <f>IF(ISERROR(FIND($B$2,Lines!C7))=TRUE,"",IF('750'!C7="","ERR","")) &amp; IF(ISERROR(FIND($C$2,Lines!C7))=TRUE,"",IF('500'!C7="","ERR","")) &amp; IF(ISERROR(FIND($D$2,Lines!C7))=TRUE,"",IF('330'!C7="","ERR","")) &amp; IF(ISERROR(FIND($E$2,Lines!C7))=TRUE,"",IF('220'!C7="","ERR",""))&amp; IF(ISERROR(FIND($F$2,Lines!C7))=TRUE,"",IF(AND('500DC'!C7="",'800DC'!C7=""),"ERR","")) &amp; IF(ISERROR(FIND($G$2,Lines!C7))=TRUE,"",IF('1000'!C7="","ERR","")) &amp; IF(ISERROR(FIND($H$2,Lines!C7))=TRUE,"",IF('500DC'!C7="","ERR","")) &amp; IF(ISERROR(FIND($I$2,Lines!C7))=TRUE,"",IF('800DC'!C7="","ERR","")) &amp; IF(ISERROR(FIND($J$2,Lines!C7))=TRUE,"",IF('1000'!C7="","ERR",""))</f>
        <v/>
      </c>
      <c r="D7" s="106" t="str">
        <f>IF(ISERROR(FIND($B$2,Lines!D7))=TRUE,"",IF('750'!D7="","ERR","")) &amp; IF(ISERROR(FIND($C$2,Lines!D7))=TRUE,"",IF('500'!D7="","ERR","")) &amp; IF(ISERROR(FIND($D$2,Lines!D7))=TRUE,"",IF('330'!D7="","ERR","")) &amp; IF(ISERROR(FIND($E$2,Lines!D7))=TRUE,"",IF('220'!D7="","ERR",""))&amp; IF(ISERROR(FIND($F$2,Lines!D7))=TRUE,"",IF(AND('500DC'!D7="",'800DC'!D7=""),"ERR","")) &amp; IF(ISERROR(FIND($G$2,Lines!D7))=TRUE,"",IF('1000'!D7="","ERR","")) &amp; IF(ISERROR(FIND($H$2,Lines!D7))=TRUE,"",IF('500DC'!D7="","ERR","")) &amp; IF(ISERROR(FIND($I$2,Lines!D7))=TRUE,"",IF('800DC'!D7="","ERR","")) &amp; IF(ISERROR(FIND($J$2,Lines!D7))=TRUE,"",IF('1000'!D7="","ERR",""))</f>
        <v/>
      </c>
      <c r="E7" s="105" t="str">
        <f>IF(ISERROR(FIND($B$2,Lines!E7))=TRUE,"",IF('750'!E7="","ERR","")) &amp; IF(ISERROR(FIND($C$2,Lines!E7))=TRUE,"",IF('500'!E7="","ERR","")) &amp; IF(ISERROR(FIND($D$2,Lines!E7))=TRUE,"",IF('330'!E7="","ERR","")) &amp; IF(ISERROR(FIND($E$2,Lines!E7))=TRUE,"",IF('220'!E7="","ERR",""))&amp; IF(ISERROR(FIND($F$2,Lines!E7))=TRUE,"",IF(AND('500DC'!E7="",'800DC'!E7=""),"ERR","")) &amp; IF(ISERROR(FIND($G$2,Lines!E7))=TRUE,"",IF('1000'!E7="","ERR","")) &amp; IF(ISERROR(FIND($H$2,Lines!E7))=TRUE,"",IF('500DC'!E7="","ERR","")) &amp; IF(ISERROR(FIND($I$2,Lines!E7))=TRUE,"",IF('800DC'!E7="","ERR","")) &amp; IF(ISERROR(FIND($J$2,Lines!E7))=TRUE,"",IF('1000'!E7="","ERR",""))</f>
        <v/>
      </c>
      <c r="F7" s="106" t="str">
        <f>IF(ISERROR(FIND($B$2,Lines!F7))=TRUE,"",IF('750'!F7="","ERR","")) &amp; IF(ISERROR(FIND($C$2,Lines!F7))=TRUE,"",IF('500'!F7="","ERR","")) &amp; IF(ISERROR(FIND($D$2,Lines!F7))=TRUE,"",IF('330'!F7="","ERR","")) &amp; IF(ISERROR(FIND($E$2,Lines!F7))=TRUE,"",IF('220'!F7="","ERR",""))&amp; IF(ISERROR(FIND($F$2,Lines!F7))=TRUE,"",IF(AND('500DC'!F7="",'800DC'!F7=""),"ERR","")) &amp; IF(ISERROR(FIND($G$2,Lines!F7))=TRUE,"",IF('1000'!F7="","ERR","")) &amp; IF(ISERROR(FIND($H$2,Lines!F7))=TRUE,"",IF('500DC'!F7="","ERR","")) &amp; IF(ISERROR(FIND($I$2,Lines!F7))=TRUE,"",IF('800DC'!F7="","ERR","")) &amp; IF(ISERROR(FIND($J$2,Lines!F7))=TRUE,"",IF('1000'!F7="","ERR",""))</f>
        <v/>
      </c>
      <c r="G7" s="106" t="str">
        <f>IF(ISERROR(FIND($B$2,Lines!G7))=TRUE,"",IF('750'!G7="","ERR","")) &amp; IF(ISERROR(FIND($C$2,Lines!G7))=TRUE,"",IF('500'!G7="","ERR","")) &amp; IF(ISERROR(FIND($D$2,Lines!G7))=TRUE,"",IF('330'!G7="","ERR","")) &amp; IF(ISERROR(FIND($E$2,Lines!G7))=TRUE,"",IF('220'!G7="","ERR",""))&amp; IF(ISERROR(FIND($F$2,Lines!G7))=TRUE,"",IF(AND('500DC'!G7="",'800DC'!G7=""),"ERR","")) &amp; IF(ISERROR(FIND($G$2,Lines!G7))=TRUE,"",IF('1000'!G7="","ERR","")) &amp; IF(ISERROR(FIND($H$2,Lines!G7))=TRUE,"",IF('500DC'!G7="","ERR","")) &amp; IF(ISERROR(FIND($I$2,Lines!G7))=TRUE,"",IF('800DC'!G7="","ERR","")) &amp; IF(ISERROR(FIND($J$2,Lines!G7))=TRUE,"",IF('1000'!G7="","ERR",""))</f>
        <v/>
      </c>
      <c r="H7" s="106" t="str">
        <f>IF(ISERROR(FIND($B$2,Lines!H7))=TRUE,"",IF('750'!H7="","ERR","")) &amp; IF(ISERROR(FIND($C$2,Lines!H7))=TRUE,"",IF('500'!H7="","ERR","")) &amp; IF(ISERROR(FIND($D$2,Lines!H7))=TRUE,"",IF('330'!H7="","ERR","")) &amp; IF(ISERROR(FIND($E$2,Lines!H7))=TRUE,"",IF('220'!H7="","ERR",""))&amp; IF(ISERROR(FIND($F$2,Lines!H7))=TRUE,"",IF(AND('500DC'!H7="",'800DC'!H7=""),"ERR","")) &amp; IF(ISERROR(FIND($G$2,Lines!H7))=TRUE,"",IF('1000'!H7="","ERR","")) &amp; IF(ISERROR(FIND($H$2,Lines!H7))=TRUE,"",IF('500DC'!H7="","ERR","")) &amp; IF(ISERROR(FIND($I$2,Lines!H7))=TRUE,"",IF('800DC'!H7="","ERR","")) &amp; IF(ISERROR(FIND($J$2,Lines!H7))=TRUE,"",IF('1000'!H7="","ERR",""))</f>
        <v/>
      </c>
      <c r="I7" s="106" t="str">
        <f>IF(ISERROR(FIND($B$2,Lines!I7))=TRUE,"",IF('750'!I7="","ERR","")) &amp; IF(ISERROR(FIND($C$2,Lines!I7))=TRUE,"",IF('500'!I7="","ERR","")) &amp; IF(ISERROR(FIND($D$2,Lines!I7))=TRUE,"",IF('330'!I7="","ERR","")) &amp; IF(ISERROR(FIND($E$2,Lines!I7))=TRUE,"",IF('220'!I7="","ERR",""))&amp; IF(ISERROR(FIND($F$2,Lines!I7))=TRUE,"",IF(AND('500DC'!I7="",'800DC'!I7=""),"ERR","")) &amp; IF(ISERROR(FIND($G$2,Lines!I7))=TRUE,"",IF('1000'!I7="","ERR","")) &amp; IF(ISERROR(FIND($H$2,Lines!I7))=TRUE,"",IF('500DC'!I7="","ERR","")) &amp; IF(ISERROR(FIND($I$2,Lines!I7))=TRUE,"",IF('800DC'!I7="","ERR","")) &amp; IF(ISERROR(FIND($J$2,Lines!I7))=TRUE,"",IF('1000'!I7="","ERR",""))</f>
        <v/>
      </c>
      <c r="J7" s="106" t="str">
        <f>IF(ISERROR(FIND($B$2,Lines!J7))=TRUE,"",IF('750'!J7="","ERR","")) &amp; IF(ISERROR(FIND($C$2,Lines!J7))=TRUE,"",IF('500'!J7="","ERR","")) &amp; IF(ISERROR(FIND($D$2,Lines!J7))=TRUE,"",IF('330'!J7="","ERR","")) &amp; IF(ISERROR(FIND($E$2,Lines!J7))=TRUE,"",IF('220'!J7="","ERR",""))&amp; IF(ISERROR(FIND($F$2,Lines!J7))=TRUE,"",IF(AND('500DC'!J7="",'800DC'!J7=""),"ERR","")) &amp; IF(ISERROR(FIND($G$2,Lines!J7))=TRUE,"",IF('1000'!J7="","ERR","")) &amp; IF(ISERROR(FIND($H$2,Lines!J7))=TRUE,"",IF('500DC'!J7="","ERR","")) &amp; IF(ISERROR(FIND($I$2,Lines!J7))=TRUE,"",IF('800DC'!J7="","ERR","")) &amp; IF(ISERROR(FIND($J$2,Lines!J7))=TRUE,"",IF('1000'!J7="","ERR",""))</f>
        <v/>
      </c>
      <c r="K7" s="106" t="str">
        <f>IF(ISERROR(FIND($B$2,Lines!K7))=TRUE,"",IF('750'!K7="","ERR","")) &amp; IF(ISERROR(FIND($C$2,Lines!K7))=TRUE,"",IF('500'!K7="","ERR","")) &amp; IF(ISERROR(FIND($D$2,Lines!K7))=TRUE,"",IF('330'!K7="","ERR","")) &amp; IF(ISERROR(FIND($E$2,Lines!K7))=TRUE,"",IF('220'!K7="","ERR",""))&amp; IF(ISERROR(FIND($F$2,Lines!K7))=TRUE,"",IF(AND('500DC'!K7="",'800DC'!K7=""),"ERR","")) &amp; IF(ISERROR(FIND($G$2,Lines!K7))=TRUE,"",IF('1000'!K7="","ERR","")) &amp; IF(ISERROR(FIND($H$2,Lines!K7))=TRUE,"",IF('500DC'!K7="","ERR","")) &amp; IF(ISERROR(FIND($I$2,Lines!K7))=TRUE,"",IF('800DC'!K7="","ERR","")) &amp; IF(ISERROR(FIND($J$2,Lines!K7))=TRUE,"",IF('1000'!K7="","ERR",""))</f>
        <v/>
      </c>
      <c r="L7" s="106" t="str">
        <f>IF(ISERROR(FIND($B$2,Lines!L7))=TRUE,"",IF('750'!L7="","ERR","")) &amp; IF(ISERROR(FIND($C$2,Lines!L7))=TRUE,"",IF('500'!L7="","ERR","")) &amp; IF(ISERROR(FIND($D$2,Lines!L7))=TRUE,"",IF('330'!L7="","ERR","")) &amp; IF(ISERROR(FIND($E$2,Lines!L7))=TRUE,"",IF('220'!L7="","ERR",""))&amp; IF(ISERROR(FIND($F$2,Lines!L7))=TRUE,"",IF(AND('500DC'!L7="",'800DC'!L7=""),"ERR","")) &amp; IF(ISERROR(FIND($G$2,Lines!L7))=TRUE,"",IF('1000'!L7="","ERR","")) &amp; IF(ISERROR(FIND($H$2,Lines!L7))=TRUE,"",IF('500DC'!L7="","ERR","")) &amp; IF(ISERROR(FIND($I$2,Lines!L7))=TRUE,"",IF('800DC'!L7="","ERR","")) &amp; IF(ISERROR(FIND($J$2,Lines!L7))=TRUE,"",IF('1000'!L7="","ERR",""))</f>
        <v/>
      </c>
      <c r="M7" s="107" t="str">
        <f>IF(ISERROR(FIND($B$2,Lines!M7))=TRUE,"",IF('750'!M7="","ERR","")) &amp; IF(ISERROR(FIND($C$2,Lines!M7))=TRUE,"",IF('500'!M7="","ERR","")) &amp; IF(ISERROR(FIND($D$2,Lines!M7))=TRUE,"",IF('330'!M7="","ERR","")) &amp; IF(ISERROR(FIND($E$2,Lines!M7))=TRUE,"",IF('220'!M7="","ERR",""))&amp; IF(ISERROR(FIND($F$2,Lines!M7))=TRUE,"",IF(AND('500DC'!M7="",'800DC'!M7=""),"ERR","")) &amp; IF(ISERROR(FIND($G$2,Lines!M7))=TRUE,"",IF('1000'!M7="","ERR","")) &amp; IF(ISERROR(FIND($H$2,Lines!M7))=TRUE,"",IF('500DC'!M7="","ERR","")) &amp; IF(ISERROR(FIND($I$2,Lines!M7))=TRUE,"",IF('800DC'!M7="","ERR","")) &amp; IF(ISERROR(FIND($J$2,Lines!M7))=TRUE,"",IF('1000'!M7="","ERR",""))</f>
        <v/>
      </c>
      <c r="N7" s="108" t="str">
        <f>IF(ISERROR(FIND($B$2,Lines!N7))=TRUE,"",IF('750'!N7="","ERR","")) &amp; IF(ISERROR(FIND($C$2,Lines!N7))=TRUE,"",IF('500'!N7="","ERR","")) &amp; IF(ISERROR(FIND($D$2,Lines!N7))=TRUE,"",IF('330'!N7="","ERR","")) &amp; IF(ISERROR(FIND($E$2,Lines!N7))=TRUE,"",IF('220'!N7="","ERR",""))&amp; IF(ISERROR(FIND($F$2,Lines!N7))=TRUE,"",IF(AND('500DC'!N7="",'800DC'!N7=""),"ERR","")) &amp; IF(ISERROR(FIND($G$2,Lines!N7))=TRUE,"",IF('1000'!N7="","ERR","")) &amp; IF(ISERROR(FIND($H$2,Lines!N7))=TRUE,"",IF('500DC'!N7="","ERR","")) &amp; IF(ISERROR(FIND($I$2,Lines!N7))=TRUE,"",IF('800DC'!N7="","ERR","")) &amp; IF(ISERROR(FIND($J$2,Lines!N7))=TRUE,"",IF('1000'!N7="","ERR",""))</f>
        <v/>
      </c>
      <c r="O7" s="108" t="str">
        <f>IF(ISERROR(FIND($B$2,Lines!O7))=TRUE,"",IF('750'!O7="","ERR","")) &amp; IF(ISERROR(FIND($C$2,Lines!O7))=TRUE,"",IF('500'!O7="","ERR","")) &amp; IF(ISERROR(FIND($D$2,Lines!O7))=TRUE,"",IF('330'!O7="","ERR","")) &amp; IF(ISERROR(FIND($E$2,Lines!O7))=TRUE,"",IF('220'!O7="","ERR",""))&amp; IF(ISERROR(FIND($F$2,Lines!O7))=TRUE,"",IF(AND('500DC'!O7="",'800DC'!O7=""),"ERR","")) &amp; IF(ISERROR(FIND($G$2,Lines!O7))=TRUE,"",IF('1000'!O7="","ERR","")) &amp; IF(ISERROR(FIND($H$2,Lines!O7))=TRUE,"",IF('500DC'!O7="","ERR","")) &amp; IF(ISERROR(FIND($I$2,Lines!O7))=TRUE,"",IF('800DC'!O7="","ERR","")) &amp; IF(ISERROR(FIND($J$2,Lines!O7))=TRUE,"",IF('1000'!O7="","ERR",""))</f>
        <v/>
      </c>
      <c r="P7" s="108" t="str">
        <f>IF(ISERROR(FIND($B$2,Lines!P7))=TRUE,"",IF('750'!P7="","ERR","")) &amp; IF(ISERROR(FIND($C$2,Lines!P7))=TRUE,"",IF('500'!P7="","ERR","")) &amp; IF(ISERROR(FIND($D$2,Lines!P7))=TRUE,"",IF('330'!P7="","ERR","")) &amp; IF(ISERROR(FIND($E$2,Lines!P7))=TRUE,"",IF('220'!P7="","ERR",""))&amp; IF(ISERROR(FIND($F$2,Lines!P7))=TRUE,"",IF(AND('500DC'!P7="",'800DC'!P7=""),"ERR","")) &amp; IF(ISERROR(FIND($G$2,Lines!P7))=TRUE,"",IF('1000'!P7="","ERR","")) &amp; IF(ISERROR(FIND($H$2,Lines!P7))=TRUE,"",IF('500DC'!P7="","ERR","")) &amp; IF(ISERROR(FIND($I$2,Lines!P7))=TRUE,"",IF('800DC'!P7="","ERR","")) &amp; IF(ISERROR(FIND($J$2,Lines!P7))=TRUE,"",IF('1000'!P7="","ERR",""))</f>
        <v/>
      </c>
      <c r="Q7" s="108" t="str">
        <f>IF(ISERROR(FIND($B$2,Lines!Q7))=TRUE,"",IF('750'!Q7="","ERR","")) &amp; IF(ISERROR(FIND($C$2,Lines!Q7))=TRUE,"",IF('500'!Q7="","ERR","")) &amp; IF(ISERROR(FIND($D$2,Lines!Q7))=TRUE,"",IF('330'!Q7="","ERR","")) &amp; IF(ISERROR(FIND($E$2,Lines!Q7))=TRUE,"",IF('220'!Q7="","ERR",""))&amp; IF(ISERROR(FIND($F$2,Lines!Q7))=TRUE,"",IF(AND('500DC'!Q7="",'800DC'!Q7=""),"ERR","")) &amp; IF(ISERROR(FIND($G$2,Lines!Q7))=TRUE,"",IF('1000'!Q7="","ERR","")) &amp; IF(ISERROR(FIND($H$2,Lines!Q7))=TRUE,"",IF('500DC'!Q7="","ERR","")) &amp; IF(ISERROR(FIND($I$2,Lines!Q7))=TRUE,"",IF('800DC'!Q7="","ERR","")) &amp; IF(ISERROR(FIND($J$2,Lines!Q7))=TRUE,"",IF('1000'!Q7="","ERR",""))</f>
        <v/>
      </c>
      <c r="R7" s="108" t="str">
        <f>IF(ISERROR(FIND($B$2,Lines!R7))=TRUE,"",IF('750'!R7="","ERR","")) &amp; IF(ISERROR(FIND($C$2,Lines!R7))=TRUE,"",IF('500'!R7="","ERR","")) &amp; IF(ISERROR(FIND($D$2,Lines!R7))=TRUE,"",IF('330'!R7="","ERR","")) &amp; IF(ISERROR(FIND($E$2,Lines!R7))=TRUE,"",IF('220'!R7="","ERR",""))&amp; IF(ISERROR(FIND($F$2,Lines!R7))=TRUE,"",IF(AND('500DC'!R7="",'800DC'!R7=""),"ERR","")) &amp; IF(ISERROR(FIND($G$2,Lines!R7))=TRUE,"",IF('1000'!R7="","ERR","")) &amp; IF(ISERROR(FIND($H$2,Lines!R7))=TRUE,"",IF('500DC'!R7="","ERR","")) &amp; IF(ISERROR(FIND($I$2,Lines!R7))=TRUE,"",IF('800DC'!R7="","ERR","")) &amp; IF(ISERROR(FIND($J$2,Lines!R7))=TRUE,"",IF('1000'!R7="","ERR",""))</f>
        <v/>
      </c>
      <c r="S7" s="108" t="str">
        <f>IF(ISERROR(FIND($B$2,Lines!S7))=TRUE,"",IF('750'!S7="","ERR","")) &amp; IF(ISERROR(FIND($C$2,Lines!S7))=TRUE,"",IF('500'!S7="","ERR","")) &amp; IF(ISERROR(FIND($D$2,Lines!S7))=TRUE,"",IF('330'!S7="","ERR","")) &amp; IF(ISERROR(FIND($E$2,Lines!S7))=TRUE,"",IF('220'!S7="","ERR",""))&amp; IF(ISERROR(FIND($F$2,Lines!S7))=TRUE,"",IF(AND('500DC'!S7="",'800DC'!S7=""),"ERR","")) &amp; IF(ISERROR(FIND($G$2,Lines!S7))=TRUE,"",IF('1000'!S7="","ERR","")) &amp; IF(ISERROR(FIND($H$2,Lines!S7))=TRUE,"",IF('500DC'!S7="","ERR","")) &amp; IF(ISERROR(FIND($I$2,Lines!S7))=TRUE,"",IF('800DC'!S7="","ERR","")) &amp; IF(ISERROR(FIND($J$2,Lines!S7))=TRUE,"",IF('1000'!S7="","ERR",""))</f>
        <v/>
      </c>
      <c r="T7" s="108" t="str">
        <f>IF(ISERROR(FIND($B$2,Lines!T7))=TRUE,"",IF('750'!T7="","ERR","")) &amp; IF(ISERROR(FIND($C$2,Lines!T7))=TRUE,"",IF('500'!T7="","ERR","")) &amp; IF(ISERROR(FIND($D$2,Lines!T7))=TRUE,"",IF('330'!T7="","ERR","")) &amp; IF(ISERROR(FIND($E$2,Lines!T7))=TRUE,"",IF('220'!T7="","ERR",""))&amp; IF(ISERROR(FIND($F$2,Lines!T7))=TRUE,"",IF(AND('500DC'!T7="",'800DC'!T7=""),"ERR","")) &amp; IF(ISERROR(FIND($G$2,Lines!T7))=TRUE,"",IF('1000'!T7="","ERR","")) &amp; IF(ISERROR(FIND($H$2,Lines!T7))=TRUE,"",IF('500DC'!T7="","ERR","")) &amp; IF(ISERROR(FIND($I$2,Lines!T7))=TRUE,"",IF('800DC'!T7="","ERR","")) &amp; IF(ISERROR(FIND($J$2,Lines!T7))=TRUE,"",IF('1000'!T7="","ERR",""))</f>
        <v/>
      </c>
      <c r="U7" s="108" t="str">
        <f>IF(ISERROR(FIND($B$2,Lines!U7))=TRUE,"",IF('750'!U7="","ERR","")) &amp; IF(ISERROR(FIND($C$2,Lines!U7))=TRUE,"",IF('500'!U7="","ERR","")) &amp; IF(ISERROR(FIND($D$2,Lines!U7))=TRUE,"",IF('330'!U7="","ERR","")) &amp; IF(ISERROR(FIND($E$2,Lines!U7))=TRUE,"",IF('220'!U7="","ERR",""))&amp; IF(ISERROR(FIND($F$2,Lines!U7))=TRUE,"",IF(AND('500DC'!U7="",'800DC'!U7=""),"ERR","")) &amp; IF(ISERROR(FIND($G$2,Lines!U7))=TRUE,"",IF('1000'!U7="","ERR","")) &amp; IF(ISERROR(FIND($H$2,Lines!U7))=TRUE,"",IF('500DC'!U7="","ERR","")) &amp; IF(ISERROR(FIND($I$2,Lines!U7))=TRUE,"",IF('800DC'!U7="","ERR","")) &amp; IF(ISERROR(FIND($J$2,Lines!U7))=TRUE,"",IF('1000'!U7="","ERR",""))</f>
        <v/>
      </c>
      <c r="V7" s="108" t="str">
        <f>IF(ISERROR(FIND($B$2,Lines!V7))=TRUE,"",IF('750'!V7="","ERR","")) &amp; IF(ISERROR(FIND($C$2,Lines!V7))=TRUE,"",IF('500'!V7="","ERR","")) &amp; IF(ISERROR(FIND($D$2,Lines!V7))=TRUE,"",IF('330'!V7="","ERR","")) &amp; IF(ISERROR(FIND($E$2,Lines!V7))=TRUE,"",IF('220'!V7="","ERR",""))&amp; IF(ISERROR(FIND($F$2,Lines!V7))=TRUE,"",IF(AND('500DC'!V7="",'800DC'!V7=""),"ERR","")) &amp; IF(ISERROR(FIND($G$2,Lines!V7))=TRUE,"",IF('1000'!V7="","ERR","")) &amp; IF(ISERROR(FIND($H$2,Lines!V7))=TRUE,"",IF('500DC'!V7="","ERR","")) &amp; IF(ISERROR(FIND($I$2,Lines!V7))=TRUE,"",IF('800DC'!V7="","ERR","")) &amp; IF(ISERROR(FIND($J$2,Lines!V7))=TRUE,"",IF('1000'!V7="","ERR",""))</f>
        <v/>
      </c>
      <c r="W7" s="109" t="str">
        <f>IF(ISERROR(FIND($B$2,Lines!W7))=TRUE,"",IF('750'!W7="","ERR","")) &amp; IF(ISERROR(FIND($C$2,Lines!W7))=TRUE,"",IF('500'!W7="","ERR","")) &amp; IF(ISERROR(FIND($D$2,Lines!W7))=TRUE,"",IF('330'!W7="","ERR","")) &amp; IF(ISERROR(FIND($E$2,Lines!W7))=TRUE,"",IF('220'!W7="","ERR",""))&amp; IF(ISERROR(FIND($F$2,Lines!W7))=TRUE,"",IF(AND('500DC'!W7="",'800DC'!W7=""),"ERR","")) &amp; IF(ISERROR(FIND($G$2,Lines!W7))=TRUE,"",IF('1000'!W7="","ERR","")) &amp; IF(ISERROR(FIND($H$2,Lines!W7))=TRUE,"",IF('500DC'!W7="","ERR","")) &amp; IF(ISERROR(FIND($I$2,Lines!W7))=TRUE,"",IF('800DC'!W7="","ERR","")) &amp; IF(ISERROR(FIND($J$2,Lines!W7))=TRUE,"",IF('1000'!W7="","ERR",""))</f>
        <v/>
      </c>
      <c r="X7" s="108" t="str">
        <f>IF(ISERROR(FIND($B$2,Lines!X7))=TRUE,"",IF('750'!X7="","ERR","")) &amp; IF(ISERROR(FIND($C$2,Lines!X7))=TRUE,"",IF('500'!X7="","ERR","")) &amp; IF(ISERROR(FIND($D$2,Lines!X7))=TRUE,"",IF('330'!X7="","ERR","")) &amp; IF(ISERROR(FIND($E$2,Lines!X7))=TRUE,"",IF('220'!X7="","ERR",""))&amp; IF(ISERROR(FIND($F$2,Lines!X7))=TRUE,"",IF(AND('500DC'!X7="",'800DC'!X7=""),"ERR","")) &amp; IF(ISERROR(FIND($G$2,Lines!X7))=TRUE,"",IF('1000'!X7="","ERR","")) &amp; IF(ISERROR(FIND($H$2,Lines!X7))=TRUE,"",IF('500DC'!X7="","ERR","")) &amp; IF(ISERROR(FIND($I$2,Lines!X7))=TRUE,"",IF('800DC'!X7="","ERR","")) &amp; IF(ISERROR(FIND($J$2,Lines!X7))=TRUE,"",IF('1000'!X7="","ERR",""))</f>
        <v/>
      </c>
      <c r="Y7" s="108" t="str">
        <f>IF(ISERROR(FIND($B$2,Lines!Y7))=TRUE,"",IF('750'!Y7="","ERR","")) &amp; IF(ISERROR(FIND($C$2,Lines!Y7))=TRUE,"",IF('500'!Y7="","ERR","")) &amp; IF(ISERROR(FIND($D$2,Lines!Y7))=TRUE,"",IF('330'!Y7="","ERR","")) &amp; IF(ISERROR(FIND($E$2,Lines!Y7))=TRUE,"",IF('220'!Y7="","ERR",""))&amp; IF(ISERROR(FIND($F$2,Lines!Y7))=TRUE,"",IF(AND('500DC'!Y7="",'800DC'!Y7=""),"ERR","")) &amp; IF(ISERROR(FIND($G$2,Lines!Y7))=TRUE,"",IF('1000'!Y7="","ERR","")) &amp; IF(ISERROR(FIND($H$2,Lines!Y7))=TRUE,"",IF('500DC'!Y7="","ERR","")) &amp; IF(ISERROR(FIND($I$2,Lines!Y7))=TRUE,"",IF('800DC'!Y7="","ERR","")) &amp; IF(ISERROR(FIND($J$2,Lines!Y7))=TRUE,"",IF('1000'!Y7="","ERR",""))</f>
        <v/>
      </c>
      <c r="Z7" s="108" t="str">
        <f>IF(ISERROR(FIND($B$2,Lines!Z7))=TRUE,"",IF('750'!Z7="","ERR","")) &amp; IF(ISERROR(FIND($C$2,Lines!Z7))=TRUE,"",IF('500'!Z7="","ERR","")) &amp; IF(ISERROR(FIND($D$2,Lines!Z7))=TRUE,"",IF('330'!Z7="","ERR","")) &amp; IF(ISERROR(FIND($E$2,Lines!Z7))=TRUE,"",IF('220'!Z7="","ERR",""))&amp; IF(ISERROR(FIND($F$2,Lines!Z7))=TRUE,"",IF(AND('500DC'!Z7="",'800DC'!Z7=""),"ERR","")) &amp; IF(ISERROR(FIND($G$2,Lines!Z7))=TRUE,"",IF('1000'!Z7="","ERR","")) &amp; IF(ISERROR(FIND($H$2,Lines!Z7))=TRUE,"",IF('500DC'!Z7="","ERR","")) &amp; IF(ISERROR(FIND($I$2,Lines!Z7))=TRUE,"",IF('800DC'!Z7="","ERR","")) &amp; IF(ISERROR(FIND($J$2,Lines!Z7))=TRUE,"",IF('1000'!Z7="","ERR",""))</f>
        <v/>
      </c>
      <c r="AA7" s="108" t="str">
        <f>IF(ISERROR(FIND($B$2,Lines!AA7))=TRUE,"",IF('750'!AA7="","ERR","")) &amp; IF(ISERROR(FIND($C$2,Lines!AA7))=TRUE,"",IF('500'!AA7="","ERR","")) &amp; IF(ISERROR(FIND($D$2,Lines!AA7))=TRUE,"",IF('330'!AA7="","ERR","")) &amp; IF(ISERROR(FIND($E$2,Lines!AA7))=TRUE,"",IF('220'!AA7="","ERR",""))&amp; IF(ISERROR(FIND($F$2,Lines!AA7))=TRUE,"",IF(AND('500DC'!AA7="",'800DC'!AA7=""),"ERR","")) &amp; IF(ISERROR(FIND($G$2,Lines!AA7))=TRUE,"",IF('1000'!AA7="","ERR","")) &amp; IF(ISERROR(FIND($H$2,Lines!AA7))=TRUE,"",IF('500DC'!AA7="","ERR","")) &amp; IF(ISERROR(FIND($I$2,Lines!AA7))=TRUE,"",IF('800DC'!AA7="","ERR","")) &amp; IF(ISERROR(FIND($J$2,Lines!AA7))=TRUE,"",IF('1000'!AA7="","ERR",""))</f>
        <v/>
      </c>
      <c r="AB7" s="108" t="str">
        <f>IF(ISERROR(FIND($B$2,Lines!AB7))=TRUE,"",IF('750'!AB7="","ERR","")) &amp; IF(ISERROR(FIND($C$2,Lines!AB7))=TRUE,"",IF('500'!AB7="","ERR","")) &amp; IF(ISERROR(FIND($D$2,Lines!AB7))=TRUE,"",IF('330'!AB7="","ERR","")) &amp; IF(ISERROR(FIND($E$2,Lines!AB7))=TRUE,"",IF('220'!AB7="","ERR",""))&amp; IF(ISERROR(FIND($F$2,Lines!AB7))=TRUE,"",IF(AND('500DC'!AB7="",'800DC'!AB7=""),"ERR","")) &amp; IF(ISERROR(FIND($G$2,Lines!AB7))=TRUE,"",IF('1000'!AB7="","ERR","")) &amp; IF(ISERROR(FIND($H$2,Lines!AB7))=TRUE,"",IF('500DC'!AB7="","ERR","")) &amp; IF(ISERROR(FIND($I$2,Lines!AB7))=TRUE,"",IF('800DC'!AB7="","ERR","")) &amp; IF(ISERROR(FIND($J$2,Lines!AB7))=TRUE,"",IF('1000'!AB7="","ERR",""))</f>
        <v/>
      </c>
      <c r="AC7" s="108" t="str">
        <f>IF(ISERROR(FIND($B$2,Lines!AC7))=TRUE,"",IF('750'!AC7="","ERR","")) &amp; IF(ISERROR(FIND($C$2,Lines!AC7))=TRUE,"",IF('500'!AC7="","ERR","")) &amp; IF(ISERROR(FIND($D$2,Lines!AC7))=TRUE,"",IF('330'!AC7="","ERR","")) &amp; IF(ISERROR(FIND($E$2,Lines!AC7))=TRUE,"",IF('220'!AC7="","ERR",""))&amp; IF(ISERROR(FIND($F$2,Lines!AC7))=TRUE,"",IF(AND('500DC'!AC7="",'800DC'!AC7=""),"ERR","")) &amp; IF(ISERROR(FIND($G$2,Lines!AC7))=TRUE,"",IF('1000'!AC7="","ERR","")) &amp; IF(ISERROR(FIND($H$2,Lines!AC7))=TRUE,"",IF('500DC'!AC7="","ERR","")) &amp; IF(ISERROR(FIND($I$2,Lines!AC7))=TRUE,"",IF('800DC'!AC7="","ERR","")) &amp; IF(ISERROR(FIND($J$2,Lines!AC7))=TRUE,"",IF('1000'!AC7="","ERR",""))</f>
        <v/>
      </c>
      <c r="AD7" s="108" t="str">
        <f>IF(ISERROR(FIND($B$2,Lines!AD7))=TRUE,"",IF('750'!AD7="","ERR","")) &amp; IF(ISERROR(FIND($C$2,Lines!AD7))=TRUE,"",IF('500'!AD7="","ERR","")) &amp; IF(ISERROR(FIND($D$2,Lines!AD7))=TRUE,"",IF('330'!AD7="","ERR","")) &amp; IF(ISERROR(FIND($E$2,Lines!AD7))=TRUE,"",IF('220'!AD7="","ERR",""))&amp; IF(ISERROR(FIND($F$2,Lines!AD7))=TRUE,"",IF(AND('500DC'!AD7="",'800DC'!AD7=""),"ERR","")) &amp; IF(ISERROR(FIND($G$2,Lines!AD7))=TRUE,"",IF('1000'!AD7="","ERR","")) &amp; IF(ISERROR(FIND($H$2,Lines!AD7))=TRUE,"",IF('500DC'!AD7="","ERR","")) &amp; IF(ISERROR(FIND($I$2,Lines!AD7))=TRUE,"",IF('800DC'!AD7="","ERR","")) &amp; IF(ISERROR(FIND($J$2,Lines!AD7))=TRUE,"",IF('1000'!AD7="","ERR",""))</f>
        <v/>
      </c>
      <c r="AE7" s="108" t="str">
        <f>IF(ISERROR(FIND($B$2,Lines!AE7))=TRUE,"",IF('750'!AE7="","ERR","")) &amp; IF(ISERROR(FIND($C$2,Lines!AE7))=TRUE,"",IF('500'!AE7="","ERR","")) &amp; IF(ISERROR(FIND($D$2,Lines!AE7))=TRUE,"",IF('330'!AE7="","ERR","")) &amp; IF(ISERROR(FIND($E$2,Lines!AE7))=TRUE,"",IF('220'!AE7="","ERR",""))&amp; IF(ISERROR(FIND($F$2,Lines!AE7))=TRUE,"",IF(AND('500DC'!AE7="",'800DC'!AE7=""),"ERR","")) &amp; IF(ISERROR(FIND($G$2,Lines!AE7))=TRUE,"",IF('1000'!AE7="","ERR","")) &amp; IF(ISERROR(FIND($H$2,Lines!AE7))=TRUE,"",IF('500DC'!AE7="","ERR","")) &amp; IF(ISERROR(FIND($I$2,Lines!AE7))=TRUE,"",IF('800DC'!AE7="","ERR","")) &amp; IF(ISERROR(FIND($J$2,Lines!AE7))=TRUE,"",IF('1000'!AE7="","ERR",""))</f>
        <v/>
      </c>
      <c r="AF7" s="108" t="str">
        <f>IF(ISERROR(FIND($B$2,Lines!AF7))=TRUE,"",IF('750'!AF7="","ERR","")) &amp; IF(ISERROR(FIND($C$2,Lines!AF7))=TRUE,"",IF('500'!AF7="","ERR","")) &amp; IF(ISERROR(FIND($D$2,Lines!AF7))=TRUE,"",IF('330'!AF7="","ERR","")) &amp; IF(ISERROR(FIND($E$2,Lines!AF7))=TRUE,"",IF('220'!AF7="","ERR",""))&amp; IF(ISERROR(FIND($F$2,Lines!AF7))=TRUE,"",IF(AND('500DC'!AF7="",'800DC'!AF7=""),"ERR","")) &amp; IF(ISERROR(FIND($G$2,Lines!AF7))=TRUE,"",IF('1000'!AF7="","ERR","")) &amp; IF(ISERROR(FIND($H$2,Lines!AF7))=TRUE,"",IF('500DC'!AF7="","ERR","")) &amp; IF(ISERROR(FIND($I$2,Lines!AF7))=TRUE,"",IF('800DC'!AF7="","ERR","")) &amp; IF(ISERROR(FIND($J$2,Lines!AF7))=TRUE,"",IF('1000'!AF7="","ERR",""))</f>
        <v/>
      </c>
      <c r="AG7" s="108" t="str">
        <f>IF(ISERROR(FIND($B$2,Lines!AG7))=TRUE,"",IF('750'!AG7="","ERR","")) &amp; IF(ISERROR(FIND($C$2,Lines!AG7))=TRUE,"",IF('500'!AG7="","ERR","")) &amp; IF(ISERROR(FIND($D$2,Lines!AG7))=TRUE,"",IF('330'!AG7="","ERR","")) &amp; IF(ISERROR(FIND($E$2,Lines!AG7))=TRUE,"",IF('220'!AG7="","ERR",""))&amp; IF(ISERROR(FIND($F$2,Lines!AG7))=TRUE,"",IF(AND('500DC'!AG7="",'800DC'!AG7=""),"ERR","")) &amp; IF(ISERROR(FIND($G$2,Lines!AG7))=TRUE,"",IF('1000'!AG7="","ERR","")) &amp; IF(ISERROR(FIND($H$2,Lines!AG7))=TRUE,"",IF('500DC'!AG7="","ERR","")) &amp; IF(ISERROR(FIND($I$2,Lines!AG7))=TRUE,"",IF('800DC'!AG7="","ERR","")) &amp; IF(ISERROR(FIND($J$2,Lines!AG7))=TRUE,"",IF('1000'!AG7="","ERR",""))</f>
        <v/>
      </c>
      <c r="AH7" s="108" t="str">
        <f>IF(ISERROR(FIND($B$2,Lines!AH7))=TRUE,"",IF('750'!AH7="","ERR","")) &amp; IF(ISERROR(FIND($C$2,Lines!AH7))=TRUE,"",IF('500'!AH7="","ERR","")) &amp; IF(ISERROR(FIND($D$2,Lines!AH7))=TRUE,"",IF('330'!AH7="","ERR","")) &amp; IF(ISERROR(FIND($E$2,Lines!AH7))=TRUE,"",IF('220'!AH7="","ERR",""))&amp; IF(ISERROR(FIND($F$2,Lines!AH7))=TRUE,"",IF(AND('500DC'!AH7="",'800DC'!AH7=""),"ERR","")) &amp; IF(ISERROR(FIND($G$2,Lines!AH7))=TRUE,"",IF('1000'!AH7="","ERR","")) &amp; IF(ISERROR(FIND($H$2,Lines!AH7))=TRUE,"",IF('500DC'!AH7="","ERR","")) &amp; IF(ISERROR(FIND($I$2,Lines!AH7))=TRUE,"",IF('800DC'!AH7="","ERR","")) &amp; IF(ISERROR(FIND($J$2,Lines!AH7))=TRUE,"",IF('1000'!AH7="","ERR",""))</f>
        <v/>
      </c>
      <c r="AI7" s="108" t="str">
        <f>IF(ISERROR(FIND($B$2,Lines!AI7))=TRUE,"",IF('750'!AI7="","ERR","")) &amp; IF(ISERROR(FIND($C$2,Lines!AI7))=TRUE,"",IF('500'!AI7="","ERR","")) &amp; IF(ISERROR(FIND($D$2,Lines!AI7))=TRUE,"",IF('330'!AI7="","ERR","")) &amp; IF(ISERROR(FIND($E$2,Lines!AI7))=TRUE,"",IF('220'!AI7="","ERR",""))&amp; IF(ISERROR(FIND($F$2,Lines!AI7))=TRUE,"",IF(AND('500DC'!AI7="",'800DC'!AI7=""),"ERR","")) &amp; IF(ISERROR(FIND($G$2,Lines!AI7))=TRUE,"",IF('1000'!AI7="","ERR","")) &amp; IF(ISERROR(FIND($H$2,Lines!AI7))=TRUE,"",IF('500DC'!AI7="","ERR","")) &amp; IF(ISERROR(FIND($I$2,Lines!AI7))=TRUE,"",IF('800DC'!AI7="","ERR","")) &amp; IF(ISERROR(FIND($J$2,Lines!AI7))=TRUE,"",IF('1000'!AI7="","ERR",""))</f>
        <v/>
      </c>
      <c r="AJ7" s="108" t="str">
        <f>IF(ISERROR(FIND($B$2,Lines!AJ7))=TRUE,"",IF('750'!AJ7="","ERR","")) &amp; IF(ISERROR(FIND($C$2,Lines!AJ7))=TRUE,"",IF('500'!AJ7="","ERR","")) &amp; IF(ISERROR(FIND($D$2,Lines!AJ7))=TRUE,"",IF('330'!AJ7="","ERR","")) &amp; IF(ISERROR(FIND($E$2,Lines!AJ7))=TRUE,"",IF('220'!AJ7="","ERR",""))&amp; IF(ISERROR(FIND($F$2,Lines!AJ7))=TRUE,"",IF(AND('500DC'!AJ7="",'800DC'!AJ7=""),"ERR","")) &amp; IF(ISERROR(FIND($G$2,Lines!AJ7))=TRUE,"",IF('1000'!AJ7="","ERR","")) &amp; IF(ISERROR(FIND($H$2,Lines!AJ7))=TRUE,"",IF('500DC'!AJ7="","ERR","")) &amp; IF(ISERROR(FIND($I$2,Lines!AJ7))=TRUE,"",IF('800DC'!AJ7="","ERR","")) &amp; IF(ISERROR(FIND($J$2,Lines!AJ7))=TRUE,"",IF('1000'!AJ7="","ERR",""))</f>
        <v/>
      </c>
      <c r="AK7" s="108" t="str">
        <f>IF(ISERROR(FIND($B$2,Lines!AK7))=TRUE,"",IF('750'!AK7="","ERR","")) &amp; IF(ISERROR(FIND($C$2,Lines!AK7))=TRUE,"",IF('500'!AK7="","ERR","")) &amp; IF(ISERROR(FIND($D$2,Lines!AK7))=TRUE,"",IF('330'!AK7="","ERR","")) &amp; IF(ISERROR(FIND($E$2,Lines!AK7))=TRUE,"",IF('220'!AK7="","ERR",""))&amp; IF(ISERROR(FIND($F$2,Lines!AK7))=TRUE,"",IF(AND('500DC'!AK7="",'800DC'!AK7=""),"ERR","")) &amp; IF(ISERROR(FIND($G$2,Lines!AK7))=TRUE,"",IF('1000'!AK7="","ERR","")) &amp; IF(ISERROR(FIND($H$2,Lines!AK7))=TRUE,"",IF('500DC'!AK7="","ERR","")) &amp; IF(ISERROR(FIND($I$2,Lines!AK7))=TRUE,"",IF('800DC'!AK7="","ERR","")) &amp; IF(ISERROR(FIND($J$2,Lines!AK7))=TRUE,"",IF('1000'!AK7="","ERR",""))</f>
        <v/>
      </c>
      <c r="AL7" s="108" t="str">
        <f>IF(ISERROR(FIND($B$2,Lines!AL7))=TRUE,"",IF('750'!AL7="","ERR","")) &amp; IF(ISERROR(FIND($C$2,Lines!AL7))=TRUE,"",IF('500'!AL7="","ERR","")) &amp; IF(ISERROR(FIND($D$2,Lines!AL7))=TRUE,"",IF('330'!AL7="","ERR","")) &amp; IF(ISERROR(FIND($E$2,Lines!AL7))=TRUE,"",IF('220'!AL7="","ERR",""))&amp; IF(ISERROR(FIND($F$2,Lines!AL7))=TRUE,"",IF(AND('500DC'!AL7="",'800DC'!AL7=""),"ERR","")) &amp; IF(ISERROR(FIND($G$2,Lines!AL7))=TRUE,"",IF('1000'!AL7="","ERR","")) &amp; IF(ISERROR(FIND($H$2,Lines!AL7))=TRUE,"",IF('500DC'!AL7="","ERR","")) &amp; IF(ISERROR(FIND($I$2,Lines!AL7))=TRUE,"",IF('800DC'!AL7="","ERR","")) &amp; IF(ISERROR(FIND($J$2,Lines!AL7))=TRUE,"",IF('1000'!AL7="","ERR",""))</f>
        <v/>
      </c>
      <c r="AM7" s="108" t="str">
        <f>IF(ISERROR(FIND($B$2,Lines!AM7))=TRUE,"",IF('750'!AM7="","ERR","")) &amp; IF(ISERROR(FIND($C$2,Lines!AM7))=TRUE,"",IF('500'!AM7="","ERR","")) &amp; IF(ISERROR(FIND($D$2,Lines!AM7))=TRUE,"",IF('330'!AM7="","ERR","")) &amp; IF(ISERROR(FIND($E$2,Lines!AM7))=TRUE,"",IF('220'!AM7="","ERR",""))&amp; IF(ISERROR(FIND($F$2,Lines!AM7))=TRUE,"",IF(AND('500DC'!AM7="",'800DC'!AM7=""),"ERR","")) &amp; IF(ISERROR(FIND($G$2,Lines!AM7))=TRUE,"",IF('1000'!AM7="","ERR","")) &amp; IF(ISERROR(FIND($H$2,Lines!AM7))=TRUE,"",IF('500DC'!AM7="","ERR","")) &amp; IF(ISERROR(FIND($I$2,Lines!AM7))=TRUE,"",IF('800DC'!AM7="","ERR","")) &amp; IF(ISERROR(FIND($J$2,Lines!AM7))=TRUE,"",IF('1000'!AM7="","ERR",""))</f>
        <v/>
      </c>
      <c r="AN7" s="108" t="str">
        <f>IF(ISERROR(FIND($B$2,Lines!AN7))=TRUE,"",IF('750'!AN7="","ERR","")) &amp; IF(ISERROR(FIND($C$2,Lines!AN7))=TRUE,"",IF('500'!AN7="","ERR","")) &amp; IF(ISERROR(FIND($D$2,Lines!AN7))=TRUE,"",IF('330'!AN7="","ERR","")) &amp; IF(ISERROR(FIND($E$2,Lines!AN7))=TRUE,"",IF('220'!AN7="","ERR",""))&amp; IF(ISERROR(FIND($F$2,Lines!AN7))=TRUE,"",IF(AND('500DC'!AN7="",'800DC'!AN7=""),"ERR","")) &amp; IF(ISERROR(FIND($G$2,Lines!AN7))=TRUE,"",IF('1000'!AN7="","ERR","")) &amp; IF(ISERROR(FIND($H$2,Lines!AN7))=TRUE,"",IF('500DC'!AN7="","ERR","")) &amp; IF(ISERROR(FIND($I$2,Lines!AN7))=TRUE,"",IF('800DC'!AN7="","ERR","")) &amp; IF(ISERROR(FIND($J$2,Lines!AN7))=TRUE,"",IF('1000'!AN7="","ERR",""))</f>
        <v/>
      </c>
      <c r="AO7" s="108" t="str">
        <f>IF(ISERROR(FIND($B$2,Lines!AO7))=TRUE,"",IF('750'!AO7="","ERR","")) &amp; IF(ISERROR(FIND($C$2,Lines!AO7))=TRUE,"",IF('500'!AO7="","ERR","")) &amp; IF(ISERROR(FIND($D$2,Lines!AO7))=TRUE,"",IF('330'!AO7="","ERR","")) &amp; IF(ISERROR(FIND($E$2,Lines!AO7))=TRUE,"",IF('220'!AO7="","ERR",""))&amp; IF(ISERROR(FIND($F$2,Lines!AO7))=TRUE,"",IF(AND('500DC'!AO7="",'800DC'!AO7=""),"ERR","")) &amp; IF(ISERROR(FIND($G$2,Lines!AO7))=TRUE,"",IF('1000'!AO7="","ERR","")) &amp; IF(ISERROR(FIND($H$2,Lines!AO7))=TRUE,"",IF('500DC'!AO7="","ERR","")) &amp; IF(ISERROR(FIND($I$2,Lines!AO7))=TRUE,"",IF('800DC'!AO7="","ERR","")) &amp; IF(ISERROR(FIND($J$2,Lines!AO7))=TRUE,"",IF('1000'!AO7="","ERR",""))</f>
        <v/>
      </c>
      <c r="AP7" s="108" t="str">
        <f>IF(ISERROR(FIND($B$2,Lines!AP7))=TRUE,"",IF('750'!AP7="","ERR","")) &amp; IF(ISERROR(FIND($C$2,Lines!AP7))=TRUE,"",IF('500'!AP7="","ERR","")) &amp; IF(ISERROR(FIND($D$2,Lines!AP7))=TRUE,"",IF('330'!AP7="","ERR","")) &amp; IF(ISERROR(FIND($E$2,Lines!AP7))=TRUE,"",IF('220'!AP7="","ERR",""))&amp; IF(ISERROR(FIND($F$2,Lines!AP7))=TRUE,"",IF(AND('500DC'!AP7="",'800DC'!AP7=""),"ERR","")) &amp; IF(ISERROR(FIND($G$2,Lines!AP7))=TRUE,"",IF('1000'!AP7="","ERR","")) &amp; IF(ISERROR(FIND($H$2,Lines!AP7))=TRUE,"",IF('500DC'!AP7="","ERR","")) &amp; IF(ISERROR(FIND($I$2,Lines!AP7))=TRUE,"",IF('800DC'!AP7="","ERR","")) &amp; IF(ISERROR(FIND($J$2,Lines!AP7))=TRUE,"",IF('1000'!AP7="","ERR",""))</f>
        <v/>
      </c>
      <c r="AQ7" s="108" t="str">
        <f>IF(ISERROR(FIND($B$2,Lines!AQ7))=TRUE,"",IF('750'!AQ7="","ERR","")) &amp; IF(ISERROR(FIND($C$2,Lines!AQ7))=TRUE,"",IF('500'!AQ7="","ERR","")) &amp; IF(ISERROR(FIND($D$2,Lines!AQ7))=TRUE,"",IF('330'!AQ7="","ERR","")) &amp; IF(ISERROR(FIND($E$2,Lines!AQ7))=TRUE,"",IF('220'!AQ7="","ERR",""))&amp; IF(ISERROR(FIND($F$2,Lines!AQ7))=TRUE,"",IF(AND('500DC'!AQ7="",'800DC'!AQ7=""),"ERR","")) &amp; IF(ISERROR(FIND($G$2,Lines!AQ7))=TRUE,"",IF('1000'!AQ7="","ERR","")) &amp; IF(ISERROR(FIND($H$2,Lines!AQ7))=TRUE,"",IF('500DC'!AQ7="","ERR","")) &amp; IF(ISERROR(FIND($I$2,Lines!AQ7))=TRUE,"",IF('800DC'!AQ7="","ERR","")) &amp; IF(ISERROR(FIND($J$2,Lines!AQ7))=TRUE,"",IF('1000'!AQ7="","ERR",""))</f>
        <v/>
      </c>
      <c r="AR7" s="108" t="str">
        <f>IF(ISERROR(FIND($B$2,Lines!AR7))=TRUE,"",IF('750'!AR7="","ERR","")) &amp; IF(ISERROR(FIND($C$2,Lines!AR7))=TRUE,"",IF('500'!AR7="","ERR","")) &amp; IF(ISERROR(FIND($D$2,Lines!AR7))=TRUE,"",IF('330'!AR7="","ERR","")) &amp; IF(ISERROR(FIND($E$2,Lines!AR7))=TRUE,"",IF('220'!AR7="","ERR",""))&amp; IF(ISERROR(FIND($F$2,Lines!AR7))=TRUE,"",IF(AND('500DC'!AR7="",'800DC'!AR7=""),"ERR","")) &amp; IF(ISERROR(FIND($G$2,Lines!AR7))=TRUE,"",IF('1000'!AR7="","ERR","")) &amp; IF(ISERROR(FIND($H$2,Lines!AR7))=TRUE,"",IF('500DC'!AR7="","ERR","")) &amp; IF(ISERROR(FIND($I$2,Lines!AR7))=TRUE,"",IF('800DC'!AR7="","ERR","")) &amp; IF(ISERROR(FIND($J$2,Lines!AR7))=TRUE,"",IF('1000'!AR7="","ERR",""))</f>
        <v/>
      </c>
      <c r="AS7" s="108" t="str">
        <f>IF(ISERROR(FIND($B$2,Lines!AS7))=TRUE,"",IF('750'!AS7="","ERR","")) &amp; IF(ISERROR(FIND($C$2,Lines!AS7))=TRUE,"",IF('500'!AS7="","ERR","")) &amp; IF(ISERROR(FIND($D$2,Lines!AS7))=TRUE,"",IF('330'!AS7="","ERR","")) &amp; IF(ISERROR(FIND($E$2,Lines!AS7))=TRUE,"",IF('220'!AS7="","ERR",""))&amp; IF(ISERROR(FIND($F$2,Lines!AS7))=TRUE,"",IF(AND('500DC'!AS7="",'800DC'!AS7=""),"ERR","")) &amp; IF(ISERROR(FIND($G$2,Lines!AS7))=TRUE,"",IF('1000'!AS7="","ERR","")) &amp; IF(ISERROR(FIND($H$2,Lines!AS7))=TRUE,"",IF('500DC'!AS7="","ERR","")) &amp; IF(ISERROR(FIND($I$2,Lines!AS7))=TRUE,"",IF('800DC'!AS7="","ERR","")) &amp; IF(ISERROR(FIND($J$2,Lines!AS7))=TRUE,"",IF('1000'!AS7="","ERR",""))</f>
        <v/>
      </c>
      <c r="AT7" s="108" t="str">
        <f>IF(ISERROR(FIND($B$2,Lines!AT7))=TRUE,"",IF('750'!AT7="","ERR","")) &amp; IF(ISERROR(FIND($C$2,Lines!AT7))=TRUE,"",IF('500'!AT7="","ERR","")) &amp; IF(ISERROR(FIND($D$2,Lines!AT7))=TRUE,"",IF('330'!AT7="","ERR","")) &amp; IF(ISERROR(FIND($E$2,Lines!AT7))=TRUE,"",IF('220'!AT7="","ERR",""))&amp; IF(ISERROR(FIND($F$2,Lines!AT7))=TRUE,"",IF(AND('500DC'!AT7="",'800DC'!AT7=""),"ERR","")) &amp; IF(ISERROR(FIND($G$2,Lines!AT7))=TRUE,"",IF('1000'!AT7="","ERR","")) &amp; IF(ISERROR(FIND($H$2,Lines!AT7))=TRUE,"",IF('500DC'!AT7="","ERR","")) &amp; IF(ISERROR(FIND($I$2,Lines!AT7))=TRUE,"",IF('800DC'!AT7="","ERR","")) &amp; IF(ISERROR(FIND($J$2,Lines!AT7))=TRUE,"",IF('1000'!AT7="","ERR",""))</f>
        <v/>
      </c>
    </row>
    <row r="8" spans="1:46" ht="20.25" customHeight="1">
      <c r="A8" s="2" t="s">
        <v>59</v>
      </c>
      <c r="B8" s="106" t="str">
        <f>IF(ISERROR(FIND($B$2,Lines!B8))=TRUE,"",IF('750'!B8="","ERR","")) &amp; IF(ISERROR(FIND($C$2,Lines!B8))=TRUE,"",IF('500'!B8="","ERR","")) &amp; IF(ISERROR(FIND($D$2,Lines!B8))=TRUE,"",IF('330'!B8="","ERR","")) &amp; IF(ISERROR(FIND($E$2,Lines!B8))=TRUE,"",IF('220'!B8="","ERR",""))&amp; IF(ISERROR(FIND($F$2,Lines!B8))=TRUE,"",IF(AND('500DC'!B8="",'800DC'!B8=""),"ERR","")) &amp; IF(ISERROR(FIND($G$2,Lines!B8))=TRUE,"",IF('1000'!B8="","ERR","")) &amp; IF(ISERROR(FIND($H$2,Lines!B8))=TRUE,"",IF('500DC'!B8="","ERR","")) &amp; IF(ISERROR(FIND($I$2,Lines!B8))=TRUE,"",IF('800DC'!B8="","ERR","")) &amp; IF(ISERROR(FIND($J$2,Lines!B8))=TRUE,"",IF('1000'!B8="","ERR",""))</f>
        <v/>
      </c>
      <c r="C8" s="106" t="str">
        <f>IF(ISERROR(FIND($B$2,Lines!C8))=TRUE,"",IF('750'!C8="","ERR","")) &amp; IF(ISERROR(FIND($C$2,Lines!C8))=TRUE,"",IF('500'!C8="","ERR","")) &amp; IF(ISERROR(FIND($D$2,Lines!C8))=TRUE,"",IF('330'!C8="","ERR","")) &amp; IF(ISERROR(FIND($E$2,Lines!C8))=TRUE,"",IF('220'!C8="","ERR",""))&amp; IF(ISERROR(FIND($F$2,Lines!C8))=TRUE,"",IF(AND('500DC'!C8="",'800DC'!C8=""),"ERR","")) &amp; IF(ISERROR(FIND($G$2,Lines!C8))=TRUE,"",IF('1000'!C8="","ERR","")) &amp; IF(ISERROR(FIND($H$2,Lines!C8))=TRUE,"",IF('500DC'!C8="","ERR","")) &amp; IF(ISERROR(FIND($I$2,Lines!C8))=TRUE,"",IF('800DC'!C8="","ERR","")) &amp; IF(ISERROR(FIND($J$2,Lines!C8))=TRUE,"",IF('1000'!C8="","ERR",""))</f>
        <v/>
      </c>
      <c r="D8" s="106" t="str">
        <f>IF(ISERROR(FIND($B$2,Lines!D8))=TRUE,"",IF('750'!D8="","ERR","")) &amp; IF(ISERROR(FIND($C$2,Lines!D8))=TRUE,"",IF('500'!D8="","ERR","")) &amp; IF(ISERROR(FIND($D$2,Lines!D8))=TRUE,"",IF('330'!D8="","ERR","")) &amp; IF(ISERROR(FIND($E$2,Lines!D8))=TRUE,"",IF('220'!D8="","ERR",""))&amp; IF(ISERROR(FIND($F$2,Lines!D8))=TRUE,"",IF(AND('500DC'!D8="",'800DC'!D8=""),"ERR","")) &amp; IF(ISERROR(FIND($G$2,Lines!D8))=TRUE,"",IF('1000'!D8="","ERR","")) &amp; IF(ISERROR(FIND($H$2,Lines!D8))=TRUE,"",IF('500DC'!D8="","ERR","")) &amp; IF(ISERROR(FIND($I$2,Lines!D8))=TRUE,"",IF('800DC'!D8="","ERR","")) &amp; IF(ISERROR(FIND($J$2,Lines!D8))=TRUE,"",IF('1000'!D8="","ERR",""))</f>
        <v/>
      </c>
      <c r="E8" s="106" t="str">
        <f>IF(ISERROR(FIND($B$2,Lines!E8))=TRUE,"",IF('750'!E8="","ERR","")) &amp; IF(ISERROR(FIND($C$2,Lines!E8))=TRUE,"",IF('500'!E8="","ERR","")) &amp; IF(ISERROR(FIND($D$2,Lines!E8))=TRUE,"",IF('330'!E8="","ERR","")) &amp; IF(ISERROR(FIND($E$2,Lines!E8))=TRUE,"",IF('220'!E8="","ERR",""))&amp; IF(ISERROR(FIND($F$2,Lines!E8))=TRUE,"",IF(AND('500DC'!E8="",'800DC'!E8=""),"ERR","")) &amp; IF(ISERROR(FIND($G$2,Lines!E8))=TRUE,"",IF('1000'!E8="","ERR","")) &amp; IF(ISERROR(FIND($H$2,Lines!E8))=TRUE,"",IF('500DC'!E8="","ERR","")) &amp; IF(ISERROR(FIND($I$2,Lines!E8))=TRUE,"",IF('800DC'!E8="","ERR","")) &amp; IF(ISERROR(FIND($J$2,Lines!E8))=TRUE,"",IF('1000'!E8="","ERR",""))</f>
        <v/>
      </c>
      <c r="F8" s="105" t="str">
        <f>IF(ISERROR(FIND($B$2,Lines!F8))=TRUE,"",IF('750'!F8="","ERR","")) &amp; IF(ISERROR(FIND($C$2,Lines!F8))=TRUE,"",IF('500'!F8="","ERR","")) &amp; IF(ISERROR(FIND($D$2,Lines!F8))=TRUE,"",IF('330'!F8="","ERR","")) &amp; IF(ISERROR(FIND($E$2,Lines!F8))=TRUE,"",IF('220'!F8="","ERR",""))&amp; IF(ISERROR(FIND($F$2,Lines!F8))=TRUE,"",IF(AND('500DC'!F8="",'800DC'!F8=""),"ERR","")) &amp; IF(ISERROR(FIND($G$2,Lines!F8))=TRUE,"",IF('1000'!F8="","ERR","")) &amp; IF(ISERROR(FIND($H$2,Lines!F8))=TRUE,"",IF('500DC'!F8="","ERR","")) &amp; IF(ISERROR(FIND($I$2,Lines!F8))=TRUE,"",IF('800DC'!F8="","ERR","")) &amp; IF(ISERROR(FIND($J$2,Lines!F8))=TRUE,"",IF('1000'!F8="","ERR",""))</f>
        <v/>
      </c>
      <c r="G8" s="106" t="str">
        <f>IF(ISERROR(FIND($B$2,Lines!G8))=TRUE,"",IF('750'!G8="","ERR","")) &amp; IF(ISERROR(FIND($C$2,Lines!G8))=TRUE,"",IF('500'!G8="","ERR","")) &amp; IF(ISERROR(FIND($D$2,Lines!G8))=TRUE,"",IF('330'!G8="","ERR","")) &amp; IF(ISERROR(FIND($E$2,Lines!G8))=TRUE,"",IF('220'!G8="","ERR",""))&amp; IF(ISERROR(FIND($F$2,Lines!G8))=TRUE,"",IF(AND('500DC'!G8="",'800DC'!G8=""),"ERR","")) &amp; IF(ISERROR(FIND($G$2,Lines!G8))=TRUE,"",IF('1000'!G8="","ERR","")) &amp; IF(ISERROR(FIND($H$2,Lines!G8))=TRUE,"",IF('500DC'!G8="","ERR","")) &amp; IF(ISERROR(FIND($I$2,Lines!G8))=TRUE,"",IF('800DC'!G8="","ERR","")) &amp; IF(ISERROR(FIND($J$2,Lines!G8))=TRUE,"",IF('1000'!G8="","ERR",""))</f>
        <v/>
      </c>
      <c r="H8" s="106" t="str">
        <f>IF(ISERROR(FIND($B$2,Lines!H8))=TRUE,"",IF('750'!H8="","ERR","")) &amp; IF(ISERROR(FIND($C$2,Lines!H8))=TRUE,"",IF('500'!H8="","ERR","")) &amp; IF(ISERROR(FIND($D$2,Lines!H8))=TRUE,"",IF('330'!H8="","ERR","")) &amp; IF(ISERROR(FIND($E$2,Lines!H8))=TRUE,"",IF('220'!H8="","ERR",""))&amp; IF(ISERROR(FIND($F$2,Lines!H8))=TRUE,"",IF(AND('500DC'!H8="",'800DC'!H8=""),"ERR","")) &amp; IF(ISERROR(FIND($G$2,Lines!H8))=TRUE,"",IF('1000'!H8="","ERR","")) &amp; IF(ISERROR(FIND($H$2,Lines!H8))=TRUE,"",IF('500DC'!H8="","ERR","")) &amp; IF(ISERROR(FIND($I$2,Lines!H8))=TRUE,"",IF('800DC'!H8="","ERR","")) &amp; IF(ISERROR(FIND($J$2,Lines!H8))=TRUE,"",IF('1000'!H8="","ERR",""))</f>
        <v/>
      </c>
      <c r="I8" s="106" t="str">
        <f>IF(ISERROR(FIND($B$2,Lines!I8))=TRUE,"",IF('750'!I8="","ERR","")) &amp; IF(ISERROR(FIND($C$2,Lines!I8))=TRUE,"",IF('500'!I8="","ERR","")) &amp; IF(ISERROR(FIND($D$2,Lines!I8))=TRUE,"",IF('330'!I8="","ERR","")) &amp; IF(ISERROR(FIND($E$2,Lines!I8))=TRUE,"",IF('220'!I8="","ERR",""))&amp; IF(ISERROR(FIND($F$2,Lines!I8))=TRUE,"",IF(AND('500DC'!I8="",'800DC'!I8=""),"ERR","")) &amp; IF(ISERROR(FIND($G$2,Lines!I8))=TRUE,"",IF('1000'!I8="","ERR","")) &amp; IF(ISERROR(FIND($H$2,Lines!I8))=TRUE,"",IF('500DC'!I8="","ERR","")) &amp; IF(ISERROR(FIND($I$2,Lines!I8))=TRUE,"",IF('800DC'!I8="","ERR","")) &amp; IF(ISERROR(FIND($J$2,Lines!I8))=TRUE,"",IF('1000'!I8="","ERR",""))</f>
        <v/>
      </c>
      <c r="J8" s="106" t="str">
        <f>IF(ISERROR(FIND($B$2,Lines!J8))=TRUE,"",IF('750'!J8="","ERR","")) &amp; IF(ISERROR(FIND($C$2,Lines!J8))=TRUE,"",IF('500'!J8="","ERR","")) &amp; IF(ISERROR(FIND($D$2,Lines!J8))=TRUE,"",IF('330'!J8="","ERR","")) &amp; IF(ISERROR(FIND($E$2,Lines!J8))=TRUE,"",IF('220'!J8="","ERR",""))&amp; IF(ISERROR(FIND($F$2,Lines!J8))=TRUE,"",IF(AND('500DC'!J8="",'800DC'!J8=""),"ERR","")) &amp; IF(ISERROR(FIND($G$2,Lines!J8))=TRUE,"",IF('1000'!J8="","ERR","")) &amp; IF(ISERROR(FIND($H$2,Lines!J8))=TRUE,"",IF('500DC'!J8="","ERR","")) &amp; IF(ISERROR(FIND($I$2,Lines!J8))=TRUE,"",IF('800DC'!J8="","ERR","")) &amp; IF(ISERROR(FIND($J$2,Lines!J8))=TRUE,"",IF('1000'!J8="","ERR",""))</f>
        <v/>
      </c>
      <c r="K8" s="106" t="str">
        <f>IF(ISERROR(FIND($B$2,Lines!K8))=TRUE,"",IF('750'!K8="","ERR","")) &amp; IF(ISERROR(FIND($C$2,Lines!K8))=TRUE,"",IF('500'!K8="","ERR","")) &amp; IF(ISERROR(FIND($D$2,Lines!K8))=TRUE,"",IF('330'!K8="","ERR","")) &amp; IF(ISERROR(FIND($E$2,Lines!K8))=TRUE,"",IF('220'!K8="","ERR",""))&amp; IF(ISERROR(FIND($F$2,Lines!K8))=TRUE,"",IF(AND('500DC'!K8="",'800DC'!K8=""),"ERR","")) &amp; IF(ISERROR(FIND($G$2,Lines!K8))=TRUE,"",IF('1000'!K8="","ERR","")) &amp; IF(ISERROR(FIND($H$2,Lines!K8))=TRUE,"",IF('500DC'!K8="","ERR","")) &amp; IF(ISERROR(FIND($I$2,Lines!K8))=TRUE,"",IF('800DC'!K8="","ERR","")) &amp; IF(ISERROR(FIND($J$2,Lines!K8))=TRUE,"",IF('1000'!K8="","ERR",""))</f>
        <v/>
      </c>
      <c r="L8" s="106" t="str">
        <f>IF(ISERROR(FIND($B$2,Lines!L8))=TRUE,"",IF('750'!L8="","ERR","")) &amp; IF(ISERROR(FIND($C$2,Lines!L8))=TRUE,"",IF('500'!L8="","ERR","")) &amp; IF(ISERROR(FIND($D$2,Lines!L8))=TRUE,"",IF('330'!L8="","ERR","")) &amp; IF(ISERROR(FIND($E$2,Lines!L8))=TRUE,"",IF('220'!L8="","ERR",""))&amp; IF(ISERROR(FIND($F$2,Lines!L8))=TRUE,"",IF(AND('500DC'!L8="",'800DC'!L8=""),"ERR","")) &amp; IF(ISERROR(FIND($G$2,Lines!L8))=TRUE,"",IF('1000'!L8="","ERR","")) &amp; IF(ISERROR(FIND($H$2,Lines!L8))=TRUE,"",IF('500DC'!L8="","ERR","")) &amp; IF(ISERROR(FIND($I$2,Lines!L8))=TRUE,"",IF('800DC'!L8="","ERR","")) &amp; IF(ISERROR(FIND($J$2,Lines!L8))=TRUE,"",IF('1000'!L8="","ERR",""))</f>
        <v/>
      </c>
      <c r="M8" s="107" t="str">
        <f>IF(ISERROR(FIND($B$2,Lines!M8))=TRUE,"",IF('750'!M8="","ERR","")) &amp; IF(ISERROR(FIND($C$2,Lines!M8))=TRUE,"",IF('500'!M8="","ERR","")) &amp; IF(ISERROR(FIND($D$2,Lines!M8))=TRUE,"",IF('330'!M8="","ERR","")) &amp; IF(ISERROR(FIND($E$2,Lines!M8))=TRUE,"",IF('220'!M8="","ERR",""))&amp; IF(ISERROR(FIND($F$2,Lines!M8))=TRUE,"",IF(AND('500DC'!M8="",'800DC'!M8=""),"ERR","")) &amp; IF(ISERROR(FIND($G$2,Lines!M8))=TRUE,"",IF('1000'!M8="","ERR","")) &amp; IF(ISERROR(FIND($H$2,Lines!M8))=TRUE,"",IF('500DC'!M8="","ERR","")) &amp; IF(ISERROR(FIND($I$2,Lines!M8))=TRUE,"",IF('800DC'!M8="","ERR","")) &amp; IF(ISERROR(FIND($J$2,Lines!M8))=TRUE,"",IF('1000'!M8="","ERR",""))</f>
        <v/>
      </c>
      <c r="N8" s="108" t="str">
        <f>IF(ISERROR(FIND($B$2,Lines!N8))=TRUE,"",IF('750'!N8="","ERR","")) &amp; IF(ISERROR(FIND($C$2,Lines!N8))=TRUE,"",IF('500'!N8="","ERR","")) &amp; IF(ISERROR(FIND($D$2,Lines!N8))=TRUE,"",IF('330'!N8="","ERR","")) &amp; IF(ISERROR(FIND($E$2,Lines!N8))=TRUE,"",IF('220'!N8="","ERR",""))&amp; IF(ISERROR(FIND($F$2,Lines!N8))=TRUE,"",IF(AND('500DC'!N8="",'800DC'!N8=""),"ERR","")) &amp; IF(ISERROR(FIND($G$2,Lines!N8))=TRUE,"",IF('1000'!N8="","ERR","")) &amp; IF(ISERROR(FIND($H$2,Lines!N8))=TRUE,"",IF('500DC'!N8="","ERR","")) &amp; IF(ISERROR(FIND($I$2,Lines!N8))=TRUE,"",IF('800DC'!N8="","ERR","")) &amp; IF(ISERROR(FIND($J$2,Lines!N8))=TRUE,"",IF('1000'!N8="","ERR",""))</f>
        <v/>
      </c>
      <c r="O8" s="108" t="str">
        <f>IF(ISERROR(FIND($B$2,Lines!O8))=TRUE,"",IF('750'!O8="","ERR","")) &amp; IF(ISERROR(FIND($C$2,Lines!O8))=TRUE,"",IF('500'!O8="","ERR","")) &amp; IF(ISERROR(FIND($D$2,Lines!O8))=TRUE,"",IF('330'!O8="","ERR","")) &amp; IF(ISERROR(FIND($E$2,Lines!O8))=TRUE,"",IF('220'!O8="","ERR",""))&amp; IF(ISERROR(FIND($F$2,Lines!O8))=TRUE,"",IF(AND('500DC'!O8="",'800DC'!O8=""),"ERR","")) &amp; IF(ISERROR(FIND($G$2,Lines!O8))=TRUE,"",IF('1000'!O8="","ERR","")) &amp; IF(ISERROR(FIND($H$2,Lines!O8))=TRUE,"",IF('500DC'!O8="","ERR","")) &amp; IF(ISERROR(FIND($I$2,Lines!O8))=TRUE,"",IF('800DC'!O8="","ERR","")) &amp; IF(ISERROR(FIND($J$2,Lines!O8))=TRUE,"",IF('1000'!O8="","ERR",""))</f>
        <v/>
      </c>
      <c r="P8" s="108" t="str">
        <f>IF(ISERROR(FIND($B$2,Lines!P8))=TRUE,"",IF('750'!P8="","ERR","")) &amp; IF(ISERROR(FIND($C$2,Lines!P8))=TRUE,"",IF('500'!P8="","ERR","")) &amp; IF(ISERROR(FIND($D$2,Lines!P8))=TRUE,"",IF('330'!P8="","ERR","")) &amp; IF(ISERROR(FIND($E$2,Lines!P8))=TRUE,"",IF('220'!P8="","ERR",""))&amp; IF(ISERROR(FIND($F$2,Lines!P8))=TRUE,"",IF(AND('500DC'!P8="",'800DC'!P8=""),"ERR","")) &amp; IF(ISERROR(FIND($G$2,Lines!P8))=TRUE,"",IF('1000'!P8="","ERR","")) &amp; IF(ISERROR(FIND($H$2,Lines!P8))=TRUE,"",IF('500DC'!P8="","ERR","")) &amp; IF(ISERROR(FIND($I$2,Lines!P8))=TRUE,"",IF('800DC'!P8="","ERR","")) &amp; IF(ISERROR(FIND($J$2,Lines!P8))=TRUE,"",IF('1000'!P8="","ERR",""))</f>
        <v/>
      </c>
      <c r="Q8" s="108" t="str">
        <f>IF(ISERROR(FIND($B$2,Lines!Q8))=TRUE,"",IF('750'!Q8="","ERR","")) &amp; IF(ISERROR(FIND($C$2,Lines!Q8))=TRUE,"",IF('500'!Q8="","ERR","")) &amp; IF(ISERROR(FIND($D$2,Lines!Q8))=TRUE,"",IF('330'!Q8="","ERR","")) &amp; IF(ISERROR(FIND($E$2,Lines!Q8))=TRUE,"",IF('220'!Q8="","ERR",""))&amp; IF(ISERROR(FIND($F$2,Lines!Q8))=TRUE,"",IF(AND('500DC'!Q8="",'800DC'!Q8=""),"ERR","")) &amp; IF(ISERROR(FIND($G$2,Lines!Q8))=TRUE,"",IF('1000'!Q8="","ERR","")) &amp; IF(ISERROR(FIND($H$2,Lines!Q8))=TRUE,"",IF('500DC'!Q8="","ERR","")) &amp; IF(ISERROR(FIND($I$2,Lines!Q8))=TRUE,"",IF('800DC'!Q8="","ERR","")) &amp; IF(ISERROR(FIND($J$2,Lines!Q8))=TRUE,"",IF('1000'!Q8="","ERR",""))</f>
        <v/>
      </c>
      <c r="R8" s="108" t="str">
        <f>IF(ISERROR(FIND($B$2,Lines!R8))=TRUE,"",IF('750'!R8="","ERR","")) &amp; IF(ISERROR(FIND($C$2,Lines!R8))=TRUE,"",IF('500'!R8="","ERR","")) &amp; IF(ISERROR(FIND($D$2,Lines!R8))=TRUE,"",IF('330'!R8="","ERR","")) &amp; IF(ISERROR(FIND($E$2,Lines!R8))=TRUE,"",IF('220'!R8="","ERR",""))&amp; IF(ISERROR(FIND($F$2,Lines!R8))=TRUE,"",IF(AND('500DC'!R8="",'800DC'!R8=""),"ERR","")) &amp; IF(ISERROR(FIND($G$2,Lines!R8))=TRUE,"",IF('1000'!R8="","ERR","")) &amp; IF(ISERROR(FIND($H$2,Lines!R8))=TRUE,"",IF('500DC'!R8="","ERR","")) &amp; IF(ISERROR(FIND($I$2,Lines!R8))=TRUE,"",IF('800DC'!R8="","ERR","")) &amp; IF(ISERROR(FIND($J$2,Lines!R8))=TRUE,"",IF('1000'!R8="","ERR",""))</f>
        <v/>
      </c>
      <c r="S8" s="108" t="str">
        <f>IF(ISERROR(FIND($B$2,Lines!S8))=TRUE,"",IF('750'!S8="","ERR","")) &amp; IF(ISERROR(FIND($C$2,Lines!S8))=TRUE,"",IF('500'!S8="","ERR","")) &amp; IF(ISERROR(FIND($D$2,Lines!S8))=TRUE,"",IF('330'!S8="","ERR","")) &amp; IF(ISERROR(FIND($E$2,Lines!S8))=TRUE,"",IF('220'!S8="","ERR",""))&amp; IF(ISERROR(FIND($F$2,Lines!S8))=TRUE,"",IF(AND('500DC'!S8="",'800DC'!S8=""),"ERR","")) &amp; IF(ISERROR(FIND($G$2,Lines!S8))=TRUE,"",IF('1000'!S8="","ERR","")) &amp; IF(ISERROR(FIND($H$2,Lines!S8))=TRUE,"",IF('500DC'!S8="","ERR","")) &amp; IF(ISERROR(FIND($I$2,Lines!S8))=TRUE,"",IF('800DC'!S8="","ERR","")) &amp; IF(ISERROR(FIND($J$2,Lines!S8))=TRUE,"",IF('1000'!S8="","ERR",""))</f>
        <v/>
      </c>
      <c r="T8" s="108" t="str">
        <f>IF(ISERROR(FIND($B$2,Lines!T8))=TRUE,"",IF('750'!T8="","ERR","")) &amp; IF(ISERROR(FIND($C$2,Lines!T8))=TRUE,"",IF('500'!T8="","ERR","")) &amp; IF(ISERROR(FIND($D$2,Lines!T8))=TRUE,"",IF('330'!T8="","ERR","")) &amp; IF(ISERROR(FIND($E$2,Lines!T8))=TRUE,"",IF('220'!T8="","ERR",""))&amp; IF(ISERROR(FIND($F$2,Lines!T8))=TRUE,"",IF(AND('500DC'!T8="",'800DC'!T8=""),"ERR","")) &amp; IF(ISERROR(FIND($G$2,Lines!T8))=TRUE,"",IF('1000'!T8="","ERR","")) &amp; IF(ISERROR(FIND($H$2,Lines!T8))=TRUE,"",IF('500DC'!T8="","ERR","")) &amp; IF(ISERROR(FIND($I$2,Lines!T8))=TRUE,"",IF('800DC'!T8="","ERR","")) &amp; IF(ISERROR(FIND($J$2,Lines!T8))=TRUE,"",IF('1000'!T8="","ERR",""))</f>
        <v/>
      </c>
      <c r="U8" s="108" t="str">
        <f>IF(ISERROR(FIND($B$2,Lines!U8))=TRUE,"",IF('750'!U8="","ERR","")) &amp; IF(ISERROR(FIND($C$2,Lines!U8))=TRUE,"",IF('500'!U8="","ERR","")) &amp; IF(ISERROR(FIND($D$2,Lines!U8))=TRUE,"",IF('330'!U8="","ERR","")) &amp; IF(ISERROR(FIND($E$2,Lines!U8))=TRUE,"",IF('220'!U8="","ERR",""))&amp; IF(ISERROR(FIND($F$2,Lines!U8))=TRUE,"",IF(AND('500DC'!U8="",'800DC'!U8=""),"ERR","")) &amp; IF(ISERROR(FIND($G$2,Lines!U8))=TRUE,"",IF('1000'!U8="","ERR","")) &amp; IF(ISERROR(FIND($H$2,Lines!U8))=TRUE,"",IF('500DC'!U8="","ERR","")) &amp; IF(ISERROR(FIND($I$2,Lines!U8))=TRUE,"",IF('800DC'!U8="","ERR","")) &amp; IF(ISERROR(FIND($J$2,Lines!U8))=TRUE,"",IF('1000'!U8="","ERR",""))</f>
        <v/>
      </c>
      <c r="V8" s="108" t="str">
        <f>IF(ISERROR(FIND($B$2,Lines!V8))=TRUE,"",IF('750'!V8="","ERR","")) &amp; IF(ISERROR(FIND($C$2,Lines!V8))=TRUE,"",IF('500'!V8="","ERR","")) &amp; IF(ISERROR(FIND($D$2,Lines!V8))=TRUE,"",IF('330'!V8="","ERR","")) &amp; IF(ISERROR(FIND($E$2,Lines!V8))=TRUE,"",IF('220'!V8="","ERR",""))&amp; IF(ISERROR(FIND($F$2,Lines!V8))=TRUE,"",IF(AND('500DC'!V8="",'800DC'!V8=""),"ERR","")) &amp; IF(ISERROR(FIND($G$2,Lines!V8))=TRUE,"",IF('1000'!V8="","ERR","")) &amp; IF(ISERROR(FIND($H$2,Lines!V8))=TRUE,"",IF('500DC'!V8="","ERR","")) &amp; IF(ISERROR(FIND($I$2,Lines!V8))=TRUE,"",IF('800DC'!V8="","ERR","")) &amp; IF(ISERROR(FIND($J$2,Lines!V8))=TRUE,"",IF('1000'!V8="","ERR",""))</f>
        <v/>
      </c>
      <c r="W8" s="109" t="str">
        <f>IF(ISERROR(FIND($B$2,Lines!W8))=TRUE,"",IF('750'!W8="","ERR","")) &amp; IF(ISERROR(FIND($C$2,Lines!W8))=TRUE,"",IF('500'!W8="","ERR","")) &amp; IF(ISERROR(FIND($D$2,Lines!W8))=TRUE,"",IF('330'!W8="","ERR","")) &amp; IF(ISERROR(FIND($E$2,Lines!W8))=TRUE,"",IF('220'!W8="","ERR",""))&amp; IF(ISERROR(FIND($F$2,Lines!W8))=TRUE,"",IF(AND('500DC'!W8="",'800DC'!W8=""),"ERR","")) &amp; IF(ISERROR(FIND($G$2,Lines!W8))=TRUE,"",IF('1000'!W8="","ERR","")) &amp; IF(ISERROR(FIND($H$2,Lines!W8))=TRUE,"",IF('500DC'!W8="","ERR","")) &amp; IF(ISERROR(FIND($I$2,Lines!W8))=TRUE,"",IF('800DC'!W8="","ERR","")) &amp; IF(ISERROR(FIND($J$2,Lines!W8))=TRUE,"",IF('1000'!W8="","ERR",""))</f>
        <v/>
      </c>
      <c r="X8" s="108" t="str">
        <f>IF(ISERROR(FIND($B$2,Lines!X8))=TRUE,"",IF('750'!X8="","ERR","")) &amp; IF(ISERROR(FIND($C$2,Lines!X8))=TRUE,"",IF('500'!X8="","ERR","")) &amp; IF(ISERROR(FIND($D$2,Lines!X8))=TRUE,"",IF('330'!X8="","ERR","")) &amp; IF(ISERROR(FIND($E$2,Lines!X8))=TRUE,"",IF('220'!X8="","ERR",""))&amp; IF(ISERROR(FIND($F$2,Lines!X8))=TRUE,"",IF(AND('500DC'!X8="",'800DC'!X8=""),"ERR","")) &amp; IF(ISERROR(FIND($G$2,Lines!X8))=TRUE,"",IF('1000'!X8="","ERR","")) &amp; IF(ISERROR(FIND($H$2,Lines!X8))=TRUE,"",IF('500DC'!X8="","ERR","")) &amp; IF(ISERROR(FIND($I$2,Lines!X8))=TRUE,"",IF('800DC'!X8="","ERR","")) &amp; IF(ISERROR(FIND($J$2,Lines!X8))=TRUE,"",IF('1000'!X8="","ERR",""))</f>
        <v/>
      </c>
      <c r="Y8" s="108" t="str">
        <f>IF(ISERROR(FIND($B$2,Lines!Y8))=TRUE,"",IF('750'!Y8="","ERR","")) &amp; IF(ISERROR(FIND($C$2,Lines!Y8))=TRUE,"",IF('500'!Y8="","ERR","")) &amp; IF(ISERROR(FIND($D$2,Lines!Y8))=TRUE,"",IF('330'!Y8="","ERR","")) &amp; IF(ISERROR(FIND($E$2,Lines!Y8))=TRUE,"",IF('220'!Y8="","ERR",""))&amp; IF(ISERROR(FIND($F$2,Lines!Y8))=TRUE,"",IF(AND('500DC'!Y8="",'800DC'!Y8=""),"ERR","")) &amp; IF(ISERROR(FIND($G$2,Lines!Y8))=TRUE,"",IF('1000'!Y8="","ERR","")) &amp; IF(ISERROR(FIND($H$2,Lines!Y8))=TRUE,"",IF('500DC'!Y8="","ERR","")) &amp; IF(ISERROR(FIND($I$2,Lines!Y8))=TRUE,"",IF('800DC'!Y8="","ERR","")) &amp; IF(ISERROR(FIND($J$2,Lines!Y8))=TRUE,"",IF('1000'!Y8="","ERR",""))</f>
        <v/>
      </c>
      <c r="Z8" s="108" t="str">
        <f>IF(ISERROR(FIND($B$2,Lines!Z8))=TRUE,"",IF('750'!Z8="","ERR","")) &amp; IF(ISERROR(FIND($C$2,Lines!Z8))=TRUE,"",IF('500'!Z8="","ERR","")) &amp; IF(ISERROR(FIND($D$2,Lines!Z8))=TRUE,"",IF('330'!Z8="","ERR","")) &amp; IF(ISERROR(FIND($E$2,Lines!Z8))=TRUE,"",IF('220'!Z8="","ERR",""))&amp; IF(ISERROR(FIND($F$2,Lines!Z8))=TRUE,"",IF(AND('500DC'!Z8="",'800DC'!Z8=""),"ERR","")) &amp; IF(ISERROR(FIND($G$2,Lines!Z8))=TRUE,"",IF('1000'!Z8="","ERR","")) &amp; IF(ISERROR(FIND($H$2,Lines!Z8))=TRUE,"",IF('500DC'!Z8="","ERR","")) &amp; IF(ISERROR(FIND($I$2,Lines!Z8))=TRUE,"",IF('800DC'!Z8="","ERR","")) &amp; IF(ISERROR(FIND($J$2,Lines!Z8))=TRUE,"",IF('1000'!Z8="","ERR",""))</f>
        <v/>
      </c>
      <c r="AA8" s="108" t="str">
        <f>IF(ISERROR(FIND($B$2,Lines!AA8))=TRUE,"",IF('750'!AA8="","ERR","")) &amp; IF(ISERROR(FIND($C$2,Lines!AA8))=TRUE,"",IF('500'!AA8="","ERR","")) &amp; IF(ISERROR(FIND($D$2,Lines!AA8))=TRUE,"",IF('330'!AA8="","ERR","")) &amp; IF(ISERROR(FIND($E$2,Lines!AA8))=TRUE,"",IF('220'!AA8="","ERR",""))&amp; IF(ISERROR(FIND($F$2,Lines!AA8))=TRUE,"",IF(AND('500DC'!AA8="",'800DC'!AA8=""),"ERR","")) &amp; IF(ISERROR(FIND($G$2,Lines!AA8))=TRUE,"",IF('1000'!AA8="","ERR","")) &amp; IF(ISERROR(FIND($H$2,Lines!AA8))=TRUE,"",IF('500DC'!AA8="","ERR","")) &amp; IF(ISERROR(FIND($I$2,Lines!AA8))=TRUE,"",IF('800DC'!AA8="","ERR","")) &amp; IF(ISERROR(FIND($J$2,Lines!AA8))=TRUE,"",IF('1000'!AA8="","ERR",""))</f>
        <v/>
      </c>
      <c r="AB8" s="108" t="str">
        <f>IF(ISERROR(FIND($B$2,Lines!AB8))=TRUE,"",IF('750'!AB8="","ERR","")) &amp; IF(ISERROR(FIND($C$2,Lines!AB8))=TRUE,"",IF('500'!AB8="","ERR","")) &amp; IF(ISERROR(FIND($D$2,Lines!AB8))=TRUE,"",IF('330'!AB8="","ERR","")) &amp; IF(ISERROR(FIND($E$2,Lines!AB8))=TRUE,"",IF('220'!AB8="","ERR",""))&amp; IF(ISERROR(FIND($F$2,Lines!AB8))=TRUE,"",IF(AND('500DC'!AB8="",'800DC'!AB8=""),"ERR","")) &amp; IF(ISERROR(FIND($G$2,Lines!AB8))=TRUE,"",IF('1000'!AB8="","ERR","")) &amp; IF(ISERROR(FIND($H$2,Lines!AB8))=TRUE,"",IF('500DC'!AB8="","ERR","")) &amp; IF(ISERROR(FIND($I$2,Lines!AB8))=TRUE,"",IF('800DC'!AB8="","ERR","")) &amp; IF(ISERROR(FIND($J$2,Lines!AB8))=TRUE,"",IF('1000'!AB8="","ERR",""))</f>
        <v/>
      </c>
      <c r="AC8" s="108" t="str">
        <f>IF(ISERROR(FIND($B$2,Lines!AC8))=TRUE,"",IF('750'!AC8="","ERR","")) &amp; IF(ISERROR(FIND($C$2,Lines!AC8))=TRUE,"",IF('500'!AC8="","ERR","")) &amp; IF(ISERROR(FIND($D$2,Lines!AC8))=TRUE,"",IF('330'!AC8="","ERR","")) &amp; IF(ISERROR(FIND($E$2,Lines!AC8))=TRUE,"",IF('220'!AC8="","ERR",""))&amp; IF(ISERROR(FIND($F$2,Lines!AC8))=TRUE,"",IF(AND('500DC'!AC8="",'800DC'!AC8=""),"ERR","")) &amp; IF(ISERROR(FIND($G$2,Lines!AC8))=TRUE,"",IF('1000'!AC8="","ERR","")) &amp; IF(ISERROR(FIND($H$2,Lines!AC8))=TRUE,"",IF('500DC'!AC8="","ERR","")) &amp; IF(ISERROR(FIND($I$2,Lines!AC8))=TRUE,"",IF('800DC'!AC8="","ERR","")) &amp; IF(ISERROR(FIND($J$2,Lines!AC8))=TRUE,"",IF('1000'!AC8="","ERR",""))</f>
        <v/>
      </c>
      <c r="AD8" s="108" t="str">
        <f>IF(ISERROR(FIND($B$2,Lines!AD8))=TRUE,"",IF('750'!AD8="","ERR","")) &amp; IF(ISERROR(FIND($C$2,Lines!AD8))=TRUE,"",IF('500'!AD8="","ERR","")) &amp; IF(ISERROR(FIND($D$2,Lines!AD8))=TRUE,"",IF('330'!AD8="","ERR","")) &amp; IF(ISERROR(FIND($E$2,Lines!AD8))=TRUE,"",IF('220'!AD8="","ERR",""))&amp; IF(ISERROR(FIND($F$2,Lines!AD8))=TRUE,"",IF(AND('500DC'!AD8="",'800DC'!AD8=""),"ERR","")) &amp; IF(ISERROR(FIND($G$2,Lines!AD8))=TRUE,"",IF('1000'!AD8="","ERR","")) &amp; IF(ISERROR(FIND($H$2,Lines!AD8))=TRUE,"",IF('500DC'!AD8="","ERR","")) &amp; IF(ISERROR(FIND($I$2,Lines!AD8))=TRUE,"",IF('800DC'!AD8="","ERR","")) &amp; IF(ISERROR(FIND($J$2,Lines!AD8))=TRUE,"",IF('1000'!AD8="","ERR",""))</f>
        <v/>
      </c>
      <c r="AE8" s="108" t="str">
        <f>IF(ISERROR(FIND($B$2,Lines!AE8))=TRUE,"",IF('750'!AE8="","ERR","")) &amp; IF(ISERROR(FIND($C$2,Lines!AE8))=TRUE,"",IF('500'!AE8="","ERR","")) &amp; IF(ISERROR(FIND($D$2,Lines!AE8))=TRUE,"",IF('330'!AE8="","ERR","")) &amp; IF(ISERROR(FIND($E$2,Lines!AE8))=TRUE,"",IF('220'!AE8="","ERR",""))&amp; IF(ISERROR(FIND($F$2,Lines!AE8))=TRUE,"",IF(AND('500DC'!AE8="",'800DC'!AE8=""),"ERR","")) &amp; IF(ISERROR(FIND($G$2,Lines!AE8))=TRUE,"",IF('1000'!AE8="","ERR","")) &amp; IF(ISERROR(FIND($H$2,Lines!AE8))=TRUE,"",IF('500DC'!AE8="","ERR","")) &amp; IF(ISERROR(FIND($I$2,Lines!AE8))=TRUE,"",IF('800DC'!AE8="","ERR","")) &amp; IF(ISERROR(FIND($J$2,Lines!AE8))=TRUE,"",IF('1000'!AE8="","ERR",""))</f>
        <v/>
      </c>
      <c r="AF8" s="108" t="str">
        <f>IF(ISERROR(FIND($B$2,Lines!AF8))=TRUE,"",IF('750'!AF8="","ERR","")) &amp; IF(ISERROR(FIND($C$2,Lines!AF8))=TRUE,"",IF('500'!AF8="","ERR","")) &amp; IF(ISERROR(FIND($D$2,Lines!AF8))=TRUE,"",IF('330'!AF8="","ERR","")) &amp; IF(ISERROR(FIND($E$2,Lines!AF8))=TRUE,"",IF('220'!AF8="","ERR",""))&amp; IF(ISERROR(FIND($F$2,Lines!AF8))=TRUE,"",IF(AND('500DC'!AF8="",'800DC'!AF8=""),"ERR","")) &amp; IF(ISERROR(FIND($G$2,Lines!AF8))=TRUE,"",IF('1000'!AF8="","ERR","")) &amp; IF(ISERROR(FIND($H$2,Lines!AF8))=TRUE,"",IF('500DC'!AF8="","ERR","")) &amp; IF(ISERROR(FIND($I$2,Lines!AF8))=TRUE,"",IF('800DC'!AF8="","ERR","")) &amp; IF(ISERROR(FIND($J$2,Lines!AF8))=TRUE,"",IF('1000'!AF8="","ERR",""))</f>
        <v/>
      </c>
      <c r="AG8" s="108" t="str">
        <f>IF(ISERROR(FIND($B$2,Lines!AG8))=TRUE,"",IF('750'!AG8="","ERR","")) &amp; IF(ISERROR(FIND($C$2,Lines!AG8))=TRUE,"",IF('500'!AG8="","ERR","")) &amp; IF(ISERROR(FIND($D$2,Lines!AG8))=TRUE,"",IF('330'!AG8="","ERR","")) &amp; IF(ISERROR(FIND($E$2,Lines!AG8))=TRUE,"",IF('220'!AG8="","ERR",""))&amp; IF(ISERROR(FIND($F$2,Lines!AG8))=TRUE,"",IF(AND('500DC'!AG8="",'800DC'!AG8=""),"ERR","")) &amp; IF(ISERROR(FIND($G$2,Lines!AG8))=TRUE,"",IF('1000'!AG8="","ERR","")) &amp; IF(ISERROR(FIND($H$2,Lines!AG8))=TRUE,"",IF('500DC'!AG8="","ERR","")) &amp; IF(ISERROR(FIND($I$2,Lines!AG8))=TRUE,"",IF('800DC'!AG8="","ERR","")) &amp; IF(ISERROR(FIND($J$2,Lines!AG8))=TRUE,"",IF('1000'!AG8="","ERR",""))</f>
        <v/>
      </c>
      <c r="AH8" s="108" t="str">
        <f>IF(ISERROR(FIND($B$2,Lines!AH8))=TRUE,"",IF('750'!AH8="","ERR","")) &amp; IF(ISERROR(FIND($C$2,Lines!AH8))=TRUE,"",IF('500'!AH8="","ERR","")) &amp; IF(ISERROR(FIND($D$2,Lines!AH8))=TRUE,"",IF('330'!AH8="","ERR","")) &amp; IF(ISERROR(FIND($E$2,Lines!AH8))=TRUE,"",IF('220'!AH8="","ERR",""))&amp; IF(ISERROR(FIND($F$2,Lines!AH8))=TRUE,"",IF(AND('500DC'!AH8="",'800DC'!AH8=""),"ERR","")) &amp; IF(ISERROR(FIND($G$2,Lines!AH8))=TRUE,"",IF('1000'!AH8="","ERR","")) &amp; IF(ISERROR(FIND($H$2,Lines!AH8))=TRUE,"",IF('500DC'!AH8="","ERR","")) &amp; IF(ISERROR(FIND($I$2,Lines!AH8))=TRUE,"",IF('800DC'!AH8="","ERR","")) &amp; IF(ISERROR(FIND($J$2,Lines!AH8))=TRUE,"",IF('1000'!AH8="","ERR",""))</f>
        <v/>
      </c>
      <c r="AI8" s="108" t="str">
        <f>IF(ISERROR(FIND($B$2,Lines!AI8))=TRUE,"",IF('750'!AI8="","ERR","")) &amp; IF(ISERROR(FIND($C$2,Lines!AI8))=TRUE,"",IF('500'!AI8="","ERR","")) &amp; IF(ISERROR(FIND($D$2,Lines!AI8))=TRUE,"",IF('330'!AI8="","ERR","")) &amp; IF(ISERROR(FIND($E$2,Lines!AI8))=TRUE,"",IF('220'!AI8="","ERR",""))&amp; IF(ISERROR(FIND($F$2,Lines!AI8))=TRUE,"",IF(AND('500DC'!AI8="",'800DC'!AI8=""),"ERR","")) &amp; IF(ISERROR(FIND($G$2,Lines!AI8))=TRUE,"",IF('1000'!AI8="","ERR","")) &amp; IF(ISERROR(FIND($H$2,Lines!AI8))=TRUE,"",IF('500DC'!AI8="","ERR","")) &amp; IF(ISERROR(FIND($I$2,Lines!AI8))=TRUE,"",IF('800DC'!AI8="","ERR","")) &amp; IF(ISERROR(FIND($J$2,Lines!AI8))=TRUE,"",IF('1000'!AI8="","ERR",""))</f>
        <v/>
      </c>
      <c r="AJ8" s="108" t="str">
        <f>IF(ISERROR(FIND($B$2,Lines!AJ8))=TRUE,"",IF('750'!AJ8="","ERR","")) &amp; IF(ISERROR(FIND($C$2,Lines!AJ8))=TRUE,"",IF('500'!AJ8="","ERR","")) &amp; IF(ISERROR(FIND($D$2,Lines!AJ8))=TRUE,"",IF('330'!AJ8="","ERR","")) &amp; IF(ISERROR(FIND($E$2,Lines!AJ8))=TRUE,"",IF('220'!AJ8="","ERR",""))&amp; IF(ISERROR(FIND($F$2,Lines!AJ8))=TRUE,"",IF(AND('500DC'!AJ8="",'800DC'!AJ8=""),"ERR","")) &amp; IF(ISERROR(FIND($G$2,Lines!AJ8))=TRUE,"",IF('1000'!AJ8="","ERR","")) &amp; IF(ISERROR(FIND($H$2,Lines!AJ8))=TRUE,"",IF('500DC'!AJ8="","ERR","")) &amp; IF(ISERROR(FIND($I$2,Lines!AJ8))=TRUE,"",IF('800DC'!AJ8="","ERR","")) &amp; IF(ISERROR(FIND($J$2,Lines!AJ8))=TRUE,"",IF('1000'!AJ8="","ERR",""))</f>
        <v/>
      </c>
      <c r="AK8" s="108" t="str">
        <f>IF(ISERROR(FIND($B$2,Lines!AK8))=TRUE,"",IF('750'!AK8="","ERR","")) &amp; IF(ISERROR(FIND($C$2,Lines!AK8))=TRUE,"",IF('500'!AK8="","ERR","")) &amp; IF(ISERROR(FIND($D$2,Lines!AK8))=TRUE,"",IF('330'!AK8="","ERR","")) &amp; IF(ISERROR(FIND($E$2,Lines!AK8))=TRUE,"",IF('220'!AK8="","ERR",""))&amp; IF(ISERROR(FIND($F$2,Lines!AK8))=TRUE,"",IF(AND('500DC'!AK8="",'800DC'!AK8=""),"ERR","")) &amp; IF(ISERROR(FIND($G$2,Lines!AK8))=TRUE,"",IF('1000'!AK8="","ERR","")) &amp; IF(ISERROR(FIND($H$2,Lines!AK8))=TRUE,"",IF('500DC'!AK8="","ERR","")) &amp; IF(ISERROR(FIND($I$2,Lines!AK8))=TRUE,"",IF('800DC'!AK8="","ERR","")) &amp; IF(ISERROR(FIND($J$2,Lines!AK8))=TRUE,"",IF('1000'!AK8="","ERR",""))</f>
        <v/>
      </c>
      <c r="AL8" s="108" t="str">
        <f>IF(ISERROR(FIND($B$2,Lines!AL8))=TRUE,"",IF('750'!AL8="","ERR","")) &amp; IF(ISERROR(FIND($C$2,Lines!AL8))=TRUE,"",IF('500'!AL8="","ERR","")) &amp; IF(ISERROR(FIND($D$2,Lines!AL8))=TRUE,"",IF('330'!AL8="","ERR","")) &amp; IF(ISERROR(FIND($E$2,Lines!AL8))=TRUE,"",IF('220'!AL8="","ERR",""))&amp; IF(ISERROR(FIND($F$2,Lines!AL8))=TRUE,"",IF(AND('500DC'!AL8="",'800DC'!AL8=""),"ERR","")) &amp; IF(ISERROR(FIND($G$2,Lines!AL8))=TRUE,"",IF('1000'!AL8="","ERR","")) &amp; IF(ISERROR(FIND($H$2,Lines!AL8))=TRUE,"",IF('500DC'!AL8="","ERR","")) &amp; IF(ISERROR(FIND($I$2,Lines!AL8))=TRUE,"",IF('800DC'!AL8="","ERR","")) &amp; IF(ISERROR(FIND($J$2,Lines!AL8))=TRUE,"",IF('1000'!AL8="","ERR",""))</f>
        <v/>
      </c>
      <c r="AM8" s="108" t="str">
        <f>IF(ISERROR(FIND($B$2,Lines!AM8))=TRUE,"",IF('750'!AM8="","ERR","")) &amp; IF(ISERROR(FIND($C$2,Lines!AM8))=TRUE,"",IF('500'!AM8="","ERR","")) &amp; IF(ISERROR(FIND($D$2,Lines!AM8))=TRUE,"",IF('330'!AM8="","ERR","")) &amp; IF(ISERROR(FIND($E$2,Lines!AM8))=TRUE,"",IF('220'!AM8="","ERR",""))&amp; IF(ISERROR(FIND($F$2,Lines!AM8))=TRUE,"",IF(AND('500DC'!AM8="",'800DC'!AM8=""),"ERR","")) &amp; IF(ISERROR(FIND($G$2,Lines!AM8))=TRUE,"",IF('1000'!AM8="","ERR","")) &amp; IF(ISERROR(FIND($H$2,Lines!AM8))=TRUE,"",IF('500DC'!AM8="","ERR","")) &amp; IF(ISERROR(FIND($I$2,Lines!AM8))=TRUE,"",IF('800DC'!AM8="","ERR","")) &amp; IF(ISERROR(FIND($J$2,Lines!AM8))=TRUE,"",IF('1000'!AM8="","ERR",""))</f>
        <v/>
      </c>
      <c r="AN8" s="108" t="str">
        <f>IF(ISERROR(FIND($B$2,Lines!AN8))=TRUE,"",IF('750'!AN8="","ERR","")) &amp; IF(ISERROR(FIND($C$2,Lines!AN8))=TRUE,"",IF('500'!AN8="","ERR","")) &amp; IF(ISERROR(FIND($D$2,Lines!AN8))=TRUE,"",IF('330'!AN8="","ERR","")) &amp; IF(ISERROR(FIND($E$2,Lines!AN8))=TRUE,"",IF('220'!AN8="","ERR",""))&amp; IF(ISERROR(FIND($F$2,Lines!AN8))=TRUE,"",IF(AND('500DC'!AN8="",'800DC'!AN8=""),"ERR","")) &amp; IF(ISERROR(FIND($G$2,Lines!AN8))=TRUE,"",IF('1000'!AN8="","ERR","")) &amp; IF(ISERROR(FIND($H$2,Lines!AN8))=TRUE,"",IF('500DC'!AN8="","ERR","")) &amp; IF(ISERROR(FIND($I$2,Lines!AN8))=TRUE,"",IF('800DC'!AN8="","ERR","")) &amp; IF(ISERROR(FIND($J$2,Lines!AN8))=TRUE,"",IF('1000'!AN8="","ERR",""))</f>
        <v/>
      </c>
      <c r="AO8" s="108" t="str">
        <f>IF(ISERROR(FIND($B$2,Lines!AO8))=TRUE,"",IF('750'!AO8="","ERR","")) &amp; IF(ISERROR(FIND($C$2,Lines!AO8))=TRUE,"",IF('500'!AO8="","ERR","")) &amp; IF(ISERROR(FIND($D$2,Lines!AO8))=TRUE,"",IF('330'!AO8="","ERR","")) &amp; IF(ISERROR(FIND($E$2,Lines!AO8))=TRUE,"",IF('220'!AO8="","ERR",""))&amp; IF(ISERROR(FIND($F$2,Lines!AO8))=TRUE,"",IF(AND('500DC'!AO8="",'800DC'!AO8=""),"ERR","")) &amp; IF(ISERROR(FIND($G$2,Lines!AO8))=TRUE,"",IF('1000'!AO8="","ERR","")) &amp; IF(ISERROR(FIND($H$2,Lines!AO8))=TRUE,"",IF('500DC'!AO8="","ERR","")) &amp; IF(ISERROR(FIND($I$2,Lines!AO8))=TRUE,"",IF('800DC'!AO8="","ERR","")) &amp; IF(ISERROR(FIND($J$2,Lines!AO8))=TRUE,"",IF('1000'!AO8="","ERR",""))</f>
        <v/>
      </c>
      <c r="AP8" s="108" t="str">
        <f>IF(ISERROR(FIND($B$2,Lines!AP8))=TRUE,"",IF('750'!AP8="","ERR","")) &amp; IF(ISERROR(FIND($C$2,Lines!AP8))=TRUE,"",IF('500'!AP8="","ERR","")) &amp; IF(ISERROR(FIND($D$2,Lines!AP8))=TRUE,"",IF('330'!AP8="","ERR","")) &amp; IF(ISERROR(FIND($E$2,Lines!AP8))=TRUE,"",IF('220'!AP8="","ERR",""))&amp; IF(ISERROR(FIND($F$2,Lines!AP8))=TRUE,"",IF(AND('500DC'!AP8="",'800DC'!AP8=""),"ERR","")) &amp; IF(ISERROR(FIND($G$2,Lines!AP8))=TRUE,"",IF('1000'!AP8="","ERR","")) &amp; IF(ISERROR(FIND($H$2,Lines!AP8))=TRUE,"",IF('500DC'!AP8="","ERR","")) &amp; IF(ISERROR(FIND($I$2,Lines!AP8))=TRUE,"",IF('800DC'!AP8="","ERR","")) &amp; IF(ISERROR(FIND($J$2,Lines!AP8))=TRUE,"",IF('1000'!AP8="","ERR",""))</f>
        <v/>
      </c>
      <c r="AQ8" s="108" t="str">
        <f>IF(ISERROR(FIND($B$2,Lines!AQ8))=TRUE,"",IF('750'!AQ8="","ERR","")) &amp; IF(ISERROR(FIND($C$2,Lines!AQ8))=TRUE,"",IF('500'!AQ8="","ERR","")) &amp; IF(ISERROR(FIND($D$2,Lines!AQ8))=TRUE,"",IF('330'!AQ8="","ERR","")) &amp; IF(ISERROR(FIND($E$2,Lines!AQ8))=TRUE,"",IF('220'!AQ8="","ERR",""))&amp; IF(ISERROR(FIND($F$2,Lines!AQ8))=TRUE,"",IF(AND('500DC'!AQ8="",'800DC'!AQ8=""),"ERR","")) &amp; IF(ISERROR(FIND($G$2,Lines!AQ8))=TRUE,"",IF('1000'!AQ8="","ERR","")) &amp; IF(ISERROR(FIND($H$2,Lines!AQ8))=TRUE,"",IF('500DC'!AQ8="","ERR","")) &amp; IF(ISERROR(FIND($I$2,Lines!AQ8))=TRUE,"",IF('800DC'!AQ8="","ERR","")) &amp; IF(ISERROR(FIND($J$2,Lines!AQ8))=TRUE,"",IF('1000'!AQ8="","ERR",""))</f>
        <v/>
      </c>
      <c r="AR8" s="108" t="str">
        <f>IF(ISERROR(FIND($B$2,Lines!AR8))=TRUE,"",IF('750'!AR8="","ERR","")) &amp; IF(ISERROR(FIND($C$2,Lines!AR8))=TRUE,"",IF('500'!AR8="","ERR","")) &amp; IF(ISERROR(FIND($D$2,Lines!AR8))=TRUE,"",IF('330'!AR8="","ERR","")) &amp; IF(ISERROR(FIND($E$2,Lines!AR8))=TRUE,"",IF('220'!AR8="","ERR",""))&amp; IF(ISERROR(FIND($F$2,Lines!AR8))=TRUE,"",IF(AND('500DC'!AR8="",'800DC'!AR8=""),"ERR","")) &amp; IF(ISERROR(FIND($G$2,Lines!AR8))=TRUE,"",IF('1000'!AR8="","ERR","")) &amp; IF(ISERROR(FIND($H$2,Lines!AR8))=TRUE,"",IF('500DC'!AR8="","ERR","")) &amp; IF(ISERROR(FIND($I$2,Lines!AR8))=TRUE,"",IF('800DC'!AR8="","ERR","")) &amp; IF(ISERROR(FIND($J$2,Lines!AR8))=TRUE,"",IF('1000'!AR8="","ERR",""))</f>
        <v/>
      </c>
      <c r="AS8" s="108" t="str">
        <f>IF(ISERROR(FIND($B$2,Lines!AS8))=TRUE,"",IF('750'!AS8="","ERR","")) &amp; IF(ISERROR(FIND($C$2,Lines!AS8))=TRUE,"",IF('500'!AS8="","ERR","")) &amp; IF(ISERROR(FIND($D$2,Lines!AS8))=TRUE,"",IF('330'!AS8="","ERR","")) &amp; IF(ISERROR(FIND($E$2,Lines!AS8))=TRUE,"",IF('220'!AS8="","ERR",""))&amp; IF(ISERROR(FIND($F$2,Lines!AS8))=TRUE,"",IF(AND('500DC'!AS8="",'800DC'!AS8=""),"ERR","")) &amp; IF(ISERROR(FIND($G$2,Lines!AS8))=TRUE,"",IF('1000'!AS8="","ERR","")) &amp; IF(ISERROR(FIND($H$2,Lines!AS8))=TRUE,"",IF('500DC'!AS8="","ERR","")) &amp; IF(ISERROR(FIND($I$2,Lines!AS8))=TRUE,"",IF('800DC'!AS8="","ERR","")) &amp; IF(ISERROR(FIND($J$2,Lines!AS8))=TRUE,"",IF('1000'!AS8="","ERR",""))</f>
        <v/>
      </c>
      <c r="AT8" s="108" t="str">
        <f>IF(ISERROR(FIND($B$2,Lines!AT8))=TRUE,"",IF('750'!AT8="","ERR","")) &amp; IF(ISERROR(FIND($C$2,Lines!AT8))=TRUE,"",IF('500'!AT8="","ERR","")) &amp; IF(ISERROR(FIND($D$2,Lines!AT8))=TRUE,"",IF('330'!AT8="","ERR","")) &amp; IF(ISERROR(FIND($E$2,Lines!AT8))=TRUE,"",IF('220'!AT8="","ERR",""))&amp; IF(ISERROR(FIND($F$2,Lines!AT8))=TRUE,"",IF(AND('500DC'!AT8="",'800DC'!AT8=""),"ERR","")) &amp; IF(ISERROR(FIND($G$2,Lines!AT8))=TRUE,"",IF('1000'!AT8="","ERR","")) &amp; IF(ISERROR(FIND($H$2,Lines!AT8))=TRUE,"",IF('500DC'!AT8="","ERR","")) &amp; IF(ISERROR(FIND($I$2,Lines!AT8))=TRUE,"",IF('800DC'!AT8="","ERR","")) &amp; IF(ISERROR(FIND($J$2,Lines!AT8))=TRUE,"",IF('1000'!AT8="","ERR",""))</f>
        <v/>
      </c>
    </row>
    <row r="9" spans="1:46" ht="20.25" customHeight="1">
      <c r="A9" s="2" t="s">
        <v>60</v>
      </c>
      <c r="B9" s="106" t="str">
        <f>IF(ISERROR(FIND($B$2,Lines!B9))=TRUE,"",IF('750'!B9="","ERR","")) &amp; IF(ISERROR(FIND($C$2,Lines!B9))=TRUE,"",IF('500'!B9="","ERR","")) &amp; IF(ISERROR(FIND($D$2,Lines!B9))=TRUE,"",IF('330'!B9="","ERR","")) &amp; IF(ISERROR(FIND($E$2,Lines!B9))=TRUE,"",IF('220'!B9="","ERR",""))&amp; IF(ISERROR(FIND($F$2,Lines!B9))=TRUE,"",IF(AND('500DC'!B9="",'800DC'!B9=""),"ERR","")) &amp; IF(ISERROR(FIND($G$2,Lines!B9))=TRUE,"",IF('1000'!B9="","ERR","")) &amp; IF(ISERROR(FIND($H$2,Lines!B9))=TRUE,"",IF('500DC'!B9="","ERR","")) &amp; IF(ISERROR(FIND($I$2,Lines!B9))=TRUE,"",IF('800DC'!B9="","ERR","")) &amp; IF(ISERROR(FIND($J$2,Lines!B9))=TRUE,"",IF('1000'!B9="","ERR",""))</f>
        <v/>
      </c>
      <c r="C9" s="106" t="str">
        <f>IF(ISERROR(FIND($B$2,Lines!C9))=TRUE,"",IF('750'!C9="","ERR","")) &amp; IF(ISERROR(FIND($C$2,Lines!C9))=TRUE,"",IF('500'!C9="","ERR","")) &amp; IF(ISERROR(FIND($D$2,Lines!C9))=TRUE,"",IF('330'!C9="","ERR","")) &amp; IF(ISERROR(FIND($E$2,Lines!C9))=TRUE,"",IF('220'!C9="","ERR",""))&amp; IF(ISERROR(FIND($F$2,Lines!C9))=TRUE,"",IF(AND('500DC'!C9="",'800DC'!C9=""),"ERR","")) &amp; IF(ISERROR(FIND($G$2,Lines!C9))=TRUE,"",IF('1000'!C9="","ERR","")) &amp; IF(ISERROR(FIND($H$2,Lines!C9))=TRUE,"",IF('500DC'!C9="","ERR","")) &amp; IF(ISERROR(FIND($I$2,Lines!C9))=TRUE,"",IF('800DC'!C9="","ERR","")) &amp; IF(ISERROR(FIND($J$2,Lines!C9))=TRUE,"",IF('1000'!C9="","ERR",""))</f>
        <v/>
      </c>
      <c r="D9" s="106" t="str">
        <f>IF(ISERROR(FIND($B$2,Lines!D9))=TRUE,"",IF('750'!D9="","ERR","")) &amp; IF(ISERROR(FIND($C$2,Lines!D9))=TRUE,"",IF('500'!D9="","ERR","")) &amp; IF(ISERROR(FIND($D$2,Lines!D9))=TRUE,"",IF('330'!D9="","ERR","")) &amp; IF(ISERROR(FIND($E$2,Lines!D9))=TRUE,"",IF('220'!D9="","ERR",""))&amp; IF(ISERROR(FIND($F$2,Lines!D9))=TRUE,"",IF(AND('500DC'!D9="",'800DC'!D9=""),"ERR","")) &amp; IF(ISERROR(FIND($G$2,Lines!D9))=TRUE,"",IF('1000'!D9="","ERR","")) &amp; IF(ISERROR(FIND($H$2,Lines!D9))=TRUE,"",IF('500DC'!D9="","ERR","")) &amp; IF(ISERROR(FIND($I$2,Lines!D9))=TRUE,"",IF('800DC'!D9="","ERR","")) &amp; IF(ISERROR(FIND($J$2,Lines!D9))=TRUE,"",IF('1000'!D9="","ERR",""))</f>
        <v/>
      </c>
      <c r="E9" s="106" t="str">
        <f>IF(ISERROR(FIND($B$2,Lines!E9))=TRUE,"",IF('750'!E9="","ERR","")) &amp; IF(ISERROR(FIND($C$2,Lines!E9))=TRUE,"",IF('500'!E9="","ERR","")) &amp; IF(ISERROR(FIND($D$2,Lines!E9))=TRUE,"",IF('330'!E9="","ERR","")) &amp; IF(ISERROR(FIND($E$2,Lines!E9))=TRUE,"",IF('220'!E9="","ERR",""))&amp; IF(ISERROR(FIND($F$2,Lines!E9))=TRUE,"",IF(AND('500DC'!E9="",'800DC'!E9=""),"ERR","")) &amp; IF(ISERROR(FIND($G$2,Lines!E9))=TRUE,"",IF('1000'!E9="","ERR","")) &amp; IF(ISERROR(FIND($H$2,Lines!E9))=TRUE,"",IF('500DC'!E9="","ERR","")) &amp; IF(ISERROR(FIND($I$2,Lines!E9))=TRUE,"",IF('800DC'!E9="","ERR","")) &amp; IF(ISERROR(FIND($J$2,Lines!E9))=TRUE,"",IF('1000'!E9="","ERR",""))</f>
        <v/>
      </c>
      <c r="F9" s="106" t="str">
        <f>IF(ISERROR(FIND($B$2,Lines!F9))=TRUE,"",IF('750'!F9="","ERR","")) &amp; IF(ISERROR(FIND($C$2,Lines!F9))=TRUE,"",IF('500'!F9="","ERR","")) &amp; IF(ISERROR(FIND($D$2,Lines!F9))=TRUE,"",IF('330'!F9="","ERR","")) &amp; IF(ISERROR(FIND($E$2,Lines!F9))=TRUE,"",IF('220'!F9="","ERR",""))&amp; IF(ISERROR(FIND($F$2,Lines!F9))=TRUE,"",IF(AND('500DC'!F9="",'800DC'!F9=""),"ERR","")) &amp; IF(ISERROR(FIND($G$2,Lines!F9))=TRUE,"",IF('1000'!F9="","ERR","")) &amp; IF(ISERROR(FIND($H$2,Lines!F9))=TRUE,"",IF('500DC'!F9="","ERR","")) &amp; IF(ISERROR(FIND($I$2,Lines!F9))=TRUE,"",IF('800DC'!F9="","ERR","")) &amp; IF(ISERROR(FIND($J$2,Lines!F9))=TRUE,"",IF('1000'!F9="","ERR",""))</f>
        <v/>
      </c>
      <c r="G9" s="105" t="str">
        <f>IF(ISERROR(FIND($B$2,Lines!G9))=TRUE,"",IF('750'!G9="","ERR","")) &amp; IF(ISERROR(FIND($C$2,Lines!G9))=TRUE,"",IF('500'!G9="","ERR","")) &amp; IF(ISERROR(FIND($D$2,Lines!G9))=TRUE,"",IF('330'!G9="","ERR","")) &amp; IF(ISERROR(FIND($E$2,Lines!G9))=TRUE,"",IF('220'!G9="","ERR",""))&amp; IF(ISERROR(FIND($F$2,Lines!G9))=TRUE,"",IF(AND('500DC'!G9="",'800DC'!G9=""),"ERR","")) &amp; IF(ISERROR(FIND($G$2,Lines!G9))=TRUE,"",IF('1000'!G9="","ERR","")) &amp; IF(ISERROR(FIND($H$2,Lines!G9))=TRUE,"",IF('500DC'!G9="","ERR","")) &amp; IF(ISERROR(FIND($I$2,Lines!G9))=TRUE,"",IF('800DC'!G9="","ERR","")) &amp; IF(ISERROR(FIND($J$2,Lines!G9))=TRUE,"",IF('1000'!G9="","ERR",""))</f>
        <v/>
      </c>
      <c r="H9" s="106" t="str">
        <f>IF(ISERROR(FIND($B$2,Lines!H9))=TRUE,"",IF('750'!H9="","ERR","")) &amp; IF(ISERROR(FIND($C$2,Lines!H9))=TRUE,"",IF('500'!H9="","ERR","")) &amp; IF(ISERROR(FIND($D$2,Lines!H9))=TRUE,"",IF('330'!H9="","ERR","")) &amp; IF(ISERROR(FIND($E$2,Lines!H9))=TRUE,"",IF('220'!H9="","ERR",""))&amp; IF(ISERROR(FIND($F$2,Lines!H9))=TRUE,"",IF(AND('500DC'!H9="",'800DC'!H9=""),"ERR","")) &amp; IF(ISERROR(FIND($G$2,Lines!H9))=TRUE,"",IF('1000'!H9="","ERR","")) &amp; IF(ISERROR(FIND($H$2,Lines!H9))=TRUE,"",IF('500DC'!H9="","ERR","")) &amp; IF(ISERROR(FIND($I$2,Lines!H9))=TRUE,"",IF('800DC'!H9="","ERR","")) &amp; IF(ISERROR(FIND($J$2,Lines!H9))=TRUE,"",IF('1000'!H9="","ERR",""))</f>
        <v/>
      </c>
      <c r="I9" s="106" t="str">
        <f>IF(ISERROR(FIND($B$2,Lines!I9))=TRUE,"",IF('750'!I9="","ERR","")) &amp; IF(ISERROR(FIND($C$2,Lines!I9))=TRUE,"",IF('500'!I9="","ERR","")) &amp; IF(ISERROR(FIND($D$2,Lines!I9))=TRUE,"",IF('330'!I9="","ERR","")) &amp; IF(ISERROR(FIND($E$2,Lines!I9))=TRUE,"",IF('220'!I9="","ERR",""))&amp; IF(ISERROR(FIND($F$2,Lines!I9))=TRUE,"",IF(AND('500DC'!I9="",'800DC'!I9=""),"ERR","")) &amp; IF(ISERROR(FIND($G$2,Lines!I9))=TRUE,"",IF('1000'!I9="","ERR","")) &amp; IF(ISERROR(FIND($H$2,Lines!I9))=TRUE,"",IF('500DC'!I9="","ERR","")) &amp; IF(ISERROR(FIND($I$2,Lines!I9))=TRUE,"",IF('800DC'!I9="","ERR","")) &amp; IF(ISERROR(FIND($J$2,Lines!I9))=TRUE,"",IF('1000'!I9="","ERR",""))</f>
        <v/>
      </c>
      <c r="J9" s="106" t="str">
        <f>IF(ISERROR(FIND($B$2,Lines!J9))=TRUE,"",IF('750'!J9="","ERR","")) &amp; IF(ISERROR(FIND($C$2,Lines!J9))=TRUE,"",IF('500'!J9="","ERR","")) &amp; IF(ISERROR(FIND($D$2,Lines!J9))=TRUE,"",IF('330'!J9="","ERR","")) &amp; IF(ISERROR(FIND($E$2,Lines!J9))=TRUE,"",IF('220'!J9="","ERR",""))&amp; IF(ISERROR(FIND($F$2,Lines!J9))=TRUE,"",IF(AND('500DC'!J9="",'800DC'!J9=""),"ERR","")) &amp; IF(ISERROR(FIND($G$2,Lines!J9))=TRUE,"",IF('1000'!J9="","ERR","")) &amp; IF(ISERROR(FIND($H$2,Lines!J9))=TRUE,"",IF('500DC'!J9="","ERR","")) &amp; IF(ISERROR(FIND($I$2,Lines!J9))=TRUE,"",IF('800DC'!J9="","ERR","")) &amp; IF(ISERROR(FIND($J$2,Lines!J9))=TRUE,"",IF('1000'!J9="","ERR",""))</f>
        <v/>
      </c>
      <c r="K9" s="106" t="str">
        <f>IF(ISERROR(FIND($B$2,Lines!K9))=TRUE,"",IF('750'!K9="","ERR","")) &amp; IF(ISERROR(FIND($C$2,Lines!K9))=TRUE,"",IF('500'!K9="","ERR","")) &amp; IF(ISERROR(FIND($D$2,Lines!K9))=TRUE,"",IF('330'!K9="","ERR","")) &amp; IF(ISERROR(FIND($E$2,Lines!K9))=TRUE,"",IF('220'!K9="","ERR",""))&amp; IF(ISERROR(FIND($F$2,Lines!K9))=TRUE,"",IF(AND('500DC'!K9="",'800DC'!K9=""),"ERR","")) &amp; IF(ISERROR(FIND($G$2,Lines!K9))=TRUE,"",IF('1000'!K9="","ERR","")) &amp; IF(ISERROR(FIND($H$2,Lines!K9))=TRUE,"",IF('500DC'!K9="","ERR","")) &amp; IF(ISERROR(FIND($I$2,Lines!K9))=TRUE,"",IF('800DC'!K9="","ERR","")) &amp; IF(ISERROR(FIND($J$2,Lines!K9))=TRUE,"",IF('1000'!K9="","ERR",""))</f>
        <v/>
      </c>
      <c r="L9" s="106" t="str">
        <f>IF(ISERROR(FIND($B$2,Lines!L9))=TRUE,"",IF('750'!L9="","ERR","")) &amp; IF(ISERROR(FIND($C$2,Lines!L9))=TRUE,"",IF('500'!L9="","ERR","")) &amp; IF(ISERROR(FIND($D$2,Lines!L9))=TRUE,"",IF('330'!L9="","ERR","")) &amp; IF(ISERROR(FIND($E$2,Lines!L9))=TRUE,"",IF('220'!L9="","ERR",""))&amp; IF(ISERROR(FIND($F$2,Lines!L9))=TRUE,"",IF(AND('500DC'!L9="",'800DC'!L9=""),"ERR","")) &amp; IF(ISERROR(FIND($G$2,Lines!L9))=TRUE,"",IF('1000'!L9="","ERR","")) &amp; IF(ISERROR(FIND($H$2,Lines!L9))=TRUE,"",IF('500DC'!L9="","ERR","")) &amp; IF(ISERROR(FIND($I$2,Lines!L9))=TRUE,"",IF('800DC'!L9="","ERR","")) &amp; IF(ISERROR(FIND($J$2,Lines!L9))=TRUE,"",IF('1000'!L9="","ERR",""))</f>
        <v/>
      </c>
      <c r="M9" s="107" t="str">
        <f>IF(ISERROR(FIND($B$2,Lines!M9))=TRUE,"",IF('750'!M9="","ERR","")) &amp; IF(ISERROR(FIND($C$2,Lines!M9))=TRUE,"",IF('500'!M9="","ERR","")) &amp; IF(ISERROR(FIND($D$2,Lines!M9))=TRUE,"",IF('330'!M9="","ERR","")) &amp; IF(ISERROR(FIND($E$2,Lines!M9))=TRUE,"",IF('220'!M9="","ERR",""))&amp; IF(ISERROR(FIND($F$2,Lines!M9))=TRUE,"",IF(AND('500DC'!M9="",'800DC'!M9=""),"ERR","")) &amp; IF(ISERROR(FIND($G$2,Lines!M9))=TRUE,"",IF('1000'!M9="","ERR","")) &amp; IF(ISERROR(FIND($H$2,Lines!M9))=TRUE,"",IF('500DC'!M9="","ERR","")) &amp; IF(ISERROR(FIND($I$2,Lines!M9))=TRUE,"",IF('800DC'!M9="","ERR","")) &amp; IF(ISERROR(FIND($J$2,Lines!M9))=TRUE,"",IF('1000'!M9="","ERR",""))</f>
        <v/>
      </c>
      <c r="N9" s="108" t="str">
        <f>IF(ISERROR(FIND($B$2,Lines!N9))=TRUE,"",IF('750'!N9="","ERR","")) &amp; IF(ISERROR(FIND($C$2,Lines!N9))=TRUE,"",IF('500'!N9="","ERR","")) &amp; IF(ISERROR(FIND($D$2,Lines!N9))=TRUE,"",IF('330'!N9="","ERR","")) &amp; IF(ISERROR(FIND($E$2,Lines!N9))=TRUE,"",IF('220'!N9="","ERR",""))&amp; IF(ISERROR(FIND($F$2,Lines!N9))=TRUE,"",IF(AND('500DC'!N9="",'800DC'!N9=""),"ERR","")) &amp; IF(ISERROR(FIND($G$2,Lines!N9))=TRUE,"",IF('1000'!N9="","ERR","")) &amp; IF(ISERROR(FIND($H$2,Lines!N9))=TRUE,"",IF('500DC'!N9="","ERR","")) &amp; IF(ISERROR(FIND($I$2,Lines!N9))=TRUE,"",IF('800DC'!N9="","ERR","")) &amp; IF(ISERROR(FIND($J$2,Lines!N9))=TRUE,"",IF('1000'!N9="","ERR",""))</f>
        <v/>
      </c>
      <c r="O9" s="108" t="str">
        <f>IF(ISERROR(FIND($B$2,Lines!O9))=TRUE,"",IF('750'!O9="","ERR","")) &amp; IF(ISERROR(FIND($C$2,Lines!O9))=TRUE,"",IF('500'!O9="","ERR","")) &amp; IF(ISERROR(FIND($D$2,Lines!O9))=TRUE,"",IF('330'!O9="","ERR","")) &amp; IF(ISERROR(FIND($E$2,Lines!O9))=TRUE,"",IF('220'!O9="","ERR",""))&amp; IF(ISERROR(FIND($F$2,Lines!O9))=TRUE,"",IF(AND('500DC'!O9="",'800DC'!O9=""),"ERR","")) &amp; IF(ISERROR(FIND($G$2,Lines!O9))=TRUE,"",IF('1000'!O9="","ERR","")) &amp; IF(ISERROR(FIND($H$2,Lines!O9))=TRUE,"",IF('500DC'!O9="","ERR","")) &amp; IF(ISERROR(FIND($I$2,Lines!O9))=TRUE,"",IF('800DC'!O9="","ERR","")) &amp; IF(ISERROR(FIND($J$2,Lines!O9))=TRUE,"",IF('1000'!O9="","ERR",""))</f>
        <v/>
      </c>
      <c r="P9" s="108" t="str">
        <f>IF(ISERROR(FIND($B$2,Lines!P9))=TRUE,"",IF('750'!P9="","ERR","")) &amp; IF(ISERROR(FIND($C$2,Lines!P9))=TRUE,"",IF('500'!P9="","ERR","")) &amp; IF(ISERROR(FIND($D$2,Lines!P9))=TRUE,"",IF('330'!P9="","ERR","")) &amp; IF(ISERROR(FIND($E$2,Lines!P9))=TRUE,"",IF('220'!P9="","ERR",""))&amp; IF(ISERROR(FIND($F$2,Lines!P9))=TRUE,"",IF(AND('500DC'!P9="",'800DC'!P9=""),"ERR","")) &amp; IF(ISERROR(FIND($G$2,Lines!P9))=TRUE,"",IF('1000'!P9="","ERR","")) &amp; IF(ISERROR(FIND($H$2,Lines!P9))=TRUE,"",IF('500DC'!P9="","ERR","")) &amp; IF(ISERROR(FIND($I$2,Lines!P9))=TRUE,"",IF('800DC'!P9="","ERR","")) &amp; IF(ISERROR(FIND($J$2,Lines!P9))=TRUE,"",IF('1000'!P9="","ERR",""))</f>
        <v/>
      </c>
      <c r="Q9" s="108" t="str">
        <f>IF(ISERROR(FIND($B$2,Lines!Q9))=TRUE,"",IF('750'!Q9="","ERR","")) &amp; IF(ISERROR(FIND($C$2,Lines!Q9))=TRUE,"",IF('500'!Q9="","ERR","")) &amp; IF(ISERROR(FIND($D$2,Lines!Q9))=TRUE,"",IF('330'!Q9="","ERR","")) &amp; IF(ISERROR(FIND($E$2,Lines!Q9))=TRUE,"",IF('220'!Q9="","ERR",""))&amp; IF(ISERROR(FIND($F$2,Lines!Q9))=TRUE,"",IF(AND('500DC'!Q9="",'800DC'!Q9=""),"ERR","")) &amp; IF(ISERROR(FIND($G$2,Lines!Q9))=TRUE,"",IF('1000'!Q9="","ERR","")) &amp; IF(ISERROR(FIND($H$2,Lines!Q9))=TRUE,"",IF('500DC'!Q9="","ERR","")) &amp; IF(ISERROR(FIND($I$2,Lines!Q9))=TRUE,"",IF('800DC'!Q9="","ERR","")) &amp; IF(ISERROR(FIND($J$2,Lines!Q9))=TRUE,"",IF('1000'!Q9="","ERR",""))</f>
        <v/>
      </c>
      <c r="R9" s="108" t="str">
        <f>IF(ISERROR(FIND($B$2,Lines!R9))=TRUE,"",IF('750'!R9="","ERR","")) &amp; IF(ISERROR(FIND($C$2,Lines!R9))=TRUE,"",IF('500'!R9="","ERR","")) &amp; IF(ISERROR(FIND($D$2,Lines!R9))=TRUE,"",IF('330'!R9="","ERR","")) &amp; IF(ISERROR(FIND($E$2,Lines!R9))=TRUE,"",IF('220'!R9="","ERR",""))&amp; IF(ISERROR(FIND($F$2,Lines!R9))=TRUE,"",IF(AND('500DC'!R9="",'800DC'!R9=""),"ERR","")) &amp; IF(ISERROR(FIND($G$2,Lines!R9))=TRUE,"",IF('1000'!R9="","ERR","")) &amp; IF(ISERROR(FIND($H$2,Lines!R9))=TRUE,"",IF('500DC'!R9="","ERR","")) &amp; IF(ISERROR(FIND($I$2,Lines!R9))=TRUE,"",IF('800DC'!R9="","ERR","")) &amp; IF(ISERROR(FIND($J$2,Lines!R9))=TRUE,"",IF('1000'!R9="","ERR",""))</f>
        <v/>
      </c>
      <c r="S9" s="108" t="str">
        <f>IF(ISERROR(FIND($B$2,Lines!S9))=TRUE,"",IF('750'!S9="","ERR","")) &amp; IF(ISERROR(FIND($C$2,Lines!S9))=TRUE,"",IF('500'!S9="","ERR","")) &amp; IF(ISERROR(FIND($D$2,Lines!S9))=TRUE,"",IF('330'!S9="","ERR","")) &amp; IF(ISERROR(FIND($E$2,Lines!S9))=TRUE,"",IF('220'!S9="","ERR",""))&amp; IF(ISERROR(FIND($F$2,Lines!S9))=TRUE,"",IF(AND('500DC'!S9="",'800DC'!S9=""),"ERR","")) &amp; IF(ISERROR(FIND($G$2,Lines!S9))=TRUE,"",IF('1000'!S9="","ERR","")) &amp; IF(ISERROR(FIND($H$2,Lines!S9))=TRUE,"",IF('500DC'!S9="","ERR","")) &amp; IF(ISERROR(FIND($I$2,Lines!S9))=TRUE,"",IF('800DC'!S9="","ERR","")) &amp; IF(ISERROR(FIND($J$2,Lines!S9))=TRUE,"",IF('1000'!S9="","ERR",""))</f>
        <v/>
      </c>
      <c r="T9" s="108" t="str">
        <f>IF(ISERROR(FIND($B$2,Lines!T9))=TRUE,"",IF('750'!T9="","ERR","")) &amp; IF(ISERROR(FIND($C$2,Lines!T9))=TRUE,"",IF('500'!T9="","ERR","")) &amp; IF(ISERROR(FIND($D$2,Lines!T9))=TRUE,"",IF('330'!T9="","ERR","")) &amp; IF(ISERROR(FIND($E$2,Lines!T9))=TRUE,"",IF('220'!T9="","ERR",""))&amp; IF(ISERROR(FIND($F$2,Lines!T9))=TRUE,"",IF(AND('500DC'!T9="",'800DC'!T9=""),"ERR","")) &amp; IF(ISERROR(FIND($G$2,Lines!T9))=TRUE,"",IF('1000'!T9="","ERR","")) &amp; IF(ISERROR(FIND($H$2,Lines!T9))=TRUE,"",IF('500DC'!T9="","ERR","")) &amp; IF(ISERROR(FIND($I$2,Lines!T9))=TRUE,"",IF('800DC'!T9="","ERR","")) &amp; IF(ISERROR(FIND($J$2,Lines!T9))=TRUE,"",IF('1000'!T9="","ERR",""))</f>
        <v/>
      </c>
      <c r="U9" s="108" t="str">
        <f>IF(ISERROR(FIND($B$2,Lines!U9))=TRUE,"",IF('750'!U9="","ERR","")) &amp; IF(ISERROR(FIND($C$2,Lines!U9))=TRUE,"",IF('500'!U9="","ERR","")) &amp; IF(ISERROR(FIND($D$2,Lines!U9))=TRUE,"",IF('330'!U9="","ERR","")) &amp; IF(ISERROR(FIND($E$2,Lines!U9))=TRUE,"",IF('220'!U9="","ERR",""))&amp; IF(ISERROR(FIND($F$2,Lines!U9))=TRUE,"",IF(AND('500DC'!U9="",'800DC'!U9=""),"ERR","")) &amp; IF(ISERROR(FIND($G$2,Lines!U9))=TRUE,"",IF('1000'!U9="","ERR","")) &amp; IF(ISERROR(FIND($H$2,Lines!U9))=TRUE,"",IF('500DC'!U9="","ERR","")) &amp; IF(ISERROR(FIND($I$2,Lines!U9))=TRUE,"",IF('800DC'!U9="","ERR","")) &amp; IF(ISERROR(FIND($J$2,Lines!U9))=TRUE,"",IF('1000'!U9="","ERR",""))</f>
        <v/>
      </c>
      <c r="V9" s="108" t="str">
        <f>IF(ISERROR(FIND($B$2,Lines!V9))=TRUE,"",IF('750'!V9="","ERR","")) &amp; IF(ISERROR(FIND($C$2,Lines!V9))=TRUE,"",IF('500'!V9="","ERR","")) &amp; IF(ISERROR(FIND($D$2,Lines!V9))=TRUE,"",IF('330'!V9="","ERR","")) &amp; IF(ISERROR(FIND($E$2,Lines!V9))=TRUE,"",IF('220'!V9="","ERR",""))&amp; IF(ISERROR(FIND($F$2,Lines!V9))=TRUE,"",IF(AND('500DC'!V9="",'800DC'!V9=""),"ERR","")) &amp; IF(ISERROR(FIND($G$2,Lines!V9))=TRUE,"",IF('1000'!V9="","ERR","")) &amp; IF(ISERROR(FIND($H$2,Lines!V9))=TRUE,"",IF('500DC'!V9="","ERR","")) &amp; IF(ISERROR(FIND($I$2,Lines!V9))=TRUE,"",IF('800DC'!V9="","ERR","")) &amp; IF(ISERROR(FIND($J$2,Lines!V9))=TRUE,"",IF('1000'!V9="","ERR",""))</f>
        <v/>
      </c>
      <c r="W9" s="109" t="str">
        <f>IF(ISERROR(FIND($B$2,Lines!W9))=TRUE,"",IF('750'!W9="","ERR","")) &amp; IF(ISERROR(FIND($C$2,Lines!W9))=TRUE,"",IF('500'!W9="","ERR","")) &amp; IF(ISERROR(FIND($D$2,Lines!W9))=TRUE,"",IF('330'!W9="","ERR","")) &amp; IF(ISERROR(FIND($E$2,Lines!W9))=TRUE,"",IF('220'!W9="","ERR",""))&amp; IF(ISERROR(FIND($F$2,Lines!W9))=TRUE,"",IF(AND('500DC'!W9="",'800DC'!W9=""),"ERR","")) &amp; IF(ISERROR(FIND($G$2,Lines!W9))=TRUE,"",IF('1000'!W9="","ERR","")) &amp; IF(ISERROR(FIND($H$2,Lines!W9))=TRUE,"",IF('500DC'!W9="","ERR","")) &amp; IF(ISERROR(FIND($I$2,Lines!W9))=TRUE,"",IF('800DC'!W9="","ERR","")) &amp; IF(ISERROR(FIND($J$2,Lines!W9))=TRUE,"",IF('1000'!W9="","ERR",""))</f>
        <v/>
      </c>
      <c r="X9" s="108" t="str">
        <f>IF(ISERROR(FIND($B$2,Lines!X9))=TRUE,"",IF('750'!X9="","ERR","")) &amp; IF(ISERROR(FIND($C$2,Lines!X9))=TRUE,"",IF('500'!X9="","ERR","")) &amp; IF(ISERROR(FIND($D$2,Lines!X9))=TRUE,"",IF('330'!X9="","ERR","")) &amp; IF(ISERROR(FIND($E$2,Lines!X9))=TRUE,"",IF('220'!X9="","ERR",""))&amp; IF(ISERROR(FIND($F$2,Lines!X9))=TRUE,"",IF(AND('500DC'!X9="",'800DC'!X9=""),"ERR","")) &amp; IF(ISERROR(FIND($G$2,Lines!X9))=TRUE,"",IF('1000'!X9="","ERR","")) &amp; IF(ISERROR(FIND($H$2,Lines!X9))=TRUE,"",IF('500DC'!X9="","ERR","")) &amp; IF(ISERROR(FIND($I$2,Lines!X9))=TRUE,"",IF('800DC'!X9="","ERR","")) &amp; IF(ISERROR(FIND($J$2,Lines!X9))=TRUE,"",IF('1000'!X9="","ERR",""))</f>
        <v/>
      </c>
      <c r="Y9" s="108" t="str">
        <f>IF(ISERROR(FIND($B$2,Lines!Y9))=TRUE,"",IF('750'!Y9="","ERR","")) &amp; IF(ISERROR(FIND($C$2,Lines!Y9))=TRUE,"",IF('500'!Y9="","ERR","")) &amp; IF(ISERROR(FIND($D$2,Lines!Y9))=TRUE,"",IF('330'!Y9="","ERR","")) &amp; IF(ISERROR(FIND($E$2,Lines!Y9))=TRUE,"",IF('220'!Y9="","ERR",""))&amp; IF(ISERROR(FIND($F$2,Lines!Y9))=TRUE,"",IF(AND('500DC'!Y9="",'800DC'!Y9=""),"ERR","")) &amp; IF(ISERROR(FIND($G$2,Lines!Y9))=TRUE,"",IF('1000'!Y9="","ERR","")) &amp; IF(ISERROR(FIND($H$2,Lines!Y9))=TRUE,"",IF('500DC'!Y9="","ERR","")) &amp; IF(ISERROR(FIND($I$2,Lines!Y9))=TRUE,"",IF('800DC'!Y9="","ERR","")) &amp; IF(ISERROR(FIND($J$2,Lines!Y9))=TRUE,"",IF('1000'!Y9="","ERR",""))</f>
        <v/>
      </c>
      <c r="Z9" s="108" t="str">
        <f>IF(ISERROR(FIND($B$2,Lines!Z9))=TRUE,"",IF('750'!Z9="","ERR","")) &amp; IF(ISERROR(FIND($C$2,Lines!Z9))=TRUE,"",IF('500'!Z9="","ERR","")) &amp; IF(ISERROR(FIND($D$2,Lines!Z9))=TRUE,"",IF('330'!Z9="","ERR","")) &amp; IF(ISERROR(FIND($E$2,Lines!Z9))=TRUE,"",IF('220'!Z9="","ERR",""))&amp; IF(ISERROR(FIND($F$2,Lines!Z9))=TRUE,"",IF(AND('500DC'!Z9="",'800DC'!Z9=""),"ERR","")) &amp; IF(ISERROR(FIND($G$2,Lines!Z9))=TRUE,"",IF('1000'!Z9="","ERR","")) &amp; IF(ISERROR(FIND($H$2,Lines!Z9))=TRUE,"",IF('500DC'!Z9="","ERR","")) &amp; IF(ISERROR(FIND($I$2,Lines!Z9))=TRUE,"",IF('800DC'!Z9="","ERR","")) &amp; IF(ISERROR(FIND($J$2,Lines!Z9))=TRUE,"",IF('1000'!Z9="","ERR",""))</f>
        <v/>
      </c>
      <c r="AA9" s="108" t="str">
        <f>IF(ISERROR(FIND($B$2,Lines!AA9))=TRUE,"",IF('750'!AA9="","ERR","")) &amp; IF(ISERROR(FIND($C$2,Lines!AA9))=TRUE,"",IF('500'!AA9="","ERR","")) &amp; IF(ISERROR(FIND($D$2,Lines!AA9))=TRUE,"",IF('330'!AA9="","ERR","")) &amp; IF(ISERROR(FIND($E$2,Lines!AA9))=TRUE,"",IF('220'!AA9="","ERR",""))&amp; IF(ISERROR(FIND($F$2,Lines!AA9))=TRUE,"",IF(AND('500DC'!AA9="",'800DC'!AA9=""),"ERR","")) &amp; IF(ISERROR(FIND($G$2,Lines!AA9))=TRUE,"",IF('1000'!AA9="","ERR","")) &amp; IF(ISERROR(FIND($H$2,Lines!AA9))=TRUE,"",IF('500DC'!AA9="","ERR","")) &amp; IF(ISERROR(FIND($I$2,Lines!AA9))=TRUE,"",IF('800DC'!AA9="","ERR","")) &amp; IF(ISERROR(FIND($J$2,Lines!AA9))=TRUE,"",IF('1000'!AA9="","ERR",""))</f>
        <v/>
      </c>
      <c r="AB9" s="108" t="str">
        <f>IF(ISERROR(FIND($B$2,Lines!AB9))=TRUE,"",IF('750'!AB9="","ERR","")) &amp; IF(ISERROR(FIND($C$2,Lines!AB9))=TRUE,"",IF('500'!AB9="","ERR","")) &amp; IF(ISERROR(FIND($D$2,Lines!AB9))=TRUE,"",IF('330'!AB9="","ERR","")) &amp; IF(ISERROR(FIND($E$2,Lines!AB9))=TRUE,"",IF('220'!AB9="","ERR",""))&amp; IF(ISERROR(FIND($F$2,Lines!AB9))=TRUE,"",IF(AND('500DC'!AB9="",'800DC'!AB9=""),"ERR","")) &amp; IF(ISERROR(FIND($G$2,Lines!AB9))=TRUE,"",IF('1000'!AB9="","ERR","")) &amp; IF(ISERROR(FIND($H$2,Lines!AB9))=TRUE,"",IF('500DC'!AB9="","ERR","")) &amp; IF(ISERROR(FIND($I$2,Lines!AB9))=TRUE,"",IF('800DC'!AB9="","ERR","")) &amp; IF(ISERROR(FIND($J$2,Lines!AB9))=TRUE,"",IF('1000'!AB9="","ERR",""))</f>
        <v/>
      </c>
      <c r="AC9" s="108" t="str">
        <f>IF(ISERROR(FIND($B$2,Lines!AC9))=TRUE,"",IF('750'!AC9="","ERR","")) &amp; IF(ISERROR(FIND($C$2,Lines!AC9))=TRUE,"",IF('500'!AC9="","ERR","")) &amp; IF(ISERROR(FIND($D$2,Lines!AC9))=TRUE,"",IF('330'!AC9="","ERR","")) &amp; IF(ISERROR(FIND($E$2,Lines!AC9))=TRUE,"",IF('220'!AC9="","ERR",""))&amp; IF(ISERROR(FIND($F$2,Lines!AC9))=TRUE,"",IF(AND('500DC'!AC9="",'800DC'!AC9=""),"ERR","")) &amp; IF(ISERROR(FIND($G$2,Lines!AC9))=TRUE,"",IF('1000'!AC9="","ERR","")) &amp; IF(ISERROR(FIND($H$2,Lines!AC9))=TRUE,"",IF('500DC'!AC9="","ERR","")) &amp; IF(ISERROR(FIND($I$2,Lines!AC9))=TRUE,"",IF('800DC'!AC9="","ERR","")) &amp; IF(ISERROR(FIND($J$2,Lines!AC9))=TRUE,"",IF('1000'!AC9="","ERR",""))</f>
        <v/>
      </c>
      <c r="AD9" s="108" t="str">
        <f>IF(ISERROR(FIND($B$2,Lines!AD9))=TRUE,"",IF('750'!AD9="","ERR","")) &amp; IF(ISERROR(FIND($C$2,Lines!AD9))=TRUE,"",IF('500'!AD9="","ERR","")) &amp; IF(ISERROR(FIND($D$2,Lines!AD9))=TRUE,"",IF('330'!AD9="","ERR","")) &amp; IF(ISERROR(FIND($E$2,Lines!AD9))=TRUE,"",IF('220'!AD9="","ERR",""))&amp; IF(ISERROR(FIND($F$2,Lines!AD9))=TRUE,"",IF(AND('500DC'!AD9="",'800DC'!AD9=""),"ERR","")) &amp; IF(ISERROR(FIND($G$2,Lines!AD9))=TRUE,"",IF('1000'!AD9="","ERR","")) &amp; IF(ISERROR(FIND($H$2,Lines!AD9))=TRUE,"",IF('500DC'!AD9="","ERR","")) &amp; IF(ISERROR(FIND($I$2,Lines!AD9))=TRUE,"",IF('800DC'!AD9="","ERR","")) &amp; IF(ISERROR(FIND($J$2,Lines!AD9))=TRUE,"",IF('1000'!AD9="","ERR",""))</f>
        <v/>
      </c>
      <c r="AE9" s="108" t="str">
        <f>IF(ISERROR(FIND($B$2,Lines!AE9))=TRUE,"",IF('750'!AE9="","ERR","")) &amp; IF(ISERROR(FIND($C$2,Lines!AE9))=TRUE,"",IF('500'!AE9="","ERR","")) &amp; IF(ISERROR(FIND($D$2,Lines!AE9))=TRUE,"",IF('330'!AE9="","ERR","")) &amp; IF(ISERROR(FIND($E$2,Lines!AE9))=TRUE,"",IF('220'!AE9="","ERR",""))&amp; IF(ISERROR(FIND($F$2,Lines!AE9))=TRUE,"",IF(AND('500DC'!AE9="",'800DC'!AE9=""),"ERR","")) &amp; IF(ISERROR(FIND($G$2,Lines!AE9))=TRUE,"",IF('1000'!AE9="","ERR","")) &amp; IF(ISERROR(FIND($H$2,Lines!AE9))=TRUE,"",IF('500DC'!AE9="","ERR","")) &amp; IF(ISERROR(FIND($I$2,Lines!AE9))=TRUE,"",IF('800DC'!AE9="","ERR","")) &amp; IF(ISERROR(FIND($J$2,Lines!AE9))=TRUE,"",IF('1000'!AE9="","ERR",""))</f>
        <v/>
      </c>
      <c r="AF9" s="108" t="str">
        <f>IF(ISERROR(FIND($B$2,Lines!AF9))=TRUE,"",IF('750'!AF9="","ERR","")) &amp; IF(ISERROR(FIND($C$2,Lines!AF9))=TRUE,"",IF('500'!AF9="","ERR","")) &amp; IF(ISERROR(FIND($D$2,Lines!AF9))=TRUE,"",IF('330'!AF9="","ERR","")) &amp; IF(ISERROR(FIND($E$2,Lines!AF9))=TRUE,"",IF('220'!AF9="","ERR",""))&amp; IF(ISERROR(FIND($F$2,Lines!AF9))=TRUE,"",IF(AND('500DC'!AF9="",'800DC'!AF9=""),"ERR","")) &amp; IF(ISERROR(FIND($G$2,Lines!AF9))=TRUE,"",IF('1000'!AF9="","ERR","")) &amp; IF(ISERROR(FIND($H$2,Lines!AF9))=TRUE,"",IF('500DC'!AF9="","ERR","")) &amp; IF(ISERROR(FIND($I$2,Lines!AF9))=TRUE,"",IF('800DC'!AF9="","ERR","")) &amp; IF(ISERROR(FIND($J$2,Lines!AF9))=TRUE,"",IF('1000'!AF9="","ERR",""))</f>
        <v/>
      </c>
      <c r="AG9" s="108" t="str">
        <f>IF(ISERROR(FIND($B$2,Lines!AG9))=TRUE,"",IF('750'!AG9="","ERR","")) &amp; IF(ISERROR(FIND($C$2,Lines!AG9))=TRUE,"",IF('500'!AG9="","ERR","")) &amp; IF(ISERROR(FIND($D$2,Lines!AG9))=TRUE,"",IF('330'!AG9="","ERR","")) &amp; IF(ISERROR(FIND($E$2,Lines!AG9))=TRUE,"",IF('220'!AG9="","ERR",""))&amp; IF(ISERROR(FIND($F$2,Lines!AG9))=TRUE,"",IF(AND('500DC'!AG9="",'800DC'!AG9=""),"ERR","")) &amp; IF(ISERROR(FIND($G$2,Lines!AG9))=TRUE,"",IF('1000'!AG9="","ERR","")) &amp; IF(ISERROR(FIND($H$2,Lines!AG9))=TRUE,"",IF('500DC'!AG9="","ERR","")) &amp; IF(ISERROR(FIND($I$2,Lines!AG9))=TRUE,"",IF('800DC'!AG9="","ERR","")) &amp; IF(ISERROR(FIND($J$2,Lines!AG9))=TRUE,"",IF('1000'!AG9="","ERR",""))</f>
        <v/>
      </c>
      <c r="AH9" s="108" t="str">
        <f>IF(ISERROR(FIND($B$2,Lines!AH9))=TRUE,"",IF('750'!AH9="","ERR","")) &amp; IF(ISERROR(FIND($C$2,Lines!AH9))=TRUE,"",IF('500'!AH9="","ERR","")) &amp; IF(ISERROR(FIND($D$2,Lines!AH9))=TRUE,"",IF('330'!AH9="","ERR","")) &amp; IF(ISERROR(FIND($E$2,Lines!AH9))=TRUE,"",IF('220'!AH9="","ERR",""))&amp; IF(ISERROR(FIND($F$2,Lines!AH9))=TRUE,"",IF(AND('500DC'!AH9="",'800DC'!AH9=""),"ERR","")) &amp; IF(ISERROR(FIND($G$2,Lines!AH9))=TRUE,"",IF('1000'!AH9="","ERR","")) &amp; IF(ISERROR(FIND($H$2,Lines!AH9))=TRUE,"",IF('500DC'!AH9="","ERR","")) &amp; IF(ISERROR(FIND($I$2,Lines!AH9))=TRUE,"",IF('800DC'!AH9="","ERR","")) &amp; IF(ISERROR(FIND($J$2,Lines!AH9))=TRUE,"",IF('1000'!AH9="","ERR",""))</f>
        <v/>
      </c>
      <c r="AI9" s="108" t="str">
        <f>IF(ISERROR(FIND($B$2,Lines!AI9))=TRUE,"",IF('750'!AI9="","ERR","")) &amp; IF(ISERROR(FIND($C$2,Lines!AI9))=TRUE,"",IF('500'!AI9="","ERR","")) &amp; IF(ISERROR(FIND($D$2,Lines!AI9))=TRUE,"",IF('330'!AI9="","ERR","")) &amp; IF(ISERROR(FIND($E$2,Lines!AI9))=TRUE,"",IF('220'!AI9="","ERR",""))&amp; IF(ISERROR(FIND($F$2,Lines!AI9))=TRUE,"",IF(AND('500DC'!AI9="",'800DC'!AI9=""),"ERR","")) &amp; IF(ISERROR(FIND($G$2,Lines!AI9))=TRUE,"",IF('1000'!AI9="","ERR","")) &amp; IF(ISERROR(FIND($H$2,Lines!AI9))=TRUE,"",IF('500DC'!AI9="","ERR","")) &amp; IF(ISERROR(FIND($I$2,Lines!AI9))=TRUE,"",IF('800DC'!AI9="","ERR","")) &amp; IF(ISERROR(FIND($J$2,Lines!AI9))=TRUE,"",IF('1000'!AI9="","ERR",""))</f>
        <v/>
      </c>
      <c r="AJ9" s="108" t="str">
        <f>IF(ISERROR(FIND($B$2,Lines!AJ9))=TRUE,"",IF('750'!AJ9="","ERR","")) &amp; IF(ISERROR(FIND($C$2,Lines!AJ9))=TRUE,"",IF('500'!AJ9="","ERR","")) &amp; IF(ISERROR(FIND($D$2,Lines!AJ9))=TRUE,"",IF('330'!AJ9="","ERR","")) &amp; IF(ISERROR(FIND($E$2,Lines!AJ9))=TRUE,"",IF('220'!AJ9="","ERR",""))&amp; IF(ISERROR(FIND($F$2,Lines!AJ9))=TRUE,"",IF(AND('500DC'!AJ9="",'800DC'!AJ9=""),"ERR","")) &amp; IF(ISERROR(FIND($G$2,Lines!AJ9))=TRUE,"",IF('1000'!AJ9="","ERR","")) &amp; IF(ISERROR(FIND($H$2,Lines!AJ9))=TRUE,"",IF('500DC'!AJ9="","ERR","")) &amp; IF(ISERROR(FIND($I$2,Lines!AJ9))=TRUE,"",IF('800DC'!AJ9="","ERR","")) &amp; IF(ISERROR(FIND($J$2,Lines!AJ9))=TRUE,"",IF('1000'!AJ9="","ERR",""))</f>
        <v/>
      </c>
      <c r="AK9" s="108" t="str">
        <f>IF(ISERROR(FIND($B$2,Lines!AK9))=TRUE,"",IF('750'!AK9="","ERR","")) &amp; IF(ISERROR(FIND($C$2,Lines!AK9))=TRUE,"",IF('500'!AK9="","ERR","")) &amp; IF(ISERROR(FIND($D$2,Lines!AK9))=TRUE,"",IF('330'!AK9="","ERR","")) &amp; IF(ISERROR(FIND($E$2,Lines!AK9))=TRUE,"",IF('220'!AK9="","ERR",""))&amp; IF(ISERROR(FIND($F$2,Lines!AK9))=TRUE,"",IF(AND('500DC'!AK9="",'800DC'!AK9=""),"ERR","")) &amp; IF(ISERROR(FIND($G$2,Lines!AK9))=TRUE,"",IF('1000'!AK9="","ERR","")) &amp; IF(ISERROR(FIND($H$2,Lines!AK9))=TRUE,"",IF('500DC'!AK9="","ERR","")) &amp; IF(ISERROR(FIND($I$2,Lines!AK9))=TRUE,"",IF('800DC'!AK9="","ERR","")) &amp; IF(ISERROR(FIND($J$2,Lines!AK9))=TRUE,"",IF('1000'!AK9="","ERR",""))</f>
        <v/>
      </c>
      <c r="AL9" s="108" t="str">
        <f>IF(ISERROR(FIND($B$2,Lines!AL9))=TRUE,"",IF('750'!AL9="","ERR","")) &amp; IF(ISERROR(FIND($C$2,Lines!AL9))=TRUE,"",IF('500'!AL9="","ERR","")) &amp; IF(ISERROR(FIND($D$2,Lines!AL9))=TRUE,"",IF('330'!AL9="","ERR","")) &amp; IF(ISERROR(FIND($E$2,Lines!AL9))=TRUE,"",IF('220'!AL9="","ERR",""))&amp; IF(ISERROR(FIND($F$2,Lines!AL9))=TRUE,"",IF(AND('500DC'!AL9="",'800DC'!AL9=""),"ERR","")) &amp; IF(ISERROR(FIND($G$2,Lines!AL9))=TRUE,"",IF('1000'!AL9="","ERR","")) &amp; IF(ISERROR(FIND($H$2,Lines!AL9))=TRUE,"",IF('500DC'!AL9="","ERR","")) &amp; IF(ISERROR(FIND($I$2,Lines!AL9))=TRUE,"",IF('800DC'!AL9="","ERR","")) &amp; IF(ISERROR(FIND($J$2,Lines!AL9))=TRUE,"",IF('1000'!AL9="","ERR",""))</f>
        <v/>
      </c>
      <c r="AM9" s="108" t="str">
        <f>IF(ISERROR(FIND($B$2,Lines!AM9))=TRUE,"",IF('750'!AM9="","ERR","")) &amp; IF(ISERROR(FIND($C$2,Lines!AM9))=TRUE,"",IF('500'!AM9="","ERR","")) &amp; IF(ISERROR(FIND($D$2,Lines!AM9))=TRUE,"",IF('330'!AM9="","ERR","")) &amp; IF(ISERROR(FIND($E$2,Lines!AM9))=TRUE,"",IF('220'!AM9="","ERR",""))&amp; IF(ISERROR(FIND($F$2,Lines!AM9))=TRUE,"",IF(AND('500DC'!AM9="",'800DC'!AM9=""),"ERR","")) &amp; IF(ISERROR(FIND($G$2,Lines!AM9))=TRUE,"",IF('1000'!AM9="","ERR","")) &amp; IF(ISERROR(FIND($H$2,Lines!AM9))=TRUE,"",IF('500DC'!AM9="","ERR","")) &amp; IF(ISERROR(FIND($I$2,Lines!AM9))=TRUE,"",IF('800DC'!AM9="","ERR","")) &amp; IF(ISERROR(FIND($J$2,Lines!AM9))=TRUE,"",IF('1000'!AM9="","ERR",""))</f>
        <v/>
      </c>
      <c r="AN9" s="108" t="str">
        <f>IF(ISERROR(FIND($B$2,Lines!AN9))=TRUE,"",IF('750'!AN9="","ERR","")) &amp; IF(ISERROR(FIND($C$2,Lines!AN9))=TRUE,"",IF('500'!AN9="","ERR","")) &amp; IF(ISERROR(FIND($D$2,Lines!AN9))=TRUE,"",IF('330'!AN9="","ERR","")) &amp; IF(ISERROR(FIND($E$2,Lines!AN9))=TRUE,"",IF('220'!AN9="","ERR",""))&amp; IF(ISERROR(FIND($F$2,Lines!AN9))=TRUE,"",IF(AND('500DC'!AN9="",'800DC'!AN9=""),"ERR","")) &amp; IF(ISERROR(FIND($G$2,Lines!AN9))=TRUE,"",IF('1000'!AN9="","ERR","")) &amp; IF(ISERROR(FIND($H$2,Lines!AN9))=TRUE,"",IF('500DC'!AN9="","ERR","")) &amp; IF(ISERROR(FIND($I$2,Lines!AN9))=TRUE,"",IF('800DC'!AN9="","ERR","")) &amp; IF(ISERROR(FIND($J$2,Lines!AN9))=TRUE,"",IF('1000'!AN9="","ERR",""))</f>
        <v/>
      </c>
      <c r="AO9" s="108" t="str">
        <f>IF(ISERROR(FIND($B$2,Lines!AO9))=TRUE,"",IF('750'!AO9="","ERR","")) &amp; IF(ISERROR(FIND($C$2,Lines!AO9))=TRUE,"",IF('500'!AO9="","ERR","")) &amp; IF(ISERROR(FIND($D$2,Lines!AO9))=TRUE,"",IF('330'!AO9="","ERR","")) &amp; IF(ISERROR(FIND($E$2,Lines!AO9))=TRUE,"",IF('220'!AO9="","ERR",""))&amp; IF(ISERROR(FIND($F$2,Lines!AO9))=TRUE,"",IF(AND('500DC'!AO9="",'800DC'!AO9=""),"ERR","")) &amp; IF(ISERROR(FIND($G$2,Lines!AO9))=TRUE,"",IF('1000'!AO9="","ERR","")) &amp; IF(ISERROR(FIND($H$2,Lines!AO9))=TRUE,"",IF('500DC'!AO9="","ERR","")) &amp; IF(ISERROR(FIND($I$2,Lines!AO9))=TRUE,"",IF('800DC'!AO9="","ERR","")) &amp; IF(ISERROR(FIND($J$2,Lines!AO9))=TRUE,"",IF('1000'!AO9="","ERR",""))</f>
        <v/>
      </c>
      <c r="AP9" s="108" t="str">
        <f>IF(ISERROR(FIND($B$2,Lines!AP9))=TRUE,"",IF('750'!AP9="","ERR","")) &amp; IF(ISERROR(FIND($C$2,Lines!AP9))=TRUE,"",IF('500'!AP9="","ERR","")) &amp; IF(ISERROR(FIND($D$2,Lines!AP9))=TRUE,"",IF('330'!AP9="","ERR","")) &amp; IF(ISERROR(FIND($E$2,Lines!AP9))=TRUE,"",IF('220'!AP9="","ERR",""))&amp; IF(ISERROR(FIND($F$2,Lines!AP9))=TRUE,"",IF(AND('500DC'!AP9="",'800DC'!AP9=""),"ERR","")) &amp; IF(ISERROR(FIND($G$2,Lines!AP9))=TRUE,"",IF('1000'!AP9="","ERR","")) &amp; IF(ISERROR(FIND($H$2,Lines!AP9))=TRUE,"",IF('500DC'!AP9="","ERR","")) &amp; IF(ISERROR(FIND($I$2,Lines!AP9))=TRUE,"",IF('800DC'!AP9="","ERR","")) &amp; IF(ISERROR(FIND($J$2,Lines!AP9))=TRUE,"",IF('1000'!AP9="","ERR",""))</f>
        <v/>
      </c>
      <c r="AQ9" s="108" t="str">
        <f>IF(ISERROR(FIND($B$2,Lines!AQ9))=TRUE,"",IF('750'!AQ9="","ERR","")) &amp; IF(ISERROR(FIND($C$2,Lines!AQ9))=TRUE,"",IF('500'!AQ9="","ERR","")) &amp; IF(ISERROR(FIND($D$2,Lines!AQ9))=TRUE,"",IF('330'!AQ9="","ERR","")) &amp; IF(ISERROR(FIND($E$2,Lines!AQ9))=TRUE,"",IF('220'!AQ9="","ERR",""))&amp; IF(ISERROR(FIND($F$2,Lines!AQ9))=TRUE,"",IF(AND('500DC'!AQ9="",'800DC'!AQ9=""),"ERR","")) &amp; IF(ISERROR(FIND($G$2,Lines!AQ9))=TRUE,"",IF('1000'!AQ9="","ERR","")) &amp; IF(ISERROR(FIND($H$2,Lines!AQ9))=TRUE,"",IF('500DC'!AQ9="","ERR","")) &amp; IF(ISERROR(FIND($I$2,Lines!AQ9))=TRUE,"",IF('800DC'!AQ9="","ERR","")) &amp; IF(ISERROR(FIND($J$2,Lines!AQ9))=TRUE,"",IF('1000'!AQ9="","ERR",""))</f>
        <v/>
      </c>
      <c r="AR9" s="108" t="str">
        <f>IF(ISERROR(FIND($B$2,Lines!AR9))=TRUE,"",IF('750'!AR9="","ERR","")) &amp; IF(ISERROR(FIND($C$2,Lines!AR9))=TRUE,"",IF('500'!AR9="","ERR","")) &amp; IF(ISERROR(FIND($D$2,Lines!AR9))=TRUE,"",IF('330'!AR9="","ERR","")) &amp; IF(ISERROR(FIND($E$2,Lines!AR9))=TRUE,"",IF('220'!AR9="","ERR",""))&amp; IF(ISERROR(FIND($F$2,Lines!AR9))=TRUE,"",IF(AND('500DC'!AR9="",'800DC'!AR9=""),"ERR","")) &amp; IF(ISERROR(FIND($G$2,Lines!AR9))=TRUE,"",IF('1000'!AR9="","ERR","")) &amp; IF(ISERROR(FIND($H$2,Lines!AR9))=TRUE,"",IF('500DC'!AR9="","ERR","")) &amp; IF(ISERROR(FIND($I$2,Lines!AR9))=TRUE,"",IF('800DC'!AR9="","ERR","")) &amp; IF(ISERROR(FIND($J$2,Lines!AR9))=TRUE,"",IF('1000'!AR9="","ERR",""))</f>
        <v/>
      </c>
      <c r="AS9" s="108" t="str">
        <f>IF(ISERROR(FIND($B$2,Lines!AS9))=TRUE,"",IF('750'!AS9="","ERR","")) &amp; IF(ISERROR(FIND($C$2,Lines!AS9))=TRUE,"",IF('500'!AS9="","ERR","")) &amp; IF(ISERROR(FIND($D$2,Lines!AS9))=TRUE,"",IF('330'!AS9="","ERR","")) &amp; IF(ISERROR(FIND($E$2,Lines!AS9))=TRUE,"",IF('220'!AS9="","ERR",""))&amp; IF(ISERROR(FIND($F$2,Lines!AS9))=TRUE,"",IF(AND('500DC'!AS9="",'800DC'!AS9=""),"ERR","")) &amp; IF(ISERROR(FIND($G$2,Lines!AS9))=TRUE,"",IF('1000'!AS9="","ERR","")) &amp; IF(ISERROR(FIND($H$2,Lines!AS9))=TRUE,"",IF('500DC'!AS9="","ERR","")) &amp; IF(ISERROR(FIND($I$2,Lines!AS9))=TRUE,"",IF('800DC'!AS9="","ERR","")) &amp; IF(ISERROR(FIND($J$2,Lines!AS9))=TRUE,"",IF('1000'!AS9="","ERR",""))</f>
        <v/>
      </c>
      <c r="AT9" s="108" t="str">
        <f>IF(ISERROR(FIND($B$2,Lines!AT9))=TRUE,"",IF('750'!AT9="","ERR","")) &amp; IF(ISERROR(FIND($C$2,Lines!AT9))=TRUE,"",IF('500'!AT9="","ERR","")) &amp; IF(ISERROR(FIND($D$2,Lines!AT9))=TRUE,"",IF('330'!AT9="","ERR","")) &amp; IF(ISERROR(FIND($E$2,Lines!AT9))=TRUE,"",IF('220'!AT9="","ERR",""))&amp; IF(ISERROR(FIND($F$2,Lines!AT9))=TRUE,"",IF(AND('500DC'!AT9="",'800DC'!AT9=""),"ERR","")) &amp; IF(ISERROR(FIND($G$2,Lines!AT9))=TRUE,"",IF('1000'!AT9="","ERR","")) &amp; IF(ISERROR(FIND($H$2,Lines!AT9))=TRUE,"",IF('500DC'!AT9="","ERR","")) &amp; IF(ISERROR(FIND($I$2,Lines!AT9))=TRUE,"",IF('800DC'!AT9="","ERR","")) &amp; IF(ISERROR(FIND($J$2,Lines!AT9))=TRUE,"",IF('1000'!AT9="","ERR",""))</f>
        <v/>
      </c>
    </row>
    <row r="10" spans="1:46" ht="20.25" customHeight="1">
      <c r="A10" s="2" t="s">
        <v>61</v>
      </c>
      <c r="B10" s="106" t="str">
        <f>IF(ISERROR(FIND($B$2,Lines!B10))=TRUE,"",IF('750'!B10="","ERR","")) &amp; IF(ISERROR(FIND($C$2,Lines!B10))=TRUE,"",IF('500'!B10="","ERR","")) &amp; IF(ISERROR(FIND($D$2,Lines!B10))=TRUE,"",IF('330'!B10="","ERR","")) &amp; IF(ISERROR(FIND($E$2,Lines!B10))=TRUE,"",IF('220'!B10="","ERR",""))&amp; IF(ISERROR(FIND($F$2,Lines!B10))=TRUE,"",IF(AND('500DC'!B10="",'800DC'!B10=""),"ERR","")) &amp; IF(ISERROR(FIND($G$2,Lines!B10))=TRUE,"",IF('1000'!B10="","ERR","")) &amp; IF(ISERROR(FIND($H$2,Lines!B10))=TRUE,"",IF('500DC'!B10="","ERR","")) &amp; IF(ISERROR(FIND($I$2,Lines!B10))=TRUE,"",IF('800DC'!B10="","ERR","")) &amp; IF(ISERROR(FIND($J$2,Lines!B10))=TRUE,"",IF('1000'!B10="","ERR",""))</f>
        <v/>
      </c>
      <c r="C10" s="106" t="str">
        <f>IF(ISERROR(FIND($B$2,Lines!C10))=TRUE,"",IF('750'!C10="","ERR","")) &amp; IF(ISERROR(FIND($C$2,Lines!C10))=TRUE,"",IF('500'!C10="","ERR","")) &amp; IF(ISERROR(FIND($D$2,Lines!C10))=TRUE,"",IF('330'!C10="","ERR","")) &amp; IF(ISERROR(FIND($E$2,Lines!C10))=TRUE,"",IF('220'!C10="","ERR",""))&amp; IF(ISERROR(FIND($F$2,Lines!C10))=TRUE,"",IF(AND('500DC'!C10="",'800DC'!C10=""),"ERR","")) &amp; IF(ISERROR(FIND($G$2,Lines!C10))=TRUE,"",IF('1000'!C10="","ERR","")) &amp; IF(ISERROR(FIND($H$2,Lines!C10))=TRUE,"",IF('500DC'!C10="","ERR","")) &amp; IF(ISERROR(FIND($I$2,Lines!C10))=TRUE,"",IF('800DC'!C10="","ERR","")) &amp; IF(ISERROR(FIND($J$2,Lines!C10))=TRUE,"",IF('1000'!C10="","ERR",""))</f>
        <v/>
      </c>
      <c r="D10" s="106" t="str">
        <f>IF(ISERROR(FIND($B$2,Lines!D10))=TRUE,"",IF('750'!D10="","ERR","")) &amp; IF(ISERROR(FIND($C$2,Lines!D10))=TRUE,"",IF('500'!D10="","ERR","")) &amp; IF(ISERROR(FIND($D$2,Lines!D10))=TRUE,"",IF('330'!D10="","ERR","")) &amp; IF(ISERROR(FIND($E$2,Lines!D10))=TRUE,"",IF('220'!D10="","ERR",""))&amp; IF(ISERROR(FIND($F$2,Lines!D10))=TRUE,"",IF(AND('500DC'!D10="",'800DC'!D10=""),"ERR","")) &amp; IF(ISERROR(FIND($G$2,Lines!D10))=TRUE,"",IF('1000'!D10="","ERR","")) &amp; IF(ISERROR(FIND($H$2,Lines!D10))=TRUE,"",IF('500DC'!D10="","ERR","")) &amp; IF(ISERROR(FIND($I$2,Lines!D10))=TRUE,"",IF('800DC'!D10="","ERR","")) &amp; IF(ISERROR(FIND($J$2,Lines!D10))=TRUE,"",IF('1000'!D10="","ERR",""))</f>
        <v/>
      </c>
      <c r="E10" s="106" t="str">
        <f>IF(ISERROR(FIND($B$2,Lines!E10))=TRUE,"",IF('750'!E10="","ERR","")) &amp; IF(ISERROR(FIND($C$2,Lines!E10))=TRUE,"",IF('500'!E10="","ERR","")) &amp; IF(ISERROR(FIND($D$2,Lines!E10))=TRUE,"",IF('330'!E10="","ERR","")) &amp; IF(ISERROR(FIND($E$2,Lines!E10))=TRUE,"",IF('220'!E10="","ERR",""))&amp; IF(ISERROR(FIND($F$2,Lines!E10))=TRUE,"",IF(AND('500DC'!E10="",'800DC'!E10=""),"ERR","")) &amp; IF(ISERROR(FIND($G$2,Lines!E10))=TRUE,"",IF('1000'!E10="","ERR","")) &amp; IF(ISERROR(FIND($H$2,Lines!E10))=TRUE,"",IF('500DC'!E10="","ERR","")) &amp; IF(ISERROR(FIND($I$2,Lines!E10))=TRUE,"",IF('800DC'!E10="","ERR","")) &amp; IF(ISERROR(FIND($J$2,Lines!E10))=TRUE,"",IF('1000'!E10="","ERR",""))</f>
        <v/>
      </c>
      <c r="F10" s="106" t="str">
        <f>IF(ISERROR(FIND($B$2,Lines!F10))=TRUE,"",IF('750'!F10="","ERR","")) &amp; IF(ISERROR(FIND($C$2,Lines!F10))=TRUE,"",IF('500'!F10="","ERR","")) &amp; IF(ISERROR(FIND($D$2,Lines!F10))=TRUE,"",IF('330'!F10="","ERR","")) &amp; IF(ISERROR(FIND($E$2,Lines!F10))=TRUE,"",IF('220'!F10="","ERR",""))&amp; IF(ISERROR(FIND($F$2,Lines!F10))=TRUE,"",IF(AND('500DC'!F10="",'800DC'!F10=""),"ERR","")) &amp; IF(ISERROR(FIND($G$2,Lines!F10))=TRUE,"",IF('1000'!F10="","ERR","")) &amp; IF(ISERROR(FIND($H$2,Lines!F10))=TRUE,"",IF('500DC'!F10="","ERR","")) &amp; IF(ISERROR(FIND($I$2,Lines!F10))=TRUE,"",IF('800DC'!F10="","ERR","")) &amp; IF(ISERROR(FIND($J$2,Lines!F10))=TRUE,"",IF('1000'!F10="","ERR",""))</f>
        <v/>
      </c>
      <c r="G10" s="106" t="str">
        <f>IF(ISERROR(FIND($B$2,Lines!G10))=TRUE,"",IF('750'!G10="","ERR","")) &amp; IF(ISERROR(FIND($C$2,Lines!G10))=TRUE,"",IF('500'!G10="","ERR","")) &amp; IF(ISERROR(FIND($D$2,Lines!G10))=TRUE,"",IF('330'!G10="","ERR","")) &amp; IF(ISERROR(FIND($E$2,Lines!G10))=TRUE,"",IF('220'!G10="","ERR",""))&amp; IF(ISERROR(FIND($F$2,Lines!G10))=TRUE,"",IF(AND('500DC'!G10="",'800DC'!G10=""),"ERR","")) &amp; IF(ISERROR(FIND($G$2,Lines!G10))=TRUE,"",IF('1000'!G10="","ERR","")) &amp; IF(ISERROR(FIND($H$2,Lines!G10))=TRUE,"",IF('500DC'!G10="","ERR","")) &amp; IF(ISERROR(FIND($I$2,Lines!G10))=TRUE,"",IF('800DC'!G10="","ERR","")) &amp; IF(ISERROR(FIND($J$2,Lines!G10))=TRUE,"",IF('1000'!G10="","ERR",""))</f>
        <v/>
      </c>
      <c r="H10" s="105" t="str">
        <f>IF(ISERROR(FIND($B$2,Lines!H10))=TRUE,"",IF('750'!H10="","ERR","")) &amp; IF(ISERROR(FIND($C$2,Lines!H10))=TRUE,"",IF('500'!H10="","ERR","")) &amp; IF(ISERROR(FIND($D$2,Lines!H10))=TRUE,"",IF('330'!H10="","ERR","")) &amp; IF(ISERROR(FIND($E$2,Lines!H10))=TRUE,"",IF('220'!H10="","ERR",""))&amp; IF(ISERROR(FIND($F$2,Lines!H10))=TRUE,"",IF(AND('500DC'!H10="",'800DC'!H10=""),"ERR","")) &amp; IF(ISERROR(FIND($G$2,Lines!H10))=TRUE,"",IF('1000'!H10="","ERR","")) &amp; IF(ISERROR(FIND($H$2,Lines!H10))=TRUE,"",IF('500DC'!H10="","ERR","")) &amp; IF(ISERROR(FIND($I$2,Lines!H10))=TRUE,"",IF('800DC'!H10="","ERR","")) &amp; IF(ISERROR(FIND($J$2,Lines!H10))=TRUE,"",IF('1000'!H10="","ERR",""))</f>
        <v/>
      </c>
      <c r="I10" s="106" t="str">
        <f>IF(ISERROR(FIND($B$2,Lines!I10))=TRUE,"",IF('750'!I10="","ERR","")) &amp; IF(ISERROR(FIND($C$2,Lines!I10))=TRUE,"",IF('500'!I10="","ERR","")) &amp; IF(ISERROR(FIND($D$2,Lines!I10))=TRUE,"",IF('330'!I10="","ERR","")) &amp; IF(ISERROR(FIND($E$2,Lines!I10))=TRUE,"",IF('220'!I10="","ERR",""))&amp; IF(ISERROR(FIND($F$2,Lines!I10))=TRUE,"",IF(AND('500DC'!I10="",'800DC'!I10=""),"ERR","")) &amp; IF(ISERROR(FIND($G$2,Lines!I10))=TRUE,"",IF('1000'!I10="","ERR","")) &amp; IF(ISERROR(FIND($H$2,Lines!I10))=TRUE,"",IF('500DC'!I10="","ERR","")) &amp; IF(ISERROR(FIND($I$2,Lines!I10))=TRUE,"",IF('800DC'!I10="","ERR","")) &amp; IF(ISERROR(FIND($J$2,Lines!I10))=TRUE,"",IF('1000'!I10="","ERR",""))</f>
        <v/>
      </c>
      <c r="J10" s="106" t="str">
        <f>IF(ISERROR(FIND($B$2,Lines!J10))=TRUE,"",IF('750'!J10="","ERR","")) &amp; IF(ISERROR(FIND($C$2,Lines!J10))=TRUE,"",IF('500'!J10="","ERR","")) &amp; IF(ISERROR(FIND($D$2,Lines!J10))=TRUE,"",IF('330'!J10="","ERR","")) &amp; IF(ISERROR(FIND($E$2,Lines!J10))=TRUE,"",IF('220'!J10="","ERR",""))&amp; IF(ISERROR(FIND($F$2,Lines!J10))=TRUE,"",IF(AND('500DC'!J10="",'800DC'!J10=""),"ERR","")) &amp; IF(ISERROR(FIND($G$2,Lines!J10))=TRUE,"",IF('1000'!J10="","ERR","")) &amp; IF(ISERROR(FIND($H$2,Lines!J10))=TRUE,"",IF('500DC'!J10="","ERR","")) &amp; IF(ISERROR(FIND($I$2,Lines!J10))=TRUE,"",IF('800DC'!J10="","ERR","")) &amp; IF(ISERROR(FIND($J$2,Lines!J10))=TRUE,"",IF('1000'!J10="","ERR",""))</f>
        <v/>
      </c>
      <c r="K10" s="106" t="str">
        <f>IF(ISERROR(FIND($B$2,Lines!K10))=TRUE,"",IF('750'!K10="","ERR","")) &amp; IF(ISERROR(FIND($C$2,Lines!K10))=TRUE,"",IF('500'!K10="","ERR","")) &amp; IF(ISERROR(FIND($D$2,Lines!K10))=TRUE,"",IF('330'!K10="","ERR","")) &amp; IF(ISERROR(FIND($E$2,Lines!K10))=TRUE,"",IF('220'!K10="","ERR",""))&amp; IF(ISERROR(FIND($F$2,Lines!K10))=TRUE,"",IF(AND('500DC'!K10="",'800DC'!K10=""),"ERR","")) &amp; IF(ISERROR(FIND($G$2,Lines!K10))=TRUE,"",IF('1000'!K10="","ERR","")) &amp; IF(ISERROR(FIND($H$2,Lines!K10))=TRUE,"",IF('500DC'!K10="","ERR","")) &amp; IF(ISERROR(FIND($I$2,Lines!K10))=TRUE,"",IF('800DC'!K10="","ERR","")) &amp; IF(ISERROR(FIND($J$2,Lines!K10))=TRUE,"",IF('1000'!K10="","ERR",""))</f>
        <v/>
      </c>
      <c r="L10" s="106" t="str">
        <f>IF(ISERROR(FIND($B$2,Lines!L10))=TRUE,"",IF('750'!L10="","ERR","")) &amp; IF(ISERROR(FIND($C$2,Lines!L10))=TRUE,"",IF('500'!L10="","ERR","")) &amp; IF(ISERROR(FIND($D$2,Lines!L10))=TRUE,"",IF('330'!L10="","ERR","")) &amp; IF(ISERROR(FIND($E$2,Lines!L10))=TRUE,"",IF('220'!L10="","ERR",""))&amp; IF(ISERROR(FIND($F$2,Lines!L10))=TRUE,"",IF(AND('500DC'!L10="",'800DC'!L10=""),"ERR","")) &amp; IF(ISERROR(FIND($G$2,Lines!L10))=TRUE,"",IF('1000'!L10="","ERR","")) &amp; IF(ISERROR(FIND($H$2,Lines!L10))=TRUE,"",IF('500DC'!L10="","ERR","")) &amp; IF(ISERROR(FIND($I$2,Lines!L10))=TRUE,"",IF('800DC'!L10="","ERR","")) &amp; IF(ISERROR(FIND($J$2,Lines!L10))=TRUE,"",IF('1000'!L10="","ERR",""))</f>
        <v/>
      </c>
      <c r="M10" s="107" t="str">
        <f>IF(ISERROR(FIND($B$2,Lines!M10))=TRUE,"",IF('750'!M10="","ERR","")) &amp; IF(ISERROR(FIND($C$2,Lines!M10))=TRUE,"",IF('500'!M10="","ERR","")) &amp; IF(ISERROR(FIND($D$2,Lines!M10))=TRUE,"",IF('330'!M10="","ERR","")) &amp; IF(ISERROR(FIND($E$2,Lines!M10))=TRUE,"",IF('220'!M10="","ERR",""))&amp; IF(ISERROR(FIND($F$2,Lines!M10))=TRUE,"",IF(AND('500DC'!M10="",'800DC'!M10=""),"ERR","")) &amp; IF(ISERROR(FIND($G$2,Lines!M10))=TRUE,"",IF('1000'!M10="","ERR","")) &amp; IF(ISERROR(FIND($H$2,Lines!M10))=TRUE,"",IF('500DC'!M10="","ERR","")) &amp; IF(ISERROR(FIND($I$2,Lines!M10))=TRUE,"",IF('800DC'!M10="","ERR","")) &amp; IF(ISERROR(FIND($J$2,Lines!M10))=TRUE,"",IF('1000'!M10="","ERR",""))</f>
        <v/>
      </c>
      <c r="N10" s="108" t="str">
        <f>IF(ISERROR(FIND($B$2,Lines!N10))=TRUE,"",IF('750'!N10="","ERR","")) &amp; IF(ISERROR(FIND($C$2,Lines!N10))=TRUE,"",IF('500'!N10="","ERR","")) &amp; IF(ISERROR(FIND($D$2,Lines!N10))=TRUE,"",IF('330'!N10="","ERR","")) &amp; IF(ISERROR(FIND($E$2,Lines!N10))=TRUE,"",IF('220'!N10="","ERR",""))&amp; IF(ISERROR(FIND($F$2,Lines!N10))=TRUE,"",IF(AND('500DC'!N10="",'800DC'!N10=""),"ERR","")) &amp; IF(ISERROR(FIND($G$2,Lines!N10))=TRUE,"",IF('1000'!N10="","ERR","")) &amp; IF(ISERROR(FIND($H$2,Lines!N10))=TRUE,"",IF('500DC'!N10="","ERR","")) &amp; IF(ISERROR(FIND($I$2,Lines!N10))=TRUE,"",IF('800DC'!N10="","ERR","")) &amp; IF(ISERROR(FIND($J$2,Lines!N10))=TRUE,"",IF('1000'!N10="","ERR",""))</f>
        <v/>
      </c>
      <c r="O10" s="108" t="str">
        <f>IF(ISERROR(FIND($B$2,Lines!O10))=TRUE,"",IF('750'!O10="","ERR","")) &amp; IF(ISERROR(FIND($C$2,Lines!O10))=TRUE,"",IF('500'!O10="","ERR","")) &amp; IF(ISERROR(FIND($D$2,Lines!O10))=TRUE,"",IF('330'!O10="","ERR","")) &amp; IF(ISERROR(FIND($E$2,Lines!O10))=TRUE,"",IF('220'!O10="","ERR",""))&amp; IF(ISERROR(FIND($F$2,Lines!O10))=TRUE,"",IF(AND('500DC'!O10="",'800DC'!O10=""),"ERR","")) &amp; IF(ISERROR(FIND($G$2,Lines!O10))=TRUE,"",IF('1000'!O10="","ERR","")) &amp; IF(ISERROR(FIND($H$2,Lines!O10))=TRUE,"",IF('500DC'!O10="","ERR","")) &amp; IF(ISERROR(FIND($I$2,Lines!O10))=TRUE,"",IF('800DC'!O10="","ERR","")) &amp; IF(ISERROR(FIND($J$2,Lines!O10))=TRUE,"",IF('1000'!O10="","ERR",""))</f>
        <v/>
      </c>
      <c r="P10" s="108" t="str">
        <f>IF(ISERROR(FIND($B$2,Lines!P10))=TRUE,"",IF('750'!P10="","ERR","")) &amp; IF(ISERROR(FIND($C$2,Lines!P10))=TRUE,"",IF('500'!P10="","ERR","")) &amp; IF(ISERROR(FIND($D$2,Lines!P10))=TRUE,"",IF('330'!P10="","ERR","")) &amp; IF(ISERROR(FIND($E$2,Lines!P10))=TRUE,"",IF('220'!P10="","ERR",""))&amp; IF(ISERROR(FIND($F$2,Lines!P10))=TRUE,"",IF(AND('500DC'!P10="",'800DC'!P10=""),"ERR","")) &amp; IF(ISERROR(FIND($G$2,Lines!P10))=TRUE,"",IF('1000'!P10="","ERR","")) &amp; IF(ISERROR(FIND($H$2,Lines!P10))=TRUE,"",IF('500DC'!P10="","ERR","")) &amp; IF(ISERROR(FIND($I$2,Lines!P10))=TRUE,"",IF('800DC'!P10="","ERR","")) &amp; IF(ISERROR(FIND($J$2,Lines!P10))=TRUE,"",IF('1000'!P10="","ERR",""))</f>
        <v/>
      </c>
      <c r="Q10" s="108" t="str">
        <f>IF(ISERROR(FIND($B$2,Lines!Q10))=TRUE,"",IF('750'!Q10="","ERR","")) &amp; IF(ISERROR(FIND($C$2,Lines!Q10))=TRUE,"",IF('500'!Q10="","ERR","")) &amp; IF(ISERROR(FIND($D$2,Lines!Q10))=TRUE,"",IF('330'!Q10="","ERR","")) &amp; IF(ISERROR(FIND($E$2,Lines!Q10))=TRUE,"",IF('220'!Q10="","ERR",""))&amp; IF(ISERROR(FIND($F$2,Lines!Q10))=TRUE,"",IF(AND('500DC'!Q10="",'800DC'!Q10=""),"ERR","")) &amp; IF(ISERROR(FIND($G$2,Lines!Q10))=TRUE,"",IF('1000'!Q10="","ERR","")) &amp; IF(ISERROR(FIND($H$2,Lines!Q10))=TRUE,"",IF('500DC'!Q10="","ERR","")) &amp; IF(ISERROR(FIND($I$2,Lines!Q10))=TRUE,"",IF('800DC'!Q10="","ERR","")) &amp; IF(ISERROR(FIND($J$2,Lines!Q10))=TRUE,"",IF('1000'!Q10="","ERR",""))</f>
        <v/>
      </c>
      <c r="R10" s="108" t="str">
        <f>IF(ISERROR(FIND($B$2,Lines!R10))=TRUE,"",IF('750'!R10="","ERR","")) &amp; IF(ISERROR(FIND($C$2,Lines!R10))=TRUE,"",IF('500'!R10="","ERR","")) &amp; IF(ISERROR(FIND($D$2,Lines!R10))=TRUE,"",IF('330'!R10="","ERR","")) &amp; IF(ISERROR(FIND($E$2,Lines!R10))=TRUE,"",IF('220'!R10="","ERR",""))&amp; IF(ISERROR(FIND($F$2,Lines!R10))=TRUE,"",IF(AND('500DC'!R10="",'800DC'!R10=""),"ERR","")) &amp; IF(ISERROR(FIND($G$2,Lines!R10))=TRUE,"",IF('1000'!R10="","ERR","")) &amp; IF(ISERROR(FIND($H$2,Lines!R10))=TRUE,"",IF('500DC'!R10="","ERR","")) &amp; IF(ISERROR(FIND($I$2,Lines!R10))=TRUE,"",IF('800DC'!R10="","ERR","")) &amp; IF(ISERROR(FIND($J$2,Lines!R10))=TRUE,"",IF('1000'!R10="","ERR",""))</f>
        <v/>
      </c>
      <c r="S10" s="108" t="str">
        <f>IF(ISERROR(FIND($B$2,Lines!S10))=TRUE,"",IF('750'!S10="","ERR","")) &amp; IF(ISERROR(FIND($C$2,Lines!S10))=TRUE,"",IF('500'!S10="","ERR","")) &amp; IF(ISERROR(FIND($D$2,Lines!S10))=TRUE,"",IF('330'!S10="","ERR","")) &amp; IF(ISERROR(FIND($E$2,Lines!S10))=TRUE,"",IF('220'!S10="","ERR",""))&amp; IF(ISERROR(FIND($F$2,Lines!S10))=TRUE,"",IF(AND('500DC'!S10="",'800DC'!S10=""),"ERR","")) &amp; IF(ISERROR(FIND($G$2,Lines!S10))=TRUE,"",IF('1000'!S10="","ERR","")) &amp; IF(ISERROR(FIND($H$2,Lines!S10))=TRUE,"",IF('500DC'!S10="","ERR","")) &amp; IF(ISERROR(FIND($I$2,Lines!S10))=TRUE,"",IF('800DC'!S10="","ERR","")) &amp; IF(ISERROR(FIND($J$2,Lines!S10))=TRUE,"",IF('1000'!S10="","ERR",""))</f>
        <v/>
      </c>
      <c r="T10" s="108" t="str">
        <f>IF(ISERROR(FIND($B$2,Lines!T10))=TRUE,"",IF('750'!T10="","ERR","")) &amp; IF(ISERROR(FIND($C$2,Lines!T10))=TRUE,"",IF('500'!T10="","ERR","")) &amp; IF(ISERROR(FIND($D$2,Lines!T10))=TRUE,"",IF('330'!T10="","ERR","")) &amp; IF(ISERROR(FIND($E$2,Lines!T10))=TRUE,"",IF('220'!T10="","ERR",""))&amp; IF(ISERROR(FIND($F$2,Lines!T10))=TRUE,"",IF(AND('500DC'!T10="",'800DC'!T10=""),"ERR","")) &amp; IF(ISERROR(FIND($G$2,Lines!T10))=TRUE,"",IF('1000'!T10="","ERR","")) &amp; IF(ISERROR(FIND($H$2,Lines!T10))=TRUE,"",IF('500DC'!T10="","ERR","")) &amp; IF(ISERROR(FIND($I$2,Lines!T10))=TRUE,"",IF('800DC'!T10="","ERR","")) &amp; IF(ISERROR(FIND($J$2,Lines!T10))=TRUE,"",IF('1000'!T10="","ERR",""))</f>
        <v/>
      </c>
      <c r="U10" s="108" t="str">
        <f>IF(ISERROR(FIND($B$2,Lines!U10))=TRUE,"",IF('750'!U10="","ERR","")) &amp; IF(ISERROR(FIND($C$2,Lines!U10))=TRUE,"",IF('500'!U10="","ERR","")) &amp; IF(ISERROR(FIND($D$2,Lines!U10))=TRUE,"",IF('330'!U10="","ERR","")) &amp; IF(ISERROR(FIND($E$2,Lines!U10))=TRUE,"",IF('220'!U10="","ERR",""))&amp; IF(ISERROR(FIND($F$2,Lines!U10))=TRUE,"",IF(AND('500DC'!U10="",'800DC'!U10=""),"ERR","")) &amp; IF(ISERROR(FIND($G$2,Lines!U10))=TRUE,"",IF('1000'!U10="","ERR","")) &amp; IF(ISERROR(FIND($H$2,Lines!U10))=TRUE,"",IF('500DC'!U10="","ERR","")) &amp; IF(ISERROR(FIND($I$2,Lines!U10))=TRUE,"",IF('800DC'!U10="","ERR","")) &amp; IF(ISERROR(FIND($J$2,Lines!U10))=TRUE,"",IF('1000'!U10="","ERR",""))</f>
        <v/>
      </c>
      <c r="V10" s="108" t="str">
        <f>IF(ISERROR(FIND($B$2,Lines!V10))=TRUE,"",IF('750'!V10="","ERR","")) &amp; IF(ISERROR(FIND($C$2,Lines!V10))=TRUE,"",IF('500'!V10="","ERR","")) &amp; IF(ISERROR(FIND($D$2,Lines!V10))=TRUE,"",IF('330'!V10="","ERR","")) &amp; IF(ISERROR(FIND($E$2,Lines!V10))=TRUE,"",IF('220'!V10="","ERR",""))&amp; IF(ISERROR(FIND($F$2,Lines!V10))=TRUE,"",IF(AND('500DC'!V10="",'800DC'!V10=""),"ERR","")) &amp; IF(ISERROR(FIND($G$2,Lines!V10))=TRUE,"",IF('1000'!V10="","ERR","")) &amp; IF(ISERROR(FIND($H$2,Lines!V10))=TRUE,"",IF('500DC'!V10="","ERR","")) &amp; IF(ISERROR(FIND($I$2,Lines!V10))=TRUE,"",IF('800DC'!V10="","ERR","")) &amp; IF(ISERROR(FIND($J$2,Lines!V10))=TRUE,"",IF('1000'!V10="","ERR",""))</f>
        <v/>
      </c>
      <c r="W10" s="109" t="str">
        <f>IF(ISERROR(FIND($B$2,Lines!W10))=TRUE,"",IF('750'!W10="","ERR","")) &amp; IF(ISERROR(FIND($C$2,Lines!W10))=TRUE,"",IF('500'!W10="","ERR","")) &amp; IF(ISERROR(FIND($D$2,Lines!W10))=TRUE,"",IF('330'!W10="","ERR","")) &amp; IF(ISERROR(FIND($E$2,Lines!W10))=TRUE,"",IF('220'!W10="","ERR",""))&amp; IF(ISERROR(FIND($F$2,Lines!W10))=TRUE,"",IF(AND('500DC'!W10="",'800DC'!W10=""),"ERR","")) &amp; IF(ISERROR(FIND($G$2,Lines!W10))=TRUE,"",IF('1000'!W10="","ERR","")) &amp; IF(ISERROR(FIND($H$2,Lines!W10))=TRUE,"",IF('500DC'!W10="","ERR","")) &amp; IF(ISERROR(FIND($I$2,Lines!W10))=TRUE,"",IF('800DC'!W10="","ERR","")) &amp; IF(ISERROR(FIND($J$2,Lines!W10))=TRUE,"",IF('1000'!W10="","ERR",""))</f>
        <v/>
      </c>
      <c r="X10" s="108" t="str">
        <f>IF(ISERROR(FIND($B$2,Lines!X10))=TRUE,"",IF('750'!X10="","ERR","")) &amp; IF(ISERROR(FIND($C$2,Lines!X10))=TRUE,"",IF('500'!X10="","ERR","")) &amp; IF(ISERROR(FIND($D$2,Lines!X10))=TRUE,"",IF('330'!X10="","ERR","")) &amp; IF(ISERROR(FIND($E$2,Lines!X10))=TRUE,"",IF('220'!X10="","ERR",""))&amp; IF(ISERROR(FIND($F$2,Lines!X10))=TRUE,"",IF(AND('500DC'!X10="",'800DC'!X10=""),"ERR","")) &amp; IF(ISERROR(FIND($G$2,Lines!X10))=TRUE,"",IF('1000'!X10="","ERR","")) &amp; IF(ISERROR(FIND($H$2,Lines!X10))=TRUE,"",IF('500DC'!X10="","ERR","")) &amp; IF(ISERROR(FIND($I$2,Lines!X10))=TRUE,"",IF('800DC'!X10="","ERR","")) &amp; IF(ISERROR(FIND($J$2,Lines!X10))=TRUE,"",IF('1000'!X10="","ERR",""))</f>
        <v/>
      </c>
      <c r="Y10" s="108" t="str">
        <f>IF(ISERROR(FIND($B$2,Lines!Y10))=TRUE,"",IF('750'!Y10="","ERR","")) &amp; IF(ISERROR(FIND($C$2,Lines!Y10))=TRUE,"",IF('500'!Y10="","ERR","")) &amp; IF(ISERROR(FIND($D$2,Lines!Y10))=TRUE,"",IF('330'!Y10="","ERR","")) &amp; IF(ISERROR(FIND($E$2,Lines!Y10))=TRUE,"",IF('220'!Y10="","ERR",""))&amp; IF(ISERROR(FIND($F$2,Lines!Y10))=TRUE,"",IF(AND('500DC'!Y10="",'800DC'!Y10=""),"ERR","")) &amp; IF(ISERROR(FIND($G$2,Lines!Y10))=TRUE,"",IF('1000'!Y10="","ERR","")) &amp; IF(ISERROR(FIND($H$2,Lines!Y10))=TRUE,"",IF('500DC'!Y10="","ERR","")) &amp; IF(ISERROR(FIND($I$2,Lines!Y10))=TRUE,"",IF('800DC'!Y10="","ERR","")) &amp; IF(ISERROR(FIND($J$2,Lines!Y10))=TRUE,"",IF('1000'!Y10="","ERR",""))</f>
        <v/>
      </c>
      <c r="Z10" s="108" t="str">
        <f>IF(ISERROR(FIND($B$2,Lines!Z10))=TRUE,"",IF('750'!Z10="","ERR","")) &amp; IF(ISERROR(FIND($C$2,Lines!Z10))=TRUE,"",IF('500'!Z10="","ERR","")) &amp; IF(ISERROR(FIND($D$2,Lines!Z10))=TRUE,"",IF('330'!Z10="","ERR","")) &amp; IF(ISERROR(FIND($E$2,Lines!Z10))=TRUE,"",IF('220'!Z10="","ERR",""))&amp; IF(ISERROR(FIND($F$2,Lines!Z10))=TRUE,"",IF(AND('500DC'!Z10="",'800DC'!Z10=""),"ERR","")) &amp; IF(ISERROR(FIND($G$2,Lines!Z10))=TRUE,"",IF('1000'!Z10="","ERR","")) &amp; IF(ISERROR(FIND($H$2,Lines!Z10))=TRUE,"",IF('500DC'!Z10="","ERR","")) &amp; IF(ISERROR(FIND($I$2,Lines!Z10))=TRUE,"",IF('800DC'!Z10="","ERR","")) &amp; IF(ISERROR(FIND($J$2,Lines!Z10))=TRUE,"",IF('1000'!Z10="","ERR",""))</f>
        <v/>
      </c>
      <c r="AA10" s="108" t="str">
        <f>IF(ISERROR(FIND($B$2,Lines!AA10))=TRUE,"",IF('750'!AA10="","ERR","")) &amp; IF(ISERROR(FIND($C$2,Lines!AA10))=TRUE,"",IF('500'!AA10="","ERR","")) &amp; IF(ISERROR(FIND($D$2,Lines!AA10))=TRUE,"",IF('330'!AA10="","ERR","")) &amp; IF(ISERROR(FIND($E$2,Lines!AA10))=TRUE,"",IF('220'!AA10="","ERR",""))&amp; IF(ISERROR(FIND($F$2,Lines!AA10))=TRUE,"",IF(AND('500DC'!AA10="",'800DC'!AA10=""),"ERR","")) &amp; IF(ISERROR(FIND($G$2,Lines!AA10))=TRUE,"",IF('1000'!AA10="","ERR","")) &amp; IF(ISERROR(FIND($H$2,Lines!AA10))=TRUE,"",IF('500DC'!AA10="","ERR","")) &amp; IF(ISERROR(FIND($I$2,Lines!AA10))=TRUE,"",IF('800DC'!AA10="","ERR","")) &amp; IF(ISERROR(FIND($J$2,Lines!AA10))=TRUE,"",IF('1000'!AA10="","ERR",""))</f>
        <v/>
      </c>
      <c r="AB10" s="108" t="str">
        <f>IF(ISERROR(FIND($B$2,Lines!AB10))=TRUE,"",IF('750'!AB10="","ERR","")) &amp; IF(ISERROR(FIND($C$2,Lines!AB10))=TRUE,"",IF('500'!AB10="","ERR","")) &amp; IF(ISERROR(FIND($D$2,Lines!AB10))=TRUE,"",IF('330'!AB10="","ERR","")) &amp; IF(ISERROR(FIND($E$2,Lines!AB10))=TRUE,"",IF('220'!AB10="","ERR",""))&amp; IF(ISERROR(FIND($F$2,Lines!AB10))=TRUE,"",IF(AND('500DC'!AB10="",'800DC'!AB10=""),"ERR","")) &amp; IF(ISERROR(FIND($G$2,Lines!AB10))=TRUE,"",IF('1000'!AB10="","ERR","")) &amp; IF(ISERROR(FIND($H$2,Lines!AB10))=TRUE,"",IF('500DC'!AB10="","ERR","")) &amp; IF(ISERROR(FIND($I$2,Lines!AB10))=TRUE,"",IF('800DC'!AB10="","ERR","")) &amp; IF(ISERROR(FIND($J$2,Lines!AB10))=TRUE,"",IF('1000'!AB10="","ERR",""))</f>
        <v/>
      </c>
      <c r="AC10" s="108" t="str">
        <f>IF(ISERROR(FIND($B$2,Lines!AC10))=TRUE,"",IF('750'!AC10="","ERR","")) &amp; IF(ISERROR(FIND($C$2,Lines!AC10))=TRUE,"",IF('500'!AC10="","ERR","")) &amp; IF(ISERROR(FIND($D$2,Lines!AC10))=TRUE,"",IF('330'!AC10="","ERR","")) &amp; IF(ISERROR(FIND($E$2,Lines!AC10))=TRUE,"",IF('220'!AC10="","ERR",""))&amp; IF(ISERROR(FIND($F$2,Lines!AC10))=TRUE,"",IF(AND('500DC'!AC10="",'800DC'!AC10=""),"ERR","")) &amp; IF(ISERROR(FIND($G$2,Lines!AC10))=TRUE,"",IF('1000'!AC10="","ERR","")) &amp; IF(ISERROR(FIND($H$2,Lines!AC10))=TRUE,"",IF('500DC'!AC10="","ERR","")) &amp; IF(ISERROR(FIND($I$2,Lines!AC10))=TRUE,"",IF('800DC'!AC10="","ERR","")) &amp; IF(ISERROR(FIND($J$2,Lines!AC10))=TRUE,"",IF('1000'!AC10="","ERR",""))</f>
        <v/>
      </c>
      <c r="AD10" s="108" t="str">
        <f>IF(ISERROR(FIND($B$2,Lines!AD10))=TRUE,"",IF('750'!AD10="","ERR","")) &amp; IF(ISERROR(FIND($C$2,Lines!AD10))=TRUE,"",IF('500'!AD10="","ERR","")) &amp; IF(ISERROR(FIND($D$2,Lines!AD10))=TRUE,"",IF('330'!AD10="","ERR","")) &amp; IF(ISERROR(FIND($E$2,Lines!AD10))=TRUE,"",IF('220'!AD10="","ERR",""))&amp; IF(ISERROR(FIND($F$2,Lines!AD10))=TRUE,"",IF(AND('500DC'!AD10="",'800DC'!AD10=""),"ERR","")) &amp; IF(ISERROR(FIND($G$2,Lines!AD10))=TRUE,"",IF('1000'!AD10="","ERR","")) &amp; IF(ISERROR(FIND($H$2,Lines!AD10))=TRUE,"",IF('500DC'!AD10="","ERR","")) &amp; IF(ISERROR(FIND($I$2,Lines!AD10))=TRUE,"",IF('800DC'!AD10="","ERR","")) &amp; IF(ISERROR(FIND($J$2,Lines!AD10))=TRUE,"",IF('1000'!AD10="","ERR",""))</f>
        <v/>
      </c>
      <c r="AE10" s="108" t="str">
        <f>IF(ISERROR(FIND($B$2,Lines!AE10))=TRUE,"",IF('750'!AE10="","ERR","")) &amp; IF(ISERROR(FIND($C$2,Lines!AE10))=TRUE,"",IF('500'!AE10="","ERR","")) &amp; IF(ISERROR(FIND($D$2,Lines!AE10))=TRUE,"",IF('330'!AE10="","ERR","")) &amp; IF(ISERROR(FIND($E$2,Lines!AE10))=TRUE,"",IF('220'!AE10="","ERR",""))&amp; IF(ISERROR(FIND($F$2,Lines!AE10))=TRUE,"",IF(AND('500DC'!AE10="",'800DC'!AE10=""),"ERR","")) &amp; IF(ISERROR(FIND($G$2,Lines!AE10))=TRUE,"",IF('1000'!AE10="","ERR","")) &amp; IF(ISERROR(FIND($H$2,Lines!AE10))=TRUE,"",IF('500DC'!AE10="","ERR","")) &amp; IF(ISERROR(FIND($I$2,Lines!AE10))=TRUE,"",IF('800DC'!AE10="","ERR","")) &amp; IF(ISERROR(FIND($J$2,Lines!AE10))=TRUE,"",IF('1000'!AE10="","ERR",""))</f>
        <v/>
      </c>
      <c r="AF10" s="108" t="str">
        <f>IF(ISERROR(FIND($B$2,Lines!AF10))=TRUE,"",IF('750'!AF10="","ERR","")) &amp; IF(ISERROR(FIND($C$2,Lines!AF10))=TRUE,"",IF('500'!AF10="","ERR","")) &amp; IF(ISERROR(FIND($D$2,Lines!AF10))=TRUE,"",IF('330'!AF10="","ERR","")) &amp; IF(ISERROR(FIND($E$2,Lines!AF10))=TRUE,"",IF('220'!AF10="","ERR",""))&amp; IF(ISERROR(FIND($F$2,Lines!AF10))=TRUE,"",IF(AND('500DC'!AF10="",'800DC'!AF10=""),"ERR","")) &amp; IF(ISERROR(FIND($G$2,Lines!AF10))=TRUE,"",IF('1000'!AF10="","ERR","")) &amp; IF(ISERROR(FIND($H$2,Lines!AF10))=TRUE,"",IF('500DC'!AF10="","ERR","")) &amp; IF(ISERROR(FIND($I$2,Lines!AF10))=TRUE,"",IF('800DC'!AF10="","ERR","")) &amp; IF(ISERROR(FIND($J$2,Lines!AF10))=TRUE,"",IF('1000'!AF10="","ERR",""))</f>
        <v/>
      </c>
      <c r="AG10" s="108" t="str">
        <f>IF(ISERROR(FIND($B$2,Lines!AG10))=TRUE,"",IF('750'!AG10="","ERR","")) &amp; IF(ISERROR(FIND($C$2,Lines!AG10))=TRUE,"",IF('500'!AG10="","ERR","")) &amp; IF(ISERROR(FIND($D$2,Lines!AG10))=TRUE,"",IF('330'!AG10="","ERR","")) &amp; IF(ISERROR(FIND($E$2,Lines!AG10))=TRUE,"",IF('220'!AG10="","ERR",""))&amp; IF(ISERROR(FIND($F$2,Lines!AG10))=TRUE,"",IF(AND('500DC'!AG10="",'800DC'!AG10=""),"ERR","")) &amp; IF(ISERROR(FIND($G$2,Lines!AG10))=TRUE,"",IF('1000'!AG10="","ERR","")) &amp; IF(ISERROR(FIND($H$2,Lines!AG10))=TRUE,"",IF('500DC'!AG10="","ERR","")) &amp; IF(ISERROR(FIND($I$2,Lines!AG10))=TRUE,"",IF('800DC'!AG10="","ERR","")) &amp; IF(ISERROR(FIND($J$2,Lines!AG10))=TRUE,"",IF('1000'!AG10="","ERR",""))</f>
        <v/>
      </c>
      <c r="AH10" s="108" t="str">
        <f>IF(ISERROR(FIND($B$2,Lines!AH10))=TRUE,"",IF('750'!AH10="","ERR","")) &amp; IF(ISERROR(FIND($C$2,Lines!AH10))=TRUE,"",IF('500'!AH10="","ERR","")) &amp; IF(ISERROR(FIND($D$2,Lines!AH10))=TRUE,"",IF('330'!AH10="","ERR","")) &amp; IF(ISERROR(FIND($E$2,Lines!AH10))=TRUE,"",IF('220'!AH10="","ERR",""))&amp; IF(ISERROR(FIND($F$2,Lines!AH10))=TRUE,"",IF(AND('500DC'!AH10="",'800DC'!AH10=""),"ERR","")) &amp; IF(ISERROR(FIND($G$2,Lines!AH10))=TRUE,"",IF('1000'!AH10="","ERR","")) &amp; IF(ISERROR(FIND($H$2,Lines!AH10))=TRUE,"",IF('500DC'!AH10="","ERR","")) &amp; IF(ISERROR(FIND($I$2,Lines!AH10))=TRUE,"",IF('800DC'!AH10="","ERR","")) &amp; IF(ISERROR(FIND($J$2,Lines!AH10))=TRUE,"",IF('1000'!AH10="","ERR",""))</f>
        <v/>
      </c>
      <c r="AI10" s="108" t="str">
        <f>IF(ISERROR(FIND($B$2,Lines!AI10))=TRUE,"",IF('750'!AI10="","ERR","")) &amp; IF(ISERROR(FIND($C$2,Lines!AI10))=TRUE,"",IF('500'!AI10="","ERR","")) &amp; IF(ISERROR(FIND($D$2,Lines!AI10))=TRUE,"",IF('330'!AI10="","ERR","")) &amp; IF(ISERROR(FIND($E$2,Lines!AI10))=TRUE,"",IF('220'!AI10="","ERR",""))&amp; IF(ISERROR(FIND($F$2,Lines!AI10))=TRUE,"",IF(AND('500DC'!AI10="",'800DC'!AI10=""),"ERR","")) &amp; IF(ISERROR(FIND($G$2,Lines!AI10))=TRUE,"",IF('1000'!AI10="","ERR","")) &amp; IF(ISERROR(FIND($H$2,Lines!AI10))=TRUE,"",IF('500DC'!AI10="","ERR","")) &amp; IF(ISERROR(FIND($I$2,Lines!AI10))=TRUE,"",IF('800DC'!AI10="","ERR","")) &amp; IF(ISERROR(FIND($J$2,Lines!AI10))=TRUE,"",IF('1000'!AI10="","ERR",""))</f>
        <v/>
      </c>
      <c r="AJ10" s="108" t="str">
        <f>IF(ISERROR(FIND($B$2,Lines!AJ10))=TRUE,"",IF('750'!AJ10="","ERR","")) &amp; IF(ISERROR(FIND($C$2,Lines!AJ10))=TRUE,"",IF('500'!AJ10="","ERR","")) &amp; IF(ISERROR(FIND($D$2,Lines!AJ10))=TRUE,"",IF('330'!AJ10="","ERR","")) &amp; IF(ISERROR(FIND($E$2,Lines!AJ10))=TRUE,"",IF('220'!AJ10="","ERR",""))&amp; IF(ISERROR(FIND($F$2,Lines!AJ10))=TRUE,"",IF(AND('500DC'!AJ10="",'800DC'!AJ10=""),"ERR","")) &amp; IF(ISERROR(FIND($G$2,Lines!AJ10))=TRUE,"",IF('1000'!AJ10="","ERR","")) &amp; IF(ISERROR(FIND($H$2,Lines!AJ10))=TRUE,"",IF('500DC'!AJ10="","ERR","")) &amp; IF(ISERROR(FIND($I$2,Lines!AJ10))=TRUE,"",IF('800DC'!AJ10="","ERR","")) &amp; IF(ISERROR(FIND($J$2,Lines!AJ10))=TRUE,"",IF('1000'!AJ10="","ERR",""))</f>
        <v/>
      </c>
      <c r="AK10" s="108" t="str">
        <f>IF(ISERROR(FIND($B$2,Lines!AK10))=TRUE,"",IF('750'!AK10="","ERR","")) &amp; IF(ISERROR(FIND($C$2,Lines!AK10))=TRUE,"",IF('500'!AK10="","ERR","")) &amp; IF(ISERROR(FIND($D$2,Lines!AK10))=TRUE,"",IF('330'!AK10="","ERR","")) &amp; IF(ISERROR(FIND($E$2,Lines!AK10))=TRUE,"",IF('220'!AK10="","ERR",""))&amp; IF(ISERROR(FIND($F$2,Lines!AK10))=TRUE,"",IF(AND('500DC'!AK10="",'800DC'!AK10=""),"ERR","")) &amp; IF(ISERROR(FIND($G$2,Lines!AK10))=TRUE,"",IF('1000'!AK10="","ERR","")) &amp; IF(ISERROR(FIND($H$2,Lines!AK10))=TRUE,"",IF('500DC'!AK10="","ERR","")) &amp; IF(ISERROR(FIND($I$2,Lines!AK10))=TRUE,"",IF('800DC'!AK10="","ERR","")) &amp; IF(ISERROR(FIND($J$2,Lines!AK10))=TRUE,"",IF('1000'!AK10="","ERR",""))</f>
        <v/>
      </c>
      <c r="AL10" s="108" t="str">
        <f>IF(ISERROR(FIND($B$2,Lines!AL10))=TRUE,"",IF('750'!AL10="","ERR","")) &amp; IF(ISERROR(FIND($C$2,Lines!AL10))=TRUE,"",IF('500'!AL10="","ERR","")) &amp; IF(ISERROR(FIND($D$2,Lines!AL10))=TRUE,"",IF('330'!AL10="","ERR","")) &amp; IF(ISERROR(FIND($E$2,Lines!AL10))=TRUE,"",IF('220'!AL10="","ERR",""))&amp; IF(ISERROR(FIND($F$2,Lines!AL10))=TRUE,"",IF(AND('500DC'!AL10="",'800DC'!AL10=""),"ERR","")) &amp; IF(ISERROR(FIND($G$2,Lines!AL10))=TRUE,"",IF('1000'!AL10="","ERR","")) &amp; IF(ISERROR(FIND($H$2,Lines!AL10))=TRUE,"",IF('500DC'!AL10="","ERR","")) &amp; IF(ISERROR(FIND($I$2,Lines!AL10))=TRUE,"",IF('800DC'!AL10="","ERR","")) &amp; IF(ISERROR(FIND($J$2,Lines!AL10))=TRUE,"",IF('1000'!AL10="","ERR",""))</f>
        <v/>
      </c>
      <c r="AM10" s="108" t="str">
        <f>IF(ISERROR(FIND($B$2,Lines!AM10))=TRUE,"",IF('750'!AM10="","ERR","")) &amp; IF(ISERROR(FIND($C$2,Lines!AM10))=TRUE,"",IF('500'!AM10="","ERR","")) &amp; IF(ISERROR(FIND($D$2,Lines!AM10))=TRUE,"",IF('330'!AM10="","ERR","")) &amp; IF(ISERROR(FIND($E$2,Lines!AM10))=TRUE,"",IF('220'!AM10="","ERR",""))&amp; IF(ISERROR(FIND($F$2,Lines!AM10))=TRUE,"",IF(AND('500DC'!AM10="",'800DC'!AM10=""),"ERR","")) &amp; IF(ISERROR(FIND($G$2,Lines!AM10))=TRUE,"",IF('1000'!AM10="","ERR","")) &amp; IF(ISERROR(FIND($H$2,Lines!AM10))=TRUE,"",IF('500DC'!AM10="","ERR","")) &amp; IF(ISERROR(FIND($I$2,Lines!AM10))=TRUE,"",IF('800DC'!AM10="","ERR","")) &amp; IF(ISERROR(FIND($J$2,Lines!AM10))=TRUE,"",IF('1000'!AM10="","ERR",""))</f>
        <v/>
      </c>
      <c r="AN10" s="108" t="str">
        <f>IF(ISERROR(FIND($B$2,Lines!AN10))=TRUE,"",IF('750'!AN10="","ERR","")) &amp; IF(ISERROR(FIND($C$2,Lines!AN10))=TRUE,"",IF('500'!AN10="","ERR","")) &amp; IF(ISERROR(FIND($D$2,Lines!AN10))=TRUE,"",IF('330'!AN10="","ERR","")) &amp; IF(ISERROR(FIND($E$2,Lines!AN10))=TRUE,"",IF('220'!AN10="","ERR",""))&amp; IF(ISERROR(FIND($F$2,Lines!AN10))=TRUE,"",IF(AND('500DC'!AN10="",'800DC'!AN10=""),"ERR","")) &amp; IF(ISERROR(FIND($G$2,Lines!AN10))=TRUE,"",IF('1000'!AN10="","ERR","")) &amp; IF(ISERROR(FIND($H$2,Lines!AN10))=TRUE,"",IF('500DC'!AN10="","ERR","")) &amp; IF(ISERROR(FIND($I$2,Lines!AN10))=TRUE,"",IF('800DC'!AN10="","ERR","")) &amp; IF(ISERROR(FIND($J$2,Lines!AN10))=TRUE,"",IF('1000'!AN10="","ERR",""))</f>
        <v/>
      </c>
      <c r="AO10" s="108" t="str">
        <f>IF(ISERROR(FIND($B$2,Lines!AO10))=TRUE,"",IF('750'!AO10="","ERR","")) &amp; IF(ISERROR(FIND($C$2,Lines!AO10))=TRUE,"",IF('500'!AO10="","ERR","")) &amp; IF(ISERROR(FIND($D$2,Lines!AO10))=TRUE,"",IF('330'!AO10="","ERR","")) &amp; IF(ISERROR(FIND($E$2,Lines!AO10))=TRUE,"",IF('220'!AO10="","ERR",""))&amp; IF(ISERROR(FIND($F$2,Lines!AO10))=TRUE,"",IF(AND('500DC'!AO10="",'800DC'!AO10=""),"ERR","")) &amp; IF(ISERROR(FIND($G$2,Lines!AO10))=TRUE,"",IF('1000'!AO10="","ERR","")) &amp; IF(ISERROR(FIND($H$2,Lines!AO10))=TRUE,"",IF('500DC'!AO10="","ERR","")) &amp; IF(ISERROR(FIND($I$2,Lines!AO10))=TRUE,"",IF('800DC'!AO10="","ERR","")) &amp; IF(ISERROR(FIND($J$2,Lines!AO10))=TRUE,"",IF('1000'!AO10="","ERR",""))</f>
        <v/>
      </c>
      <c r="AP10" s="108" t="str">
        <f>IF(ISERROR(FIND($B$2,Lines!AP10))=TRUE,"",IF('750'!AP10="","ERR","")) &amp; IF(ISERROR(FIND($C$2,Lines!AP10))=TRUE,"",IF('500'!AP10="","ERR","")) &amp; IF(ISERROR(FIND($D$2,Lines!AP10))=TRUE,"",IF('330'!AP10="","ERR","")) &amp; IF(ISERROR(FIND($E$2,Lines!AP10))=TRUE,"",IF('220'!AP10="","ERR",""))&amp; IF(ISERROR(FIND($F$2,Lines!AP10))=TRUE,"",IF(AND('500DC'!AP10="",'800DC'!AP10=""),"ERR","")) &amp; IF(ISERROR(FIND($G$2,Lines!AP10))=TRUE,"",IF('1000'!AP10="","ERR","")) &amp; IF(ISERROR(FIND($H$2,Lines!AP10))=TRUE,"",IF('500DC'!AP10="","ERR","")) &amp; IF(ISERROR(FIND($I$2,Lines!AP10))=TRUE,"",IF('800DC'!AP10="","ERR","")) &amp; IF(ISERROR(FIND($J$2,Lines!AP10))=TRUE,"",IF('1000'!AP10="","ERR",""))</f>
        <v/>
      </c>
      <c r="AQ10" s="108" t="str">
        <f>IF(ISERROR(FIND($B$2,Lines!AQ10))=TRUE,"",IF('750'!AQ10="","ERR","")) &amp; IF(ISERROR(FIND($C$2,Lines!AQ10))=TRUE,"",IF('500'!AQ10="","ERR","")) &amp; IF(ISERROR(FIND($D$2,Lines!AQ10))=TRUE,"",IF('330'!AQ10="","ERR","")) &amp; IF(ISERROR(FIND($E$2,Lines!AQ10))=TRUE,"",IF('220'!AQ10="","ERR",""))&amp; IF(ISERROR(FIND($F$2,Lines!AQ10))=TRUE,"",IF(AND('500DC'!AQ10="",'800DC'!AQ10=""),"ERR","")) &amp; IF(ISERROR(FIND($G$2,Lines!AQ10))=TRUE,"",IF('1000'!AQ10="","ERR","")) &amp; IF(ISERROR(FIND($H$2,Lines!AQ10))=TRUE,"",IF('500DC'!AQ10="","ERR","")) &amp; IF(ISERROR(FIND($I$2,Lines!AQ10))=TRUE,"",IF('800DC'!AQ10="","ERR","")) &amp; IF(ISERROR(FIND($J$2,Lines!AQ10))=TRUE,"",IF('1000'!AQ10="","ERR",""))</f>
        <v/>
      </c>
      <c r="AR10" s="108" t="str">
        <f>IF(ISERROR(FIND($B$2,Lines!AR10))=TRUE,"",IF('750'!AR10="","ERR","")) &amp; IF(ISERROR(FIND($C$2,Lines!AR10))=TRUE,"",IF('500'!AR10="","ERR","")) &amp; IF(ISERROR(FIND($D$2,Lines!AR10))=TRUE,"",IF('330'!AR10="","ERR","")) &amp; IF(ISERROR(FIND($E$2,Lines!AR10))=TRUE,"",IF('220'!AR10="","ERR",""))&amp; IF(ISERROR(FIND($F$2,Lines!AR10))=TRUE,"",IF(AND('500DC'!AR10="",'800DC'!AR10=""),"ERR","")) &amp; IF(ISERROR(FIND($G$2,Lines!AR10))=TRUE,"",IF('1000'!AR10="","ERR","")) &amp; IF(ISERROR(FIND($H$2,Lines!AR10))=TRUE,"",IF('500DC'!AR10="","ERR","")) &amp; IF(ISERROR(FIND($I$2,Lines!AR10))=TRUE,"",IF('800DC'!AR10="","ERR","")) &amp; IF(ISERROR(FIND($J$2,Lines!AR10))=TRUE,"",IF('1000'!AR10="","ERR",""))</f>
        <v/>
      </c>
      <c r="AS10" s="108" t="str">
        <f>IF(ISERROR(FIND($B$2,Lines!AS10))=TRUE,"",IF('750'!AS10="","ERR","")) &amp; IF(ISERROR(FIND($C$2,Lines!AS10))=TRUE,"",IF('500'!AS10="","ERR","")) &amp; IF(ISERROR(FIND($D$2,Lines!AS10))=TRUE,"",IF('330'!AS10="","ERR","")) &amp; IF(ISERROR(FIND($E$2,Lines!AS10))=TRUE,"",IF('220'!AS10="","ERR",""))&amp; IF(ISERROR(FIND($F$2,Lines!AS10))=TRUE,"",IF(AND('500DC'!AS10="",'800DC'!AS10=""),"ERR","")) &amp; IF(ISERROR(FIND($G$2,Lines!AS10))=TRUE,"",IF('1000'!AS10="","ERR","")) &amp; IF(ISERROR(FIND($H$2,Lines!AS10))=TRUE,"",IF('500DC'!AS10="","ERR","")) &amp; IF(ISERROR(FIND($I$2,Lines!AS10))=TRUE,"",IF('800DC'!AS10="","ERR","")) &amp; IF(ISERROR(FIND($J$2,Lines!AS10))=TRUE,"",IF('1000'!AS10="","ERR",""))</f>
        <v/>
      </c>
      <c r="AT10" s="108" t="str">
        <f>IF(ISERROR(FIND($B$2,Lines!AT10))=TRUE,"",IF('750'!AT10="","ERR","")) &amp; IF(ISERROR(FIND($C$2,Lines!AT10))=TRUE,"",IF('500'!AT10="","ERR","")) &amp; IF(ISERROR(FIND($D$2,Lines!AT10))=TRUE,"",IF('330'!AT10="","ERR","")) &amp; IF(ISERROR(FIND($E$2,Lines!AT10))=TRUE,"",IF('220'!AT10="","ERR",""))&amp; IF(ISERROR(FIND($F$2,Lines!AT10))=TRUE,"",IF(AND('500DC'!AT10="",'800DC'!AT10=""),"ERR","")) &amp; IF(ISERROR(FIND($G$2,Lines!AT10))=TRUE,"",IF('1000'!AT10="","ERR","")) &amp; IF(ISERROR(FIND($H$2,Lines!AT10))=TRUE,"",IF('500DC'!AT10="","ERR","")) &amp; IF(ISERROR(FIND($I$2,Lines!AT10))=TRUE,"",IF('800DC'!AT10="","ERR","")) &amp; IF(ISERROR(FIND($J$2,Lines!AT10))=TRUE,"",IF('1000'!AT10="","ERR",""))</f>
        <v/>
      </c>
    </row>
    <row r="11" spans="1:46" ht="20.25" customHeight="1">
      <c r="A11" s="2" t="s">
        <v>54</v>
      </c>
      <c r="B11" s="106" t="str">
        <f>IF(ISERROR(FIND($B$2,Lines!B11))=TRUE,"",IF('750'!B11="","ERR","")) &amp; IF(ISERROR(FIND($C$2,Lines!B11))=TRUE,"",IF('500'!B11="","ERR","")) &amp; IF(ISERROR(FIND($D$2,Lines!B11))=TRUE,"",IF('330'!B11="","ERR","")) &amp; IF(ISERROR(FIND($E$2,Lines!B11))=TRUE,"",IF('220'!B11="","ERR",""))&amp; IF(ISERROR(FIND($F$2,Lines!B11))=TRUE,"",IF(AND('500DC'!B11="",'800DC'!B11=""),"ERR","")) &amp; IF(ISERROR(FIND($G$2,Lines!B11))=TRUE,"",IF('1000'!B11="","ERR","")) &amp; IF(ISERROR(FIND($H$2,Lines!B11))=TRUE,"",IF('500DC'!B11="","ERR","")) &amp; IF(ISERROR(FIND($I$2,Lines!B11))=TRUE,"",IF('800DC'!B11="","ERR","")) &amp; IF(ISERROR(FIND($J$2,Lines!B11))=TRUE,"",IF('1000'!B11="","ERR",""))</f>
        <v/>
      </c>
      <c r="C11" s="106" t="str">
        <f>IF(ISERROR(FIND($B$2,Lines!C11))=TRUE,"",IF('750'!C11="","ERR","")) &amp; IF(ISERROR(FIND($C$2,Lines!C11))=TRUE,"",IF('500'!C11="","ERR","")) &amp; IF(ISERROR(FIND($D$2,Lines!C11))=TRUE,"",IF('330'!C11="","ERR","")) &amp; IF(ISERROR(FIND($E$2,Lines!C11))=TRUE,"",IF('220'!C11="","ERR",""))&amp; IF(ISERROR(FIND($F$2,Lines!C11))=TRUE,"",IF(AND('500DC'!C11="",'800DC'!C11=""),"ERR","")) &amp; IF(ISERROR(FIND($G$2,Lines!C11))=TRUE,"",IF('1000'!C11="","ERR","")) &amp; IF(ISERROR(FIND($H$2,Lines!C11))=TRUE,"",IF('500DC'!C11="","ERR","")) &amp; IF(ISERROR(FIND($I$2,Lines!C11))=TRUE,"",IF('800DC'!C11="","ERR","")) &amp; IF(ISERROR(FIND($J$2,Lines!C11))=TRUE,"",IF('1000'!C11="","ERR",""))</f>
        <v/>
      </c>
      <c r="D11" s="106" t="str">
        <f>IF(ISERROR(FIND($B$2,Lines!D11))=TRUE,"",IF('750'!D11="","ERR","")) &amp; IF(ISERROR(FIND($C$2,Lines!D11))=TRUE,"",IF('500'!D11="","ERR","")) &amp; IF(ISERROR(FIND($D$2,Lines!D11))=TRUE,"",IF('330'!D11="","ERR","")) &amp; IF(ISERROR(FIND($E$2,Lines!D11))=TRUE,"",IF('220'!D11="","ERR",""))&amp; IF(ISERROR(FIND($F$2,Lines!D11))=TRUE,"",IF(AND('500DC'!D11="",'800DC'!D11=""),"ERR","")) &amp; IF(ISERROR(FIND($G$2,Lines!D11))=TRUE,"",IF('1000'!D11="","ERR","")) &amp; IF(ISERROR(FIND($H$2,Lines!D11))=TRUE,"",IF('500DC'!D11="","ERR","")) &amp; IF(ISERROR(FIND($I$2,Lines!D11))=TRUE,"",IF('800DC'!D11="","ERR","")) &amp; IF(ISERROR(FIND($J$2,Lines!D11))=TRUE,"",IF('1000'!D11="","ERR",""))</f>
        <v/>
      </c>
      <c r="E11" s="106" t="str">
        <f>IF(ISERROR(FIND($B$2,Lines!E11))=TRUE,"",IF('750'!E11="","ERR","")) &amp; IF(ISERROR(FIND($C$2,Lines!E11))=TRUE,"",IF('500'!E11="","ERR","")) &amp; IF(ISERROR(FIND($D$2,Lines!E11))=TRUE,"",IF('330'!E11="","ERR","")) &amp; IF(ISERROR(FIND($E$2,Lines!E11))=TRUE,"",IF('220'!E11="","ERR",""))&amp; IF(ISERROR(FIND($F$2,Lines!E11))=TRUE,"",IF(AND('500DC'!E11="",'800DC'!E11=""),"ERR","")) &amp; IF(ISERROR(FIND($G$2,Lines!E11))=TRUE,"",IF('1000'!E11="","ERR","")) &amp; IF(ISERROR(FIND($H$2,Lines!E11))=TRUE,"",IF('500DC'!E11="","ERR","")) &amp; IF(ISERROR(FIND($I$2,Lines!E11))=TRUE,"",IF('800DC'!E11="","ERR","")) &amp; IF(ISERROR(FIND($J$2,Lines!E11))=TRUE,"",IF('1000'!E11="","ERR",""))</f>
        <v/>
      </c>
      <c r="F11" s="106" t="str">
        <f>IF(ISERROR(FIND($B$2,Lines!F11))=TRUE,"",IF('750'!F11="","ERR","")) &amp; IF(ISERROR(FIND($C$2,Lines!F11))=TRUE,"",IF('500'!F11="","ERR","")) &amp; IF(ISERROR(FIND($D$2,Lines!F11))=TRUE,"",IF('330'!F11="","ERR","")) &amp; IF(ISERROR(FIND($E$2,Lines!F11))=TRUE,"",IF('220'!F11="","ERR",""))&amp; IF(ISERROR(FIND($F$2,Lines!F11))=TRUE,"",IF(AND('500DC'!F11="",'800DC'!F11=""),"ERR","")) &amp; IF(ISERROR(FIND($G$2,Lines!F11))=TRUE,"",IF('1000'!F11="","ERR","")) &amp; IF(ISERROR(FIND($H$2,Lines!F11))=TRUE,"",IF('500DC'!F11="","ERR","")) &amp; IF(ISERROR(FIND($I$2,Lines!F11))=TRUE,"",IF('800DC'!F11="","ERR","")) &amp; IF(ISERROR(FIND($J$2,Lines!F11))=TRUE,"",IF('1000'!F11="","ERR",""))</f>
        <v/>
      </c>
      <c r="G11" s="106" t="str">
        <f>IF(ISERROR(FIND($B$2,Lines!G11))=TRUE,"",IF('750'!G11="","ERR","")) &amp; IF(ISERROR(FIND($C$2,Lines!G11))=TRUE,"",IF('500'!G11="","ERR","")) &amp; IF(ISERROR(FIND($D$2,Lines!G11))=TRUE,"",IF('330'!G11="","ERR","")) &amp; IF(ISERROR(FIND($E$2,Lines!G11))=TRUE,"",IF('220'!G11="","ERR",""))&amp; IF(ISERROR(FIND($F$2,Lines!G11))=TRUE,"",IF(AND('500DC'!G11="",'800DC'!G11=""),"ERR","")) &amp; IF(ISERROR(FIND($G$2,Lines!G11))=TRUE,"",IF('1000'!G11="","ERR","")) &amp; IF(ISERROR(FIND($H$2,Lines!G11))=TRUE,"",IF('500DC'!G11="","ERR","")) &amp; IF(ISERROR(FIND($I$2,Lines!G11))=TRUE,"",IF('800DC'!G11="","ERR","")) &amp; IF(ISERROR(FIND($J$2,Lines!G11))=TRUE,"",IF('1000'!G11="","ERR",""))</f>
        <v/>
      </c>
      <c r="H11" s="106" t="str">
        <f>IF(ISERROR(FIND($B$2,Lines!H11))=TRUE,"",IF('750'!H11="","ERR","")) &amp; IF(ISERROR(FIND($C$2,Lines!H11))=TRUE,"",IF('500'!H11="","ERR","")) &amp; IF(ISERROR(FIND($D$2,Lines!H11))=TRUE,"",IF('330'!H11="","ERR","")) &amp; IF(ISERROR(FIND($E$2,Lines!H11))=TRUE,"",IF('220'!H11="","ERR",""))&amp; IF(ISERROR(FIND($F$2,Lines!H11))=TRUE,"",IF(AND('500DC'!H11="",'800DC'!H11=""),"ERR","")) &amp; IF(ISERROR(FIND($G$2,Lines!H11))=TRUE,"",IF('1000'!H11="","ERR","")) &amp; IF(ISERROR(FIND($H$2,Lines!H11))=TRUE,"",IF('500DC'!H11="","ERR","")) &amp; IF(ISERROR(FIND($I$2,Lines!H11))=TRUE,"",IF('800DC'!H11="","ERR","")) &amp; IF(ISERROR(FIND($J$2,Lines!H11))=TRUE,"",IF('1000'!H11="","ERR",""))</f>
        <v/>
      </c>
      <c r="I11" s="105" t="str">
        <f>IF(ISERROR(FIND($B$2,Lines!I11))=TRUE,"",IF('750'!I11="","ERR","")) &amp; IF(ISERROR(FIND($C$2,Lines!I11))=TRUE,"",IF('500'!I11="","ERR","")) &amp; IF(ISERROR(FIND($D$2,Lines!I11))=TRUE,"",IF('330'!I11="","ERR","")) &amp; IF(ISERROR(FIND($E$2,Lines!I11))=TRUE,"",IF('220'!I11="","ERR",""))&amp; IF(ISERROR(FIND($F$2,Lines!I11))=TRUE,"",IF(AND('500DC'!I11="",'800DC'!I11=""),"ERR","")) &amp; IF(ISERROR(FIND($G$2,Lines!I11))=TRUE,"",IF('1000'!I11="","ERR","")) &amp; IF(ISERROR(FIND($H$2,Lines!I11))=TRUE,"",IF('500DC'!I11="","ERR","")) &amp; IF(ISERROR(FIND($I$2,Lines!I11))=TRUE,"",IF('800DC'!I11="","ERR","")) &amp; IF(ISERROR(FIND($J$2,Lines!I11))=TRUE,"",IF('1000'!I11="","ERR",""))</f>
        <v/>
      </c>
      <c r="J11" s="106" t="str">
        <f>IF(ISERROR(FIND($B$2,Lines!J11))=TRUE,"",IF('750'!J11="","ERR","")) &amp; IF(ISERROR(FIND($C$2,Lines!J11))=TRUE,"",IF('500'!J11="","ERR","")) &amp; IF(ISERROR(FIND($D$2,Lines!J11))=TRUE,"",IF('330'!J11="","ERR","")) &amp; IF(ISERROR(FIND($E$2,Lines!J11))=TRUE,"",IF('220'!J11="","ERR",""))&amp; IF(ISERROR(FIND($F$2,Lines!J11))=TRUE,"",IF(AND('500DC'!J11="",'800DC'!J11=""),"ERR","")) &amp; IF(ISERROR(FIND($G$2,Lines!J11))=TRUE,"",IF('1000'!J11="","ERR","")) &amp; IF(ISERROR(FIND($H$2,Lines!J11))=TRUE,"",IF('500DC'!J11="","ERR","")) &amp; IF(ISERROR(FIND($I$2,Lines!J11))=TRUE,"",IF('800DC'!J11="","ERR","")) &amp; IF(ISERROR(FIND($J$2,Lines!J11))=TRUE,"",IF('1000'!J11="","ERR",""))</f>
        <v/>
      </c>
      <c r="K11" s="106" t="str">
        <f>IF(ISERROR(FIND($B$2,Lines!K11))=TRUE,"",IF('750'!K11="","ERR","")) &amp; IF(ISERROR(FIND($C$2,Lines!K11))=TRUE,"",IF('500'!K11="","ERR","")) &amp; IF(ISERROR(FIND($D$2,Lines!K11))=TRUE,"",IF('330'!K11="","ERR","")) &amp; IF(ISERROR(FIND($E$2,Lines!K11))=TRUE,"",IF('220'!K11="","ERR",""))&amp; IF(ISERROR(FIND($F$2,Lines!K11))=TRUE,"",IF(AND('500DC'!K11="",'800DC'!K11=""),"ERR","")) &amp; IF(ISERROR(FIND($G$2,Lines!K11))=TRUE,"",IF('1000'!K11="","ERR","")) &amp; IF(ISERROR(FIND($H$2,Lines!K11))=TRUE,"",IF('500DC'!K11="","ERR","")) &amp; IF(ISERROR(FIND($I$2,Lines!K11))=TRUE,"",IF('800DC'!K11="","ERR","")) &amp; IF(ISERROR(FIND($J$2,Lines!K11))=TRUE,"",IF('1000'!K11="","ERR",""))</f>
        <v/>
      </c>
      <c r="L11" s="106" t="str">
        <f>IF(ISERROR(FIND($B$2,Lines!L11))=TRUE,"",IF('750'!L11="","ERR","")) &amp; IF(ISERROR(FIND($C$2,Lines!L11))=TRUE,"",IF('500'!L11="","ERR","")) &amp; IF(ISERROR(FIND($D$2,Lines!L11))=TRUE,"",IF('330'!L11="","ERR","")) &amp; IF(ISERROR(FIND($E$2,Lines!L11))=TRUE,"",IF('220'!L11="","ERR",""))&amp; IF(ISERROR(FIND($F$2,Lines!L11))=TRUE,"",IF(AND('500DC'!L11="",'800DC'!L11=""),"ERR","")) &amp; IF(ISERROR(FIND($G$2,Lines!L11))=TRUE,"",IF('1000'!L11="","ERR","")) &amp; IF(ISERROR(FIND($H$2,Lines!L11))=TRUE,"",IF('500DC'!L11="","ERR","")) &amp; IF(ISERROR(FIND($I$2,Lines!L11))=TRUE,"",IF('800DC'!L11="","ERR","")) &amp; IF(ISERROR(FIND($J$2,Lines!L11))=TRUE,"",IF('1000'!L11="","ERR",""))</f>
        <v/>
      </c>
      <c r="M11" s="107" t="str">
        <f>IF(ISERROR(FIND($B$2,Lines!M11))=TRUE,"",IF('750'!M11="","ERR","")) &amp; IF(ISERROR(FIND($C$2,Lines!M11))=TRUE,"",IF('500'!M11="","ERR","")) &amp; IF(ISERROR(FIND($D$2,Lines!M11))=TRUE,"",IF('330'!M11="","ERR","")) &amp; IF(ISERROR(FIND($E$2,Lines!M11))=TRUE,"",IF('220'!M11="","ERR",""))&amp; IF(ISERROR(FIND($F$2,Lines!M11))=TRUE,"",IF(AND('500DC'!M11="",'800DC'!M11=""),"ERR","")) &amp; IF(ISERROR(FIND($G$2,Lines!M11))=TRUE,"",IF('1000'!M11="","ERR","")) &amp; IF(ISERROR(FIND($H$2,Lines!M11))=TRUE,"",IF('500DC'!M11="","ERR","")) &amp; IF(ISERROR(FIND($I$2,Lines!M11))=TRUE,"",IF('800DC'!M11="","ERR","")) &amp; IF(ISERROR(FIND($J$2,Lines!M11))=TRUE,"",IF('1000'!M11="","ERR",""))</f>
        <v/>
      </c>
      <c r="N11" s="108" t="str">
        <f>IF(ISERROR(FIND($B$2,Lines!N11))=TRUE,"",IF('750'!N11="","ERR","")) &amp; IF(ISERROR(FIND($C$2,Lines!N11))=TRUE,"",IF('500'!N11="","ERR","")) &amp; IF(ISERROR(FIND($D$2,Lines!N11))=TRUE,"",IF('330'!N11="","ERR","")) &amp; IF(ISERROR(FIND($E$2,Lines!N11))=TRUE,"",IF('220'!N11="","ERR",""))&amp; IF(ISERROR(FIND($F$2,Lines!N11))=TRUE,"",IF(AND('500DC'!N11="",'800DC'!N11=""),"ERR","")) &amp; IF(ISERROR(FIND($G$2,Lines!N11))=TRUE,"",IF('1000'!N11="","ERR","")) &amp; IF(ISERROR(FIND($H$2,Lines!N11))=TRUE,"",IF('500DC'!N11="","ERR","")) &amp; IF(ISERROR(FIND($I$2,Lines!N11))=TRUE,"",IF('800DC'!N11="","ERR","")) &amp; IF(ISERROR(FIND($J$2,Lines!N11))=TRUE,"",IF('1000'!N11="","ERR",""))</f>
        <v/>
      </c>
      <c r="O11" s="108" t="str">
        <f>IF(ISERROR(FIND($B$2,Lines!O11))=TRUE,"",IF('750'!O11="","ERR","")) &amp; IF(ISERROR(FIND($C$2,Lines!O11))=TRUE,"",IF('500'!O11="","ERR","")) &amp; IF(ISERROR(FIND($D$2,Lines!O11))=TRUE,"",IF('330'!O11="","ERR","")) &amp; IF(ISERROR(FIND($E$2,Lines!O11))=TRUE,"",IF('220'!O11="","ERR",""))&amp; IF(ISERROR(FIND($F$2,Lines!O11))=TRUE,"",IF(AND('500DC'!O11="",'800DC'!O11=""),"ERR","")) &amp; IF(ISERROR(FIND($G$2,Lines!O11))=TRUE,"",IF('1000'!O11="","ERR","")) &amp; IF(ISERROR(FIND($H$2,Lines!O11))=TRUE,"",IF('500DC'!O11="","ERR","")) &amp; IF(ISERROR(FIND($I$2,Lines!O11))=TRUE,"",IF('800DC'!O11="","ERR","")) &amp; IF(ISERROR(FIND($J$2,Lines!O11))=TRUE,"",IF('1000'!O11="","ERR",""))</f>
        <v/>
      </c>
      <c r="P11" s="108" t="str">
        <f>IF(ISERROR(FIND($B$2,Lines!P11))=TRUE,"",IF('750'!P11="","ERR","")) &amp; IF(ISERROR(FIND($C$2,Lines!P11))=TRUE,"",IF('500'!P11="","ERR","")) &amp; IF(ISERROR(FIND($D$2,Lines!P11))=TRUE,"",IF('330'!P11="","ERR","")) &amp; IF(ISERROR(FIND($E$2,Lines!P11))=TRUE,"",IF('220'!P11="","ERR",""))&amp; IF(ISERROR(FIND($F$2,Lines!P11))=TRUE,"",IF(AND('500DC'!P11="",'800DC'!P11=""),"ERR","")) &amp; IF(ISERROR(FIND($G$2,Lines!P11))=TRUE,"",IF('1000'!P11="","ERR","")) &amp; IF(ISERROR(FIND($H$2,Lines!P11))=TRUE,"",IF('500DC'!P11="","ERR","")) &amp; IF(ISERROR(FIND($I$2,Lines!P11))=TRUE,"",IF('800DC'!P11="","ERR","")) &amp; IF(ISERROR(FIND($J$2,Lines!P11))=TRUE,"",IF('1000'!P11="","ERR",""))</f>
        <v/>
      </c>
      <c r="Q11" s="108" t="str">
        <f>IF(ISERROR(FIND($B$2,Lines!Q11))=TRUE,"",IF('750'!Q11="","ERR","")) &amp; IF(ISERROR(FIND($C$2,Lines!Q11))=TRUE,"",IF('500'!Q11="","ERR","")) &amp; IF(ISERROR(FIND($D$2,Lines!Q11))=TRUE,"",IF('330'!Q11="","ERR","")) &amp; IF(ISERROR(FIND($E$2,Lines!Q11))=TRUE,"",IF('220'!Q11="","ERR",""))&amp; IF(ISERROR(FIND($F$2,Lines!Q11))=TRUE,"",IF(AND('500DC'!Q11="",'800DC'!Q11=""),"ERR","")) &amp; IF(ISERROR(FIND($G$2,Lines!Q11))=TRUE,"",IF('1000'!Q11="","ERR","")) &amp; IF(ISERROR(FIND($H$2,Lines!Q11))=TRUE,"",IF('500DC'!Q11="","ERR","")) &amp; IF(ISERROR(FIND($I$2,Lines!Q11))=TRUE,"",IF('800DC'!Q11="","ERR","")) &amp; IF(ISERROR(FIND($J$2,Lines!Q11))=TRUE,"",IF('1000'!Q11="","ERR",""))</f>
        <v/>
      </c>
      <c r="R11" s="108" t="str">
        <f>IF(ISERROR(FIND($B$2,Lines!R11))=TRUE,"",IF('750'!R11="","ERR","")) &amp; IF(ISERROR(FIND($C$2,Lines!R11))=TRUE,"",IF('500'!R11="","ERR","")) &amp; IF(ISERROR(FIND($D$2,Lines!R11))=TRUE,"",IF('330'!R11="","ERR","")) &amp; IF(ISERROR(FIND($E$2,Lines!R11))=TRUE,"",IF('220'!R11="","ERR",""))&amp; IF(ISERROR(FIND($F$2,Lines!R11))=TRUE,"",IF(AND('500DC'!R11="",'800DC'!R11=""),"ERR","")) &amp; IF(ISERROR(FIND($G$2,Lines!R11))=TRUE,"",IF('1000'!R11="","ERR","")) &amp; IF(ISERROR(FIND($H$2,Lines!R11))=TRUE,"",IF('500DC'!R11="","ERR","")) &amp; IF(ISERROR(FIND($I$2,Lines!R11))=TRUE,"",IF('800DC'!R11="","ERR","")) &amp; IF(ISERROR(FIND($J$2,Lines!R11))=TRUE,"",IF('1000'!R11="","ERR",""))</f>
        <v/>
      </c>
      <c r="S11" s="108" t="str">
        <f>IF(ISERROR(FIND($B$2,Lines!S11))=TRUE,"",IF('750'!S11="","ERR","")) &amp; IF(ISERROR(FIND($C$2,Lines!S11))=TRUE,"",IF('500'!S11="","ERR","")) &amp; IF(ISERROR(FIND($D$2,Lines!S11))=TRUE,"",IF('330'!S11="","ERR","")) &amp; IF(ISERROR(FIND($E$2,Lines!S11))=TRUE,"",IF('220'!S11="","ERR",""))&amp; IF(ISERROR(FIND($F$2,Lines!S11))=TRUE,"",IF(AND('500DC'!S11="",'800DC'!S11=""),"ERR","")) &amp; IF(ISERROR(FIND($G$2,Lines!S11))=TRUE,"",IF('1000'!S11="","ERR","")) &amp; IF(ISERROR(FIND($H$2,Lines!S11))=TRUE,"",IF('500DC'!S11="","ERR","")) &amp; IF(ISERROR(FIND($I$2,Lines!S11))=TRUE,"",IF('800DC'!S11="","ERR","")) &amp; IF(ISERROR(FIND($J$2,Lines!S11))=TRUE,"",IF('1000'!S11="","ERR",""))</f>
        <v/>
      </c>
      <c r="T11" s="108" t="str">
        <f>IF(ISERROR(FIND($B$2,Lines!T11))=TRUE,"",IF('750'!T11="","ERR","")) &amp; IF(ISERROR(FIND($C$2,Lines!T11))=TRUE,"",IF('500'!T11="","ERR","")) &amp; IF(ISERROR(FIND($D$2,Lines!T11))=TRUE,"",IF('330'!T11="","ERR","")) &amp; IF(ISERROR(FIND($E$2,Lines!T11))=TRUE,"",IF('220'!T11="","ERR",""))&amp; IF(ISERROR(FIND($F$2,Lines!T11))=TRUE,"",IF(AND('500DC'!T11="",'800DC'!T11=""),"ERR","")) &amp; IF(ISERROR(FIND($G$2,Lines!T11))=TRUE,"",IF('1000'!T11="","ERR","")) &amp; IF(ISERROR(FIND($H$2,Lines!T11))=TRUE,"",IF('500DC'!T11="","ERR","")) &amp; IF(ISERROR(FIND($I$2,Lines!T11))=TRUE,"",IF('800DC'!T11="","ERR","")) &amp; IF(ISERROR(FIND($J$2,Lines!T11))=TRUE,"",IF('1000'!T11="","ERR",""))</f>
        <v/>
      </c>
      <c r="U11" s="108" t="str">
        <f>IF(ISERROR(FIND($B$2,Lines!U11))=TRUE,"",IF('750'!U11="","ERR","")) &amp; IF(ISERROR(FIND($C$2,Lines!U11))=TRUE,"",IF('500'!U11="","ERR","")) &amp; IF(ISERROR(FIND($D$2,Lines!U11))=TRUE,"",IF('330'!U11="","ERR","")) &amp; IF(ISERROR(FIND($E$2,Lines!U11))=TRUE,"",IF('220'!U11="","ERR",""))&amp; IF(ISERROR(FIND($F$2,Lines!U11))=TRUE,"",IF(AND('500DC'!U11="",'800DC'!U11=""),"ERR","")) &amp; IF(ISERROR(FIND($G$2,Lines!U11))=TRUE,"",IF('1000'!U11="","ERR","")) &amp; IF(ISERROR(FIND($H$2,Lines!U11))=TRUE,"",IF('500DC'!U11="","ERR","")) &amp; IF(ISERROR(FIND($I$2,Lines!U11))=TRUE,"",IF('800DC'!U11="","ERR","")) &amp; IF(ISERROR(FIND($J$2,Lines!U11))=TRUE,"",IF('1000'!U11="","ERR",""))</f>
        <v/>
      </c>
      <c r="V11" s="108" t="str">
        <f>IF(ISERROR(FIND($B$2,Lines!V11))=TRUE,"",IF('750'!V11="","ERR","")) &amp; IF(ISERROR(FIND($C$2,Lines!V11))=TRUE,"",IF('500'!V11="","ERR","")) &amp; IF(ISERROR(FIND($D$2,Lines!V11))=TRUE,"",IF('330'!V11="","ERR","")) &amp; IF(ISERROR(FIND($E$2,Lines!V11))=TRUE,"",IF('220'!V11="","ERR",""))&amp; IF(ISERROR(FIND($F$2,Lines!V11))=TRUE,"",IF(AND('500DC'!V11="",'800DC'!V11=""),"ERR","")) &amp; IF(ISERROR(FIND($G$2,Lines!V11))=TRUE,"",IF('1000'!V11="","ERR","")) &amp; IF(ISERROR(FIND($H$2,Lines!V11))=TRUE,"",IF('500DC'!V11="","ERR","")) &amp; IF(ISERROR(FIND($I$2,Lines!V11))=TRUE,"",IF('800DC'!V11="","ERR","")) &amp; IF(ISERROR(FIND($J$2,Lines!V11))=TRUE,"",IF('1000'!V11="","ERR",""))</f>
        <v/>
      </c>
      <c r="W11" s="109" t="str">
        <f>IF(ISERROR(FIND($B$2,Lines!W11))=TRUE,"",IF('750'!W11="","ERR","")) &amp; IF(ISERROR(FIND($C$2,Lines!W11))=TRUE,"",IF('500'!W11="","ERR","")) &amp; IF(ISERROR(FIND($D$2,Lines!W11))=TRUE,"",IF('330'!W11="","ERR","")) &amp; IF(ISERROR(FIND($E$2,Lines!W11))=TRUE,"",IF('220'!W11="","ERR",""))&amp; IF(ISERROR(FIND($F$2,Lines!W11))=TRUE,"",IF(AND('500DC'!W11="",'800DC'!W11=""),"ERR","")) &amp; IF(ISERROR(FIND($G$2,Lines!W11))=TRUE,"",IF('1000'!W11="","ERR","")) &amp; IF(ISERROR(FIND($H$2,Lines!W11))=TRUE,"",IF('500DC'!W11="","ERR","")) &amp; IF(ISERROR(FIND($I$2,Lines!W11))=TRUE,"",IF('800DC'!W11="","ERR","")) &amp; IF(ISERROR(FIND($J$2,Lines!W11))=TRUE,"",IF('1000'!W11="","ERR",""))</f>
        <v/>
      </c>
      <c r="X11" s="108" t="str">
        <f>IF(ISERROR(FIND($B$2,Lines!X11))=TRUE,"",IF('750'!X11="","ERR","")) &amp; IF(ISERROR(FIND($C$2,Lines!X11))=TRUE,"",IF('500'!X11="","ERR","")) &amp; IF(ISERROR(FIND($D$2,Lines!X11))=TRUE,"",IF('330'!X11="","ERR","")) &amp; IF(ISERROR(FIND($E$2,Lines!X11))=TRUE,"",IF('220'!X11="","ERR",""))&amp; IF(ISERROR(FIND($F$2,Lines!X11))=TRUE,"",IF(AND('500DC'!X11="",'800DC'!X11=""),"ERR","")) &amp; IF(ISERROR(FIND($G$2,Lines!X11))=TRUE,"",IF('1000'!X11="","ERR","")) &amp; IF(ISERROR(FIND($H$2,Lines!X11))=TRUE,"",IF('500DC'!X11="","ERR","")) &amp; IF(ISERROR(FIND($I$2,Lines!X11))=TRUE,"",IF('800DC'!X11="","ERR","")) &amp; IF(ISERROR(FIND($J$2,Lines!X11))=TRUE,"",IF('1000'!X11="","ERR",""))</f>
        <v/>
      </c>
      <c r="Y11" s="108" t="str">
        <f>IF(ISERROR(FIND($B$2,Lines!Y11))=TRUE,"",IF('750'!Y11="","ERR","")) &amp; IF(ISERROR(FIND($C$2,Lines!Y11))=TRUE,"",IF('500'!Y11="","ERR","")) &amp; IF(ISERROR(FIND($D$2,Lines!Y11))=TRUE,"",IF('330'!Y11="","ERR","")) &amp; IF(ISERROR(FIND($E$2,Lines!Y11))=TRUE,"",IF('220'!Y11="","ERR",""))&amp; IF(ISERROR(FIND($F$2,Lines!Y11))=TRUE,"",IF(AND('500DC'!Y11="",'800DC'!Y11=""),"ERR","")) &amp; IF(ISERROR(FIND($G$2,Lines!Y11))=TRUE,"",IF('1000'!Y11="","ERR","")) &amp; IF(ISERROR(FIND($H$2,Lines!Y11))=TRUE,"",IF('500DC'!Y11="","ERR","")) &amp; IF(ISERROR(FIND($I$2,Lines!Y11))=TRUE,"",IF('800DC'!Y11="","ERR","")) &amp; IF(ISERROR(FIND($J$2,Lines!Y11))=TRUE,"",IF('1000'!Y11="","ERR",""))</f>
        <v/>
      </c>
      <c r="Z11" s="108" t="str">
        <f>IF(ISERROR(FIND($B$2,Lines!Z11))=TRUE,"",IF('750'!Z11="","ERR","")) &amp; IF(ISERROR(FIND($C$2,Lines!Z11))=TRUE,"",IF('500'!Z11="","ERR","")) &amp; IF(ISERROR(FIND($D$2,Lines!Z11))=TRUE,"",IF('330'!Z11="","ERR","")) &amp; IF(ISERROR(FIND($E$2,Lines!Z11))=TRUE,"",IF('220'!Z11="","ERR",""))&amp; IF(ISERROR(FIND($F$2,Lines!Z11))=TRUE,"",IF(AND('500DC'!Z11="",'800DC'!Z11=""),"ERR","")) &amp; IF(ISERROR(FIND($G$2,Lines!Z11))=TRUE,"",IF('1000'!Z11="","ERR","")) &amp; IF(ISERROR(FIND($H$2,Lines!Z11))=TRUE,"",IF('500DC'!Z11="","ERR","")) &amp; IF(ISERROR(FIND($I$2,Lines!Z11))=TRUE,"",IF('800DC'!Z11="","ERR","")) &amp; IF(ISERROR(FIND($J$2,Lines!Z11))=TRUE,"",IF('1000'!Z11="","ERR",""))</f>
        <v/>
      </c>
      <c r="AA11" s="108" t="str">
        <f>IF(ISERROR(FIND($B$2,Lines!AA11))=TRUE,"",IF('750'!AA11="","ERR","")) &amp; IF(ISERROR(FIND($C$2,Lines!AA11))=TRUE,"",IF('500'!AA11="","ERR","")) &amp; IF(ISERROR(FIND($D$2,Lines!AA11))=TRUE,"",IF('330'!AA11="","ERR","")) &amp; IF(ISERROR(FIND($E$2,Lines!AA11))=TRUE,"",IF('220'!AA11="","ERR",""))&amp; IF(ISERROR(FIND($F$2,Lines!AA11))=TRUE,"",IF(AND('500DC'!AA11="",'800DC'!AA11=""),"ERR","")) &amp; IF(ISERROR(FIND($G$2,Lines!AA11))=TRUE,"",IF('1000'!AA11="","ERR","")) &amp; IF(ISERROR(FIND($H$2,Lines!AA11))=TRUE,"",IF('500DC'!AA11="","ERR","")) &amp; IF(ISERROR(FIND($I$2,Lines!AA11))=TRUE,"",IF('800DC'!AA11="","ERR","")) &amp; IF(ISERROR(FIND($J$2,Lines!AA11))=TRUE,"",IF('1000'!AA11="","ERR",""))</f>
        <v/>
      </c>
      <c r="AB11" s="108" t="str">
        <f>IF(ISERROR(FIND($B$2,Lines!AB11))=TRUE,"",IF('750'!AB11="","ERR","")) &amp; IF(ISERROR(FIND($C$2,Lines!AB11))=TRUE,"",IF('500'!AB11="","ERR","")) &amp; IF(ISERROR(FIND($D$2,Lines!AB11))=TRUE,"",IF('330'!AB11="","ERR","")) &amp; IF(ISERROR(FIND($E$2,Lines!AB11))=TRUE,"",IF('220'!AB11="","ERR",""))&amp; IF(ISERROR(FIND($F$2,Lines!AB11))=TRUE,"",IF(AND('500DC'!AB11="",'800DC'!AB11=""),"ERR","")) &amp; IF(ISERROR(FIND($G$2,Lines!AB11))=TRUE,"",IF('1000'!AB11="","ERR","")) &amp; IF(ISERROR(FIND($H$2,Lines!AB11))=TRUE,"",IF('500DC'!AB11="","ERR","")) &amp; IF(ISERROR(FIND($I$2,Lines!AB11))=TRUE,"",IF('800DC'!AB11="","ERR","")) &amp; IF(ISERROR(FIND($J$2,Lines!AB11))=TRUE,"",IF('1000'!AB11="","ERR",""))</f>
        <v/>
      </c>
      <c r="AC11" s="108" t="str">
        <f>IF(ISERROR(FIND($B$2,Lines!AC11))=TRUE,"",IF('750'!AC11="","ERR","")) &amp; IF(ISERROR(FIND($C$2,Lines!AC11))=TRUE,"",IF('500'!AC11="","ERR","")) &amp; IF(ISERROR(FIND($D$2,Lines!AC11))=TRUE,"",IF('330'!AC11="","ERR","")) &amp; IF(ISERROR(FIND($E$2,Lines!AC11))=TRUE,"",IF('220'!AC11="","ERR",""))&amp; IF(ISERROR(FIND($F$2,Lines!AC11))=TRUE,"",IF(AND('500DC'!AC11="",'800DC'!AC11=""),"ERR","")) &amp; IF(ISERROR(FIND($G$2,Lines!AC11))=TRUE,"",IF('1000'!AC11="","ERR","")) &amp; IF(ISERROR(FIND($H$2,Lines!AC11))=TRUE,"",IF('500DC'!AC11="","ERR","")) &amp; IF(ISERROR(FIND($I$2,Lines!AC11))=TRUE,"",IF('800DC'!AC11="","ERR","")) &amp; IF(ISERROR(FIND($J$2,Lines!AC11))=TRUE,"",IF('1000'!AC11="","ERR",""))</f>
        <v/>
      </c>
      <c r="AD11" s="108" t="str">
        <f>IF(ISERROR(FIND($B$2,Lines!AD11))=TRUE,"",IF('750'!AD11="","ERR","")) &amp; IF(ISERROR(FIND($C$2,Lines!AD11))=TRUE,"",IF('500'!AD11="","ERR","")) &amp; IF(ISERROR(FIND($D$2,Lines!AD11))=TRUE,"",IF('330'!AD11="","ERR","")) &amp; IF(ISERROR(FIND($E$2,Lines!AD11))=TRUE,"",IF('220'!AD11="","ERR",""))&amp; IF(ISERROR(FIND($F$2,Lines!AD11))=TRUE,"",IF(AND('500DC'!AD11="",'800DC'!AD11=""),"ERR","")) &amp; IF(ISERROR(FIND($G$2,Lines!AD11))=TRUE,"",IF('1000'!AD11="","ERR","")) &amp; IF(ISERROR(FIND($H$2,Lines!AD11))=TRUE,"",IF('500DC'!AD11="","ERR","")) &amp; IF(ISERROR(FIND($I$2,Lines!AD11))=TRUE,"",IF('800DC'!AD11="","ERR","")) &amp; IF(ISERROR(FIND($J$2,Lines!AD11))=TRUE,"",IF('1000'!AD11="","ERR",""))</f>
        <v/>
      </c>
      <c r="AE11" s="108" t="str">
        <f>IF(ISERROR(FIND($B$2,Lines!AE11))=TRUE,"",IF('750'!AE11="","ERR","")) &amp; IF(ISERROR(FIND($C$2,Lines!AE11))=TRUE,"",IF('500'!AE11="","ERR","")) &amp; IF(ISERROR(FIND($D$2,Lines!AE11))=TRUE,"",IF('330'!AE11="","ERR","")) &amp; IF(ISERROR(FIND($E$2,Lines!AE11))=TRUE,"",IF('220'!AE11="","ERR",""))&amp; IF(ISERROR(FIND($F$2,Lines!AE11))=TRUE,"",IF(AND('500DC'!AE11="",'800DC'!AE11=""),"ERR","")) &amp; IF(ISERROR(FIND($G$2,Lines!AE11))=TRUE,"",IF('1000'!AE11="","ERR","")) &amp; IF(ISERROR(FIND($H$2,Lines!AE11))=TRUE,"",IF('500DC'!AE11="","ERR","")) &amp; IF(ISERROR(FIND($I$2,Lines!AE11))=TRUE,"",IF('800DC'!AE11="","ERR","")) &amp; IF(ISERROR(FIND($J$2,Lines!AE11))=TRUE,"",IF('1000'!AE11="","ERR",""))</f>
        <v/>
      </c>
      <c r="AF11" s="108" t="str">
        <f>IF(ISERROR(FIND($B$2,Lines!AF11))=TRUE,"",IF('750'!AF11="","ERR","")) &amp; IF(ISERROR(FIND($C$2,Lines!AF11))=TRUE,"",IF('500'!AF11="","ERR","")) &amp; IF(ISERROR(FIND($D$2,Lines!AF11))=TRUE,"",IF('330'!AF11="","ERR","")) &amp; IF(ISERROR(FIND($E$2,Lines!AF11))=TRUE,"",IF('220'!AF11="","ERR",""))&amp; IF(ISERROR(FIND($F$2,Lines!AF11))=TRUE,"",IF(AND('500DC'!AF11="",'800DC'!AF11=""),"ERR","")) &amp; IF(ISERROR(FIND($G$2,Lines!AF11))=TRUE,"",IF('1000'!AF11="","ERR","")) &amp; IF(ISERROR(FIND($H$2,Lines!AF11))=TRUE,"",IF('500DC'!AF11="","ERR","")) &amp; IF(ISERROR(FIND($I$2,Lines!AF11))=TRUE,"",IF('800DC'!AF11="","ERR","")) &amp; IF(ISERROR(FIND($J$2,Lines!AF11))=TRUE,"",IF('1000'!AF11="","ERR",""))</f>
        <v/>
      </c>
      <c r="AG11" s="108" t="str">
        <f>IF(ISERROR(FIND($B$2,Lines!AG11))=TRUE,"",IF('750'!AG11="","ERR","")) &amp; IF(ISERROR(FIND($C$2,Lines!AG11))=TRUE,"",IF('500'!AG11="","ERR","")) &amp; IF(ISERROR(FIND($D$2,Lines!AG11))=TRUE,"",IF('330'!AG11="","ERR","")) &amp; IF(ISERROR(FIND($E$2,Lines!AG11))=TRUE,"",IF('220'!AG11="","ERR",""))&amp; IF(ISERROR(FIND($F$2,Lines!AG11))=TRUE,"",IF(AND('500DC'!AG11="",'800DC'!AG11=""),"ERR","")) &amp; IF(ISERROR(FIND($G$2,Lines!AG11))=TRUE,"",IF('1000'!AG11="","ERR","")) &amp; IF(ISERROR(FIND($H$2,Lines!AG11))=TRUE,"",IF('500DC'!AG11="","ERR","")) &amp; IF(ISERROR(FIND($I$2,Lines!AG11))=TRUE,"",IF('800DC'!AG11="","ERR","")) &amp; IF(ISERROR(FIND($J$2,Lines!AG11))=TRUE,"",IF('1000'!AG11="","ERR",""))</f>
        <v/>
      </c>
      <c r="AH11" s="108" t="str">
        <f>IF(ISERROR(FIND($B$2,Lines!AH11))=TRUE,"",IF('750'!AH11="","ERR","")) &amp; IF(ISERROR(FIND($C$2,Lines!AH11))=TRUE,"",IF('500'!AH11="","ERR","")) &amp; IF(ISERROR(FIND($D$2,Lines!AH11))=TRUE,"",IF('330'!AH11="","ERR","")) &amp; IF(ISERROR(FIND($E$2,Lines!AH11))=TRUE,"",IF('220'!AH11="","ERR",""))&amp; IF(ISERROR(FIND($F$2,Lines!AH11))=TRUE,"",IF(AND('500DC'!AH11="",'800DC'!AH11=""),"ERR","")) &amp; IF(ISERROR(FIND($G$2,Lines!AH11))=TRUE,"",IF('1000'!AH11="","ERR","")) &amp; IF(ISERROR(FIND($H$2,Lines!AH11))=TRUE,"",IF('500DC'!AH11="","ERR","")) &amp; IF(ISERROR(FIND($I$2,Lines!AH11))=TRUE,"",IF('800DC'!AH11="","ERR","")) &amp; IF(ISERROR(FIND($J$2,Lines!AH11))=TRUE,"",IF('1000'!AH11="","ERR",""))</f>
        <v/>
      </c>
      <c r="AI11" s="108" t="str">
        <f>IF(ISERROR(FIND($B$2,Lines!AI11))=TRUE,"",IF('750'!AI11="","ERR","")) &amp; IF(ISERROR(FIND($C$2,Lines!AI11))=TRUE,"",IF('500'!AI11="","ERR","")) &amp; IF(ISERROR(FIND($D$2,Lines!AI11))=TRUE,"",IF('330'!AI11="","ERR","")) &amp; IF(ISERROR(FIND($E$2,Lines!AI11))=TRUE,"",IF('220'!AI11="","ERR",""))&amp; IF(ISERROR(FIND($F$2,Lines!AI11))=TRUE,"",IF(AND('500DC'!AI11="",'800DC'!AI11=""),"ERR","")) &amp; IF(ISERROR(FIND($G$2,Lines!AI11))=TRUE,"",IF('1000'!AI11="","ERR","")) &amp; IF(ISERROR(FIND($H$2,Lines!AI11))=TRUE,"",IF('500DC'!AI11="","ERR","")) &amp; IF(ISERROR(FIND($I$2,Lines!AI11))=TRUE,"",IF('800DC'!AI11="","ERR","")) &amp; IF(ISERROR(FIND($J$2,Lines!AI11))=TRUE,"",IF('1000'!AI11="","ERR",""))</f>
        <v/>
      </c>
      <c r="AJ11" s="108" t="str">
        <f>IF(ISERROR(FIND($B$2,Lines!AJ11))=TRUE,"",IF('750'!AJ11="","ERR","")) &amp; IF(ISERROR(FIND($C$2,Lines!AJ11))=TRUE,"",IF('500'!AJ11="","ERR","")) &amp; IF(ISERROR(FIND($D$2,Lines!AJ11))=TRUE,"",IF('330'!AJ11="","ERR","")) &amp; IF(ISERROR(FIND($E$2,Lines!AJ11))=TRUE,"",IF('220'!AJ11="","ERR",""))&amp; IF(ISERROR(FIND($F$2,Lines!AJ11))=TRUE,"",IF(AND('500DC'!AJ11="",'800DC'!AJ11=""),"ERR","")) &amp; IF(ISERROR(FIND($G$2,Lines!AJ11))=TRUE,"",IF('1000'!AJ11="","ERR","")) &amp; IF(ISERROR(FIND($H$2,Lines!AJ11))=TRUE,"",IF('500DC'!AJ11="","ERR","")) &amp; IF(ISERROR(FIND($I$2,Lines!AJ11))=TRUE,"",IF('800DC'!AJ11="","ERR","")) &amp; IF(ISERROR(FIND($J$2,Lines!AJ11))=TRUE,"",IF('1000'!AJ11="","ERR",""))</f>
        <v/>
      </c>
      <c r="AK11" s="108" t="str">
        <f>IF(ISERROR(FIND($B$2,Lines!AK11))=TRUE,"",IF('750'!AK11="","ERR","")) &amp; IF(ISERROR(FIND($C$2,Lines!AK11))=TRUE,"",IF('500'!AK11="","ERR","")) &amp; IF(ISERROR(FIND($D$2,Lines!AK11))=TRUE,"",IF('330'!AK11="","ERR","")) &amp; IF(ISERROR(FIND($E$2,Lines!AK11))=TRUE,"",IF('220'!AK11="","ERR",""))&amp; IF(ISERROR(FIND($F$2,Lines!AK11))=TRUE,"",IF(AND('500DC'!AK11="",'800DC'!AK11=""),"ERR","")) &amp; IF(ISERROR(FIND($G$2,Lines!AK11))=TRUE,"",IF('1000'!AK11="","ERR","")) &amp; IF(ISERROR(FIND($H$2,Lines!AK11))=TRUE,"",IF('500DC'!AK11="","ERR","")) &amp; IF(ISERROR(FIND($I$2,Lines!AK11))=TRUE,"",IF('800DC'!AK11="","ERR","")) &amp; IF(ISERROR(FIND($J$2,Lines!AK11))=TRUE,"",IF('1000'!AK11="","ERR",""))</f>
        <v/>
      </c>
      <c r="AL11" s="108" t="str">
        <f>IF(ISERROR(FIND($B$2,Lines!AL11))=TRUE,"",IF('750'!AL11="","ERR","")) &amp; IF(ISERROR(FIND($C$2,Lines!AL11))=TRUE,"",IF('500'!AL11="","ERR","")) &amp; IF(ISERROR(FIND($D$2,Lines!AL11))=TRUE,"",IF('330'!AL11="","ERR","")) &amp; IF(ISERROR(FIND($E$2,Lines!AL11))=TRUE,"",IF('220'!AL11="","ERR",""))&amp; IF(ISERROR(FIND($F$2,Lines!AL11))=TRUE,"",IF(AND('500DC'!AL11="",'800DC'!AL11=""),"ERR","")) &amp; IF(ISERROR(FIND($G$2,Lines!AL11))=TRUE,"",IF('1000'!AL11="","ERR","")) &amp; IF(ISERROR(FIND($H$2,Lines!AL11))=TRUE,"",IF('500DC'!AL11="","ERR","")) &amp; IF(ISERROR(FIND($I$2,Lines!AL11))=TRUE,"",IF('800DC'!AL11="","ERR","")) &amp; IF(ISERROR(FIND($J$2,Lines!AL11))=TRUE,"",IF('1000'!AL11="","ERR",""))</f>
        <v/>
      </c>
      <c r="AM11" s="108" t="str">
        <f>IF(ISERROR(FIND($B$2,Lines!AM11))=TRUE,"",IF('750'!AM11="","ERR","")) &amp; IF(ISERROR(FIND($C$2,Lines!AM11))=TRUE,"",IF('500'!AM11="","ERR","")) &amp; IF(ISERROR(FIND($D$2,Lines!AM11))=TRUE,"",IF('330'!AM11="","ERR","")) &amp; IF(ISERROR(FIND($E$2,Lines!AM11))=TRUE,"",IF('220'!AM11="","ERR",""))&amp; IF(ISERROR(FIND($F$2,Lines!AM11))=TRUE,"",IF(AND('500DC'!AM11="",'800DC'!AM11=""),"ERR","")) &amp; IF(ISERROR(FIND($G$2,Lines!AM11))=TRUE,"",IF('1000'!AM11="","ERR","")) &amp; IF(ISERROR(FIND($H$2,Lines!AM11))=TRUE,"",IF('500DC'!AM11="","ERR","")) &amp; IF(ISERROR(FIND($I$2,Lines!AM11))=TRUE,"",IF('800DC'!AM11="","ERR","")) &amp; IF(ISERROR(FIND($J$2,Lines!AM11))=TRUE,"",IF('1000'!AM11="","ERR",""))</f>
        <v/>
      </c>
      <c r="AN11" s="108" t="str">
        <f>IF(ISERROR(FIND($B$2,Lines!AN11))=TRUE,"",IF('750'!AN11="","ERR","")) &amp; IF(ISERROR(FIND($C$2,Lines!AN11))=TRUE,"",IF('500'!AN11="","ERR","")) &amp; IF(ISERROR(FIND($D$2,Lines!AN11))=TRUE,"",IF('330'!AN11="","ERR","")) &amp; IF(ISERROR(FIND($E$2,Lines!AN11))=TRUE,"",IF('220'!AN11="","ERR",""))&amp; IF(ISERROR(FIND($F$2,Lines!AN11))=TRUE,"",IF(AND('500DC'!AN11="",'800DC'!AN11=""),"ERR","")) &amp; IF(ISERROR(FIND($G$2,Lines!AN11))=TRUE,"",IF('1000'!AN11="","ERR","")) &amp; IF(ISERROR(FIND($H$2,Lines!AN11))=TRUE,"",IF('500DC'!AN11="","ERR","")) &amp; IF(ISERROR(FIND($I$2,Lines!AN11))=TRUE,"",IF('800DC'!AN11="","ERR","")) &amp; IF(ISERROR(FIND($J$2,Lines!AN11))=TRUE,"",IF('1000'!AN11="","ERR",""))</f>
        <v/>
      </c>
      <c r="AO11" s="108" t="str">
        <f>IF(ISERROR(FIND($B$2,Lines!AO11))=TRUE,"",IF('750'!AO11="","ERR","")) &amp; IF(ISERROR(FIND($C$2,Lines!AO11))=TRUE,"",IF('500'!AO11="","ERR","")) &amp; IF(ISERROR(FIND($D$2,Lines!AO11))=TRUE,"",IF('330'!AO11="","ERR","")) &amp; IF(ISERROR(FIND($E$2,Lines!AO11))=TRUE,"",IF('220'!AO11="","ERR",""))&amp; IF(ISERROR(FIND($F$2,Lines!AO11))=TRUE,"",IF(AND('500DC'!AO11="",'800DC'!AO11=""),"ERR","")) &amp; IF(ISERROR(FIND($G$2,Lines!AO11))=TRUE,"",IF('1000'!AO11="","ERR","")) &amp; IF(ISERROR(FIND($H$2,Lines!AO11))=TRUE,"",IF('500DC'!AO11="","ERR","")) &amp; IF(ISERROR(FIND($I$2,Lines!AO11))=TRUE,"",IF('800DC'!AO11="","ERR","")) &amp; IF(ISERROR(FIND($J$2,Lines!AO11))=TRUE,"",IF('1000'!AO11="","ERR",""))</f>
        <v/>
      </c>
      <c r="AP11" s="108" t="str">
        <f>IF(ISERROR(FIND($B$2,Lines!AP11))=TRUE,"",IF('750'!AP11="","ERR","")) &amp; IF(ISERROR(FIND($C$2,Lines!AP11))=TRUE,"",IF('500'!AP11="","ERR","")) &amp; IF(ISERROR(FIND($D$2,Lines!AP11))=TRUE,"",IF('330'!AP11="","ERR","")) &amp; IF(ISERROR(FIND($E$2,Lines!AP11))=TRUE,"",IF('220'!AP11="","ERR",""))&amp; IF(ISERROR(FIND($F$2,Lines!AP11))=TRUE,"",IF(AND('500DC'!AP11="",'800DC'!AP11=""),"ERR","")) &amp; IF(ISERROR(FIND($G$2,Lines!AP11))=TRUE,"",IF('1000'!AP11="","ERR","")) &amp; IF(ISERROR(FIND($H$2,Lines!AP11))=TRUE,"",IF('500DC'!AP11="","ERR","")) &amp; IF(ISERROR(FIND($I$2,Lines!AP11))=TRUE,"",IF('800DC'!AP11="","ERR","")) &amp; IF(ISERROR(FIND($J$2,Lines!AP11))=TRUE,"",IF('1000'!AP11="","ERR",""))</f>
        <v/>
      </c>
      <c r="AQ11" s="108" t="str">
        <f>IF(ISERROR(FIND($B$2,Lines!AQ11))=TRUE,"",IF('750'!AQ11="","ERR","")) &amp; IF(ISERROR(FIND($C$2,Lines!AQ11))=TRUE,"",IF('500'!AQ11="","ERR","")) &amp; IF(ISERROR(FIND($D$2,Lines!AQ11))=TRUE,"",IF('330'!AQ11="","ERR","")) &amp; IF(ISERROR(FIND($E$2,Lines!AQ11))=TRUE,"",IF('220'!AQ11="","ERR",""))&amp; IF(ISERROR(FIND($F$2,Lines!AQ11))=TRUE,"",IF(AND('500DC'!AQ11="",'800DC'!AQ11=""),"ERR","")) &amp; IF(ISERROR(FIND($G$2,Lines!AQ11))=TRUE,"",IF('1000'!AQ11="","ERR","")) &amp; IF(ISERROR(FIND($H$2,Lines!AQ11))=TRUE,"",IF('500DC'!AQ11="","ERR","")) &amp; IF(ISERROR(FIND($I$2,Lines!AQ11))=TRUE,"",IF('800DC'!AQ11="","ERR","")) &amp; IF(ISERROR(FIND($J$2,Lines!AQ11))=TRUE,"",IF('1000'!AQ11="","ERR",""))</f>
        <v/>
      </c>
      <c r="AR11" s="108" t="str">
        <f>IF(ISERROR(FIND($B$2,Lines!AR11))=TRUE,"",IF('750'!AR11="","ERR","")) &amp; IF(ISERROR(FIND($C$2,Lines!AR11))=TRUE,"",IF('500'!AR11="","ERR","")) &amp; IF(ISERROR(FIND($D$2,Lines!AR11))=TRUE,"",IF('330'!AR11="","ERR","")) &amp; IF(ISERROR(FIND($E$2,Lines!AR11))=TRUE,"",IF('220'!AR11="","ERR",""))&amp; IF(ISERROR(FIND($F$2,Lines!AR11))=TRUE,"",IF(AND('500DC'!AR11="",'800DC'!AR11=""),"ERR","")) &amp; IF(ISERROR(FIND($G$2,Lines!AR11))=TRUE,"",IF('1000'!AR11="","ERR","")) &amp; IF(ISERROR(FIND($H$2,Lines!AR11))=TRUE,"",IF('500DC'!AR11="","ERR","")) &amp; IF(ISERROR(FIND($I$2,Lines!AR11))=TRUE,"",IF('800DC'!AR11="","ERR","")) &amp; IF(ISERROR(FIND($J$2,Lines!AR11))=TRUE,"",IF('1000'!AR11="","ERR",""))</f>
        <v/>
      </c>
      <c r="AS11" s="108" t="str">
        <f>IF(ISERROR(FIND($B$2,Lines!AS11))=TRUE,"",IF('750'!AS11="","ERR","")) &amp; IF(ISERROR(FIND($C$2,Lines!AS11))=TRUE,"",IF('500'!AS11="","ERR","")) &amp; IF(ISERROR(FIND($D$2,Lines!AS11))=TRUE,"",IF('330'!AS11="","ERR","")) &amp; IF(ISERROR(FIND($E$2,Lines!AS11))=TRUE,"",IF('220'!AS11="","ERR",""))&amp; IF(ISERROR(FIND($F$2,Lines!AS11))=TRUE,"",IF(AND('500DC'!AS11="",'800DC'!AS11=""),"ERR","")) &amp; IF(ISERROR(FIND($G$2,Lines!AS11))=TRUE,"",IF('1000'!AS11="","ERR","")) &amp; IF(ISERROR(FIND($H$2,Lines!AS11))=TRUE,"",IF('500DC'!AS11="","ERR","")) &amp; IF(ISERROR(FIND($I$2,Lines!AS11))=TRUE,"",IF('800DC'!AS11="","ERR","")) &amp; IF(ISERROR(FIND($J$2,Lines!AS11))=TRUE,"",IF('1000'!AS11="","ERR",""))</f>
        <v/>
      </c>
      <c r="AT11" s="108" t="str">
        <f>IF(ISERROR(FIND($B$2,Lines!AT11))=TRUE,"",IF('750'!AT11="","ERR","")) &amp; IF(ISERROR(FIND($C$2,Lines!AT11))=TRUE,"",IF('500'!AT11="","ERR","")) &amp; IF(ISERROR(FIND($D$2,Lines!AT11))=TRUE,"",IF('330'!AT11="","ERR","")) &amp; IF(ISERROR(FIND($E$2,Lines!AT11))=TRUE,"",IF('220'!AT11="","ERR",""))&amp; IF(ISERROR(FIND($F$2,Lines!AT11))=TRUE,"",IF(AND('500DC'!AT11="",'800DC'!AT11=""),"ERR","")) &amp; IF(ISERROR(FIND($G$2,Lines!AT11))=TRUE,"",IF('1000'!AT11="","ERR","")) &amp; IF(ISERROR(FIND($H$2,Lines!AT11))=TRUE,"",IF('500DC'!AT11="","ERR","")) &amp; IF(ISERROR(FIND($I$2,Lines!AT11))=TRUE,"",IF('800DC'!AT11="","ERR","")) &amp; IF(ISERROR(FIND($J$2,Lines!AT11))=TRUE,"",IF('1000'!AT11="","ERR",""))</f>
        <v/>
      </c>
    </row>
    <row r="12" spans="1:46" ht="20.25" customHeight="1">
      <c r="A12" s="2" t="s">
        <v>62</v>
      </c>
      <c r="B12" s="106" t="str">
        <f>IF(ISERROR(FIND($B$2,Lines!B12))=TRUE,"",IF('750'!B12="","ERR","")) &amp; IF(ISERROR(FIND($C$2,Lines!B12))=TRUE,"",IF('500'!B12="","ERR","")) &amp; IF(ISERROR(FIND($D$2,Lines!B12))=TRUE,"",IF('330'!B12="","ERR","")) &amp; IF(ISERROR(FIND($E$2,Lines!B12))=TRUE,"",IF('220'!B12="","ERR",""))&amp; IF(ISERROR(FIND($F$2,Lines!B12))=TRUE,"",IF(AND('500DC'!B12="",'800DC'!B12=""),"ERR","")) &amp; IF(ISERROR(FIND($G$2,Lines!B12))=TRUE,"",IF('1000'!B12="","ERR","")) &amp; IF(ISERROR(FIND($H$2,Lines!B12))=TRUE,"",IF('500DC'!B12="","ERR","")) &amp; IF(ISERROR(FIND($I$2,Lines!B12))=TRUE,"",IF('800DC'!B12="","ERR","")) &amp; IF(ISERROR(FIND($J$2,Lines!B12))=TRUE,"",IF('1000'!B12="","ERR",""))</f>
        <v/>
      </c>
      <c r="C12" s="106" t="str">
        <f>IF(ISERROR(FIND($B$2,Lines!C12))=TRUE,"",IF('750'!C12="","ERR","")) &amp; IF(ISERROR(FIND($C$2,Lines!C12))=TRUE,"",IF('500'!C12="","ERR","")) &amp; IF(ISERROR(FIND($D$2,Lines!C12))=TRUE,"",IF('330'!C12="","ERR","")) &amp; IF(ISERROR(FIND($E$2,Lines!C12))=TRUE,"",IF('220'!C12="","ERR",""))&amp; IF(ISERROR(FIND($F$2,Lines!C12))=TRUE,"",IF(AND('500DC'!C12="",'800DC'!C12=""),"ERR","")) &amp; IF(ISERROR(FIND($G$2,Lines!C12))=TRUE,"",IF('1000'!C12="","ERR","")) &amp; IF(ISERROR(FIND($H$2,Lines!C12))=TRUE,"",IF('500DC'!C12="","ERR","")) &amp; IF(ISERROR(FIND($I$2,Lines!C12))=TRUE,"",IF('800DC'!C12="","ERR","")) &amp; IF(ISERROR(FIND($J$2,Lines!C12))=TRUE,"",IF('1000'!C12="","ERR",""))</f>
        <v/>
      </c>
      <c r="D12" s="106" t="str">
        <f>IF(ISERROR(FIND($B$2,Lines!D12))=TRUE,"",IF('750'!D12="","ERR","")) &amp; IF(ISERROR(FIND($C$2,Lines!D12))=TRUE,"",IF('500'!D12="","ERR","")) &amp; IF(ISERROR(FIND($D$2,Lines!D12))=TRUE,"",IF('330'!D12="","ERR","")) &amp; IF(ISERROR(FIND($E$2,Lines!D12))=TRUE,"",IF('220'!D12="","ERR",""))&amp; IF(ISERROR(FIND($F$2,Lines!D12))=TRUE,"",IF(AND('500DC'!D12="",'800DC'!D12=""),"ERR","")) &amp; IF(ISERROR(FIND($G$2,Lines!D12))=TRUE,"",IF('1000'!D12="","ERR","")) &amp; IF(ISERROR(FIND($H$2,Lines!D12))=TRUE,"",IF('500DC'!D12="","ERR","")) &amp; IF(ISERROR(FIND($I$2,Lines!D12))=TRUE,"",IF('800DC'!D12="","ERR","")) &amp; IF(ISERROR(FIND($J$2,Lines!D12))=TRUE,"",IF('1000'!D12="","ERR",""))</f>
        <v/>
      </c>
      <c r="E12" s="106" t="str">
        <f>IF(ISERROR(FIND($B$2,Lines!E12))=TRUE,"",IF('750'!E12="","ERR","")) &amp; IF(ISERROR(FIND($C$2,Lines!E12))=TRUE,"",IF('500'!E12="","ERR","")) &amp; IF(ISERROR(FIND($D$2,Lines!E12))=TRUE,"",IF('330'!E12="","ERR","")) &amp; IF(ISERROR(FIND($E$2,Lines!E12))=TRUE,"",IF('220'!E12="","ERR",""))&amp; IF(ISERROR(FIND($F$2,Lines!E12))=TRUE,"",IF(AND('500DC'!E12="",'800DC'!E12=""),"ERR","")) &amp; IF(ISERROR(FIND($G$2,Lines!E12))=TRUE,"",IF('1000'!E12="","ERR","")) &amp; IF(ISERROR(FIND($H$2,Lines!E12))=TRUE,"",IF('500DC'!E12="","ERR","")) &amp; IF(ISERROR(FIND($I$2,Lines!E12))=TRUE,"",IF('800DC'!E12="","ERR","")) &amp; IF(ISERROR(FIND($J$2,Lines!E12))=TRUE,"",IF('1000'!E12="","ERR",""))</f>
        <v/>
      </c>
      <c r="F12" s="106" t="str">
        <f>IF(ISERROR(FIND($B$2,Lines!F12))=TRUE,"",IF('750'!F12="","ERR","")) &amp; IF(ISERROR(FIND($C$2,Lines!F12))=TRUE,"",IF('500'!F12="","ERR","")) &amp; IF(ISERROR(FIND($D$2,Lines!F12))=TRUE,"",IF('330'!F12="","ERR","")) &amp; IF(ISERROR(FIND($E$2,Lines!F12))=TRUE,"",IF('220'!F12="","ERR",""))&amp; IF(ISERROR(FIND($F$2,Lines!F12))=TRUE,"",IF(AND('500DC'!F12="",'800DC'!F12=""),"ERR","")) &amp; IF(ISERROR(FIND($G$2,Lines!F12))=TRUE,"",IF('1000'!F12="","ERR","")) &amp; IF(ISERROR(FIND($H$2,Lines!F12))=TRUE,"",IF('500DC'!F12="","ERR","")) &amp; IF(ISERROR(FIND($I$2,Lines!F12))=TRUE,"",IF('800DC'!F12="","ERR","")) &amp; IF(ISERROR(FIND($J$2,Lines!F12))=TRUE,"",IF('1000'!F12="","ERR",""))</f>
        <v/>
      </c>
      <c r="G12" s="106" t="str">
        <f>IF(ISERROR(FIND($B$2,Lines!G12))=TRUE,"",IF('750'!G12="","ERR","")) &amp; IF(ISERROR(FIND($C$2,Lines!G12))=TRUE,"",IF('500'!G12="","ERR","")) &amp; IF(ISERROR(FIND($D$2,Lines!G12))=TRUE,"",IF('330'!G12="","ERR","")) &amp; IF(ISERROR(FIND($E$2,Lines!G12))=TRUE,"",IF('220'!G12="","ERR",""))&amp; IF(ISERROR(FIND($F$2,Lines!G12))=TRUE,"",IF(AND('500DC'!G12="",'800DC'!G12=""),"ERR","")) &amp; IF(ISERROR(FIND($G$2,Lines!G12))=TRUE,"",IF('1000'!G12="","ERR","")) &amp; IF(ISERROR(FIND($H$2,Lines!G12))=TRUE,"",IF('500DC'!G12="","ERR","")) &amp; IF(ISERROR(FIND($I$2,Lines!G12))=TRUE,"",IF('800DC'!G12="","ERR","")) &amp; IF(ISERROR(FIND($J$2,Lines!G12))=TRUE,"",IF('1000'!G12="","ERR",""))</f>
        <v/>
      </c>
      <c r="H12" s="106" t="str">
        <f>IF(ISERROR(FIND($B$2,Lines!H12))=TRUE,"",IF('750'!H12="","ERR","")) &amp; IF(ISERROR(FIND($C$2,Lines!H12))=TRUE,"",IF('500'!H12="","ERR","")) &amp; IF(ISERROR(FIND($D$2,Lines!H12))=TRUE,"",IF('330'!H12="","ERR","")) &amp; IF(ISERROR(FIND($E$2,Lines!H12))=TRUE,"",IF('220'!H12="","ERR",""))&amp; IF(ISERROR(FIND($F$2,Lines!H12))=TRUE,"",IF(AND('500DC'!H12="",'800DC'!H12=""),"ERR","")) &amp; IF(ISERROR(FIND($G$2,Lines!H12))=TRUE,"",IF('1000'!H12="","ERR","")) &amp; IF(ISERROR(FIND($H$2,Lines!H12))=TRUE,"",IF('500DC'!H12="","ERR","")) &amp; IF(ISERROR(FIND($I$2,Lines!H12))=TRUE,"",IF('800DC'!H12="","ERR","")) &amp; IF(ISERROR(FIND($J$2,Lines!H12))=TRUE,"",IF('1000'!H12="","ERR",""))</f>
        <v/>
      </c>
      <c r="I12" s="106" t="str">
        <f>IF(ISERROR(FIND($B$2,Lines!I12))=TRUE,"",IF('750'!I12="","ERR","")) &amp; IF(ISERROR(FIND($C$2,Lines!I12))=TRUE,"",IF('500'!I12="","ERR","")) &amp; IF(ISERROR(FIND($D$2,Lines!I12))=TRUE,"",IF('330'!I12="","ERR","")) &amp; IF(ISERROR(FIND($E$2,Lines!I12))=TRUE,"",IF('220'!I12="","ERR",""))&amp; IF(ISERROR(FIND($F$2,Lines!I12))=TRUE,"",IF(AND('500DC'!I12="",'800DC'!I12=""),"ERR","")) &amp; IF(ISERROR(FIND($G$2,Lines!I12))=TRUE,"",IF('1000'!I12="","ERR","")) &amp; IF(ISERROR(FIND($H$2,Lines!I12))=TRUE,"",IF('500DC'!I12="","ERR","")) &amp; IF(ISERROR(FIND($I$2,Lines!I12))=TRUE,"",IF('800DC'!I12="","ERR","")) &amp; IF(ISERROR(FIND($J$2,Lines!I12))=TRUE,"",IF('1000'!I12="","ERR",""))</f>
        <v/>
      </c>
      <c r="J12" s="105" t="str">
        <f>IF(ISERROR(FIND($B$2,Lines!J12))=TRUE,"",IF('750'!J12="","ERR","")) &amp; IF(ISERROR(FIND($C$2,Lines!J12))=TRUE,"",IF('500'!J12="","ERR","")) &amp; IF(ISERROR(FIND($D$2,Lines!J12))=TRUE,"",IF('330'!J12="","ERR","")) &amp; IF(ISERROR(FIND($E$2,Lines!J12))=TRUE,"",IF('220'!J12="","ERR",""))&amp; IF(ISERROR(FIND($F$2,Lines!J12))=TRUE,"",IF(AND('500DC'!J12="",'800DC'!J12=""),"ERR","")) &amp; IF(ISERROR(FIND($G$2,Lines!J12))=TRUE,"",IF('1000'!J12="","ERR","")) &amp; IF(ISERROR(FIND($H$2,Lines!J12))=TRUE,"",IF('500DC'!J12="","ERR","")) &amp; IF(ISERROR(FIND($I$2,Lines!J12))=TRUE,"",IF('800DC'!J12="","ERR","")) &amp; IF(ISERROR(FIND($J$2,Lines!J12))=TRUE,"",IF('1000'!J12="","ERR",""))</f>
        <v/>
      </c>
      <c r="K12" s="106" t="str">
        <f>IF(ISERROR(FIND($B$2,Lines!K12))=TRUE,"",IF('750'!K12="","ERR","")) &amp; IF(ISERROR(FIND($C$2,Lines!K12))=TRUE,"",IF('500'!K12="","ERR","")) &amp; IF(ISERROR(FIND($D$2,Lines!K12))=TRUE,"",IF('330'!K12="","ERR","")) &amp; IF(ISERROR(FIND($E$2,Lines!K12))=TRUE,"",IF('220'!K12="","ERR",""))&amp; IF(ISERROR(FIND($F$2,Lines!K12))=TRUE,"",IF(AND('500DC'!K12="",'800DC'!K12=""),"ERR","")) &amp; IF(ISERROR(FIND($G$2,Lines!K12))=TRUE,"",IF('1000'!K12="","ERR","")) &amp; IF(ISERROR(FIND($H$2,Lines!K12))=TRUE,"",IF('500DC'!K12="","ERR","")) &amp; IF(ISERROR(FIND($I$2,Lines!K12))=TRUE,"",IF('800DC'!K12="","ERR","")) &amp; IF(ISERROR(FIND($J$2,Lines!K12))=TRUE,"",IF('1000'!K12="","ERR",""))</f>
        <v/>
      </c>
      <c r="L12" s="106" t="str">
        <f>IF(ISERROR(FIND($B$2,Lines!L12))=TRUE,"",IF('750'!L12="","ERR","")) &amp; IF(ISERROR(FIND($C$2,Lines!L12))=TRUE,"",IF('500'!L12="","ERR","")) &amp; IF(ISERROR(FIND($D$2,Lines!L12))=TRUE,"",IF('330'!L12="","ERR","")) &amp; IF(ISERROR(FIND($E$2,Lines!L12))=TRUE,"",IF('220'!L12="","ERR",""))&amp; IF(ISERROR(FIND($F$2,Lines!L12))=TRUE,"",IF(AND('500DC'!L12="",'800DC'!L12=""),"ERR","")) &amp; IF(ISERROR(FIND($G$2,Lines!L12))=TRUE,"",IF('1000'!L12="","ERR","")) &amp; IF(ISERROR(FIND($H$2,Lines!L12))=TRUE,"",IF('500DC'!L12="","ERR","")) &amp; IF(ISERROR(FIND($I$2,Lines!L12))=TRUE,"",IF('800DC'!L12="","ERR","")) &amp; IF(ISERROR(FIND($J$2,Lines!L12))=TRUE,"",IF('1000'!L12="","ERR",""))</f>
        <v/>
      </c>
      <c r="M12" s="107" t="str">
        <f>IF(ISERROR(FIND($B$2,Lines!M12))=TRUE,"",IF('750'!M12="","ERR","")) &amp; IF(ISERROR(FIND($C$2,Lines!M12))=TRUE,"",IF('500'!M12="","ERR","")) &amp; IF(ISERROR(FIND($D$2,Lines!M12))=TRUE,"",IF('330'!M12="","ERR","")) &amp; IF(ISERROR(FIND($E$2,Lines!M12))=TRUE,"",IF('220'!M12="","ERR",""))&amp; IF(ISERROR(FIND($F$2,Lines!M12))=TRUE,"",IF(AND('500DC'!M12="",'800DC'!M12=""),"ERR","")) &amp; IF(ISERROR(FIND($G$2,Lines!M12))=TRUE,"",IF('1000'!M12="","ERR","")) &amp; IF(ISERROR(FIND($H$2,Lines!M12))=TRUE,"",IF('500DC'!M12="","ERR","")) &amp; IF(ISERROR(FIND($I$2,Lines!M12))=TRUE,"",IF('800DC'!M12="","ERR","")) &amp; IF(ISERROR(FIND($J$2,Lines!M12))=TRUE,"",IF('1000'!M12="","ERR",""))</f>
        <v/>
      </c>
      <c r="N12" s="108" t="str">
        <f>IF(ISERROR(FIND($B$2,Lines!N12))=TRUE,"",IF('750'!N12="","ERR","")) &amp; IF(ISERROR(FIND($C$2,Lines!N12))=TRUE,"",IF('500'!N12="","ERR","")) &amp; IF(ISERROR(FIND($D$2,Lines!N12))=TRUE,"",IF('330'!N12="","ERR","")) &amp; IF(ISERROR(FIND($E$2,Lines!N12))=TRUE,"",IF('220'!N12="","ERR",""))&amp; IF(ISERROR(FIND($F$2,Lines!N12))=TRUE,"",IF(AND('500DC'!N12="",'800DC'!N12=""),"ERR","")) &amp; IF(ISERROR(FIND($G$2,Lines!N12))=TRUE,"",IF('1000'!N12="","ERR","")) &amp; IF(ISERROR(FIND($H$2,Lines!N12))=TRUE,"",IF('500DC'!N12="","ERR","")) &amp; IF(ISERROR(FIND($I$2,Lines!N12))=TRUE,"",IF('800DC'!N12="","ERR","")) &amp; IF(ISERROR(FIND($J$2,Lines!N12))=TRUE,"",IF('1000'!N12="","ERR",""))</f>
        <v/>
      </c>
      <c r="O12" s="108" t="str">
        <f>IF(ISERROR(FIND($B$2,Lines!O12))=TRUE,"",IF('750'!O12="","ERR","")) &amp; IF(ISERROR(FIND($C$2,Lines!O12))=TRUE,"",IF('500'!O12="","ERR","")) &amp; IF(ISERROR(FIND($D$2,Lines!O12))=TRUE,"",IF('330'!O12="","ERR","")) &amp; IF(ISERROR(FIND($E$2,Lines!O12))=TRUE,"",IF('220'!O12="","ERR",""))&amp; IF(ISERROR(FIND($F$2,Lines!O12))=TRUE,"",IF(AND('500DC'!O12="",'800DC'!O12=""),"ERR","")) &amp; IF(ISERROR(FIND($G$2,Lines!O12))=TRUE,"",IF('1000'!O12="","ERR","")) &amp; IF(ISERROR(FIND($H$2,Lines!O12))=TRUE,"",IF('500DC'!O12="","ERR","")) &amp; IF(ISERROR(FIND($I$2,Lines!O12))=TRUE,"",IF('800DC'!O12="","ERR","")) &amp; IF(ISERROR(FIND($J$2,Lines!O12))=TRUE,"",IF('1000'!O12="","ERR",""))</f>
        <v/>
      </c>
      <c r="P12" s="108" t="str">
        <f>IF(ISERROR(FIND($B$2,Lines!P12))=TRUE,"",IF('750'!P12="","ERR","")) &amp; IF(ISERROR(FIND($C$2,Lines!P12))=TRUE,"",IF('500'!P12="","ERR","")) &amp; IF(ISERROR(FIND($D$2,Lines!P12))=TRUE,"",IF('330'!P12="","ERR","")) &amp; IF(ISERROR(FIND($E$2,Lines!P12))=TRUE,"",IF('220'!P12="","ERR",""))&amp; IF(ISERROR(FIND($F$2,Lines!P12))=TRUE,"",IF(AND('500DC'!P12="",'800DC'!P12=""),"ERR","")) &amp; IF(ISERROR(FIND($G$2,Lines!P12))=TRUE,"",IF('1000'!P12="","ERR","")) &amp; IF(ISERROR(FIND($H$2,Lines!P12))=TRUE,"",IF('500DC'!P12="","ERR","")) &amp; IF(ISERROR(FIND($I$2,Lines!P12))=TRUE,"",IF('800DC'!P12="","ERR","")) &amp; IF(ISERROR(FIND($J$2,Lines!P12))=TRUE,"",IF('1000'!P12="","ERR",""))</f>
        <v/>
      </c>
      <c r="Q12" s="108" t="str">
        <f>IF(ISERROR(FIND($B$2,Lines!Q12))=TRUE,"",IF('750'!Q12="","ERR","")) &amp; IF(ISERROR(FIND($C$2,Lines!Q12))=TRUE,"",IF('500'!Q12="","ERR","")) &amp; IF(ISERROR(FIND($D$2,Lines!Q12))=TRUE,"",IF('330'!Q12="","ERR","")) &amp; IF(ISERROR(FIND($E$2,Lines!Q12))=TRUE,"",IF('220'!Q12="","ERR",""))&amp; IF(ISERROR(FIND($F$2,Lines!Q12))=TRUE,"",IF(AND('500DC'!Q12="",'800DC'!Q12=""),"ERR","")) &amp; IF(ISERROR(FIND($G$2,Lines!Q12))=TRUE,"",IF('1000'!Q12="","ERR","")) &amp; IF(ISERROR(FIND($H$2,Lines!Q12))=TRUE,"",IF('500DC'!Q12="","ERR","")) &amp; IF(ISERROR(FIND($I$2,Lines!Q12))=TRUE,"",IF('800DC'!Q12="","ERR","")) &amp; IF(ISERROR(FIND($J$2,Lines!Q12))=TRUE,"",IF('1000'!Q12="","ERR",""))</f>
        <v/>
      </c>
      <c r="R12" s="108" t="str">
        <f>IF(ISERROR(FIND($B$2,Lines!R12))=TRUE,"",IF('750'!R12="","ERR","")) &amp; IF(ISERROR(FIND($C$2,Lines!R12))=TRUE,"",IF('500'!R12="","ERR","")) &amp; IF(ISERROR(FIND($D$2,Lines!R12))=TRUE,"",IF('330'!R12="","ERR","")) &amp; IF(ISERROR(FIND($E$2,Lines!R12))=TRUE,"",IF('220'!R12="","ERR",""))&amp; IF(ISERROR(FIND($F$2,Lines!R12))=TRUE,"",IF(AND('500DC'!R12="",'800DC'!R12=""),"ERR","")) &amp; IF(ISERROR(FIND($G$2,Lines!R12))=TRUE,"",IF('1000'!R12="","ERR","")) &amp; IF(ISERROR(FIND($H$2,Lines!R12))=TRUE,"",IF('500DC'!R12="","ERR","")) &amp; IF(ISERROR(FIND($I$2,Lines!R12))=TRUE,"",IF('800DC'!R12="","ERR","")) &amp; IF(ISERROR(FIND($J$2,Lines!R12))=TRUE,"",IF('1000'!R12="","ERR",""))</f>
        <v/>
      </c>
      <c r="S12" s="108" t="str">
        <f>IF(ISERROR(FIND($B$2,Lines!S12))=TRUE,"",IF('750'!S12="","ERR","")) &amp; IF(ISERROR(FIND($C$2,Lines!S12))=TRUE,"",IF('500'!S12="","ERR","")) &amp; IF(ISERROR(FIND($D$2,Lines!S12))=TRUE,"",IF('330'!S12="","ERR","")) &amp; IF(ISERROR(FIND($E$2,Lines!S12))=TRUE,"",IF('220'!S12="","ERR",""))&amp; IF(ISERROR(FIND($F$2,Lines!S12))=TRUE,"",IF(AND('500DC'!S12="",'800DC'!S12=""),"ERR","")) &amp; IF(ISERROR(FIND($G$2,Lines!S12))=TRUE,"",IF('1000'!S12="","ERR","")) &amp; IF(ISERROR(FIND($H$2,Lines!S12))=TRUE,"",IF('500DC'!S12="","ERR","")) &amp; IF(ISERROR(FIND($I$2,Lines!S12))=TRUE,"",IF('800DC'!S12="","ERR","")) &amp; IF(ISERROR(FIND($J$2,Lines!S12))=TRUE,"",IF('1000'!S12="","ERR",""))</f>
        <v/>
      </c>
      <c r="T12" s="108" t="str">
        <f>IF(ISERROR(FIND($B$2,Lines!T12))=TRUE,"",IF('750'!T12="","ERR","")) &amp; IF(ISERROR(FIND($C$2,Lines!T12))=TRUE,"",IF('500'!T12="","ERR","")) &amp; IF(ISERROR(FIND($D$2,Lines!T12))=TRUE,"",IF('330'!T12="","ERR","")) &amp; IF(ISERROR(FIND($E$2,Lines!T12))=TRUE,"",IF('220'!T12="","ERR",""))&amp; IF(ISERROR(FIND($F$2,Lines!T12))=TRUE,"",IF(AND('500DC'!T12="",'800DC'!T12=""),"ERR","")) &amp; IF(ISERROR(FIND($G$2,Lines!T12))=TRUE,"",IF('1000'!T12="","ERR","")) &amp; IF(ISERROR(FIND($H$2,Lines!T12))=TRUE,"",IF('500DC'!T12="","ERR","")) &amp; IF(ISERROR(FIND($I$2,Lines!T12))=TRUE,"",IF('800DC'!T12="","ERR","")) &amp; IF(ISERROR(FIND($J$2,Lines!T12))=TRUE,"",IF('1000'!T12="","ERR",""))</f>
        <v/>
      </c>
      <c r="U12" s="108" t="str">
        <f>IF(ISERROR(FIND($B$2,Lines!U12))=TRUE,"",IF('750'!U12="","ERR","")) &amp; IF(ISERROR(FIND($C$2,Lines!U12))=TRUE,"",IF('500'!U12="","ERR","")) &amp; IF(ISERROR(FIND($D$2,Lines!U12))=TRUE,"",IF('330'!U12="","ERR","")) &amp; IF(ISERROR(FIND($E$2,Lines!U12))=TRUE,"",IF('220'!U12="","ERR",""))&amp; IF(ISERROR(FIND($F$2,Lines!U12))=TRUE,"",IF(AND('500DC'!U12="",'800DC'!U12=""),"ERR","")) &amp; IF(ISERROR(FIND($G$2,Lines!U12))=TRUE,"",IF('1000'!U12="","ERR","")) &amp; IF(ISERROR(FIND($H$2,Lines!U12))=TRUE,"",IF('500DC'!U12="","ERR","")) &amp; IF(ISERROR(FIND($I$2,Lines!U12))=TRUE,"",IF('800DC'!U12="","ERR","")) &amp; IF(ISERROR(FIND($J$2,Lines!U12))=TRUE,"",IF('1000'!U12="","ERR",""))</f>
        <v/>
      </c>
      <c r="V12" s="108" t="str">
        <f>IF(ISERROR(FIND($B$2,Lines!V12))=TRUE,"",IF('750'!V12="","ERR","")) &amp; IF(ISERROR(FIND($C$2,Lines!V12))=TRUE,"",IF('500'!V12="","ERR","")) &amp; IF(ISERROR(FIND($D$2,Lines!V12))=TRUE,"",IF('330'!V12="","ERR","")) &amp; IF(ISERROR(FIND($E$2,Lines!V12))=TRUE,"",IF('220'!V12="","ERR",""))&amp; IF(ISERROR(FIND($F$2,Lines!V12))=TRUE,"",IF(AND('500DC'!V12="",'800DC'!V12=""),"ERR","")) &amp; IF(ISERROR(FIND($G$2,Lines!V12))=TRUE,"",IF('1000'!V12="","ERR","")) &amp; IF(ISERROR(FIND($H$2,Lines!V12))=TRUE,"",IF('500DC'!V12="","ERR","")) &amp; IF(ISERROR(FIND($I$2,Lines!V12))=TRUE,"",IF('800DC'!V12="","ERR","")) &amp; IF(ISERROR(FIND($J$2,Lines!V12))=TRUE,"",IF('1000'!V12="","ERR",""))</f>
        <v/>
      </c>
      <c r="W12" s="109" t="str">
        <f>IF(ISERROR(FIND($B$2,Lines!W12))=TRUE,"",IF('750'!W12="","ERR","")) &amp; IF(ISERROR(FIND($C$2,Lines!W12))=TRUE,"",IF('500'!W12="","ERR","")) &amp; IF(ISERROR(FIND($D$2,Lines!W12))=TRUE,"",IF('330'!W12="","ERR","")) &amp; IF(ISERROR(FIND($E$2,Lines!W12))=TRUE,"",IF('220'!W12="","ERR",""))&amp; IF(ISERROR(FIND($F$2,Lines!W12))=TRUE,"",IF(AND('500DC'!W12="",'800DC'!W12=""),"ERR","")) &amp; IF(ISERROR(FIND($G$2,Lines!W12))=TRUE,"",IF('1000'!W12="","ERR","")) &amp; IF(ISERROR(FIND($H$2,Lines!W12))=TRUE,"",IF('500DC'!W12="","ERR","")) &amp; IF(ISERROR(FIND($I$2,Lines!W12))=TRUE,"",IF('800DC'!W12="","ERR","")) &amp; IF(ISERROR(FIND($J$2,Lines!W12))=TRUE,"",IF('1000'!W12="","ERR",""))</f>
        <v/>
      </c>
      <c r="X12" s="108" t="str">
        <f>IF(ISERROR(FIND($B$2,Lines!X12))=TRUE,"",IF('750'!X12="","ERR","")) &amp; IF(ISERROR(FIND($C$2,Lines!X12))=TRUE,"",IF('500'!X12="","ERR","")) &amp; IF(ISERROR(FIND($D$2,Lines!X12))=TRUE,"",IF('330'!X12="","ERR","")) &amp; IF(ISERROR(FIND($E$2,Lines!X12))=TRUE,"",IF('220'!X12="","ERR",""))&amp; IF(ISERROR(FIND($F$2,Lines!X12))=TRUE,"",IF(AND('500DC'!X12="",'800DC'!X12=""),"ERR","")) &amp; IF(ISERROR(FIND($G$2,Lines!X12))=TRUE,"",IF('1000'!X12="","ERR","")) &amp; IF(ISERROR(FIND($H$2,Lines!X12))=TRUE,"",IF('500DC'!X12="","ERR","")) &amp; IF(ISERROR(FIND($I$2,Lines!X12))=TRUE,"",IF('800DC'!X12="","ERR","")) &amp; IF(ISERROR(FIND($J$2,Lines!X12))=TRUE,"",IF('1000'!X12="","ERR",""))</f>
        <v/>
      </c>
      <c r="Y12" s="108" t="str">
        <f>IF(ISERROR(FIND($B$2,Lines!Y12))=TRUE,"",IF('750'!Y12="","ERR","")) &amp; IF(ISERROR(FIND($C$2,Lines!Y12))=TRUE,"",IF('500'!Y12="","ERR","")) &amp; IF(ISERROR(FIND($D$2,Lines!Y12))=TRUE,"",IF('330'!Y12="","ERR","")) &amp; IF(ISERROR(FIND($E$2,Lines!Y12))=TRUE,"",IF('220'!Y12="","ERR",""))&amp; IF(ISERROR(FIND($F$2,Lines!Y12))=TRUE,"",IF(AND('500DC'!Y12="",'800DC'!Y12=""),"ERR","")) &amp; IF(ISERROR(FIND($G$2,Lines!Y12))=TRUE,"",IF('1000'!Y12="","ERR","")) &amp; IF(ISERROR(FIND($H$2,Lines!Y12))=TRUE,"",IF('500DC'!Y12="","ERR","")) &amp; IF(ISERROR(FIND($I$2,Lines!Y12))=TRUE,"",IF('800DC'!Y12="","ERR","")) &amp; IF(ISERROR(FIND($J$2,Lines!Y12))=TRUE,"",IF('1000'!Y12="","ERR",""))</f>
        <v/>
      </c>
      <c r="Z12" s="108" t="str">
        <f>IF(ISERROR(FIND($B$2,Lines!Z12))=TRUE,"",IF('750'!Z12="","ERR","")) &amp; IF(ISERROR(FIND($C$2,Lines!Z12))=TRUE,"",IF('500'!Z12="","ERR","")) &amp; IF(ISERROR(FIND($D$2,Lines!Z12))=TRUE,"",IF('330'!Z12="","ERR","")) &amp; IF(ISERROR(FIND($E$2,Lines!Z12))=TRUE,"",IF('220'!Z12="","ERR",""))&amp; IF(ISERROR(FIND($F$2,Lines!Z12))=TRUE,"",IF(AND('500DC'!Z12="",'800DC'!Z12=""),"ERR","")) &amp; IF(ISERROR(FIND($G$2,Lines!Z12))=TRUE,"",IF('1000'!Z12="","ERR","")) &amp; IF(ISERROR(FIND($H$2,Lines!Z12))=TRUE,"",IF('500DC'!Z12="","ERR","")) &amp; IF(ISERROR(FIND($I$2,Lines!Z12))=TRUE,"",IF('800DC'!Z12="","ERR","")) &amp; IF(ISERROR(FIND($J$2,Lines!Z12))=TRUE,"",IF('1000'!Z12="","ERR",""))</f>
        <v/>
      </c>
      <c r="AA12" s="108" t="str">
        <f>IF(ISERROR(FIND($B$2,Lines!AA12))=TRUE,"",IF('750'!AA12="","ERR","")) &amp; IF(ISERROR(FIND($C$2,Lines!AA12))=TRUE,"",IF('500'!AA12="","ERR","")) &amp; IF(ISERROR(FIND($D$2,Lines!AA12))=TRUE,"",IF('330'!AA12="","ERR","")) &amp; IF(ISERROR(FIND($E$2,Lines!AA12))=TRUE,"",IF('220'!AA12="","ERR",""))&amp; IF(ISERROR(FIND($F$2,Lines!AA12))=TRUE,"",IF(AND('500DC'!AA12="",'800DC'!AA12=""),"ERR","")) &amp; IF(ISERROR(FIND($G$2,Lines!AA12))=TRUE,"",IF('1000'!AA12="","ERR","")) &amp; IF(ISERROR(FIND($H$2,Lines!AA12))=TRUE,"",IF('500DC'!AA12="","ERR","")) &amp; IF(ISERROR(FIND($I$2,Lines!AA12))=TRUE,"",IF('800DC'!AA12="","ERR","")) &amp; IF(ISERROR(FIND($J$2,Lines!AA12))=TRUE,"",IF('1000'!AA12="","ERR",""))</f>
        <v/>
      </c>
      <c r="AB12" s="108" t="str">
        <f>IF(ISERROR(FIND($B$2,Lines!AB12))=TRUE,"",IF('750'!AB12="","ERR","")) &amp; IF(ISERROR(FIND($C$2,Lines!AB12))=TRUE,"",IF('500'!AB12="","ERR","")) &amp; IF(ISERROR(FIND($D$2,Lines!AB12))=TRUE,"",IF('330'!AB12="","ERR","")) &amp; IF(ISERROR(FIND($E$2,Lines!AB12))=TRUE,"",IF('220'!AB12="","ERR",""))&amp; IF(ISERROR(FIND($F$2,Lines!AB12))=TRUE,"",IF(AND('500DC'!AB12="",'800DC'!AB12=""),"ERR","")) &amp; IF(ISERROR(FIND($G$2,Lines!AB12))=TRUE,"",IF('1000'!AB12="","ERR","")) &amp; IF(ISERROR(FIND($H$2,Lines!AB12))=TRUE,"",IF('500DC'!AB12="","ERR","")) &amp; IF(ISERROR(FIND($I$2,Lines!AB12))=TRUE,"",IF('800DC'!AB12="","ERR","")) &amp; IF(ISERROR(FIND($J$2,Lines!AB12))=TRUE,"",IF('1000'!AB12="","ERR",""))</f>
        <v/>
      </c>
      <c r="AC12" s="108" t="str">
        <f>IF(ISERROR(FIND($B$2,Lines!AC12))=TRUE,"",IF('750'!AC12="","ERR","")) &amp; IF(ISERROR(FIND($C$2,Lines!AC12))=TRUE,"",IF('500'!AC12="","ERR","")) &amp; IF(ISERROR(FIND($D$2,Lines!AC12))=TRUE,"",IF('330'!AC12="","ERR","")) &amp; IF(ISERROR(FIND($E$2,Lines!AC12))=TRUE,"",IF('220'!AC12="","ERR",""))&amp; IF(ISERROR(FIND($F$2,Lines!AC12))=TRUE,"",IF(AND('500DC'!AC12="",'800DC'!AC12=""),"ERR","")) &amp; IF(ISERROR(FIND($G$2,Lines!AC12))=TRUE,"",IF('1000'!AC12="","ERR","")) &amp; IF(ISERROR(FIND($H$2,Lines!AC12))=TRUE,"",IF('500DC'!AC12="","ERR","")) &amp; IF(ISERROR(FIND($I$2,Lines!AC12))=TRUE,"",IF('800DC'!AC12="","ERR","")) &amp; IF(ISERROR(FIND($J$2,Lines!AC12))=TRUE,"",IF('1000'!AC12="","ERR",""))</f>
        <v/>
      </c>
      <c r="AD12" s="108" t="str">
        <f>IF(ISERROR(FIND($B$2,Lines!AD12))=TRUE,"",IF('750'!AD12="","ERR","")) &amp; IF(ISERROR(FIND($C$2,Lines!AD12))=TRUE,"",IF('500'!AD12="","ERR","")) &amp; IF(ISERROR(FIND($D$2,Lines!AD12))=TRUE,"",IF('330'!AD12="","ERR","")) &amp; IF(ISERROR(FIND($E$2,Lines!AD12))=TRUE,"",IF('220'!AD12="","ERR",""))&amp; IF(ISERROR(FIND($F$2,Lines!AD12))=TRUE,"",IF(AND('500DC'!AD12="",'800DC'!AD12=""),"ERR","")) &amp; IF(ISERROR(FIND($G$2,Lines!AD12))=TRUE,"",IF('1000'!AD12="","ERR","")) &amp; IF(ISERROR(FIND($H$2,Lines!AD12))=TRUE,"",IF('500DC'!AD12="","ERR","")) &amp; IF(ISERROR(FIND($I$2,Lines!AD12))=TRUE,"",IF('800DC'!AD12="","ERR","")) &amp; IF(ISERROR(FIND($J$2,Lines!AD12))=TRUE,"",IF('1000'!AD12="","ERR",""))</f>
        <v/>
      </c>
      <c r="AE12" s="108" t="str">
        <f>IF(ISERROR(FIND($B$2,Lines!AE12))=TRUE,"",IF('750'!AE12="","ERR","")) &amp; IF(ISERROR(FIND($C$2,Lines!AE12))=TRUE,"",IF('500'!AE12="","ERR","")) &amp; IF(ISERROR(FIND($D$2,Lines!AE12))=TRUE,"",IF('330'!AE12="","ERR","")) &amp; IF(ISERROR(FIND($E$2,Lines!AE12))=TRUE,"",IF('220'!AE12="","ERR",""))&amp; IF(ISERROR(FIND($F$2,Lines!AE12))=TRUE,"",IF(AND('500DC'!AE12="",'800DC'!AE12=""),"ERR","")) &amp; IF(ISERROR(FIND($G$2,Lines!AE12))=TRUE,"",IF('1000'!AE12="","ERR","")) &amp; IF(ISERROR(FIND($H$2,Lines!AE12))=TRUE,"",IF('500DC'!AE12="","ERR","")) &amp; IF(ISERROR(FIND($I$2,Lines!AE12))=TRUE,"",IF('800DC'!AE12="","ERR","")) &amp; IF(ISERROR(FIND($J$2,Lines!AE12))=TRUE,"",IF('1000'!AE12="","ERR",""))</f>
        <v/>
      </c>
      <c r="AF12" s="108" t="str">
        <f>IF(ISERROR(FIND($B$2,Lines!AF12))=TRUE,"",IF('750'!AF12="","ERR","")) &amp; IF(ISERROR(FIND($C$2,Lines!AF12))=TRUE,"",IF('500'!AF12="","ERR","")) &amp; IF(ISERROR(FIND($D$2,Lines!AF12))=TRUE,"",IF('330'!AF12="","ERR","")) &amp; IF(ISERROR(FIND($E$2,Lines!AF12))=TRUE,"",IF('220'!AF12="","ERR",""))&amp; IF(ISERROR(FIND($F$2,Lines!AF12))=TRUE,"",IF(AND('500DC'!AF12="",'800DC'!AF12=""),"ERR","")) &amp; IF(ISERROR(FIND($G$2,Lines!AF12))=TRUE,"",IF('1000'!AF12="","ERR","")) &amp; IF(ISERROR(FIND($H$2,Lines!AF12))=TRUE,"",IF('500DC'!AF12="","ERR","")) &amp; IF(ISERROR(FIND($I$2,Lines!AF12))=TRUE,"",IF('800DC'!AF12="","ERR","")) &amp; IF(ISERROR(FIND($J$2,Lines!AF12))=TRUE,"",IF('1000'!AF12="","ERR",""))</f>
        <v/>
      </c>
      <c r="AG12" s="108" t="str">
        <f>IF(ISERROR(FIND($B$2,Lines!AG12))=TRUE,"",IF('750'!AG12="","ERR","")) &amp; IF(ISERROR(FIND($C$2,Lines!AG12))=TRUE,"",IF('500'!AG12="","ERR","")) &amp; IF(ISERROR(FIND($D$2,Lines!AG12))=TRUE,"",IF('330'!AG12="","ERR","")) &amp; IF(ISERROR(FIND($E$2,Lines!AG12))=TRUE,"",IF('220'!AG12="","ERR",""))&amp; IF(ISERROR(FIND($F$2,Lines!AG12))=TRUE,"",IF(AND('500DC'!AG12="",'800DC'!AG12=""),"ERR","")) &amp; IF(ISERROR(FIND($G$2,Lines!AG12))=TRUE,"",IF('1000'!AG12="","ERR","")) &amp; IF(ISERROR(FIND($H$2,Lines!AG12))=TRUE,"",IF('500DC'!AG12="","ERR","")) &amp; IF(ISERROR(FIND($I$2,Lines!AG12))=TRUE,"",IF('800DC'!AG12="","ERR","")) &amp; IF(ISERROR(FIND($J$2,Lines!AG12))=TRUE,"",IF('1000'!AG12="","ERR",""))</f>
        <v/>
      </c>
      <c r="AH12" s="108" t="str">
        <f>IF(ISERROR(FIND($B$2,Lines!AH12))=TRUE,"",IF('750'!AH12="","ERR","")) &amp; IF(ISERROR(FIND($C$2,Lines!AH12))=TRUE,"",IF('500'!AH12="","ERR","")) &amp; IF(ISERROR(FIND($D$2,Lines!AH12))=TRUE,"",IF('330'!AH12="","ERR","")) &amp; IF(ISERROR(FIND($E$2,Lines!AH12))=TRUE,"",IF('220'!AH12="","ERR",""))&amp; IF(ISERROR(FIND($F$2,Lines!AH12))=TRUE,"",IF(AND('500DC'!AH12="",'800DC'!AH12=""),"ERR","")) &amp; IF(ISERROR(FIND($G$2,Lines!AH12))=TRUE,"",IF('1000'!AH12="","ERR","")) &amp; IF(ISERROR(FIND($H$2,Lines!AH12))=TRUE,"",IF('500DC'!AH12="","ERR","")) &amp; IF(ISERROR(FIND($I$2,Lines!AH12))=TRUE,"",IF('800DC'!AH12="","ERR","")) &amp; IF(ISERROR(FIND($J$2,Lines!AH12))=TRUE,"",IF('1000'!AH12="","ERR",""))</f>
        <v/>
      </c>
      <c r="AI12" s="108" t="str">
        <f>IF(ISERROR(FIND($B$2,Lines!AI12))=TRUE,"",IF('750'!AI12="","ERR","")) &amp; IF(ISERROR(FIND($C$2,Lines!AI12))=TRUE,"",IF('500'!AI12="","ERR","")) &amp; IF(ISERROR(FIND($D$2,Lines!AI12))=TRUE,"",IF('330'!AI12="","ERR","")) &amp; IF(ISERROR(FIND($E$2,Lines!AI12))=TRUE,"",IF('220'!AI12="","ERR",""))&amp; IF(ISERROR(FIND($F$2,Lines!AI12))=TRUE,"",IF(AND('500DC'!AI12="",'800DC'!AI12=""),"ERR","")) &amp; IF(ISERROR(FIND($G$2,Lines!AI12))=TRUE,"",IF('1000'!AI12="","ERR","")) &amp; IF(ISERROR(FIND($H$2,Lines!AI12))=TRUE,"",IF('500DC'!AI12="","ERR","")) &amp; IF(ISERROR(FIND($I$2,Lines!AI12))=TRUE,"",IF('800DC'!AI12="","ERR","")) &amp; IF(ISERROR(FIND($J$2,Lines!AI12))=TRUE,"",IF('1000'!AI12="","ERR",""))</f>
        <v/>
      </c>
      <c r="AJ12" s="108" t="str">
        <f>IF(ISERROR(FIND($B$2,Lines!AJ12))=TRUE,"",IF('750'!AJ12="","ERR","")) &amp; IF(ISERROR(FIND($C$2,Lines!AJ12))=TRUE,"",IF('500'!AJ12="","ERR","")) &amp; IF(ISERROR(FIND($D$2,Lines!AJ12))=TRUE,"",IF('330'!AJ12="","ERR","")) &amp; IF(ISERROR(FIND($E$2,Lines!AJ12))=TRUE,"",IF('220'!AJ12="","ERR",""))&amp; IF(ISERROR(FIND($F$2,Lines!AJ12))=TRUE,"",IF(AND('500DC'!AJ12="",'800DC'!AJ12=""),"ERR","")) &amp; IF(ISERROR(FIND($G$2,Lines!AJ12))=TRUE,"",IF('1000'!AJ12="","ERR","")) &amp; IF(ISERROR(FIND($H$2,Lines!AJ12))=TRUE,"",IF('500DC'!AJ12="","ERR","")) &amp; IF(ISERROR(FIND($I$2,Lines!AJ12))=TRUE,"",IF('800DC'!AJ12="","ERR","")) &amp; IF(ISERROR(FIND($J$2,Lines!AJ12))=TRUE,"",IF('1000'!AJ12="","ERR",""))</f>
        <v/>
      </c>
      <c r="AK12" s="108" t="str">
        <f>IF(ISERROR(FIND($B$2,Lines!AK12))=TRUE,"",IF('750'!AK12="","ERR","")) &amp; IF(ISERROR(FIND($C$2,Lines!AK12))=TRUE,"",IF('500'!AK12="","ERR","")) &amp; IF(ISERROR(FIND($D$2,Lines!AK12))=TRUE,"",IF('330'!AK12="","ERR","")) &amp; IF(ISERROR(FIND($E$2,Lines!AK12))=TRUE,"",IF('220'!AK12="","ERR",""))&amp; IF(ISERROR(FIND($F$2,Lines!AK12))=TRUE,"",IF(AND('500DC'!AK12="",'800DC'!AK12=""),"ERR","")) &amp; IF(ISERROR(FIND($G$2,Lines!AK12))=TRUE,"",IF('1000'!AK12="","ERR","")) &amp; IF(ISERROR(FIND($H$2,Lines!AK12))=TRUE,"",IF('500DC'!AK12="","ERR","")) &amp; IF(ISERROR(FIND($I$2,Lines!AK12))=TRUE,"",IF('800DC'!AK12="","ERR","")) &amp; IF(ISERROR(FIND($J$2,Lines!AK12))=TRUE,"",IF('1000'!AK12="","ERR",""))</f>
        <v/>
      </c>
      <c r="AL12" s="108" t="str">
        <f>IF(ISERROR(FIND($B$2,Lines!AL12))=TRUE,"",IF('750'!AL12="","ERR","")) &amp; IF(ISERROR(FIND($C$2,Lines!AL12))=TRUE,"",IF('500'!AL12="","ERR","")) &amp; IF(ISERROR(FIND($D$2,Lines!AL12))=TRUE,"",IF('330'!AL12="","ERR","")) &amp; IF(ISERROR(FIND($E$2,Lines!AL12))=TRUE,"",IF('220'!AL12="","ERR",""))&amp; IF(ISERROR(FIND($F$2,Lines!AL12))=TRUE,"",IF(AND('500DC'!AL12="",'800DC'!AL12=""),"ERR","")) &amp; IF(ISERROR(FIND($G$2,Lines!AL12))=TRUE,"",IF('1000'!AL12="","ERR","")) &amp; IF(ISERROR(FIND($H$2,Lines!AL12))=TRUE,"",IF('500DC'!AL12="","ERR","")) &amp; IF(ISERROR(FIND($I$2,Lines!AL12))=TRUE,"",IF('800DC'!AL12="","ERR","")) &amp; IF(ISERROR(FIND($J$2,Lines!AL12))=TRUE,"",IF('1000'!AL12="","ERR",""))</f>
        <v/>
      </c>
      <c r="AM12" s="108" t="str">
        <f>IF(ISERROR(FIND($B$2,Lines!AM12))=TRUE,"",IF('750'!AM12="","ERR","")) &amp; IF(ISERROR(FIND($C$2,Lines!AM12))=TRUE,"",IF('500'!AM12="","ERR","")) &amp; IF(ISERROR(FIND($D$2,Lines!AM12))=TRUE,"",IF('330'!AM12="","ERR","")) &amp; IF(ISERROR(FIND($E$2,Lines!AM12))=TRUE,"",IF('220'!AM12="","ERR",""))&amp; IF(ISERROR(FIND($F$2,Lines!AM12))=TRUE,"",IF(AND('500DC'!AM12="",'800DC'!AM12=""),"ERR","")) &amp; IF(ISERROR(FIND($G$2,Lines!AM12))=TRUE,"",IF('1000'!AM12="","ERR","")) &amp; IF(ISERROR(FIND($H$2,Lines!AM12))=TRUE,"",IF('500DC'!AM12="","ERR","")) &amp; IF(ISERROR(FIND($I$2,Lines!AM12))=TRUE,"",IF('800DC'!AM12="","ERR","")) &amp; IF(ISERROR(FIND($J$2,Lines!AM12))=TRUE,"",IF('1000'!AM12="","ERR",""))</f>
        <v/>
      </c>
      <c r="AN12" s="108" t="str">
        <f>IF(ISERROR(FIND($B$2,Lines!AN12))=TRUE,"",IF('750'!AN12="","ERR","")) &amp; IF(ISERROR(FIND($C$2,Lines!AN12))=TRUE,"",IF('500'!AN12="","ERR","")) &amp; IF(ISERROR(FIND($D$2,Lines!AN12))=TRUE,"",IF('330'!AN12="","ERR","")) &amp; IF(ISERROR(FIND($E$2,Lines!AN12))=TRUE,"",IF('220'!AN12="","ERR",""))&amp; IF(ISERROR(FIND($F$2,Lines!AN12))=TRUE,"",IF(AND('500DC'!AN12="",'800DC'!AN12=""),"ERR","")) &amp; IF(ISERROR(FIND($G$2,Lines!AN12))=TRUE,"",IF('1000'!AN12="","ERR","")) &amp; IF(ISERROR(FIND($H$2,Lines!AN12))=TRUE,"",IF('500DC'!AN12="","ERR","")) &amp; IF(ISERROR(FIND($I$2,Lines!AN12))=TRUE,"",IF('800DC'!AN12="","ERR","")) &amp; IF(ISERROR(FIND($J$2,Lines!AN12))=TRUE,"",IF('1000'!AN12="","ERR",""))</f>
        <v/>
      </c>
      <c r="AO12" s="108" t="str">
        <f>IF(ISERROR(FIND($B$2,Lines!AO12))=TRUE,"",IF('750'!AO12="","ERR","")) &amp; IF(ISERROR(FIND($C$2,Lines!AO12))=TRUE,"",IF('500'!AO12="","ERR","")) &amp; IF(ISERROR(FIND($D$2,Lines!AO12))=TRUE,"",IF('330'!AO12="","ERR","")) &amp; IF(ISERROR(FIND($E$2,Lines!AO12))=TRUE,"",IF('220'!AO12="","ERR",""))&amp; IF(ISERROR(FIND($F$2,Lines!AO12))=TRUE,"",IF(AND('500DC'!AO12="",'800DC'!AO12=""),"ERR","")) &amp; IF(ISERROR(FIND($G$2,Lines!AO12))=TRUE,"",IF('1000'!AO12="","ERR","")) &amp; IF(ISERROR(FIND($H$2,Lines!AO12))=TRUE,"",IF('500DC'!AO12="","ERR","")) &amp; IF(ISERROR(FIND($I$2,Lines!AO12))=TRUE,"",IF('800DC'!AO12="","ERR","")) &amp; IF(ISERROR(FIND($J$2,Lines!AO12))=TRUE,"",IF('1000'!AO12="","ERR",""))</f>
        <v/>
      </c>
      <c r="AP12" s="108" t="str">
        <f>IF(ISERROR(FIND($B$2,Lines!AP12))=TRUE,"",IF('750'!AP12="","ERR","")) &amp; IF(ISERROR(FIND($C$2,Lines!AP12))=TRUE,"",IF('500'!AP12="","ERR","")) &amp; IF(ISERROR(FIND($D$2,Lines!AP12))=TRUE,"",IF('330'!AP12="","ERR","")) &amp; IF(ISERROR(FIND($E$2,Lines!AP12))=TRUE,"",IF('220'!AP12="","ERR",""))&amp; IF(ISERROR(FIND($F$2,Lines!AP12))=TRUE,"",IF(AND('500DC'!AP12="",'800DC'!AP12=""),"ERR","")) &amp; IF(ISERROR(FIND($G$2,Lines!AP12))=TRUE,"",IF('1000'!AP12="","ERR","")) &amp; IF(ISERROR(FIND($H$2,Lines!AP12))=TRUE,"",IF('500DC'!AP12="","ERR","")) &amp; IF(ISERROR(FIND($I$2,Lines!AP12))=TRUE,"",IF('800DC'!AP12="","ERR","")) &amp; IF(ISERROR(FIND($J$2,Lines!AP12))=TRUE,"",IF('1000'!AP12="","ERR",""))</f>
        <v/>
      </c>
      <c r="AQ12" s="108" t="str">
        <f>IF(ISERROR(FIND($B$2,Lines!AQ12))=TRUE,"",IF('750'!AQ12="","ERR","")) &amp; IF(ISERROR(FIND($C$2,Lines!AQ12))=TRUE,"",IF('500'!AQ12="","ERR","")) &amp; IF(ISERROR(FIND($D$2,Lines!AQ12))=TRUE,"",IF('330'!AQ12="","ERR","")) &amp; IF(ISERROR(FIND($E$2,Lines!AQ12))=TRUE,"",IF('220'!AQ12="","ERR",""))&amp; IF(ISERROR(FIND($F$2,Lines!AQ12))=TRUE,"",IF(AND('500DC'!AQ12="",'800DC'!AQ12=""),"ERR","")) &amp; IF(ISERROR(FIND($G$2,Lines!AQ12))=TRUE,"",IF('1000'!AQ12="","ERR","")) &amp; IF(ISERROR(FIND($H$2,Lines!AQ12))=TRUE,"",IF('500DC'!AQ12="","ERR","")) &amp; IF(ISERROR(FIND($I$2,Lines!AQ12))=TRUE,"",IF('800DC'!AQ12="","ERR","")) &amp; IF(ISERROR(FIND($J$2,Lines!AQ12))=TRUE,"",IF('1000'!AQ12="","ERR",""))</f>
        <v/>
      </c>
      <c r="AR12" s="108" t="str">
        <f>IF(ISERROR(FIND($B$2,Lines!AR12))=TRUE,"",IF('750'!AR12="","ERR","")) &amp; IF(ISERROR(FIND($C$2,Lines!AR12))=TRUE,"",IF('500'!AR12="","ERR","")) &amp; IF(ISERROR(FIND($D$2,Lines!AR12))=TRUE,"",IF('330'!AR12="","ERR","")) &amp; IF(ISERROR(FIND($E$2,Lines!AR12))=TRUE,"",IF('220'!AR12="","ERR",""))&amp; IF(ISERROR(FIND($F$2,Lines!AR12))=TRUE,"",IF(AND('500DC'!AR12="",'800DC'!AR12=""),"ERR","")) &amp; IF(ISERROR(FIND($G$2,Lines!AR12))=TRUE,"",IF('1000'!AR12="","ERR","")) &amp; IF(ISERROR(FIND($H$2,Lines!AR12))=TRUE,"",IF('500DC'!AR12="","ERR","")) &amp; IF(ISERROR(FIND($I$2,Lines!AR12))=TRUE,"",IF('800DC'!AR12="","ERR","")) &amp; IF(ISERROR(FIND($J$2,Lines!AR12))=TRUE,"",IF('1000'!AR12="","ERR",""))</f>
        <v/>
      </c>
      <c r="AS12" s="108" t="str">
        <f>IF(ISERROR(FIND($B$2,Lines!AS12))=TRUE,"",IF('750'!AS12="","ERR","")) &amp; IF(ISERROR(FIND($C$2,Lines!AS12))=TRUE,"",IF('500'!AS12="","ERR","")) &amp; IF(ISERROR(FIND($D$2,Lines!AS12))=TRUE,"",IF('330'!AS12="","ERR","")) &amp; IF(ISERROR(FIND($E$2,Lines!AS12))=TRUE,"",IF('220'!AS12="","ERR",""))&amp; IF(ISERROR(FIND($F$2,Lines!AS12))=TRUE,"",IF(AND('500DC'!AS12="",'800DC'!AS12=""),"ERR","")) &amp; IF(ISERROR(FIND($G$2,Lines!AS12))=TRUE,"",IF('1000'!AS12="","ERR","")) &amp; IF(ISERROR(FIND($H$2,Lines!AS12))=TRUE,"",IF('500DC'!AS12="","ERR","")) &amp; IF(ISERROR(FIND($I$2,Lines!AS12))=TRUE,"",IF('800DC'!AS12="","ERR","")) &amp; IF(ISERROR(FIND($J$2,Lines!AS12))=TRUE,"",IF('1000'!AS12="","ERR",""))</f>
        <v/>
      </c>
      <c r="AT12" s="108" t="str">
        <f>IF(ISERROR(FIND($B$2,Lines!AT12))=TRUE,"",IF('750'!AT12="","ERR","")) &amp; IF(ISERROR(FIND($C$2,Lines!AT12))=TRUE,"",IF('500'!AT12="","ERR","")) &amp; IF(ISERROR(FIND($D$2,Lines!AT12))=TRUE,"",IF('330'!AT12="","ERR","")) &amp; IF(ISERROR(FIND($E$2,Lines!AT12))=TRUE,"",IF('220'!AT12="","ERR",""))&amp; IF(ISERROR(FIND($F$2,Lines!AT12))=TRUE,"",IF(AND('500DC'!AT12="",'800DC'!AT12=""),"ERR","")) &amp; IF(ISERROR(FIND($G$2,Lines!AT12))=TRUE,"",IF('1000'!AT12="","ERR","")) &amp; IF(ISERROR(FIND($H$2,Lines!AT12))=TRUE,"",IF('500DC'!AT12="","ERR","")) &amp; IF(ISERROR(FIND($I$2,Lines!AT12))=TRUE,"",IF('800DC'!AT12="","ERR","")) &amp; IF(ISERROR(FIND($J$2,Lines!AT12))=TRUE,"",IF('1000'!AT12="","ERR",""))</f>
        <v/>
      </c>
    </row>
    <row r="13" spans="1:46" ht="20.25" customHeight="1">
      <c r="A13" s="2" t="s">
        <v>63</v>
      </c>
      <c r="B13" s="106" t="str">
        <f>IF(ISERROR(FIND($B$2,Lines!B13))=TRUE,"",IF('750'!B13="","ERR","")) &amp; IF(ISERROR(FIND($C$2,Lines!B13))=TRUE,"",IF('500'!B13="","ERR","")) &amp; IF(ISERROR(FIND($D$2,Lines!B13))=TRUE,"",IF('330'!B13="","ERR","")) &amp; IF(ISERROR(FIND($E$2,Lines!B13))=TRUE,"",IF('220'!B13="","ERR",""))&amp; IF(ISERROR(FIND($F$2,Lines!B13))=TRUE,"",IF(AND('500DC'!B13="",'800DC'!B13=""),"ERR","")) &amp; IF(ISERROR(FIND($G$2,Lines!B13))=TRUE,"",IF('1000'!B13="","ERR","")) &amp; IF(ISERROR(FIND($H$2,Lines!B13))=TRUE,"",IF('500DC'!B13="","ERR","")) &amp; IF(ISERROR(FIND($I$2,Lines!B13))=TRUE,"",IF('800DC'!B13="","ERR","")) &amp; IF(ISERROR(FIND($J$2,Lines!B13))=TRUE,"",IF('1000'!B13="","ERR",""))</f>
        <v/>
      </c>
      <c r="C13" s="106" t="str">
        <f>IF(ISERROR(FIND($B$2,Lines!C13))=TRUE,"",IF('750'!C13="","ERR","")) &amp; IF(ISERROR(FIND($C$2,Lines!C13))=TRUE,"",IF('500'!C13="","ERR","")) &amp; IF(ISERROR(FIND($D$2,Lines!C13))=TRUE,"",IF('330'!C13="","ERR","")) &amp; IF(ISERROR(FIND($E$2,Lines!C13))=TRUE,"",IF('220'!C13="","ERR",""))&amp; IF(ISERROR(FIND($F$2,Lines!C13))=TRUE,"",IF(AND('500DC'!C13="",'800DC'!C13=""),"ERR","")) &amp; IF(ISERROR(FIND($G$2,Lines!C13))=TRUE,"",IF('1000'!C13="","ERR","")) &amp; IF(ISERROR(FIND($H$2,Lines!C13))=TRUE,"",IF('500DC'!C13="","ERR","")) &amp; IF(ISERROR(FIND($I$2,Lines!C13))=TRUE,"",IF('800DC'!C13="","ERR","")) &amp; IF(ISERROR(FIND($J$2,Lines!C13))=TRUE,"",IF('1000'!C13="","ERR",""))</f>
        <v/>
      </c>
      <c r="D13" s="106" t="str">
        <f>IF(ISERROR(FIND($B$2,Lines!D13))=TRUE,"",IF('750'!D13="","ERR","")) &amp; IF(ISERROR(FIND($C$2,Lines!D13))=TRUE,"",IF('500'!D13="","ERR","")) &amp; IF(ISERROR(FIND($D$2,Lines!D13))=TRUE,"",IF('330'!D13="","ERR","")) &amp; IF(ISERROR(FIND($E$2,Lines!D13))=TRUE,"",IF('220'!D13="","ERR",""))&amp; IF(ISERROR(FIND($F$2,Lines!D13))=TRUE,"",IF(AND('500DC'!D13="",'800DC'!D13=""),"ERR","")) &amp; IF(ISERROR(FIND($G$2,Lines!D13))=TRUE,"",IF('1000'!D13="","ERR","")) &amp; IF(ISERROR(FIND($H$2,Lines!D13))=TRUE,"",IF('500DC'!D13="","ERR","")) &amp; IF(ISERROR(FIND($I$2,Lines!D13))=TRUE,"",IF('800DC'!D13="","ERR","")) &amp; IF(ISERROR(FIND($J$2,Lines!D13))=TRUE,"",IF('1000'!D13="","ERR",""))</f>
        <v/>
      </c>
      <c r="E13" s="106" t="str">
        <f>IF(ISERROR(FIND($B$2,Lines!E13))=TRUE,"",IF('750'!E13="","ERR","")) &amp; IF(ISERROR(FIND($C$2,Lines!E13))=TRUE,"",IF('500'!E13="","ERR","")) &amp; IF(ISERROR(FIND($D$2,Lines!E13))=TRUE,"",IF('330'!E13="","ERR","")) &amp; IF(ISERROR(FIND($E$2,Lines!E13))=TRUE,"",IF('220'!E13="","ERR",""))&amp; IF(ISERROR(FIND($F$2,Lines!E13))=TRUE,"",IF(AND('500DC'!E13="",'800DC'!E13=""),"ERR","")) &amp; IF(ISERROR(FIND($G$2,Lines!E13))=TRUE,"",IF('1000'!E13="","ERR","")) &amp; IF(ISERROR(FIND($H$2,Lines!E13))=TRUE,"",IF('500DC'!E13="","ERR","")) &amp; IF(ISERROR(FIND($I$2,Lines!E13))=TRUE,"",IF('800DC'!E13="","ERR","")) &amp; IF(ISERROR(FIND($J$2,Lines!E13))=TRUE,"",IF('1000'!E13="","ERR",""))</f>
        <v/>
      </c>
      <c r="F13" s="106" t="str">
        <f>IF(ISERROR(FIND($B$2,Lines!F13))=TRUE,"",IF('750'!F13="","ERR","")) &amp; IF(ISERROR(FIND($C$2,Lines!F13))=TRUE,"",IF('500'!F13="","ERR","")) &amp; IF(ISERROR(FIND($D$2,Lines!F13))=TRUE,"",IF('330'!F13="","ERR","")) &amp; IF(ISERROR(FIND($E$2,Lines!F13))=TRUE,"",IF('220'!F13="","ERR",""))&amp; IF(ISERROR(FIND($F$2,Lines!F13))=TRUE,"",IF(AND('500DC'!F13="",'800DC'!F13=""),"ERR","")) &amp; IF(ISERROR(FIND($G$2,Lines!F13))=TRUE,"",IF('1000'!F13="","ERR","")) &amp; IF(ISERROR(FIND($H$2,Lines!F13))=TRUE,"",IF('500DC'!F13="","ERR","")) &amp; IF(ISERROR(FIND($I$2,Lines!F13))=TRUE,"",IF('800DC'!F13="","ERR","")) &amp; IF(ISERROR(FIND($J$2,Lines!F13))=TRUE,"",IF('1000'!F13="","ERR",""))</f>
        <v/>
      </c>
      <c r="G13" s="106" t="str">
        <f>IF(ISERROR(FIND($B$2,Lines!G13))=TRUE,"",IF('750'!G13="","ERR","")) &amp; IF(ISERROR(FIND($C$2,Lines!G13))=TRUE,"",IF('500'!G13="","ERR","")) &amp; IF(ISERROR(FIND($D$2,Lines!G13))=TRUE,"",IF('330'!G13="","ERR","")) &amp; IF(ISERROR(FIND($E$2,Lines!G13))=TRUE,"",IF('220'!G13="","ERR",""))&amp; IF(ISERROR(FIND($F$2,Lines!G13))=TRUE,"",IF(AND('500DC'!G13="",'800DC'!G13=""),"ERR","")) &amp; IF(ISERROR(FIND($G$2,Lines!G13))=TRUE,"",IF('1000'!G13="","ERR","")) &amp; IF(ISERROR(FIND($H$2,Lines!G13))=TRUE,"",IF('500DC'!G13="","ERR","")) &amp; IF(ISERROR(FIND($I$2,Lines!G13))=TRUE,"",IF('800DC'!G13="","ERR","")) &amp; IF(ISERROR(FIND($J$2,Lines!G13))=TRUE,"",IF('1000'!G13="","ERR",""))</f>
        <v/>
      </c>
      <c r="H13" s="106" t="str">
        <f>IF(ISERROR(FIND($B$2,Lines!H13))=TRUE,"",IF('750'!H13="","ERR","")) &amp; IF(ISERROR(FIND($C$2,Lines!H13))=TRUE,"",IF('500'!H13="","ERR","")) &amp; IF(ISERROR(FIND($D$2,Lines!H13))=TRUE,"",IF('330'!H13="","ERR","")) &amp; IF(ISERROR(FIND($E$2,Lines!H13))=TRUE,"",IF('220'!H13="","ERR",""))&amp; IF(ISERROR(FIND($F$2,Lines!H13))=TRUE,"",IF(AND('500DC'!H13="",'800DC'!H13=""),"ERR","")) &amp; IF(ISERROR(FIND($G$2,Lines!H13))=TRUE,"",IF('1000'!H13="","ERR","")) &amp; IF(ISERROR(FIND($H$2,Lines!H13))=TRUE,"",IF('500DC'!H13="","ERR","")) &amp; IF(ISERROR(FIND($I$2,Lines!H13))=TRUE,"",IF('800DC'!H13="","ERR","")) &amp; IF(ISERROR(FIND($J$2,Lines!H13))=TRUE,"",IF('1000'!H13="","ERR",""))</f>
        <v/>
      </c>
      <c r="I13" s="106" t="str">
        <f>IF(ISERROR(FIND($B$2,Lines!I13))=TRUE,"",IF('750'!I13="","ERR","")) &amp; IF(ISERROR(FIND($C$2,Lines!I13))=TRUE,"",IF('500'!I13="","ERR","")) &amp; IF(ISERROR(FIND($D$2,Lines!I13))=TRUE,"",IF('330'!I13="","ERR","")) &amp; IF(ISERROR(FIND($E$2,Lines!I13))=TRUE,"",IF('220'!I13="","ERR",""))&amp; IF(ISERROR(FIND($F$2,Lines!I13))=TRUE,"",IF(AND('500DC'!I13="",'800DC'!I13=""),"ERR","")) &amp; IF(ISERROR(FIND($G$2,Lines!I13))=TRUE,"",IF('1000'!I13="","ERR","")) &amp; IF(ISERROR(FIND($H$2,Lines!I13))=TRUE,"",IF('500DC'!I13="","ERR","")) &amp; IF(ISERROR(FIND($I$2,Lines!I13))=TRUE,"",IF('800DC'!I13="","ERR","")) &amp; IF(ISERROR(FIND($J$2,Lines!I13))=TRUE,"",IF('1000'!I13="","ERR",""))</f>
        <v/>
      </c>
      <c r="J13" s="106" t="str">
        <f>IF(ISERROR(FIND($B$2,Lines!J13))=TRUE,"",IF('750'!J13="","ERR","")) &amp; IF(ISERROR(FIND($C$2,Lines!J13))=TRUE,"",IF('500'!J13="","ERR","")) &amp; IF(ISERROR(FIND($D$2,Lines!J13))=TRUE,"",IF('330'!J13="","ERR","")) &amp; IF(ISERROR(FIND($E$2,Lines!J13))=TRUE,"",IF('220'!J13="","ERR",""))&amp; IF(ISERROR(FIND($F$2,Lines!J13))=TRUE,"",IF(AND('500DC'!J13="",'800DC'!J13=""),"ERR","")) &amp; IF(ISERROR(FIND($G$2,Lines!J13))=TRUE,"",IF('1000'!J13="","ERR","")) &amp; IF(ISERROR(FIND($H$2,Lines!J13))=TRUE,"",IF('500DC'!J13="","ERR","")) &amp; IF(ISERROR(FIND($I$2,Lines!J13))=TRUE,"",IF('800DC'!J13="","ERR","")) &amp; IF(ISERROR(FIND($J$2,Lines!J13))=TRUE,"",IF('1000'!J13="","ERR",""))</f>
        <v/>
      </c>
      <c r="K13" s="105" t="str">
        <f>IF(ISERROR(FIND($B$2,Lines!K13))=TRUE,"",IF('750'!K13="","ERR","")) &amp; IF(ISERROR(FIND($C$2,Lines!K13))=TRUE,"",IF('500'!K13="","ERR","")) &amp; IF(ISERROR(FIND($D$2,Lines!K13))=TRUE,"",IF('330'!K13="","ERR","")) &amp; IF(ISERROR(FIND($E$2,Lines!K13))=TRUE,"",IF('220'!K13="","ERR",""))&amp; IF(ISERROR(FIND($F$2,Lines!K13))=TRUE,"",IF(AND('500DC'!K13="",'800DC'!K13=""),"ERR","")) &amp; IF(ISERROR(FIND($G$2,Lines!K13))=TRUE,"",IF('1000'!K13="","ERR","")) &amp; IF(ISERROR(FIND($H$2,Lines!K13))=TRUE,"",IF('500DC'!K13="","ERR","")) &amp; IF(ISERROR(FIND($I$2,Lines!K13))=TRUE,"",IF('800DC'!K13="","ERR","")) &amp; IF(ISERROR(FIND($J$2,Lines!K13))=TRUE,"",IF('1000'!K13="","ERR",""))</f>
        <v/>
      </c>
      <c r="L13" s="106" t="str">
        <f>IF(ISERROR(FIND($B$2,Lines!L13))=TRUE,"",IF('750'!L13="","ERR","")) &amp; IF(ISERROR(FIND($C$2,Lines!L13))=TRUE,"",IF('500'!L13="","ERR","")) &amp; IF(ISERROR(FIND($D$2,Lines!L13))=TRUE,"",IF('330'!L13="","ERR","")) &amp; IF(ISERROR(FIND($E$2,Lines!L13))=TRUE,"",IF('220'!L13="","ERR",""))&amp; IF(ISERROR(FIND($F$2,Lines!L13))=TRUE,"",IF(AND('500DC'!L13="",'800DC'!L13=""),"ERR","")) &amp; IF(ISERROR(FIND($G$2,Lines!L13))=TRUE,"",IF('1000'!L13="","ERR","")) &amp; IF(ISERROR(FIND($H$2,Lines!L13))=TRUE,"",IF('500DC'!L13="","ERR","")) &amp; IF(ISERROR(FIND($I$2,Lines!L13))=TRUE,"",IF('800DC'!L13="","ERR","")) &amp; IF(ISERROR(FIND($J$2,Lines!L13))=TRUE,"",IF('1000'!L13="","ERR",""))</f>
        <v/>
      </c>
      <c r="M13" s="107" t="str">
        <f>IF(ISERROR(FIND($B$2,Lines!M13))=TRUE,"",IF('750'!M13="","ERR","")) &amp; IF(ISERROR(FIND($C$2,Lines!M13))=TRUE,"",IF('500'!M13="","ERR","")) &amp; IF(ISERROR(FIND($D$2,Lines!M13))=TRUE,"",IF('330'!M13="","ERR","")) &amp; IF(ISERROR(FIND($E$2,Lines!M13))=TRUE,"",IF('220'!M13="","ERR",""))&amp; IF(ISERROR(FIND($F$2,Lines!M13))=TRUE,"",IF(AND('500DC'!M13="",'800DC'!M13=""),"ERR","")) &amp; IF(ISERROR(FIND($G$2,Lines!M13))=TRUE,"",IF('1000'!M13="","ERR","")) &amp; IF(ISERROR(FIND($H$2,Lines!M13))=TRUE,"",IF('500DC'!M13="","ERR","")) &amp; IF(ISERROR(FIND($I$2,Lines!M13))=TRUE,"",IF('800DC'!M13="","ERR","")) &amp; IF(ISERROR(FIND($J$2,Lines!M13))=TRUE,"",IF('1000'!M13="","ERR",""))</f>
        <v/>
      </c>
      <c r="N13" s="108" t="str">
        <f>IF(ISERROR(FIND($B$2,Lines!N13))=TRUE,"",IF('750'!N13="","ERR","")) &amp; IF(ISERROR(FIND($C$2,Lines!N13))=TRUE,"",IF('500'!N13="","ERR","")) &amp; IF(ISERROR(FIND($D$2,Lines!N13))=TRUE,"",IF('330'!N13="","ERR","")) &amp; IF(ISERROR(FIND($E$2,Lines!N13))=TRUE,"",IF('220'!N13="","ERR",""))&amp; IF(ISERROR(FIND($F$2,Lines!N13))=TRUE,"",IF(AND('500DC'!N13="",'800DC'!N13=""),"ERR","")) &amp; IF(ISERROR(FIND($G$2,Lines!N13))=TRUE,"",IF('1000'!N13="","ERR","")) &amp; IF(ISERROR(FIND($H$2,Lines!N13))=TRUE,"",IF('500DC'!N13="","ERR","")) &amp; IF(ISERROR(FIND($I$2,Lines!N13))=TRUE,"",IF('800DC'!N13="","ERR","")) &amp; IF(ISERROR(FIND($J$2,Lines!N13))=TRUE,"",IF('1000'!N13="","ERR",""))</f>
        <v/>
      </c>
      <c r="O13" s="108" t="str">
        <f>IF(ISERROR(FIND($B$2,Lines!O13))=TRUE,"",IF('750'!O13="","ERR","")) &amp; IF(ISERROR(FIND($C$2,Lines!O13))=TRUE,"",IF('500'!O13="","ERR","")) &amp; IF(ISERROR(FIND($D$2,Lines!O13))=TRUE,"",IF('330'!O13="","ERR","")) &amp; IF(ISERROR(FIND($E$2,Lines!O13))=TRUE,"",IF('220'!O13="","ERR",""))&amp; IF(ISERROR(FIND($F$2,Lines!O13))=TRUE,"",IF(AND('500DC'!O13="",'800DC'!O13=""),"ERR","")) &amp; IF(ISERROR(FIND($G$2,Lines!O13))=TRUE,"",IF('1000'!O13="","ERR","")) &amp; IF(ISERROR(FIND($H$2,Lines!O13))=TRUE,"",IF('500DC'!O13="","ERR","")) &amp; IF(ISERROR(FIND($I$2,Lines!O13))=TRUE,"",IF('800DC'!O13="","ERR","")) &amp; IF(ISERROR(FIND($J$2,Lines!O13))=TRUE,"",IF('1000'!O13="","ERR",""))</f>
        <v/>
      </c>
      <c r="P13" s="108" t="str">
        <f>IF(ISERROR(FIND($B$2,Lines!P13))=TRUE,"",IF('750'!P13="","ERR","")) &amp; IF(ISERROR(FIND($C$2,Lines!P13))=TRUE,"",IF('500'!P13="","ERR","")) &amp; IF(ISERROR(FIND($D$2,Lines!P13))=TRUE,"",IF('330'!P13="","ERR","")) &amp; IF(ISERROR(FIND($E$2,Lines!P13))=TRUE,"",IF('220'!P13="","ERR",""))&amp; IF(ISERROR(FIND($F$2,Lines!P13))=TRUE,"",IF(AND('500DC'!P13="",'800DC'!P13=""),"ERR","")) &amp; IF(ISERROR(FIND($G$2,Lines!P13))=TRUE,"",IF('1000'!P13="","ERR","")) &amp; IF(ISERROR(FIND($H$2,Lines!P13))=TRUE,"",IF('500DC'!P13="","ERR","")) &amp; IF(ISERROR(FIND($I$2,Lines!P13))=TRUE,"",IF('800DC'!P13="","ERR","")) &amp; IF(ISERROR(FIND($J$2,Lines!P13))=TRUE,"",IF('1000'!P13="","ERR",""))</f>
        <v/>
      </c>
      <c r="Q13" s="108" t="str">
        <f>IF(ISERROR(FIND($B$2,Lines!Q13))=TRUE,"",IF('750'!Q13="","ERR","")) &amp; IF(ISERROR(FIND($C$2,Lines!Q13))=TRUE,"",IF('500'!Q13="","ERR","")) &amp; IF(ISERROR(FIND($D$2,Lines!Q13))=TRUE,"",IF('330'!Q13="","ERR","")) &amp; IF(ISERROR(FIND($E$2,Lines!Q13))=TRUE,"",IF('220'!Q13="","ERR",""))&amp; IF(ISERROR(FIND($F$2,Lines!Q13))=TRUE,"",IF(AND('500DC'!Q13="",'800DC'!Q13=""),"ERR","")) &amp; IF(ISERROR(FIND($G$2,Lines!Q13))=TRUE,"",IF('1000'!Q13="","ERR","")) &amp; IF(ISERROR(FIND($H$2,Lines!Q13))=TRUE,"",IF('500DC'!Q13="","ERR","")) &amp; IF(ISERROR(FIND($I$2,Lines!Q13))=TRUE,"",IF('800DC'!Q13="","ERR","")) &amp; IF(ISERROR(FIND($J$2,Lines!Q13))=TRUE,"",IF('1000'!Q13="","ERR",""))</f>
        <v/>
      </c>
      <c r="R13" s="108" t="str">
        <f>IF(ISERROR(FIND($B$2,Lines!R13))=TRUE,"",IF('750'!R13="","ERR","")) &amp; IF(ISERROR(FIND($C$2,Lines!R13))=TRUE,"",IF('500'!R13="","ERR","")) &amp; IF(ISERROR(FIND($D$2,Lines!R13))=TRUE,"",IF('330'!R13="","ERR","")) &amp; IF(ISERROR(FIND($E$2,Lines!R13))=TRUE,"",IF('220'!R13="","ERR",""))&amp; IF(ISERROR(FIND($F$2,Lines!R13))=TRUE,"",IF(AND('500DC'!R13="",'800DC'!R13=""),"ERR","")) &amp; IF(ISERROR(FIND($G$2,Lines!R13))=TRUE,"",IF('1000'!R13="","ERR","")) &amp; IF(ISERROR(FIND($H$2,Lines!R13))=TRUE,"",IF('500DC'!R13="","ERR","")) &amp; IF(ISERROR(FIND($I$2,Lines!R13))=TRUE,"",IF('800DC'!R13="","ERR","")) &amp; IF(ISERROR(FIND($J$2,Lines!R13))=TRUE,"",IF('1000'!R13="","ERR",""))</f>
        <v/>
      </c>
      <c r="S13" s="108" t="str">
        <f>IF(ISERROR(FIND($B$2,Lines!S13))=TRUE,"",IF('750'!S13="","ERR","")) &amp; IF(ISERROR(FIND($C$2,Lines!S13))=TRUE,"",IF('500'!S13="","ERR","")) &amp; IF(ISERROR(FIND($D$2,Lines!S13))=TRUE,"",IF('330'!S13="","ERR","")) &amp; IF(ISERROR(FIND($E$2,Lines!S13))=TRUE,"",IF('220'!S13="","ERR",""))&amp; IF(ISERROR(FIND($F$2,Lines!S13))=TRUE,"",IF(AND('500DC'!S13="",'800DC'!S13=""),"ERR","")) &amp; IF(ISERROR(FIND($G$2,Lines!S13))=TRUE,"",IF('1000'!S13="","ERR","")) &amp; IF(ISERROR(FIND($H$2,Lines!S13))=TRUE,"",IF('500DC'!S13="","ERR","")) &amp; IF(ISERROR(FIND($I$2,Lines!S13))=TRUE,"",IF('800DC'!S13="","ERR","")) &amp; IF(ISERROR(FIND($J$2,Lines!S13))=TRUE,"",IF('1000'!S13="","ERR",""))</f>
        <v/>
      </c>
      <c r="T13" s="108" t="str">
        <f>IF(ISERROR(FIND($B$2,Lines!T13))=TRUE,"",IF('750'!T13="","ERR","")) &amp; IF(ISERROR(FIND($C$2,Lines!T13))=TRUE,"",IF('500'!T13="","ERR","")) &amp; IF(ISERROR(FIND($D$2,Lines!T13))=TRUE,"",IF('330'!T13="","ERR","")) &amp; IF(ISERROR(FIND($E$2,Lines!T13))=TRUE,"",IF('220'!T13="","ERR",""))&amp; IF(ISERROR(FIND($F$2,Lines!T13))=TRUE,"",IF(AND('500DC'!T13="",'800DC'!T13=""),"ERR","")) &amp; IF(ISERROR(FIND($G$2,Lines!T13))=TRUE,"",IF('1000'!T13="","ERR","")) &amp; IF(ISERROR(FIND($H$2,Lines!T13))=TRUE,"",IF('500DC'!T13="","ERR","")) &amp; IF(ISERROR(FIND($I$2,Lines!T13))=TRUE,"",IF('800DC'!T13="","ERR","")) &amp; IF(ISERROR(FIND($J$2,Lines!T13))=TRUE,"",IF('1000'!T13="","ERR",""))</f>
        <v/>
      </c>
      <c r="U13" s="108" t="str">
        <f>IF(ISERROR(FIND($B$2,Lines!U13))=TRUE,"",IF('750'!U13="","ERR","")) &amp; IF(ISERROR(FIND($C$2,Lines!U13))=TRUE,"",IF('500'!U13="","ERR","")) &amp; IF(ISERROR(FIND($D$2,Lines!U13))=TRUE,"",IF('330'!U13="","ERR","")) &amp; IF(ISERROR(FIND($E$2,Lines!U13))=TRUE,"",IF('220'!U13="","ERR",""))&amp; IF(ISERROR(FIND($F$2,Lines!U13))=TRUE,"",IF(AND('500DC'!U13="",'800DC'!U13=""),"ERR","")) &amp; IF(ISERROR(FIND($G$2,Lines!U13))=TRUE,"",IF('1000'!U13="","ERR","")) &amp; IF(ISERROR(FIND($H$2,Lines!U13))=TRUE,"",IF('500DC'!U13="","ERR","")) &amp; IF(ISERROR(FIND($I$2,Lines!U13))=TRUE,"",IF('800DC'!U13="","ERR","")) &amp; IF(ISERROR(FIND($J$2,Lines!U13))=TRUE,"",IF('1000'!U13="","ERR",""))</f>
        <v/>
      </c>
      <c r="V13" s="108" t="str">
        <f>IF(ISERROR(FIND($B$2,Lines!V13))=TRUE,"",IF('750'!V13="","ERR","")) &amp; IF(ISERROR(FIND($C$2,Lines!V13))=TRUE,"",IF('500'!V13="","ERR","")) &amp; IF(ISERROR(FIND($D$2,Lines!V13))=TRUE,"",IF('330'!V13="","ERR","")) &amp; IF(ISERROR(FIND($E$2,Lines!V13))=TRUE,"",IF('220'!V13="","ERR",""))&amp; IF(ISERROR(FIND($F$2,Lines!V13))=TRUE,"",IF(AND('500DC'!V13="",'800DC'!V13=""),"ERR","")) &amp; IF(ISERROR(FIND($G$2,Lines!V13))=TRUE,"",IF('1000'!V13="","ERR","")) &amp; IF(ISERROR(FIND($H$2,Lines!V13))=TRUE,"",IF('500DC'!V13="","ERR","")) &amp; IF(ISERROR(FIND($I$2,Lines!V13))=TRUE,"",IF('800DC'!V13="","ERR","")) &amp; IF(ISERROR(FIND($J$2,Lines!V13))=TRUE,"",IF('1000'!V13="","ERR",""))</f>
        <v/>
      </c>
      <c r="W13" s="109" t="str">
        <f>IF(ISERROR(FIND($B$2,Lines!W13))=TRUE,"",IF('750'!W13="","ERR","")) &amp; IF(ISERROR(FIND($C$2,Lines!W13))=TRUE,"",IF('500'!W13="","ERR","")) &amp; IF(ISERROR(FIND($D$2,Lines!W13))=TRUE,"",IF('330'!W13="","ERR","")) &amp; IF(ISERROR(FIND($E$2,Lines!W13))=TRUE,"",IF('220'!W13="","ERR",""))&amp; IF(ISERROR(FIND($F$2,Lines!W13))=TRUE,"",IF(AND('500DC'!W13="",'800DC'!W13=""),"ERR","")) &amp; IF(ISERROR(FIND($G$2,Lines!W13))=TRUE,"",IF('1000'!W13="","ERR","")) &amp; IF(ISERROR(FIND($H$2,Lines!W13))=TRUE,"",IF('500DC'!W13="","ERR","")) &amp; IF(ISERROR(FIND($I$2,Lines!W13))=TRUE,"",IF('800DC'!W13="","ERR","")) &amp; IF(ISERROR(FIND($J$2,Lines!W13))=TRUE,"",IF('1000'!W13="","ERR",""))</f>
        <v/>
      </c>
      <c r="X13" s="108" t="str">
        <f>IF(ISERROR(FIND($B$2,Lines!X13))=TRUE,"",IF('750'!X13="","ERR","")) &amp; IF(ISERROR(FIND($C$2,Lines!X13))=TRUE,"",IF('500'!X13="","ERR","")) &amp; IF(ISERROR(FIND($D$2,Lines!X13))=TRUE,"",IF('330'!X13="","ERR","")) &amp; IF(ISERROR(FIND($E$2,Lines!X13))=TRUE,"",IF('220'!X13="","ERR",""))&amp; IF(ISERROR(FIND($F$2,Lines!X13))=TRUE,"",IF(AND('500DC'!X13="",'800DC'!X13=""),"ERR","")) &amp; IF(ISERROR(FIND($G$2,Lines!X13))=TRUE,"",IF('1000'!X13="","ERR","")) &amp; IF(ISERROR(FIND($H$2,Lines!X13))=TRUE,"",IF('500DC'!X13="","ERR","")) &amp; IF(ISERROR(FIND($I$2,Lines!X13))=TRUE,"",IF('800DC'!X13="","ERR","")) &amp; IF(ISERROR(FIND($J$2,Lines!X13))=TRUE,"",IF('1000'!X13="","ERR",""))</f>
        <v/>
      </c>
      <c r="Y13" s="108" t="str">
        <f>IF(ISERROR(FIND($B$2,Lines!Y13))=TRUE,"",IF('750'!Y13="","ERR","")) &amp; IF(ISERROR(FIND($C$2,Lines!Y13))=TRUE,"",IF('500'!Y13="","ERR","")) &amp; IF(ISERROR(FIND($D$2,Lines!Y13))=TRUE,"",IF('330'!Y13="","ERR","")) &amp; IF(ISERROR(FIND($E$2,Lines!Y13))=TRUE,"",IF('220'!Y13="","ERR",""))&amp; IF(ISERROR(FIND($F$2,Lines!Y13))=TRUE,"",IF(AND('500DC'!Y13="",'800DC'!Y13=""),"ERR","")) &amp; IF(ISERROR(FIND($G$2,Lines!Y13))=TRUE,"",IF('1000'!Y13="","ERR","")) &amp; IF(ISERROR(FIND($H$2,Lines!Y13))=TRUE,"",IF('500DC'!Y13="","ERR","")) &amp; IF(ISERROR(FIND($I$2,Lines!Y13))=TRUE,"",IF('800DC'!Y13="","ERR","")) &amp; IF(ISERROR(FIND($J$2,Lines!Y13))=TRUE,"",IF('1000'!Y13="","ERR",""))</f>
        <v/>
      </c>
      <c r="Z13" s="108" t="str">
        <f>IF(ISERROR(FIND($B$2,Lines!Z13))=TRUE,"",IF('750'!Z13="","ERR","")) &amp; IF(ISERROR(FIND($C$2,Lines!Z13))=TRUE,"",IF('500'!Z13="","ERR","")) &amp; IF(ISERROR(FIND($D$2,Lines!Z13))=TRUE,"",IF('330'!Z13="","ERR","")) &amp; IF(ISERROR(FIND($E$2,Lines!Z13))=TRUE,"",IF('220'!Z13="","ERR",""))&amp; IF(ISERROR(FIND($F$2,Lines!Z13))=TRUE,"",IF(AND('500DC'!Z13="",'800DC'!Z13=""),"ERR","")) &amp; IF(ISERROR(FIND($G$2,Lines!Z13))=TRUE,"",IF('1000'!Z13="","ERR","")) &amp; IF(ISERROR(FIND($H$2,Lines!Z13))=TRUE,"",IF('500DC'!Z13="","ERR","")) &amp; IF(ISERROR(FIND($I$2,Lines!Z13))=TRUE,"",IF('800DC'!Z13="","ERR","")) &amp; IF(ISERROR(FIND($J$2,Lines!Z13))=TRUE,"",IF('1000'!Z13="","ERR",""))</f>
        <v/>
      </c>
      <c r="AA13" s="108" t="str">
        <f>IF(ISERROR(FIND($B$2,Lines!AA13))=TRUE,"",IF('750'!AA13="","ERR","")) &amp; IF(ISERROR(FIND($C$2,Lines!AA13))=TRUE,"",IF('500'!AA13="","ERR","")) &amp; IF(ISERROR(FIND($D$2,Lines!AA13))=TRUE,"",IF('330'!AA13="","ERR","")) &amp; IF(ISERROR(FIND($E$2,Lines!AA13))=TRUE,"",IF('220'!AA13="","ERR",""))&amp; IF(ISERROR(FIND($F$2,Lines!AA13))=TRUE,"",IF(AND('500DC'!AA13="",'800DC'!AA13=""),"ERR","")) &amp; IF(ISERROR(FIND($G$2,Lines!AA13))=TRUE,"",IF('1000'!AA13="","ERR","")) &amp; IF(ISERROR(FIND($H$2,Lines!AA13))=TRUE,"",IF('500DC'!AA13="","ERR","")) &amp; IF(ISERROR(FIND($I$2,Lines!AA13))=TRUE,"",IF('800DC'!AA13="","ERR","")) &amp; IF(ISERROR(FIND($J$2,Lines!AA13))=TRUE,"",IF('1000'!AA13="","ERR",""))</f>
        <v/>
      </c>
      <c r="AB13" s="108" t="str">
        <f>IF(ISERROR(FIND($B$2,Lines!AB13))=TRUE,"",IF('750'!AB13="","ERR","")) &amp; IF(ISERROR(FIND($C$2,Lines!AB13))=TRUE,"",IF('500'!AB13="","ERR","")) &amp; IF(ISERROR(FIND($D$2,Lines!AB13))=TRUE,"",IF('330'!AB13="","ERR","")) &amp; IF(ISERROR(FIND($E$2,Lines!AB13))=TRUE,"",IF('220'!AB13="","ERR",""))&amp; IF(ISERROR(FIND($F$2,Lines!AB13))=TRUE,"",IF(AND('500DC'!AB13="",'800DC'!AB13=""),"ERR","")) &amp; IF(ISERROR(FIND($G$2,Lines!AB13))=TRUE,"",IF('1000'!AB13="","ERR","")) &amp; IF(ISERROR(FIND($H$2,Lines!AB13))=TRUE,"",IF('500DC'!AB13="","ERR","")) &amp; IF(ISERROR(FIND($I$2,Lines!AB13))=TRUE,"",IF('800DC'!AB13="","ERR","")) &amp; IF(ISERROR(FIND($J$2,Lines!AB13))=TRUE,"",IF('1000'!AB13="","ERR",""))</f>
        <v/>
      </c>
      <c r="AC13" s="108" t="str">
        <f>IF(ISERROR(FIND($B$2,Lines!AC13))=TRUE,"",IF('750'!AC13="","ERR","")) &amp; IF(ISERROR(FIND($C$2,Lines!AC13))=TRUE,"",IF('500'!AC13="","ERR","")) &amp; IF(ISERROR(FIND($D$2,Lines!AC13))=TRUE,"",IF('330'!AC13="","ERR","")) &amp; IF(ISERROR(FIND($E$2,Lines!AC13))=TRUE,"",IF('220'!AC13="","ERR",""))&amp; IF(ISERROR(FIND($F$2,Lines!AC13))=TRUE,"",IF(AND('500DC'!AC13="",'800DC'!AC13=""),"ERR","")) &amp; IF(ISERROR(FIND($G$2,Lines!AC13))=TRUE,"",IF('1000'!AC13="","ERR","")) &amp; IF(ISERROR(FIND($H$2,Lines!AC13))=TRUE,"",IF('500DC'!AC13="","ERR","")) &amp; IF(ISERROR(FIND($I$2,Lines!AC13))=TRUE,"",IF('800DC'!AC13="","ERR","")) &amp; IF(ISERROR(FIND($J$2,Lines!AC13))=TRUE,"",IF('1000'!AC13="","ERR",""))</f>
        <v/>
      </c>
      <c r="AD13" s="108" t="str">
        <f>IF(ISERROR(FIND($B$2,Lines!AD13))=TRUE,"",IF('750'!AD13="","ERR","")) &amp; IF(ISERROR(FIND($C$2,Lines!AD13))=TRUE,"",IF('500'!AD13="","ERR","")) &amp; IF(ISERROR(FIND($D$2,Lines!AD13))=TRUE,"",IF('330'!AD13="","ERR","")) &amp; IF(ISERROR(FIND($E$2,Lines!AD13))=TRUE,"",IF('220'!AD13="","ERR",""))&amp; IF(ISERROR(FIND($F$2,Lines!AD13))=TRUE,"",IF(AND('500DC'!AD13="",'800DC'!AD13=""),"ERR","")) &amp; IF(ISERROR(FIND($G$2,Lines!AD13))=TRUE,"",IF('1000'!AD13="","ERR","")) &amp; IF(ISERROR(FIND($H$2,Lines!AD13))=TRUE,"",IF('500DC'!AD13="","ERR","")) &amp; IF(ISERROR(FIND($I$2,Lines!AD13))=TRUE,"",IF('800DC'!AD13="","ERR","")) &amp; IF(ISERROR(FIND($J$2,Lines!AD13))=TRUE,"",IF('1000'!AD13="","ERR",""))</f>
        <v/>
      </c>
      <c r="AE13" s="108" t="str">
        <f>IF(ISERROR(FIND($B$2,Lines!AE13))=TRUE,"",IF('750'!AE13="","ERR","")) &amp; IF(ISERROR(FIND($C$2,Lines!AE13))=TRUE,"",IF('500'!AE13="","ERR","")) &amp; IF(ISERROR(FIND($D$2,Lines!AE13))=TRUE,"",IF('330'!AE13="","ERR","")) &amp; IF(ISERROR(FIND($E$2,Lines!AE13))=TRUE,"",IF('220'!AE13="","ERR",""))&amp; IF(ISERROR(FIND($F$2,Lines!AE13))=TRUE,"",IF(AND('500DC'!AE13="",'800DC'!AE13=""),"ERR","")) &amp; IF(ISERROR(FIND($G$2,Lines!AE13))=TRUE,"",IF('1000'!AE13="","ERR","")) &amp; IF(ISERROR(FIND($H$2,Lines!AE13))=TRUE,"",IF('500DC'!AE13="","ERR","")) &amp; IF(ISERROR(FIND($I$2,Lines!AE13))=TRUE,"",IF('800DC'!AE13="","ERR","")) &amp; IF(ISERROR(FIND($J$2,Lines!AE13))=TRUE,"",IF('1000'!AE13="","ERR",""))</f>
        <v/>
      </c>
      <c r="AF13" s="108" t="str">
        <f>IF(ISERROR(FIND($B$2,Lines!AF13))=TRUE,"",IF('750'!AF13="","ERR","")) &amp; IF(ISERROR(FIND($C$2,Lines!AF13))=TRUE,"",IF('500'!AF13="","ERR","")) &amp; IF(ISERROR(FIND($D$2,Lines!AF13))=TRUE,"",IF('330'!AF13="","ERR","")) &amp; IF(ISERROR(FIND($E$2,Lines!AF13))=TRUE,"",IF('220'!AF13="","ERR",""))&amp; IF(ISERROR(FIND($F$2,Lines!AF13))=TRUE,"",IF(AND('500DC'!AF13="",'800DC'!AF13=""),"ERR","")) &amp; IF(ISERROR(FIND($G$2,Lines!AF13))=TRUE,"",IF('1000'!AF13="","ERR","")) &amp; IF(ISERROR(FIND($H$2,Lines!AF13))=TRUE,"",IF('500DC'!AF13="","ERR","")) &amp; IF(ISERROR(FIND($I$2,Lines!AF13))=TRUE,"",IF('800DC'!AF13="","ERR","")) &amp; IF(ISERROR(FIND($J$2,Lines!AF13))=TRUE,"",IF('1000'!AF13="","ERR",""))</f>
        <v/>
      </c>
      <c r="AG13" s="108" t="str">
        <f>IF(ISERROR(FIND($B$2,Lines!AG13))=TRUE,"",IF('750'!AG13="","ERR","")) &amp; IF(ISERROR(FIND($C$2,Lines!AG13))=TRUE,"",IF('500'!AG13="","ERR","")) &amp; IF(ISERROR(FIND($D$2,Lines!AG13))=TRUE,"",IF('330'!AG13="","ERR","")) &amp; IF(ISERROR(FIND($E$2,Lines!AG13))=TRUE,"",IF('220'!AG13="","ERR",""))&amp; IF(ISERROR(FIND($F$2,Lines!AG13))=TRUE,"",IF(AND('500DC'!AG13="",'800DC'!AG13=""),"ERR","")) &amp; IF(ISERROR(FIND($G$2,Lines!AG13))=TRUE,"",IF('1000'!AG13="","ERR","")) &amp; IF(ISERROR(FIND($H$2,Lines!AG13))=TRUE,"",IF('500DC'!AG13="","ERR","")) &amp; IF(ISERROR(FIND($I$2,Lines!AG13))=TRUE,"",IF('800DC'!AG13="","ERR","")) &amp; IF(ISERROR(FIND($J$2,Lines!AG13))=TRUE,"",IF('1000'!AG13="","ERR",""))</f>
        <v/>
      </c>
      <c r="AH13" s="108" t="str">
        <f>IF(ISERROR(FIND($B$2,Lines!AH13))=TRUE,"",IF('750'!AH13="","ERR","")) &amp; IF(ISERROR(FIND($C$2,Lines!AH13))=TRUE,"",IF('500'!AH13="","ERR","")) &amp; IF(ISERROR(FIND($D$2,Lines!AH13))=TRUE,"",IF('330'!AH13="","ERR","")) &amp; IF(ISERROR(FIND($E$2,Lines!AH13))=TRUE,"",IF('220'!AH13="","ERR",""))&amp; IF(ISERROR(FIND($F$2,Lines!AH13))=TRUE,"",IF(AND('500DC'!AH13="",'800DC'!AH13=""),"ERR","")) &amp; IF(ISERROR(FIND($G$2,Lines!AH13))=TRUE,"",IF('1000'!AH13="","ERR","")) &amp; IF(ISERROR(FIND($H$2,Lines!AH13))=TRUE,"",IF('500DC'!AH13="","ERR","")) &amp; IF(ISERROR(FIND($I$2,Lines!AH13))=TRUE,"",IF('800DC'!AH13="","ERR","")) &amp; IF(ISERROR(FIND($J$2,Lines!AH13))=TRUE,"",IF('1000'!AH13="","ERR",""))</f>
        <v/>
      </c>
      <c r="AI13" s="108" t="str">
        <f>IF(ISERROR(FIND($B$2,Lines!AI13))=TRUE,"",IF('750'!AI13="","ERR","")) &amp; IF(ISERROR(FIND($C$2,Lines!AI13))=TRUE,"",IF('500'!AI13="","ERR","")) &amp; IF(ISERROR(FIND($D$2,Lines!AI13))=TRUE,"",IF('330'!AI13="","ERR","")) &amp; IF(ISERROR(FIND($E$2,Lines!AI13))=TRUE,"",IF('220'!AI13="","ERR",""))&amp; IF(ISERROR(FIND($F$2,Lines!AI13))=TRUE,"",IF(AND('500DC'!AI13="",'800DC'!AI13=""),"ERR","")) &amp; IF(ISERROR(FIND($G$2,Lines!AI13))=TRUE,"",IF('1000'!AI13="","ERR","")) &amp; IF(ISERROR(FIND($H$2,Lines!AI13))=TRUE,"",IF('500DC'!AI13="","ERR","")) &amp; IF(ISERROR(FIND($I$2,Lines!AI13))=TRUE,"",IF('800DC'!AI13="","ERR","")) &amp; IF(ISERROR(FIND($J$2,Lines!AI13))=TRUE,"",IF('1000'!AI13="","ERR",""))</f>
        <v/>
      </c>
      <c r="AJ13" s="108" t="str">
        <f>IF(ISERROR(FIND($B$2,Lines!AJ13))=TRUE,"",IF('750'!AJ13="","ERR","")) &amp; IF(ISERROR(FIND($C$2,Lines!AJ13))=TRUE,"",IF('500'!AJ13="","ERR","")) &amp; IF(ISERROR(FIND($D$2,Lines!AJ13))=TRUE,"",IF('330'!AJ13="","ERR","")) &amp; IF(ISERROR(FIND($E$2,Lines!AJ13))=TRUE,"",IF('220'!AJ13="","ERR",""))&amp; IF(ISERROR(FIND($F$2,Lines!AJ13))=TRUE,"",IF(AND('500DC'!AJ13="",'800DC'!AJ13=""),"ERR","")) &amp; IF(ISERROR(FIND($G$2,Lines!AJ13))=TRUE,"",IF('1000'!AJ13="","ERR","")) &amp; IF(ISERROR(FIND($H$2,Lines!AJ13))=TRUE,"",IF('500DC'!AJ13="","ERR","")) &amp; IF(ISERROR(FIND($I$2,Lines!AJ13))=TRUE,"",IF('800DC'!AJ13="","ERR","")) &amp; IF(ISERROR(FIND($J$2,Lines!AJ13))=TRUE,"",IF('1000'!AJ13="","ERR",""))</f>
        <v/>
      </c>
      <c r="AK13" s="108" t="str">
        <f>IF(ISERROR(FIND($B$2,Lines!AK13))=TRUE,"",IF('750'!AK13="","ERR","")) &amp; IF(ISERROR(FIND($C$2,Lines!AK13))=TRUE,"",IF('500'!AK13="","ERR","")) &amp; IF(ISERROR(FIND($D$2,Lines!AK13))=TRUE,"",IF('330'!AK13="","ERR","")) &amp; IF(ISERROR(FIND($E$2,Lines!AK13))=TRUE,"",IF('220'!AK13="","ERR",""))&amp; IF(ISERROR(FIND($F$2,Lines!AK13))=TRUE,"",IF(AND('500DC'!AK13="",'800DC'!AK13=""),"ERR","")) &amp; IF(ISERROR(FIND($G$2,Lines!AK13))=TRUE,"",IF('1000'!AK13="","ERR","")) &amp; IF(ISERROR(FIND($H$2,Lines!AK13))=TRUE,"",IF('500DC'!AK13="","ERR","")) &amp; IF(ISERROR(FIND($I$2,Lines!AK13))=TRUE,"",IF('800DC'!AK13="","ERR","")) &amp; IF(ISERROR(FIND($J$2,Lines!AK13))=TRUE,"",IF('1000'!AK13="","ERR",""))</f>
        <v/>
      </c>
      <c r="AL13" s="108" t="str">
        <f>IF(ISERROR(FIND($B$2,Lines!AL13))=TRUE,"",IF('750'!AL13="","ERR","")) &amp; IF(ISERROR(FIND($C$2,Lines!AL13))=TRUE,"",IF('500'!AL13="","ERR","")) &amp; IF(ISERROR(FIND($D$2,Lines!AL13))=TRUE,"",IF('330'!AL13="","ERR","")) &amp; IF(ISERROR(FIND($E$2,Lines!AL13))=TRUE,"",IF('220'!AL13="","ERR",""))&amp; IF(ISERROR(FIND($F$2,Lines!AL13))=TRUE,"",IF(AND('500DC'!AL13="",'800DC'!AL13=""),"ERR","")) &amp; IF(ISERROR(FIND($G$2,Lines!AL13))=TRUE,"",IF('1000'!AL13="","ERR","")) &amp; IF(ISERROR(FIND($H$2,Lines!AL13))=TRUE,"",IF('500DC'!AL13="","ERR","")) &amp; IF(ISERROR(FIND($I$2,Lines!AL13))=TRUE,"",IF('800DC'!AL13="","ERR","")) &amp; IF(ISERROR(FIND($J$2,Lines!AL13))=TRUE,"",IF('1000'!AL13="","ERR",""))</f>
        <v/>
      </c>
      <c r="AM13" s="108" t="str">
        <f>IF(ISERROR(FIND($B$2,Lines!AM13))=TRUE,"",IF('750'!AM13="","ERR","")) &amp; IF(ISERROR(FIND($C$2,Lines!AM13))=TRUE,"",IF('500'!AM13="","ERR","")) &amp; IF(ISERROR(FIND($D$2,Lines!AM13))=TRUE,"",IF('330'!AM13="","ERR","")) &amp; IF(ISERROR(FIND($E$2,Lines!AM13))=TRUE,"",IF('220'!AM13="","ERR",""))&amp; IF(ISERROR(FIND($F$2,Lines!AM13))=TRUE,"",IF(AND('500DC'!AM13="",'800DC'!AM13=""),"ERR","")) &amp; IF(ISERROR(FIND($G$2,Lines!AM13))=TRUE,"",IF('1000'!AM13="","ERR","")) &amp; IF(ISERROR(FIND($H$2,Lines!AM13))=TRUE,"",IF('500DC'!AM13="","ERR","")) &amp; IF(ISERROR(FIND($I$2,Lines!AM13))=TRUE,"",IF('800DC'!AM13="","ERR","")) &amp; IF(ISERROR(FIND($J$2,Lines!AM13))=TRUE,"",IF('1000'!AM13="","ERR",""))</f>
        <v/>
      </c>
      <c r="AN13" s="108" t="str">
        <f>IF(ISERROR(FIND($B$2,Lines!AN13))=TRUE,"",IF('750'!AN13="","ERR","")) &amp; IF(ISERROR(FIND($C$2,Lines!AN13))=TRUE,"",IF('500'!AN13="","ERR","")) &amp; IF(ISERROR(FIND($D$2,Lines!AN13))=TRUE,"",IF('330'!AN13="","ERR","")) &amp; IF(ISERROR(FIND($E$2,Lines!AN13))=TRUE,"",IF('220'!AN13="","ERR",""))&amp; IF(ISERROR(FIND($F$2,Lines!AN13))=TRUE,"",IF(AND('500DC'!AN13="",'800DC'!AN13=""),"ERR","")) &amp; IF(ISERROR(FIND($G$2,Lines!AN13))=TRUE,"",IF('1000'!AN13="","ERR","")) &amp; IF(ISERROR(FIND($H$2,Lines!AN13))=TRUE,"",IF('500DC'!AN13="","ERR","")) &amp; IF(ISERROR(FIND($I$2,Lines!AN13))=TRUE,"",IF('800DC'!AN13="","ERR","")) &amp; IF(ISERROR(FIND($J$2,Lines!AN13))=TRUE,"",IF('1000'!AN13="","ERR",""))</f>
        <v/>
      </c>
      <c r="AO13" s="108" t="str">
        <f>IF(ISERROR(FIND($B$2,Lines!AO13))=TRUE,"",IF('750'!AO13="","ERR","")) &amp; IF(ISERROR(FIND($C$2,Lines!AO13))=TRUE,"",IF('500'!AO13="","ERR","")) &amp; IF(ISERROR(FIND($D$2,Lines!AO13))=TRUE,"",IF('330'!AO13="","ERR","")) &amp; IF(ISERROR(FIND($E$2,Lines!AO13))=TRUE,"",IF('220'!AO13="","ERR",""))&amp; IF(ISERROR(FIND($F$2,Lines!AO13))=TRUE,"",IF(AND('500DC'!AO13="",'800DC'!AO13=""),"ERR","")) &amp; IF(ISERROR(FIND($G$2,Lines!AO13))=TRUE,"",IF('1000'!AO13="","ERR","")) &amp; IF(ISERROR(FIND($H$2,Lines!AO13))=TRUE,"",IF('500DC'!AO13="","ERR","")) &amp; IF(ISERROR(FIND($I$2,Lines!AO13))=TRUE,"",IF('800DC'!AO13="","ERR","")) &amp; IF(ISERROR(FIND($J$2,Lines!AO13))=TRUE,"",IF('1000'!AO13="","ERR",""))</f>
        <v/>
      </c>
      <c r="AP13" s="108" t="str">
        <f>IF(ISERROR(FIND($B$2,Lines!AP13))=TRUE,"",IF('750'!AP13="","ERR","")) &amp; IF(ISERROR(FIND($C$2,Lines!AP13))=TRUE,"",IF('500'!AP13="","ERR","")) &amp; IF(ISERROR(FIND($D$2,Lines!AP13))=TRUE,"",IF('330'!AP13="","ERR","")) &amp; IF(ISERROR(FIND($E$2,Lines!AP13))=TRUE,"",IF('220'!AP13="","ERR",""))&amp; IF(ISERROR(FIND($F$2,Lines!AP13))=TRUE,"",IF(AND('500DC'!AP13="",'800DC'!AP13=""),"ERR","")) &amp; IF(ISERROR(FIND($G$2,Lines!AP13))=TRUE,"",IF('1000'!AP13="","ERR","")) &amp; IF(ISERROR(FIND($H$2,Lines!AP13))=TRUE,"",IF('500DC'!AP13="","ERR","")) &amp; IF(ISERROR(FIND($I$2,Lines!AP13))=TRUE,"",IF('800DC'!AP13="","ERR","")) &amp; IF(ISERROR(FIND($J$2,Lines!AP13))=TRUE,"",IF('1000'!AP13="","ERR",""))</f>
        <v/>
      </c>
      <c r="AQ13" s="108" t="str">
        <f>IF(ISERROR(FIND($B$2,Lines!AQ13))=TRUE,"",IF('750'!AQ13="","ERR","")) &amp; IF(ISERROR(FIND($C$2,Lines!AQ13))=TRUE,"",IF('500'!AQ13="","ERR","")) &amp; IF(ISERROR(FIND($D$2,Lines!AQ13))=TRUE,"",IF('330'!AQ13="","ERR","")) &amp; IF(ISERROR(FIND($E$2,Lines!AQ13))=TRUE,"",IF('220'!AQ13="","ERR",""))&amp; IF(ISERROR(FIND($F$2,Lines!AQ13))=TRUE,"",IF(AND('500DC'!AQ13="",'800DC'!AQ13=""),"ERR","")) &amp; IF(ISERROR(FIND($G$2,Lines!AQ13))=TRUE,"",IF('1000'!AQ13="","ERR","")) &amp; IF(ISERROR(FIND($H$2,Lines!AQ13))=TRUE,"",IF('500DC'!AQ13="","ERR","")) &amp; IF(ISERROR(FIND($I$2,Lines!AQ13))=TRUE,"",IF('800DC'!AQ13="","ERR","")) &amp; IF(ISERROR(FIND($J$2,Lines!AQ13))=TRUE,"",IF('1000'!AQ13="","ERR",""))</f>
        <v/>
      </c>
      <c r="AR13" s="108" t="str">
        <f>IF(ISERROR(FIND($B$2,Lines!AR13))=TRUE,"",IF('750'!AR13="","ERR","")) &amp; IF(ISERROR(FIND($C$2,Lines!AR13))=TRUE,"",IF('500'!AR13="","ERR","")) &amp; IF(ISERROR(FIND($D$2,Lines!AR13))=TRUE,"",IF('330'!AR13="","ERR","")) &amp; IF(ISERROR(FIND($E$2,Lines!AR13))=TRUE,"",IF('220'!AR13="","ERR",""))&amp; IF(ISERROR(FIND($F$2,Lines!AR13))=TRUE,"",IF(AND('500DC'!AR13="",'800DC'!AR13=""),"ERR","")) &amp; IF(ISERROR(FIND($G$2,Lines!AR13))=TRUE,"",IF('1000'!AR13="","ERR","")) &amp; IF(ISERROR(FIND($H$2,Lines!AR13))=TRUE,"",IF('500DC'!AR13="","ERR","")) &amp; IF(ISERROR(FIND($I$2,Lines!AR13))=TRUE,"",IF('800DC'!AR13="","ERR","")) &amp; IF(ISERROR(FIND($J$2,Lines!AR13))=TRUE,"",IF('1000'!AR13="","ERR",""))</f>
        <v/>
      </c>
      <c r="AS13" s="108" t="str">
        <f>IF(ISERROR(FIND($B$2,Lines!AS13))=TRUE,"",IF('750'!AS13="","ERR","")) &amp; IF(ISERROR(FIND($C$2,Lines!AS13))=TRUE,"",IF('500'!AS13="","ERR","")) &amp; IF(ISERROR(FIND($D$2,Lines!AS13))=TRUE,"",IF('330'!AS13="","ERR","")) &amp; IF(ISERROR(FIND($E$2,Lines!AS13))=TRUE,"",IF('220'!AS13="","ERR",""))&amp; IF(ISERROR(FIND($F$2,Lines!AS13))=TRUE,"",IF(AND('500DC'!AS13="",'800DC'!AS13=""),"ERR","")) &amp; IF(ISERROR(FIND($G$2,Lines!AS13))=TRUE,"",IF('1000'!AS13="","ERR","")) &amp; IF(ISERROR(FIND($H$2,Lines!AS13))=TRUE,"",IF('500DC'!AS13="","ERR","")) &amp; IF(ISERROR(FIND($I$2,Lines!AS13))=TRUE,"",IF('800DC'!AS13="","ERR","")) &amp; IF(ISERROR(FIND($J$2,Lines!AS13))=TRUE,"",IF('1000'!AS13="","ERR",""))</f>
        <v/>
      </c>
      <c r="AT13" s="108" t="str">
        <f>IF(ISERROR(FIND($B$2,Lines!AT13))=TRUE,"",IF('750'!AT13="","ERR","")) &amp; IF(ISERROR(FIND($C$2,Lines!AT13))=TRUE,"",IF('500'!AT13="","ERR","")) &amp; IF(ISERROR(FIND($D$2,Lines!AT13))=TRUE,"",IF('330'!AT13="","ERR","")) &amp; IF(ISERROR(FIND($E$2,Lines!AT13))=TRUE,"",IF('220'!AT13="","ERR",""))&amp; IF(ISERROR(FIND($F$2,Lines!AT13))=TRUE,"",IF(AND('500DC'!AT13="",'800DC'!AT13=""),"ERR","")) &amp; IF(ISERROR(FIND($G$2,Lines!AT13))=TRUE,"",IF('1000'!AT13="","ERR","")) &amp; IF(ISERROR(FIND($H$2,Lines!AT13))=TRUE,"",IF('500DC'!AT13="","ERR","")) &amp; IF(ISERROR(FIND($I$2,Lines!AT13))=TRUE,"",IF('800DC'!AT13="","ERR","")) &amp; IF(ISERROR(FIND($J$2,Lines!AT13))=TRUE,"",IF('1000'!AT13="","ERR",""))</f>
        <v/>
      </c>
    </row>
    <row r="14" spans="1:46" ht="20.25" customHeight="1">
      <c r="A14" s="2" t="s">
        <v>64</v>
      </c>
      <c r="B14" s="106" t="str">
        <f>IF(ISERROR(FIND($B$2,Lines!B14))=TRUE,"",IF('750'!B14="","ERR","")) &amp; IF(ISERROR(FIND($C$2,Lines!B14))=TRUE,"",IF('500'!B14="","ERR","")) &amp; IF(ISERROR(FIND($D$2,Lines!B14))=TRUE,"",IF('330'!B14="","ERR","")) &amp; IF(ISERROR(FIND($E$2,Lines!B14))=TRUE,"",IF('220'!B14="","ERR",""))&amp; IF(ISERROR(FIND($F$2,Lines!B14))=TRUE,"",IF(AND('500DC'!B14="",'800DC'!B14=""),"ERR","")) &amp; IF(ISERROR(FIND($G$2,Lines!B14))=TRUE,"",IF('1000'!B14="","ERR","")) &amp; IF(ISERROR(FIND($H$2,Lines!B14))=TRUE,"",IF('500DC'!B14="","ERR","")) &amp; IF(ISERROR(FIND($I$2,Lines!B14))=TRUE,"",IF('800DC'!B14="","ERR","")) &amp; IF(ISERROR(FIND($J$2,Lines!B14))=TRUE,"",IF('1000'!B14="","ERR",""))</f>
        <v/>
      </c>
      <c r="C14" s="106" t="str">
        <f>IF(ISERROR(FIND($B$2,Lines!C14))=TRUE,"",IF('750'!C14="","ERR","")) &amp; IF(ISERROR(FIND($C$2,Lines!C14))=TRUE,"",IF('500'!C14="","ERR","")) &amp; IF(ISERROR(FIND($D$2,Lines!C14))=TRUE,"",IF('330'!C14="","ERR","")) &amp; IF(ISERROR(FIND($E$2,Lines!C14))=TRUE,"",IF('220'!C14="","ERR",""))&amp; IF(ISERROR(FIND($F$2,Lines!C14))=TRUE,"",IF(AND('500DC'!C14="",'800DC'!C14=""),"ERR","")) &amp; IF(ISERROR(FIND($G$2,Lines!C14))=TRUE,"",IF('1000'!C14="","ERR","")) &amp; IF(ISERROR(FIND($H$2,Lines!C14))=TRUE,"",IF('500DC'!C14="","ERR","")) &amp; IF(ISERROR(FIND($I$2,Lines!C14))=TRUE,"",IF('800DC'!C14="","ERR","")) &amp; IF(ISERROR(FIND($J$2,Lines!C14))=TRUE,"",IF('1000'!C14="","ERR",""))</f>
        <v/>
      </c>
      <c r="D14" s="106" t="str">
        <f>IF(ISERROR(FIND($B$2,Lines!D14))=TRUE,"",IF('750'!D14="","ERR","")) &amp; IF(ISERROR(FIND($C$2,Lines!D14))=TRUE,"",IF('500'!D14="","ERR","")) &amp; IF(ISERROR(FIND($D$2,Lines!D14))=TRUE,"",IF('330'!D14="","ERR","")) &amp; IF(ISERROR(FIND($E$2,Lines!D14))=TRUE,"",IF('220'!D14="","ERR",""))&amp; IF(ISERROR(FIND($F$2,Lines!D14))=TRUE,"",IF(AND('500DC'!D14="",'800DC'!D14=""),"ERR","")) &amp; IF(ISERROR(FIND($G$2,Lines!D14))=TRUE,"",IF('1000'!D14="","ERR","")) &amp; IF(ISERROR(FIND($H$2,Lines!D14))=TRUE,"",IF('500DC'!D14="","ERR","")) &amp; IF(ISERROR(FIND($I$2,Lines!D14))=TRUE,"",IF('800DC'!D14="","ERR","")) &amp; IF(ISERROR(FIND($J$2,Lines!D14))=TRUE,"",IF('1000'!D14="","ERR",""))</f>
        <v/>
      </c>
      <c r="E14" s="106" t="str">
        <f>IF(ISERROR(FIND($B$2,Lines!E14))=TRUE,"",IF('750'!E14="","ERR","")) &amp; IF(ISERROR(FIND($C$2,Lines!E14))=TRUE,"",IF('500'!E14="","ERR","")) &amp; IF(ISERROR(FIND($D$2,Lines!E14))=TRUE,"",IF('330'!E14="","ERR","")) &amp; IF(ISERROR(FIND($E$2,Lines!E14))=TRUE,"",IF('220'!E14="","ERR",""))&amp; IF(ISERROR(FIND($F$2,Lines!E14))=TRUE,"",IF(AND('500DC'!E14="",'800DC'!E14=""),"ERR","")) &amp; IF(ISERROR(FIND($G$2,Lines!E14))=TRUE,"",IF('1000'!E14="","ERR","")) &amp; IF(ISERROR(FIND($H$2,Lines!E14))=TRUE,"",IF('500DC'!E14="","ERR","")) &amp; IF(ISERROR(FIND($I$2,Lines!E14))=TRUE,"",IF('800DC'!E14="","ERR","")) &amp; IF(ISERROR(FIND($J$2,Lines!E14))=TRUE,"",IF('1000'!E14="","ERR",""))</f>
        <v/>
      </c>
      <c r="F14" s="106" t="str">
        <f>IF(ISERROR(FIND($B$2,Lines!F14))=TRUE,"",IF('750'!F14="","ERR","")) &amp; IF(ISERROR(FIND($C$2,Lines!F14))=TRUE,"",IF('500'!F14="","ERR","")) &amp; IF(ISERROR(FIND($D$2,Lines!F14))=TRUE,"",IF('330'!F14="","ERR","")) &amp; IF(ISERROR(FIND($E$2,Lines!F14))=TRUE,"",IF('220'!F14="","ERR",""))&amp; IF(ISERROR(FIND($F$2,Lines!F14))=TRUE,"",IF(AND('500DC'!F14="",'800DC'!F14=""),"ERR","")) &amp; IF(ISERROR(FIND($G$2,Lines!F14))=TRUE,"",IF('1000'!F14="","ERR","")) &amp; IF(ISERROR(FIND($H$2,Lines!F14))=TRUE,"",IF('500DC'!F14="","ERR","")) &amp; IF(ISERROR(FIND($I$2,Lines!F14))=TRUE,"",IF('800DC'!F14="","ERR","")) &amp; IF(ISERROR(FIND($J$2,Lines!F14))=TRUE,"",IF('1000'!F14="","ERR",""))</f>
        <v/>
      </c>
      <c r="G14" s="106" t="str">
        <f>IF(ISERROR(FIND($B$2,Lines!G14))=TRUE,"",IF('750'!G14="","ERR","")) &amp; IF(ISERROR(FIND($C$2,Lines!G14))=TRUE,"",IF('500'!G14="","ERR","")) &amp; IF(ISERROR(FIND($D$2,Lines!G14))=TRUE,"",IF('330'!G14="","ERR","")) &amp; IF(ISERROR(FIND($E$2,Lines!G14))=TRUE,"",IF('220'!G14="","ERR",""))&amp; IF(ISERROR(FIND($F$2,Lines!G14))=TRUE,"",IF(AND('500DC'!G14="",'800DC'!G14=""),"ERR","")) &amp; IF(ISERROR(FIND($G$2,Lines!G14))=TRUE,"",IF('1000'!G14="","ERR","")) &amp; IF(ISERROR(FIND($H$2,Lines!G14))=TRUE,"",IF('500DC'!G14="","ERR","")) &amp; IF(ISERROR(FIND($I$2,Lines!G14))=TRUE,"",IF('800DC'!G14="","ERR","")) &amp; IF(ISERROR(FIND($J$2,Lines!G14))=TRUE,"",IF('1000'!G14="","ERR",""))</f>
        <v/>
      </c>
      <c r="H14" s="106" t="str">
        <f>IF(ISERROR(FIND($B$2,Lines!H14))=TRUE,"",IF('750'!H14="","ERR","")) &amp; IF(ISERROR(FIND($C$2,Lines!H14))=TRUE,"",IF('500'!H14="","ERR","")) &amp; IF(ISERROR(FIND($D$2,Lines!H14))=TRUE,"",IF('330'!H14="","ERR","")) &amp; IF(ISERROR(FIND($E$2,Lines!H14))=TRUE,"",IF('220'!H14="","ERR",""))&amp; IF(ISERROR(FIND($F$2,Lines!H14))=TRUE,"",IF(AND('500DC'!H14="",'800DC'!H14=""),"ERR","")) &amp; IF(ISERROR(FIND($G$2,Lines!H14))=TRUE,"",IF('1000'!H14="","ERR","")) &amp; IF(ISERROR(FIND($H$2,Lines!H14))=TRUE,"",IF('500DC'!H14="","ERR","")) &amp; IF(ISERROR(FIND($I$2,Lines!H14))=TRUE,"",IF('800DC'!H14="","ERR","")) &amp; IF(ISERROR(FIND($J$2,Lines!H14))=TRUE,"",IF('1000'!H14="","ERR",""))</f>
        <v/>
      </c>
      <c r="I14" s="106" t="str">
        <f>IF(ISERROR(FIND($B$2,Lines!I14))=TRUE,"",IF('750'!I14="","ERR","")) &amp; IF(ISERROR(FIND($C$2,Lines!I14))=TRUE,"",IF('500'!I14="","ERR","")) &amp; IF(ISERROR(FIND($D$2,Lines!I14))=TRUE,"",IF('330'!I14="","ERR","")) &amp; IF(ISERROR(FIND($E$2,Lines!I14))=TRUE,"",IF('220'!I14="","ERR",""))&amp; IF(ISERROR(FIND($F$2,Lines!I14))=TRUE,"",IF(AND('500DC'!I14="",'800DC'!I14=""),"ERR","")) &amp; IF(ISERROR(FIND($G$2,Lines!I14))=TRUE,"",IF('1000'!I14="","ERR","")) &amp; IF(ISERROR(FIND($H$2,Lines!I14))=TRUE,"",IF('500DC'!I14="","ERR","")) &amp; IF(ISERROR(FIND($I$2,Lines!I14))=TRUE,"",IF('800DC'!I14="","ERR","")) &amp; IF(ISERROR(FIND($J$2,Lines!I14))=TRUE,"",IF('1000'!I14="","ERR",""))</f>
        <v/>
      </c>
      <c r="J14" s="106" t="str">
        <f>IF(ISERROR(FIND($B$2,Lines!J14))=TRUE,"",IF('750'!J14="","ERR","")) &amp; IF(ISERROR(FIND($C$2,Lines!J14))=TRUE,"",IF('500'!J14="","ERR","")) &amp; IF(ISERROR(FIND($D$2,Lines!J14))=TRUE,"",IF('330'!J14="","ERR","")) &amp; IF(ISERROR(FIND($E$2,Lines!J14))=TRUE,"",IF('220'!J14="","ERR",""))&amp; IF(ISERROR(FIND($F$2,Lines!J14))=TRUE,"",IF(AND('500DC'!J14="",'800DC'!J14=""),"ERR","")) &amp; IF(ISERROR(FIND($G$2,Lines!J14))=TRUE,"",IF('1000'!J14="","ERR","")) &amp; IF(ISERROR(FIND($H$2,Lines!J14))=TRUE,"",IF('500DC'!J14="","ERR","")) &amp; IF(ISERROR(FIND($I$2,Lines!J14))=TRUE,"",IF('800DC'!J14="","ERR","")) &amp; IF(ISERROR(FIND($J$2,Lines!J14))=TRUE,"",IF('1000'!J14="","ERR",""))</f>
        <v/>
      </c>
      <c r="K14" s="106" t="str">
        <f>IF(ISERROR(FIND($B$2,Lines!K14))=TRUE,"",IF('750'!K14="","ERR","")) &amp; IF(ISERROR(FIND($C$2,Lines!K14))=TRUE,"",IF('500'!K14="","ERR","")) &amp; IF(ISERROR(FIND($D$2,Lines!K14))=TRUE,"",IF('330'!K14="","ERR","")) &amp; IF(ISERROR(FIND($E$2,Lines!K14))=TRUE,"",IF('220'!K14="","ERR",""))&amp; IF(ISERROR(FIND($F$2,Lines!K14))=TRUE,"",IF(AND('500DC'!K14="",'800DC'!K14=""),"ERR","")) &amp; IF(ISERROR(FIND($G$2,Lines!K14))=TRUE,"",IF('1000'!K14="","ERR","")) &amp; IF(ISERROR(FIND($H$2,Lines!K14))=TRUE,"",IF('500DC'!K14="","ERR","")) &amp; IF(ISERROR(FIND($I$2,Lines!K14))=TRUE,"",IF('800DC'!K14="","ERR","")) &amp; IF(ISERROR(FIND($J$2,Lines!K14))=TRUE,"",IF('1000'!K14="","ERR",""))</f>
        <v/>
      </c>
      <c r="L14" s="105" t="str">
        <f>IF(ISERROR(FIND($B$2,Lines!L14))=TRUE,"",IF('750'!L14="","ERR","")) &amp; IF(ISERROR(FIND($C$2,Lines!L14))=TRUE,"",IF('500'!L14="","ERR","")) &amp; IF(ISERROR(FIND($D$2,Lines!L14))=TRUE,"",IF('330'!L14="","ERR","")) &amp; IF(ISERROR(FIND($E$2,Lines!L14))=TRUE,"",IF('220'!L14="","ERR",""))&amp; IF(ISERROR(FIND($F$2,Lines!L14))=TRUE,"",IF(AND('500DC'!L14="",'800DC'!L14=""),"ERR","")) &amp; IF(ISERROR(FIND($G$2,Lines!L14))=TRUE,"",IF('1000'!L14="","ERR","")) &amp; IF(ISERROR(FIND($H$2,Lines!L14))=TRUE,"",IF('500DC'!L14="","ERR","")) &amp; IF(ISERROR(FIND($I$2,Lines!L14))=TRUE,"",IF('800DC'!L14="","ERR","")) &amp; IF(ISERROR(FIND($J$2,Lines!L14))=TRUE,"",IF('1000'!L14="","ERR",""))</f>
        <v/>
      </c>
      <c r="M14" s="107" t="str">
        <f>IF(ISERROR(FIND($B$2,Lines!M14))=TRUE,"",IF('750'!M14="","ERR","")) &amp; IF(ISERROR(FIND($C$2,Lines!M14))=TRUE,"",IF('500'!M14="","ERR","")) &amp; IF(ISERROR(FIND($D$2,Lines!M14))=TRUE,"",IF('330'!M14="","ERR","")) &amp; IF(ISERROR(FIND($E$2,Lines!M14))=TRUE,"",IF('220'!M14="","ERR",""))&amp; IF(ISERROR(FIND($F$2,Lines!M14))=TRUE,"",IF(AND('500DC'!M14="",'800DC'!M14=""),"ERR","")) &amp; IF(ISERROR(FIND($G$2,Lines!M14))=TRUE,"",IF('1000'!M14="","ERR","")) &amp; IF(ISERROR(FIND($H$2,Lines!M14))=TRUE,"",IF('500DC'!M14="","ERR","")) &amp; IF(ISERROR(FIND($I$2,Lines!M14))=TRUE,"",IF('800DC'!M14="","ERR","")) &amp; IF(ISERROR(FIND($J$2,Lines!M14))=TRUE,"",IF('1000'!M14="","ERR",""))</f>
        <v/>
      </c>
      <c r="N14" s="108" t="str">
        <f>IF(ISERROR(FIND($B$2,Lines!N14))=TRUE,"",IF('750'!N14="","ERR","")) &amp; IF(ISERROR(FIND($C$2,Lines!N14))=TRUE,"",IF('500'!N14="","ERR","")) &amp; IF(ISERROR(FIND($D$2,Lines!N14))=TRUE,"",IF('330'!N14="","ERR","")) &amp; IF(ISERROR(FIND($E$2,Lines!N14))=TRUE,"",IF('220'!N14="","ERR",""))&amp; IF(ISERROR(FIND($F$2,Lines!N14))=TRUE,"",IF(AND('500DC'!N14="",'800DC'!N14=""),"ERR","")) &amp; IF(ISERROR(FIND($G$2,Lines!N14))=TRUE,"",IF('1000'!N14="","ERR","")) &amp; IF(ISERROR(FIND($H$2,Lines!N14))=TRUE,"",IF('500DC'!N14="","ERR","")) &amp; IF(ISERROR(FIND($I$2,Lines!N14))=TRUE,"",IF('800DC'!N14="","ERR","")) &amp; IF(ISERROR(FIND($J$2,Lines!N14))=TRUE,"",IF('1000'!N14="","ERR",""))</f>
        <v/>
      </c>
      <c r="O14" s="108" t="str">
        <f>IF(ISERROR(FIND($B$2,Lines!O14))=TRUE,"",IF('750'!O14="","ERR","")) &amp; IF(ISERROR(FIND($C$2,Lines!O14))=TRUE,"",IF('500'!O14="","ERR","")) &amp; IF(ISERROR(FIND($D$2,Lines!O14))=TRUE,"",IF('330'!O14="","ERR","")) &amp; IF(ISERROR(FIND($E$2,Lines!O14))=TRUE,"",IF('220'!O14="","ERR",""))&amp; IF(ISERROR(FIND($F$2,Lines!O14))=TRUE,"",IF(AND('500DC'!O14="",'800DC'!O14=""),"ERR","")) &amp; IF(ISERROR(FIND($G$2,Lines!O14))=TRUE,"",IF('1000'!O14="","ERR","")) &amp; IF(ISERROR(FIND($H$2,Lines!O14))=TRUE,"",IF('500DC'!O14="","ERR","")) &amp; IF(ISERROR(FIND($I$2,Lines!O14))=TRUE,"",IF('800DC'!O14="","ERR","")) &amp; IF(ISERROR(FIND($J$2,Lines!O14))=TRUE,"",IF('1000'!O14="","ERR",""))</f>
        <v/>
      </c>
      <c r="P14" s="108" t="str">
        <f>IF(ISERROR(FIND($B$2,Lines!P14))=TRUE,"",IF('750'!P14="","ERR","")) &amp; IF(ISERROR(FIND($C$2,Lines!P14))=TRUE,"",IF('500'!P14="","ERR","")) &amp; IF(ISERROR(FIND($D$2,Lines!P14))=TRUE,"",IF('330'!P14="","ERR","")) &amp; IF(ISERROR(FIND($E$2,Lines!P14))=TRUE,"",IF('220'!P14="","ERR",""))&amp; IF(ISERROR(FIND($F$2,Lines!P14))=TRUE,"",IF(AND('500DC'!P14="",'800DC'!P14=""),"ERR","")) &amp; IF(ISERROR(FIND($G$2,Lines!P14))=TRUE,"",IF('1000'!P14="","ERR","")) &amp; IF(ISERROR(FIND($H$2,Lines!P14))=TRUE,"",IF('500DC'!P14="","ERR","")) &amp; IF(ISERROR(FIND($I$2,Lines!P14))=TRUE,"",IF('800DC'!P14="","ERR","")) &amp; IF(ISERROR(FIND($J$2,Lines!P14))=TRUE,"",IF('1000'!P14="","ERR",""))</f>
        <v/>
      </c>
      <c r="Q14" s="108" t="str">
        <f>IF(ISERROR(FIND($B$2,Lines!Q14))=TRUE,"",IF('750'!Q14="","ERR","")) &amp; IF(ISERROR(FIND($C$2,Lines!Q14))=TRUE,"",IF('500'!Q14="","ERR","")) &amp; IF(ISERROR(FIND($D$2,Lines!Q14))=TRUE,"",IF('330'!Q14="","ERR","")) &amp; IF(ISERROR(FIND($E$2,Lines!Q14))=TRUE,"",IF('220'!Q14="","ERR",""))&amp; IF(ISERROR(FIND($F$2,Lines!Q14))=TRUE,"",IF(AND('500DC'!Q14="",'800DC'!Q14=""),"ERR","")) &amp; IF(ISERROR(FIND($G$2,Lines!Q14))=TRUE,"",IF('1000'!Q14="","ERR","")) &amp; IF(ISERROR(FIND($H$2,Lines!Q14))=TRUE,"",IF('500DC'!Q14="","ERR","")) &amp; IF(ISERROR(FIND($I$2,Lines!Q14))=TRUE,"",IF('800DC'!Q14="","ERR","")) &amp; IF(ISERROR(FIND($J$2,Lines!Q14))=TRUE,"",IF('1000'!Q14="","ERR",""))</f>
        <v/>
      </c>
      <c r="R14" s="108" t="str">
        <f>IF(ISERROR(FIND($B$2,Lines!R14))=TRUE,"",IF('750'!R14="","ERR","")) &amp; IF(ISERROR(FIND($C$2,Lines!R14))=TRUE,"",IF('500'!R14="","ERR","")) &amp; IF(ISERROR(FIND($D$2,Lines!R14))=TRUE,"",IF('330'!R14="","ERR","")) &amp; IF(ISERROR(FIND($E$2,Lines!R14))=TRUE,"",IF('220'!R14="","ERR",""))&amp; IF(ISERROR(FIND($F$2,Lines!R14))=TRUE,"",IF(AND('500DC'!R14="",'800DC'!R14=""),"ERR","")) &amp; IF(ISERROR(FIND($G$2,Lines!R14))=TRUE,"",IF('1000'!R14="","ERR","")) &amp; IF(ISERROR(FIND($H$2,Lines!R14))=TRUE,"",IF('500DC'!R14="","ERR","")) &amp; IF(ISERROR(FIND($I$2,Lines!R14))=TRUE,"",IF('800DC'!R14="","ERR","")) &amp; IF(ISERROR(FIND($J$2,Lines!R14))=TRUE,"",IF('1000'!R14="","ERR",""))</f>
        <v/>
      </c>
      <c r="S14" s="108" t="str">
        <f>IF(ISERROR(FIND($B$2,Lines!S14))=TRUE,"",IF('750'!S14="","ERR","")) &amp; IF(ISERROR(FIND($C$2,Lines!S14))=TRUE,"",IF('500'!S14="","ERR","")) &amp; IF(ISERROR(FIND($D$2,Lines!S14))=TRUE,"",IF('330'!S14="","ERR","")) &amp; IF(ISERROR(FIND($E$2,Lines!S14))=TRUE,"",IF('220'!S14="","ERR",""))&amp; IF(ISERROR(FIND($F$2,Lines!S14))=TRUE,"",IF(AND('500DC'!S14="",'800DC'!S14=""),"ERR","")) &amp; IF(ISERROR(FIND($G$2,Lines!S14))=TRUE,"",IF('1000'!S14="","ERR","")) &amp; IF(ISERROR(FIND($H$2,Lines!S14))=TRUE,"",IF('500DC'!S14="","ERR","")) &amp; IF(ISERROR(FIND($I$2,Lines!S14))=TRUE,"",IF('800DC'!S14="","ERR","")) &amp; IF(ISERROR(FIND($J$2,Lines!S14))=TRUE,"",IF('1000'!S14="","ERR",""))</f>
        <v/>
      </c>
      <c r="T14" s="108" t="str">
        <f>IF(ISERROR(FIND($B$2,Lines!T14))=TRUE,"",IF('750'!T14="","ERR","")) &amp; IF(ISERROR(FIND($C$2,Lines!T14))=TRUE,"",IF('500'!T14="","ERR","")) &amp; IF(ISERROR(FIND($D$2,Lines!T14))=TRUE,"",IF('330'!T14="","ERR","")) &amp; IF(ISERROR(FIND($E$2,Lines!T14))=TRUE,"",IF('220'!T14="","ERR",""))&amp; IF(ISERROR(FIND($F$2,Lines!T14))=TRUE,"",IF(AND('500DC'!T14="",'800DC'!T14=""),"ERR","")) &amp; IF(ISERROR(FIND($G$2,Lines!T14))=TRUE,"",IF('1000'!T14="","ERR","")) &amp; IF(ISERROR(FIND($H$2,Lines!T14))=TRUE,"",IF('500DC'!T14="","ERR","")) &amp; IF(ISERROR(FIND($I$2,Lines!T14))=TRUE,"",IF('800DC'!T14="","ERR","")) &amp; IF(ISERROR(FIND($J$2,Lines!T14))=TRUE,"",IF('1000'!T14="","ERR",""))</f>
        <v/>
      </c>
      <c r="U14" s="108" t="str">
        <f>IF(ISERROR(FIND($B$2,Lines!U14))=TRUE,"",IF('750'!U14="","ERR","")) &amp; IF(ISERROR(FIND($C$2,Lines!U14))=TRUE,"",IF('500'!U14="","ERR","")) &amp; IF(ISERROR(FIND($D$2,Lines!U14))=TRUE,"",IF('330'!U14="","ERR","")) &amp; IF(ISERROR(FIND($E$2,Lines!U14))=TRUE,"",IF('220'!U14="","ERR",""))&amp; IF(ISERROR(FIND($F$2,Lines!U14))=TRUE,"",IF(AND('500DC'!U14="",'800DC'!U14=""),"ERR","")) &amp; IF(ISERROR(FIND($G$2,Lines!U14))=TRUE,"",IF('1000'!U14="","ERR","")) &amp; IF(ISERROR(FIND($H$2,Lines!U14))=TRUE,"",IF('500DC'!U14="","ERR","")) &amp; IF(ISERROR(FIND($I$2,Lines!U14))=TRUE,"",IF('800DC'!U14="","ERR","")) &amp; IF(ISERROR(FIND($J$2,Lines!U14))=TRUE,"",IF('1000'!U14="","ERR",""))</f>
        <v/>
      </c>
      <c r="V14" s="108" t="str">
        <f>IF(ISERROR(FIND($B$2,Lines!V14))=TRUE,"",IF('750'!V14="","ERR","")) &amp; IF(ISERROR(FIND($C$2,Lines!V14))=TRUE,"",IF('500'!V14="","ERR","")) &amp; IF(ISERROR(FIND($D$2,Lines!V14))=TRUE,"",IF('330'!V14="","ERR","")) &amp; IF(ISERROR(FIND($E$2,Lines!V14))=TRUE,"",IF('220'!V14="","ERR",""))&amp; IF(ISERROR(FIND($F$2,Lines!V14))=TRUE,"",IF(AND('500DC'!V14="",'800DC'!V14=""),"ERR","")) &amp; IF(ISERROR(FIND($G$2,Lines!V14))=TRUE,"",IF('1000'!V14="","ERR","")) &amp; IF(ISERROR(FIND($H$2,Lines!V14))=TRUE,"",IF('500DC'!V14="","ERR","")) &amp; IF(ISERROR(FIND($I$2,Lines!V14))=TRUE,"",IF('800DC'!V14="","ERR","")) &amp; IF(ISERROR(FIND($J$2,Lines!V14))=TRUE,"",IF('1000'!V14="","ERR",""))</f>
        <v/>
      </c>
      <c r="W14" s="109" t="str">
        <f>IF(ISERROR(FIND($B$2,Lines!W14))=TRUE,"",IF('750'!W14="","ERR","")) &amp; IF(ISERROR(FIND($C$2,Lines!W14))=TRUE,"",IF('500'!W14="","ERR","")) &amp; IF(ISERROR(FIND($D$2,Lines!W14))=TRUE,"",IF('330'!W14="","ERR","")) &amp; IF(ISERROR(FIND($E$2,Lines!W14))=TRUE,"",IF('220'!W14="","ERR",""))&amp; IF(ISERROR(FIND($F$2,Lines!W14))=TRUE,"",IF(AND('500DC'!W14="",'800DC'!W14=""),"ERR","")) &amp; IF(ISERROR(FIND($G$2,Lines!W14))=TRUE,"",IF('1000'!W14="","ERR","")) &amp; IF(ISERROR(FIND($H$2,Lines!W14))=TRUE,"",IF('500DC'!W14="","ERR","")) &amp; IF(ISERROR(FIND($I$2,Lines!W14))=TRUE,"",IF('800DC'!W14="","ERR","")) &amp; IF(ISERROR(FIND($J$2,Lines!W14))=TRUE,"",IF('1000'!W14="","ERR",""))</f>
        <v/>
      </c>
      <c r="X14" s="108" t="str">
        <f>IF(ISERROR(FIND($B$2,Lines!X14))=TRUE,"",IF('750'!X14="","ERR","")) &amp; IF(ISERROR(FIND($C$2,Lines!X14))=TRUE,"",IF('500'!X14="","ERR","")) &amp; IF(ISERROR(FIND($D$2,Lines!X14))=TRUE,"",IF('330'!X14="","ERR","")) &amp; IF(ISERROR(FIND($E$2,Lines!X14))=TRUE,"",IF('220'!X14="","ERR",""))&amp; IF(ISERROR(FIND($F$2,Lines!X14))=TRUE,"",IF(AND('500DC'!X14="",'800DC'!X14=""),"ERR","")) &amp; IF(ISERROR(FIND($G$2,Lines!X14))=TRUE,"",IF('1000'!X14="","ERR","")) &amp; IF(ISERROR(FIND($H$2,Lines!X14))=TRUE,"",IF('500DC'!X14="","ERR","")) &amp; IF(ISERROR(FIND($I$2,Lines!X14))=TRUE,"",IF('800DC'!X14="","ERR","")) &amp; IF(ISERROR(FIND($J$2,Lines!X14))=TRUE,"",IF('1000'!X14="","ERR",""))</f>
        <v/>
      </c>
      <c r="Y14" s="108" t="str">
        <f>IF(ISERROR(FIND($B$2,Lines!Y14))=TRUE,"",IF('750'!Y14="","ERR","")) &amp; IF(ISERROR(FIND($C$2,Lines!Y14))=TRUE,"",IF('500'!Y14="","ERR","")) &amp; IF(ISERROR(FIND($D$2,Lines!Y14))=TRUE,"",IF('330'!Y14="","ERR","")) &amp; IF(ISERROR(FIND($E$2,Lines!Y14))=TRUE,"",IF('220'!Y14="","ERR",""))&amp; IF(ISERROR(FIND($F$2,Lines!Y14))=TRUE,"",IF(AND('500DC'!Y14="",'800DC'!Y14=""),"ERR","")) &amp; IF(ISERROR(FIND($G$2,Lines!Y14))=TRUE,"",IF('1000'!Y14="","ERR","")) &amp; IF(ISERROR(FIND($H$2,Lines!Y14))=TRUE,"",IF('500DC'!Y14="","ERR","")) &amp; IF(ISERROR(FIND($I$2,Lines!Y14))=TRUE,"",IF('800DC'!Y14="","ERR","")) &amp; IF(ISERROR(FIND($J$2,Lines!Y14))=TRUE,"",IF('1000'!Y14="","ERR",""))</f>
        <v/>
      </c>
      <c r="Z14" s="108" t="str">
        <f>IF(ISERROR(FIND($B$2,Lines!Z14))=TRUE,"",IF('750'!Z14="","ERR","")) &amp; IF(ISERROR(FIND($C$2,Lines!Z14))=TRUE,"",IF('500'!Z14="","ERR","")) &amp; IF(ISERROR(FIND($D$2,Lines!Z14))=TRUE,"",IF('330'!Z14="","ERR","")) &amp; IF(ISERROR(FIND($E$2,Lines!Z14))=TRUE,"",IF('220'!Z14="","ERR",""))&amp; IF(ISERROR(FIND($F$2,Lines!Z14))=TRUE,"",IF(AND('500DC'!Z14="",'800DC'!Z14=""),"ERR","")) &amp; IF(ISERROR(FIND($G$2,Lines!Z14))=TRUE,"",IF('1000'!Z14="","ERR","")) &amp; IF(ISERROR(FIND($H$2,Lines!Z14))=TRUE,"",IF('500DC'!Z14="","ERR","")) &amp; IF(ISERROR(FIND($I$2,Lines!Z14))=TRUE,"",IF('800DC'!Z14="","ERR","")) &amp; IF(ISERROR(FIND($J$2,Lines!Z14))=TRUE,"",IF('1000'!Z14="","ERR",""))</f>
        <v/>
      </c>
      <c r="AA14" s="108" t="str">
        <f>IF(ISERROR(FIND($B$2,Lines!AA14))=TRUE,"",IF('750'!AA14="","ERR","")) &amp; IF(ISERROR(FIND($C$2,Lines!AA14))=TRUE,"",IF('500'!AA14="","ERR","")) &amp; IF(ISERROR(FIND($D$2,Lines!AA14))=TRUE,"",IF('330'!AA14="","ERR","")) &amp; IF(ISERROR(FIND($E$2,Lines!AA14))=TRUE,"",IF('220'!AA14="","ERR",""))&amp; IF(ISERROR(FIND($F$2,Lines!AA14))=TRUE,"",IF(AND('500DC'!AA14="",'800DC'!AA14=""),"ERR","")) &amp; IF(ISERROR(FIND($G$2,Lines!AA14))=TRUE,"",IF('1000'!AA14="","ERR","")) &amp; IF(ISERROR(FIND($H$2,Lines!AA14))=TRUE,"",IF('500DC'!AA14="","ERR","")) &amp; IF(ISERROR(FIND($I$2,Lines!AA14))=TRUE,"",IF('800DC'!AA14="","ERR","")) &amp; IF(ISERROR(FIND($J$2,Lines!AA14))=TRUE,"",IF('1000'!AA14="","ERR",""))</f>
        <v/>
      </c>
      <c r="AB14" s="108" t="str">
        <f>IF(ISERROR(FIND($B$2,Lines!AB14))=TRUE,"",IF('750'!AB14="","ERR","")) &amp; IF(ISERROR(FIND($C$2,Lines!AB14))=TRUE,"",IF('500'!AB14="","ERR","")) &amp; IF(ISERROR(FIND($D$2,Lines!AB14))=TRUE,"",IF('330'!AB14="","ERR","")) &amp; IF(ISERROR(FIND($E$2,Lines!AB14))=TRUE,"",IF('220'!AB14="","ERR",""))&amp; IF(ISERROR(FIND($F$2,Lines!AB14))=TRUE,"",IF(AND('500DC'!AB14="",'800DC'!AB14=""),"ERR","")) &amp; IF(ISERROR(FIND($G$2,Lines!AB14))=TRUE,"",IF('1000'!AB14="","ERR","")) &amp; IF(ISERROR(FIND($H$2,Lines!AB14))=TRUE,"",IF('500DC'!AB14="","ERR","")) &amp; IF(ISERROR(FIND($I$2,Lines!AB14))=TRUE,"",IF('800DC'!AB14="","ERR","")) &amp; IF(ISERROR(FIND($J$2,Lines!AB14))=TRUE,"",IF('1000'!AB14="","ERR",""))</f>
        <v/>
      </c>
      <c r="AC14" s="108" t="str">
        <f>IF(ISERROR(FIND($B$2,Lines!AC14))=TRUE,"",IF('750'!AC14="","ERR","")) &amp; IF(ISERROR(FIND($C$2,Lines!AC14))=TRUE,"",IF('500'!AC14="","ERR","")) &amp; IF(ISERROR(FIND($D$2,Lines!AC14))=TRUE,"",IF('330'!AC14="","ERR","")) &amp; IF(ISERROR(FIND($E$2,Lines!AC14))=TRUE,"",IF('220'!AC14="","ERR",""))&amp; IF(ISERROR(FIND($F$2,Lines!AC14))=TRUE,"",IF(AND('500DC'!AC14="",'800DC'!AC14=""),"ERR","")) &amp; IF(ISERROR(FIND($G$2,Lines!AC14))=TRUE,"",IF('1000'!AC14="","ERR","")) &amp; IF(ISERROR(FIND($H$2,Lines!AC14))=TRUE,"",IF('500DC'!AC14="","ERR","")) &amp; IF(ISERROR(FIND($I$2,Lines!AC14))=TRUE,"",IF('800DC'!AC14="","ERR","")) &amp; IF(ISERROR(FIND($J$2,Lines!AC14))=TRUE,"",IF('1000'!AC14="","ERR",""))</f>
        <v/>
      </c>
      <c r="AD14" s="108" t="str">
        <f>IF(ISERROR(FIND($B$2,Lines!AD14))=TRUE,"",IF('750'!AD14="","ERR","")) &amp; IF(ISERROR(FIND($C$2,Lines!AD14))=TRUE,"",IF('500'!AD14="","ERR","")) &amp; IF(ISERROR(FIND($D$2,Lines!AD14))=TRUE,"",IF('330'!AD14="","ERR","")) &amp; IF(ISERROR(FIND($E$2,Lines!AD14))=TRUE,"",IF('220'!AD14="","ERR",""))&amp; IF(ISERROR(FIND($F$2,Lines!AD14))=TRUE,"",IF(AND('500DC'!AD14="",'800DC'!AD14=""),"ERR","")) &amp; IF(ISERROR(FIND($G$2,Lines!AD14))=TRUE,"",IF('1000'!AD14="","ERR","")) &amp; IF(ISERROR(FIND($H$2,Lines!AD14))=TRUE,"",IF('500DC'!AD14="","ERR","")) &amp; IF(ISERROR(FIND($I$2,Lines!AD14))=TRUE,"",IF('800DC'!AD14="","ERR","")) &amp; IF(ISERROR(FIND($J$2,Lines!AD14))=TRUE,"",IF('1000'!AD14="","ERR",""))</f>
        <v/>
      </c>
      <c r="AE14" s="108" t="str">
        <f>IF(ISERROR(FIND($B$2,Lines!AE14))=TRUE,"",IF('750'!AE14="","ERR","")) &amp; IF(ISERROR(FIND($C$2,Lines!AE14))=TRUE,"",IF('500'!AE14="","ERR","")) &amp; IF(ISERROR(FIND($D$2,Lines!AE14))=TRUE,"",IF('330'!AE14="","ERR","")) &amp; IF(ISERROR(FIND($E$2,Lines!AE14))=TRUE,"",IF('220'!AE14="","ERR",""))&amp; IF(ISERROR(FIND($F$2,Lines!AE14))=TRUE,"",IF(AND('500DC'!AE14="",'800DC'!AE14=""),"ERR","")) &amp; IF(ISERROR(FIND($G$2,Lines!AE14))=TRUE,"",IF('1000'!AE14="","ERR","")) &amp; IF(ISERROR(FIND($H$2,Lines!AE14))=TRUE,"",IF('500DC'!AE14="","ERR","")) &amp; IF(ISERROR(FIND($I$2,Lines!AE14))=TRUE,"",IF('800DC'!AE14="","ERR","")) &amp; IF(ISERROR(FIND($J$2,Lines!AE14))=TRUE,"",IF('1000'!AE14="","ERR",""))</f>
        <v/>
      </c>
      <c r="AF14" s="108" t="str">
        <f>IF(ISERROR(FIND($B$2,Lines!AF14))=TRUE,"",IF('750'!AF14="","ERR","")) &amp; IF(ISERROR(FIND($C$2,Lines!AF14))=TRUE,"",IF('500'!AF14="","ERR","")) &amp; IF(ISERROR(FIND($D$2,Lines!AF14))=TRUE,"",IF('330'!AF14="","ERR","")) &amp; IF(ISERROR(FIND($E$2,Lines!AF14))=TRUE,"",IF('220'!AF14="","ERR",""))&amp; IF(ISERROR(FIND($F$2,Lines!AF14))=TRUE,"",IF(AND('500DC'!AF14="",'800DC'!AF14=""),"ERR","")) &amp; IF(ISERROR(FIND($G$2,Lines!AF14))=TRUE,"",IF('1000'!AF14="","ERR","")) &amp; IF(ISERROR(FIND($H$2,Lines!AF14))=TRUE,"",IF('500DC'!AF14="","ERR","")) &amp; IF(ISERROR(FIND($I$2,Lines!AF14))=TRUE,"",IF('800DC'!AF14="","ERR","")) &amp; IF(ISERROR(FIND($J$2,Lines!AF14))=TRUE,"",IF('1000'!AF14="","ERR",""))</f>
        <v/>
      </c>
      <c r="AG14" s="108" t="str">
        <f>IF(ISERROR(FIND($B$2,Lines!AG14))=TRUE,"",IF('750'!AG14="","ERR","")) &amp; IF(ISERROR(FIND($C$2,Lines!AG14))=TRUE,"",IF('500'!AG14="","ERR","")) &amp; IF(ISERROR(FIND($D$2,Lines!AG14))=TRUE,"",IF('330'!AG14="","ERR","")) &amp; IF(ISERROR(FIND($E$2,Lines!AG14))=TRUE,"",IF('220'!AG14="","ERR",""))&amp; IF(ISERROR(FIND($F$2,Lines!AG14))=TRUE,"",IF(AND('500DC'!AG14="",'800DC'!AG14=""),"ERR","")) &amp; IF(ISERROR(FIND($G$2,Lines!AG14))=TRUE,"",IF('1000'!AG14="","ERR","")) &amp; IF(ISERROR(FIND($H$2,Lines!AG14))=TRUE,"",IF('500DC'!AG14="","ERR","")) &amp; IF(ISERROR(FIND($I$2,Lines!AG14))=TRUE,"",IF('800DC'!AG14="","ERR","")) &amp; IF(ISERROR(FIND($J$2,Lines!AG14))=TRUE,"",IF('1000'!AG14="","ERR",""))</f>
        <v/>
      </c>
      <c r="AH14" s="108" t="str">
        <f>IF(ISERROR(FIND($B$2,Lines!AH14))=TRUE,"",IF('750'!AH14="","ERR","")) &amp; IF(ISERROR(FIND($C$2,Lines!AH14))=TRUE,"",IF('500'!AH14="","ERR","")) &amp; IF(ISERROR(FIND($D$2,Lines!AH14))=TRUE,"",IF('330'!AH14="","ERR","")) &amp; IF(ISERROR(FIND($E$2,Lines!AH14))=TRUE,"",IF('220'!AH14="","ERR",""))&amp; IF(ISERROR(FIND($F$2,Lines!AH14))=TRUE,"",IF(AND('500DC'!AH14="",'800DC'!AH14=""),"ERR","")) &amp; IF(ISERROR(FIND($G$2,Lines!AH14))=TRUE,"",IF('1000'!AH14="","ERR","")) &amp; IF(ISERROR(FIND($H$2,Lines!AH14))=TRUE,"",IF('500DC'!AH14="","ERR","")) &amp; IF(ISERROR(FIND($I$2,Lines!AH14))=TRUE,"",IF('800DC'!AH14="","ERR","")) &amp; IF(ISERROR(FIND($J$2,Lines!AH14))=TRUE,"",IF('1000'!AH14="","ERR",""))</f>
        <v/>
      </c>
      <c r="AI14" s="108" t="str">
        <f>IF(ISERROR(FIND($B$2,Lines!AI14))=TRUE,"",IF('750'!AI14="","ERR","")) &amp; IF(ISERROR(FIND($C$2,Lines!AI14))=TRUE,"",IF('500'!AI14="","ERR","")) &amp; IF(ISERROR(FIND($D$2,Lines!AI14))=TRUE,"",IF('330'!AI14="","ERR","")) &amp; IF(ISERROR(FIND($E$2,Lines!AI14))=TRUE,"",IF('220'!AI14="","ERR",""))&amp; IF(ISERROR(FIND($F$2,Lines!AI14))=TRUE,"",IF(AND('500DC'!AI14="",'800DC'!AI14=""),"ERR","")) &amp; IF(ISERROR(FIND($G$2,Lines!AI14))=TRUE,"",IF('1000'!AI14="","ERR","")) &amp; IF(ISERROR(FIND($H$2,Lines!AI14))=TRUE,"",IF('500DC'!AI14="","ERR","")) &amp; IF(ISERROR(FIND($I$2,Lines!AI14))=TRUE,"",IF('800DC'!AI14="","ERR","")) &amp; IF(ISERROR(FIND($J$2,Lines!AI14))=TRUE,"",IF('1000'!AI14="","ERR",""))</f>
        <v/>
      </c>
      <c r="AJ14" s="108" t="str">
        <f>IF(ISERROR(FIND($B$2,Lines!AJ14))=TRUE,"",IF('750'!AJ14="","ERR","")) &amp; IF(ISERROR(FIND($C$2,Lines!AJ14))=TRUE,"",IF('500'!AJ14="","ERR","")) &amp; IF(ISERROR(FIND($D$2,Lines!AJ14))=TRUE,"",IF('330'!AJ14="","ERR","")) &amp; IF(ISERROR(FIND($E$2,Lines!AJ14))=TRUE,"",IF('220'!AJ14="","ERR",""))&amp; IF(ISERROR(FIND($F$2,Lines!AJ14))=TRUE,"",IF(AND('500DC'!AJ14="",'800DC'!AJ14=""),"ERR","")) &amp; IF(ISERROR(FIND($G$2,Lines!AJ14))=TRUE,"",IF('1000'!AJ14="","ERR","")) &amp; IF(ISERROR(FIND($H$2,Lines!AJ14))=TRUE,"",IF('500DC'!AJ14="","ERR","")) &amp; IF(ISERROR(FIND($I$2,Lines!AJ14))=TRUE,"",IF('800DC'!AJ14="","ERR","")) &amp; IF(ISERROR(FIND($J$2,Lines!AJ14))=TRUE,"",IF('1000'!AJ14="","ERR",""))</f>
        <v/>
      </c>
      <c r="AK14" s="108" t="str">
        <f>IF(ISERROR(FIND($B$2,Lines!AK14))=TRUE,"",IF('750'!AK14="","ERR","")) &amp; IF(ISERROR(FIND($C$2,Lines!AK14))=TRUE,"",IF('500'!AK14="","ERR","")) &amp; IF(ISERROR(FIND($D$2,Lines!AK14))=TRUE,"",IF('330'!AK14="","ERR","")) &amp; IF(ISERROR(FIND($E$2,Lines!AK14))=TRUE,"",IF('220'!AK14="","ERR",""))&amp; IF(ISERROR(FIND($F$2,Lines!AK14))=TRUE,"",IF(AND('500DC'!AK14="",'800DC'!AK14=""),"ERR","")) &amp; IF(ISERROR(FIND($G$2,Lines!AK14))=TRUE,"",IF('1000'!AK14="","ERR","")) &amp; IF(ISERROR(FIND($H$2,Lines!AK14))=TRUE,"",IF('500DC'!AK14="","ERR","")) &amp; IF(ISERROR(FIND($I$2,Lines!AK14))=TRUE,"",IF('800DC'!AK14="","ERR","")) &amp; IF(ISERROR(FIND($J$2,Lines!AK14))=TRUE,"",IF('1000'!AK14="","ERR",""))</f>
        <v/>
      </c>
      <c r="AL14" s="108" t="str">
        <f>IF(ISERROR(FIND($B$2,Lines!AL14))=TRUE,"",IF('750'!AL14="","ERR","")) &amp; IF(ISERROR(FIND($C$2,Lines!AL14))=TRUE,"",IF('500'!AL14="","ERR","")) &amp; IF(ISERROR(FIND($D$2,Lines!AL14))=TRUE,"",IF('330'!AL14="","ERR","")) &amp; IF(ISERROR(FIND($E$2,Lines!AL14))=TRUE,"",IF('220'!AL14="","ERR",""))&amp; IF(ISERROR(FIND($F$2,Lines!AL14))=TRUE,"",IF(AND('500DC'!AL14="",'800DC'!AL14=""),"ERR","")) &amp; IF(ISERROR(FIND($G$2,Lines!AL14))=TRUE,"",IF('1000'!AL14="","ERR","")) &amp; IF(ISERROR(FIND($H$2,Lines!AL14))=TRUE,"",IF('500DC'!AL14="","ERR","")) &amp; IF(ISERROR(FIND($I$2,Lines!AL14))=TRUE,"",IF('800DC'!AL14="","ERR","")) &amp; IF(ISERROR(FIND($J$2,Lines!AL14))=TRUE,"",IF('1000'!AL14="","ERR",""))</f>
        <v/>
      </c>
      <c r="AM14" s="108" t="str">
        <f>IF(ISERROR(FIND($B$2,Lines!AM14))=TRUE,"",IF('750'!AM14="","ERR","")) &amp; IF(ISERROR(FIND($C$2,Lines!AM14))=TRUE,"",IF('500'!AM14="","ERR","")) &amp; IF(ISERROR(FIND($D$2,Lines!AM14))=TRUE,"",IF('330'!AM14="","ERR","")) &amp; IF(ISERROR(FIND($E$2,Lines!AM14))=TRUE,"",IF('220'!AM14="","ERR",""))&amp; IF(ISERROR(FIND($F$2,Lines!AM14))=TRUE,"",IF(AND('500DC'!AM14="",'800DC'!AM14=""),"ERR","")) &amp; IF(ISERROR(FIND($G$2,Lines!AM14))=TRUE,"",IF('1000'!AM14="","ERR","")) &amp; IF(ISERROR(FIND($H$2,Lines!AM14))=TRUE,"",IF('500DC'!AM14="","ERR","")) &amp; IF(ISERROR(FIND($I$2,Lines!AM14))=TRUE,"",IF('800DC'!AM14="","ERR","")) &amp; IF(ISERROR(FIND($J$2,Lines!AM14))=TRUE,"",IF('1000'!AM14="","ERR",""))</f>
        <v/>
      </c>
      <c r="AN14" s="108" t="str">
        <f>IF(ISERROR(FIND($B$2,Lines!AN14))=TRUE,"",IF('750'!AN14="","ERR","")) &amp; IF(ISERROR(FIND($C$2,Lines!AN14))=TRUE,"",IF('500'!AN14="","ERR","")) &amp; IF(ISERROR(FIND($D$2,Lines!AN14))=TRUE,"",IF('330'!AN14="","ERR","")) &amp; IF(ISERROR(FIND($E$2,Lines!AN14))=TRUE,"",IF('220'!AN14="","ERR",""))&amp; IF(ISERROR(FIND($F$2,Lines!AN14))=TRUE,"",IF(AND('500DC'!AN14="",'800DC'!AN14=""),"ERR","")) &amp; IF(ISERROR(FIND($G$2,Lines!AN14))=TRUE,"",IF('1000'!AN14="","ERR","")) &amp; IF(ISERROR(FIND($H$2,Lines!AN14))=TRUE,"",IF('500DC'!AN14="","ERR","")) &amp; IF(ISERROR(FIND($I$2,Lines!AN14))=TRUE,"",IF('800DC'!AN14="","ERR","")) &amp; IF(ISERROR(FIND($J$2,Lines!AN14))=TRUE,"",IF('1000'!AN14="","ERR",""))</f>
        <v/>
      </c>
      <c r="AO14" s="108" t="str">
        <f>IF(ISERROR(FIND($B$2,Lines!AO14))=TRUE,"",IF('750'!AO14="","ERR","")) &amp; IF(ISERROR(FIND($C$2,Lines!AO14))=TRUE,"",IF('500'!AO14="","ERR","")) &amp; IF(ISERROR(FIND($D$2,Lines!AO14))=TRUE,"",IF('330'!AO14="","ERR","")) &amp; IF(ISERROR(FIND($E$2,Lines!AO14))=TRUE,"",IF('220'!AO14="","ERR",""))&amp; IF(ISERROR(FIND($F$2,Lines!AO14))=TRUE,"",IF(AND('500DC'!AO14="",'800DC'!AO14=""),"ERR","")) &amp; IF(ISERROR(FIND($G$2,Lines!AO14))=TRUE,"",IF('1000'!AO14="","ERR","")) &amp; IF(ISERROR(FIND($H$2,Lines!AO14))=TRUE,"",IF('500DC'!AO14="","ERR","")) &amp; IF(ISERROR(FIND($I$2,Lines!AO14))=TRUE,"",IF('800DC'!AO14="","ERR","")) &amp; IF(ISERROR(FIND($J$2,Lines!AO14))=TRUE,"",IF('1000'!AO14="","ERR",""))</f>
        <v/>
      </c>
      <c r="AP14" s="108" t="str">
        <f>IF(ISERROR(FIND($B$2,Lines!AP14))=TRUE,"",IF('750'!AP14="","ERR","")) &amp; IF(ISERROR(FIND($C$2,Lines!AP14))=TRUE,"",IF('500'!AP14="","ERR","")) &amp; IF(ISERROR(FIND($D$2,Lines!AP14))=TRUE,"",IF('330'!AP14="","ERR","")) &amp; IF(ISERROR(FIND($E$2,Lines!AP14))=TRUE,"",IF('220'!AP14="","ERR",""))&amp; IF(ISERROR(FIND($F$2,Lines!AP14))=TRUE,"",IF(AND('500DC'!AP14="",'800DC'!AP14=""),"ERR","")) &amp; IF(ISERROR(FIND($G$2,Lines!AP14))=TRUE,"",IF('1000'!AP14="","ERR","")) &amp; IF(ISERROR(FIND($H$2,Lines!AP14))=TRUE,"",IF('500DC'!AP14="","ERR","")) &amp; IF(ISERROR(FIND($I$2,Lines!AP14))=TRUE,"",IF('800DC'!AP14="","ERR","")) &amp; IF(ISERROR(FIND($J$2,Lines!AP14))=TRUE,"",IF('1000'!AP14="","ERR",""))</f>
        <v/>
      </c>
      <c r="AQ14" s="108" t="str">
        <f>IF(ISERROR(FIND($B$2,Lines!AQ14))=TRUE,"",IF('750'!AQ14="","ERR","")) &amp; IF(ISERROR(FIND($C$2,Lines!AQ14))=TRUE,"",IF('500'!AQ14="","ERR","")) &amp; IF(ISERROR(FIND($D$2,Lines!AQ14))=TRUE,"",IF('330'!AQ14="","ERR","")) &amp; IF(ISERROR(FIND($E$2,Lines!AQ14))=TRUE,"",IF('220'!AQ14="","ERR",""))&amp; IF(ISERROR(FIND($F$2,Lines!AQ14))=TRUE,"",IF(AND('500DC'!AQ14="",'800DC'!AQ14=""),"ERR","")) &amp; IF(ISERROR(FIND($G$2,Lines!AQ14))=TRUE,"",IF('1000'!AQ14="","ERR","")) &amp; IF(ISERROR(FIND($H$2,Lines!AQ14))=TRUE,"",IF('500DC'!AQ14="","ERR","")) &amp; IF(ISERROR(FIND($I$2,Lines!AQ14))=TRUE,"",IF('800DC'!AQ14="","ERR","")) &amp; IF(ISERROR(FIND($J$2,Lines!AQ14))=TRUE,"",IF('1000'!AQ14="","ERR",""))</f>
        <v/>
      </c>
      <c r="AR14" s="108" t="str">
        <f>IF(ISERROR(FIND($B$2,Lines!AR14))=TRUE,"",IF('750'!AR14="","ERR","")) &amp; IF(ISERROR(FIND($C$2,Lines!AR14))=TRUE,"",IF('500'!AR14="","ERR","")) &amp; IF(ISERROR(FIND($D$2,Lines!AR14))=TRUE,"",IF('330'!AR14="","ERR","")) &amp; IF(ISERROR(FIND($E$2,Lines!AR14))=TRUE,"",IF('220'!AR14="","ERR",""))&amp; IF(ISERROR(FIND($F$2,Lines!AR14))=TRUE,"",IF(AND('500DC'!AR14="",'800DC'!AR14=""),"ERR","")) &amp; IF(ISERROR(FIND($G$2,Lines!AR14))=TRUE,"",IF('1000'!AR14="","ERR","")) &amp; IF(ISERROR(FIND($H$2,Lines!AR14))=TRUE,"",IF('500DC'!AR14="","ERR","")) &amp; IF(ISERROR(FIND($I$2,Lines!AR14))=TRUE,"",IF('800DC'!AR14="","ERR","")) &amp; IF(ISERROR(FIND($J$2,Lines!AR14))=TRUE,"",IF('1000'!AR14="","ERR",""))</f>
        <v/>
      </c>
      <c r="AS14" s="108" t="str">
        <f>IF(ISERROR(FIND($B$2,Lines!AS14))=TRUE,"",IF('750'!AS14="","ERR","")) &amp; IF(ISERROR(FIND($C$2,Lines!AS14))=TRUE,"",IF('500'!AS14="","ERR","")) &amp; IF(ISERROR(FIND($D$2,Lines!AS14))=TRUE,"",IF('330'!AS14="","ERR","")) &amp; IF(ISERROR(FIND($E$2,Lines!AS14))=TRUE,"",IF('220'!AS14="","ERR",""))&amp; IF(ISERROR(FIND($F$2,Lines!AS14))=TRUE,"",IF(AND('500DC'!AS14="",'800DC'!AS14=""),"ERR","")) &amp; IF(ISERROR(FIND($G$2,Lines!AS14))=TRUE,"",IF('1000'!AS14="","ERR","")) &amp; IF(ISERROR(FIND($H$2,Lines!AS14))=TRUE,"",IF('500DC'!AS14="","ERR","")) &amp; IF(ISERROR(FIND($I$2,Lines!AS14))=TRUE,"",IF('800DC'!AS14="","ERR","")) &amp; IF(ISERROR(FIND($J$2,Lines!AS14))=TRUE,"",IF('1000'!AS14="","ERR",""))</f>
        <v/>
      </c>
      <c r="AT14" s="108" t="str">
        <f>IF(ISERROR(FIND($B$2,Lines!AT14))=TRUE,"",IF('750'!AT14="","ERR","")) &amp; IF(ISERROR(FIND($C$2,Lines!AT14))=TRUE,"",IF('500'!AT14="","ERR","")) &amp; IF(ISERROR(FIND($D$2,Lines!AT14))=TRUE,"",IF('330'!AT14="","ERR","")) &amp; IF(ISERROR(FIND($E$2,Lines!AT14))=TRUE,"",IF('220'!AT14="","ERR",""))&amp; IF(ISERROR(FIND($F$2,Lines!AT14))=TRUE,"",IF(AND('500DC'!AT14="",'800DC'!AT14=""),"ERR","")) &amp; IF(ISERROR(FIND($G$2,Lines!AT14))=TRUE,"",IF('1000'!AT14="","ERR","")) &amp; IF(ISERROR(FIND($H$2,Lines!AT14))=TRUE,"",IF('500DC'!AT14="","ERR","")) &amp; IF(ISERROR(FIND($I$2,Lines!AT14))=TRUE,"",IF('800DC'!AT14="","ERR","")) &amp; IF(ISERROR(FIND($J$2,Lines!AT14))=TRUE,"",IF('1000'!AT14="","ERR",""))</f>
        <v/>
      </c>
    </row>
    <row r="15" spans="1:46" ht="20.25" customHeight="1">
      <c r="A15" s="2" t="s">
        <v>65</v>
      </c>
      <c r="B15" s="110" t="str">
        <f>IF(ISERROR(FIND($B$2,Lines!B15))=TRUE,"",IF('750'!B15="","ERR","")) &amp; IF(ISERROR(FIND($C$2,Lines!B15))=TRUE,"",IF('500'!B15="","ERR","")) &amp; IF(ISERROR(FIND($D$2,Lines!B15))=TRUE,"",IF('330'!B15="","ERR","")) &amp; IF(ISERROR(FIND($E$2,Lines!B15))=TRUE,"",IF('220'!B15="","ERR",""))&amp; IF(ISERROR(FIND($F$2,Lines!B15))=TRUE,"",IF(AND('500DC'!B15="",'800DC'!B15=""),"ERR","")) &amp; IF(ISERROR(FIND($G$2,Lines!B15))=TRUE,"",IF('1000'!B15="","ERR","")) &amp; IF(ISERROR(FIND($H$2,Lines!B15))=TRUE,"",IF('500DC'!B15="","ERR","")) &amp; IF(ISERROR(FIND($I$2,Lines!B15))=TRUE,"",IF('800DC'!B15="","ERR","")) &amp; IF(ISERROR(FIND($J$2,Lines!B15))=TRUE,"",IF('1000'!B15="","ERR",""))</f>
        <v/>
      </c>
      <c r="C15" s="110" t="str">
        <f>IF(ISERROR(FIND($B$2,Lines!C15))=TRUE,"",IF('750'!C15="","ERR","")) &amp; IF(ISERROR(FIND($C$2,Lines!C15))=TRUE,"",IF('500'!C15="","ERR","")) &amp; IF(ISERROR(FIND($D$2,Lines!C15))=TRUE,"",IF('330'!C15="","ERR","")) &amp; IF(ISERROR(FIND($E$2,Lines!C15))=TRUE,"",IF('220'!C15="","ERR",""))&amp; IF(ISERROR(FIND($F$2,Lines!C15))=TRUE,"",IF(AND('500DC'!C15="",'800DC'!C15=""),"ERR","")) &amp; IF(ISERROR(FIND($G$2,Lines!C15))=TRUE,"",IF('1000'!C15="","ERR","")) &amp; IF(ISERROR(FIND($H$2,Lines!C15))=TRUE,"",IF('500DC'!C15="","ERR","")) &amp; IF(ISERROR(FIND($I$2,Lines!C15))=TRUE,"",IF('800DC'!C15="","ERR","")) &amp; IF(ISERROR(FIND($J$2,Lines!C15))=TRUE,"",IF('1000'!C15="","ERR",""))</f>
        <v/>
      </c>
      <c r="D15" s="110" t="str">
        <f>IF(ISERROR(FIND($B$2,Lines!D15))=TRUE,"",IF('750'!D15="","ERR","")) &amp; IF(ISERROR(FIND($C$2,Lines!D15))=TRUE,"",IF('500'!D15="","ERR","")) &amp; IF(ISERROR(FIND($D$2,Lines!D15))=TRUE,"",IF('330'!D15="","ERR","")) &amp; IF(ISERROR(FIND($E$2,Lines!D15))=TRUE,"",IF('220'!D15="","ERR",""))&amp; IF(ISERROR(FIND($F$2,Lines!D15))=TRUE,"",IF(AND('500DC'!D15="",'800DC'!D15=""),"ERR","")) &amp; IF(ISERROR(FIND($G$2,Lines!D15))=TRUE,"",IF('1000'!D15="","ERR","")) &amp; IF(ISERROR(FIND($H$2,Lines!D15))=TRUE,"",IF('500DC'!D15="","ERR","")) &amp; IF(ISERROR(FIND($I$2,Lines!D15))=TRUE,"",IF('800DC'!D15="","ERR","")) &amp; IF(ISERROR(FIND($J$2,Lines!D15))=TRUE,"",IF('1000'!D15="","ERR",""))</f>
        <v/>
      </c>
      <c r="E15" s="110" t="str">
        <f>IF(ISERROR(FIND($B$2,Lines!E15))=TRUE,"",IF('750'!E15="","ERR","")) &amp; IF(ISERROR(FIND($C$2,Lines!E15))=TRUE,"",IF('500'!E15="","ERR","")) &amp; IF(ISERROR(FIND($D$2,Lines!E15))=TRUE,"",IF('330'!E15="","ERR","")) &amp; IF(ISERROR(FIND($E$2,Lines!E15))=TRUE,"",IF('220'!E15="","ERR",""))&amp; IF(ISERROR(FIND($F$2,Lines!E15))=TRUE,"",IF(AND('500DC'!E15="",'800DC'!E15=""),"ERR","")) &amp; IF(ISERROR(FIND($G$2,Lines!E15))=TRUE,"",IF('1000'!E15="","ERR","")) &amp; IF(ISERROR(FIND($H$2,Lines!E15))=TRUE,"",IF('500DC'!E15="","ERR","")) &amp; IF(ISERROR(FIND($I$2,Lines!E15))=TRUE,"",IF('800DC'!E15="","ERR","")) &amp; IF(ISERROR(FIND($J$2,Lines!E15))=TRUE,"",IF('1000'!E15="","ERR",""))</f>
        <v/>
      </c>
      <c r="F15" s="110" t="str">
        <f>IF(ISERROR(FIND($B$2,Lines!F15))=TRUE,"",IF('750'!F15="","ERR","")) &amp; IF(ISERROR(FIND($C$2,Lines!F15))=TRUE,"",IF('500'!F15="","ERR","")) &amp; IF(ISERROR(FIND($D$2,Lines!F15))=TRUE,"",IF('330'!F15="","ERR","")) &amp; IF(ISERROR(FIND($E$2,Lines!F15))=TRUE,"",IF('220'!F15="","ERR",""))&amp; IF(ISERROR(FIND($F$2,Lines!F15))=TRUE,"",IF(AND('500DC'!F15="",'800DC'!F15=""),"ERR","")) &amp; IF(ISERROR(FIND($G$2,Lines!F15))=TRUE,"",IF('1000'!F15="","ERR","")) &amp; IF(ISERROR(FIND($H$2,Lines!F15))=TRUE,"",IF('500DC'!F15="","ERR","")) &amp; IF(ISERROR(FIND($I$2,Lines!F15))=TRUE,"",IF('800DC'!F15="","ERR","")) &amp; IF(ISERROR(FIND($J$2,Lines!F15))=TRUE,"",IF('1000'!F15="","ERR",""))</f>
        <v/>
      </c>
      <c r="G15" s="110" t="str">
        <f>IF(ISERROR(FIND($B$2,Lines!G15))=TRUE,"",IF('750'!G15="","ERR","")) &amp; IF(ISERROR(FIND($C$2,Lines!G15))=TRUE,"",IF('500'!G15="","ERR","")) &amp; IF(ISERROR(FIND($D$2,Lines!G15))=TRUE,"",IF('330'!G15="","ERR","")) &amp; IF(ISERROR(FIND($E$2,Lines!G15))=TRUE,"",IF('220'!G15="","ERR",""))&amp; IF(ISERROR(FIND($F$2,Lines!G15))=TRUE,"",IF(AND('500DC'!G15="",'800DC'!G15=""),"ERR","")) &amp; IF(ISERROR(FIND($G$2,Lines!G15))=TRUE,"",IF('1000'!G15="","ERR","")) &amp; IF(ISERROR(FIND($H$2,Lines!G15))=TRUE,"",IF('500DC'!G15="","ERR","")) &amp; IF(ISERROR(FIND($I$2,Lines!G15))=TRUE,"",IF('800DC'!G15="","ERR","")) &amp; IF(ISERROR(FIND($J$2,Lines!G15))=TRUE,"",IF('1000'!G15="","ERR",""))</f>
        <v/>
      </c>
      <c r="H15" s="110" t="str">
        <f>IF(ISERROR(FIND($B$2,Lines!H15))=TRUE,"",IF('750'!H15="","ERR","")) &amp; IF(ISERROR(FIND($C$2,Lines!H15))=TRUE,"",IF('500'!H15="","ERR","")) &amp; IF(ISERROR(FIND($D$2,Lines!H15))=TRUE,"",IF('330'!H15="","ERR","")) &amp; IF(ISERROR(FIND($E$2,Lines!H15))=TRUE,"",IF('220'!H15="","ERR",""))&amp; IF(ISERROR(FIND($F$2,Lines!H15))=TRUE,"",IF(AND('500DC'!H15="",'800DC'!H15=""),"ERR","")) &amp; IF(ISERROR(FIND($G$2,Lines!H15))=TRUE,"",IF('1000'!H15="","ERR","")) &amp; IF(ISERROR(FIND($H$2,Lines!H15))=TRUE,"",IF('500DC'!H15="","ERR","")) &amp; IF(ISERROR(FIND($I$2,Lines!H15))=TRUE,"",IF('800DC'!H15="","ERR","")) &amp; IF(ISERROR(FIND($J$2,Lines!H15))=TRUE,"",IF('1000'!H15="","ERR",""))</f>
        <v/>
      </c>
      <c r="I15" s="110" t="str">
        <f>IF(ISERROR(FIND($B$2,Lines!I15))=TRUE,"",IF('750'!I15="","ERR","")) &amp; IF(ISERROR(FIND($C$2,Lines!I15))=TRUE,"",IF('500'!I15="","ERR","")) &amp; IF(ISERROR(FIND($D$2,Lines!I15))=TRUE,"",IF('330'!I15="","ERR","")) &amp; IF(ISERROR(FIND($E$2,Lines!I15))=TRUE,"",IF('220'!I15="","ERR",""))&amp; IF(ISERROR(FIND($F$2,Lines!I15))=TRUE,"",IF(AND('500DC'!I15="",'800DC'!I15=""),"ERR","")) &amp; IF(ISERROR(FIND($G$2,Lines!I15))=TRUE,"",IF('1000'!I15="","ERR","")) &amp; IF(ISERROR(FIND($H$2,Lines!I15))=TRUE,"",IF('500DC'!I15="","ERR","")) &amp; IF(ISERROR(FIND($I$2,Lines!I15))=TRUE,"",IF('800DC'!I15="","ERR","")) &amp; IF(ISERROR(FIND($J$2,Lines!I15))=TRUE,"",IF('1000'!I15="","ERR",""))</f>
        <v/>
      </c>
      <c r="J15" s="110" t="str">
        <f>IF(ISERROR(FIND($B$2,Lines!J15))=TRUE,"",IF('750'!J15="","ERR","")) &amp; IF(ISERROR(FIND($C$2,Lines!J15))=TRUE,"",IF('500'!J15="","ERR","")) &amp; IF(ISERROR(FIND($D$2,Lines!J15))=TRUE,"",IF('330'!J15="","ERR","")) &amp; IF(ISERROR(FIND($E$2,Lines!J15))=TRUE,"",IF('220'!J15="","ERR",""))&amp; IF(ISERROR(FIND($F$2,Lines!J15))=TRUE,"",IF(AND('500DC'!J15="",'800DC'!J15=""),"ERR","")) &amp; IF(ISERROR(FIND($G$2,Lines!J15))=TRUE,"",IF('1000'!J15="","ERR","")) &amp; IF(ISERROR(FIND($H$2,Lines!J15))=TRUE,"",IF('500DC'!J15="","ERR","")) &amp; IF(ISERROR(FIND($I$2,Lines!J15))=TRUE,"",IF('800DC'!J15="","ERR","")) &amp; IF(ISERROR(FIND($J$2,Lines!J15))=TRUE,"",IF('1000'!J15="","ERR",""))</f>
        <v/>
      </c>
      <c r="K15" s="110" t="str">
        <f>IF(ISERROR(FIND($B$2,Lines!K15))=TRUE,"",IF('750'!K15="","ERR","")) &amp; IF(ISERROR(FIND($C$2,Lines!K15))=TRUE,"",IF('500'!K15="","ERR","")) &amp; IF(ISERROR(FIND($D$2,Lines!K15))=TRUE,"",IF('330'!K15="","ERR","")) &amp; IF(ISERROR(FIND($E$2,Lines!K15))=TRUE,"",IF('220'!K15="","ERR",""))&amp; IF(ISERROR(FIND($F$2,Lines!K15))=TRUE,"",IF(AND('500DC'!K15="",'800DC'!K15=""),"ERR","")) &amp; IF(ISERROR(FIND($G$2,Lines!K15))=TRUE,"",IF('1000'!K15="","ERR","")) &amp; IF(ISERROR(FIND($H$2,Lines!K15))=TRUE,"",IF('500DC'!K15="","ERR","")) &amp; IF(ISERROR(FIND($I$2,Lines!K15))=TRUE,"",IF('800DC'!K15="","ERR","")) &amp; IF(ISERROR(FIND($J$2,Lines!K15))=TRUE,"",IF('1000'!K15="","ERR",""))</f>
        <v/>
      </c>
      <c r="L15" s="110" t="str">
        <f>IF(ISERROR(FIND($B$2,Lines!L15))=TRUE,"",IF('750'!L15="","ERR","")) &amp; IF(ISERROR(FIND($C$2,Lines!L15))=TRUE,"",IF('500'!L15="","ERR","")) &amp; IF(ISERROR(FIND($D$2,Lines!L15))=TRUE,"",IF('330'!L15="","ERR","")) &amp; IF(ISERROR(FIND($E$2,Lines!L15))=TRUE,"",IF('220'!L15="","ERR",""))&amp; IF(ISERROR(FIND($F$2,Lines!L15))=TRUE,"",IF(AND('500DC'!L15="",'800DC'!L15=""),"ERR","")) &amp; IF(ISERROR(FIND($G$2,Lines!L15))=TRUE,"",IF('1000'!L15="","ERR","")) &amp; IF(ISERROR(FIND($H$2,Lines!L15))=TRUE,"",IF('500DC'!L15="","ERR","")) &amp; IF(ISERROR(FIND($I$2,Lines!L15))=TRUE,"",IF('800DC'!L15="","ERR","")) &amp; IF(ISERROR(FIND($J$2,Lines!L15))=TRUE,"",IF('1000'!L15="","ERR",""))</f>
        <v/>
      </c>
      <c r="M15" s="111" t="str">
        <f>IF(ISERROR(FIND($B$2,Lines!M15))=TRUE,"",IF('750'!M15="","ERR","")) &amp; IF(ISERROR(FIND($C$2,Lines!M15))=TRUE,"",IF('500'!M15="","ERR","")) &amp; IF(ISERROR(FIND($D$2,Lines!M15))=TRUE,"",IF('330'!M15="","ERR","")) &amp; IF(ISERROR(FIND($E$2,Lines!M15))=TRUE,"",IF('220'!M15="","ERR",""))&amp; IF(ISERROR(FIND($F$2,Lines!M15))=TRUE,"",IF(AND('500DC'!M15="",'800DC'!M15=""),"ERR","")) &amp; IF(ISERROR(FIND($G$2,Lines!M15))=TRUE,"",IF('1000'!M15="","ERR","")) &amp; IF(ISERROR(FIND($H$2,Lines!M15))=TRUE,"",IF('500DC'!M15="","ERR","")) &amp; IF(ISERROR(FIND($I$2,Lines!M15))=TRUE,"",IF('800DC'!M15="","ERR","")) &amp; IF(ISERROR(FIND($J$2,Lines!M15))=TRUE,"",IF('1000'!M15="","ERR",""))</f>
        <v/>
      </c>
      <c r="N15" s="108" t="str">
        <f>IF(ISERROR(FIND($B$2,Lines!N15))=TRUE,"",IF('750'!N15="","ERR","")) &amp; IF(ISERROR(FIND($C$2,Lines!N15))=TRUE,"",IF('500'!N15="","ERR","")) &amp; IF(ISERROR(FIND($D$2,Lines!N15))=TRUE,"",IF('330'!N15="","ERR","")) &amp; IF(ISERROR(FIND($E$2,Lines!N15))=TRUE,"",IF('220'!N15="","ERR",""))&amp; IF(ISERROR(FIND($F$2,Lines!N15))=TRUE,"",IF(AND('500DC'!N15="",'800DC'!N15=""),"ERR","")) &amp; IF(ISERROR(FIND($G$2,Lines!N15))=TRUE,"",IF('1000'!N15="","ERR","")) &amp; IF(ISERROR(FIND($H$2,Lines!N15))=TRUE,"",IF('500DC'!N15="","ERR","")) &amp; IF(ISERROR(FIND($I$2,Lines!N15))=TRUE,"",IF('800DC'!N15="","ERR","")) &amp; IF(ISERROR(FIND($J$2,Lines!N15))=TRUE,"",IF('1000'!N15="","ERR",""))</f>
        <v/>
      </c>
      <c r="O15" s="108" t="str">
        <f>IF(ISERROR(FIND($B$2,Lines!O15))=TRUE,"",IF('750'!O15="","ERR","")) &amp; IF(ISERROR(FIND($C$2,Lines!O15))=TRUE,"",IF('500'!O15="","ERR","")) &amp; IF(ISERROR(FIND($D$2,Lines!O15))=TRUE,"",IF('330'!O15="","ERR","")) &amp; IF(ISERROR(FIND($E$2,Lines!O15))=TRUE,"",IF('220'!O15="","ERR",""))&amp; IF(ISERROR(FIND($F$2,Lines!O15))=TRUE,"",IF(AND('500DC'!O15="",'800DC'!O15=""),"ERR","")) &amp; IF(ISERROR(FIND($G$2,Lines!O15))=TRUE,"",IF('1000'!O15="","ERR","")) &amp; IF(ISERROR(FIND($H$2,Lines!O15))=TRUE,"",IF('500DC'!O15="","ERR","")) &amp; IF(ISERROR(FIND($I$2,Lines!O15))=TRUE,"",IF('800DC'!O15="","ERR","")) &amp; IF(ISERROR(FIND($J$2,Lines!O15))=TRUE,"",IF('1000'!O15="","ERR",""))</f>
        <v/>
      </c>
      <c r="P15" s="108" t="str">
        <f>IF(ISERROR(FIND($B$2,Lines!P15))=TRUE,"",IF('750'!P15="","ERR","")) &amp; IF(ISERROR(FIND($C$2,Lines!P15))=TRUE,"",IF('500'!P15="","ERR","")) &amp; IF(ISERROR(FIND($D$2,Lines!P15))=TRUE,"",IF('330'!P15="","ERR","")) &amp; IF(ISERROR(FIND($E$2,Lines!P15))=TRUE,"",IF('220'!P15="","ERR",""))&amp; IF(ISERROR(FIND($F$2,Lines!P15))=TRUE,"",IF(AND('500DC'!P15="",'800DC'!P15=""),"ERR","")) &amp; IF(ISERROR(FIND($G$2,Lines!P15))=TRUE,"",IF('1000'!P15="","ERR","")) &amp; IF(ISERROR(FIND($H$2,Lines!P15))=TRUE,"",IF('500DC'!P15="","ERR","")) &amp; IF(ISERROR(FIND($I$2,Lines!P15))=TRUE,"",IF('800DC'!P15="","ERR","")) &amp; IF(ISERROR(FIND($J$2,Lines!P15))=TRUE,"",IF('1000'!P15="","ERR",""))</f>
        <v/>
      </c>
      <c r="Q15" s="108" t="str">
        <f>IF(ISERROR(FIND($B$2,Lines!Q15))=TRUE,"",IF('750'!Q15="","ERR","")) &amp; IF(ISERROR(FIND($C$2,Lines!Q15))=TRUE,"",IF('500'!Q15="","ERR","")) &amp; IF(ISERROR(FIND($D$2,Lines!Q15))=TRUE,"",IF('330'!Q15="","ERR","")) &amp; IF(ISERROR(FIND($E$2,Lines!Q15))=TRUE,"",IF('220'!Q15="","ERR",""))&amp; IF(ISERROR(FIND($F$2,Lines!Q15))=TRUE,"",IF(AND('500DC'!Q15="",'800DC'!Q15=""),"ERR","")) &amp; IF(ISERROR(FIND($G$2,Lines!Q15))=TRUE,"",IF('1000'!Q15="","ERR","")) &amp; IF(ISERROR(FIND($H$2,Lines!Q15))=TRUE,"",IF('500DC'!Q15="","ERR","")) &amp; IF(ISERROR(FIND($I$2,Lines!Q15))=TRUE,"",IF('800DC'!Q15="","ERR","")) &amp; IF(ISERROR(FIND($J$2,Lines!Q15))=TRUE,"",IF('1000'!Q15="","ERR",""))</f>
        <v/>
      </c>
      <c r="R15" s="108" t="str">
        <f>IF(ISERROR(FIND($B$2,Lines!R15))=TRUE,"",IF('750'!R15="","ERR","")) &amp; IF(ISERROR(FIND($C$2,Lines!R15))=TRUE,"",IF('500'!R15="","ERR","")) &amp; IF(ISERROR(FIND($D$2,Lines!R15))=TRUE,"",IF('330'!R15="","ERR","")) &amp; IF(ISERROR(FIND($E$2,Lines!R15))=TRUE,"",IF('220'!R15="","ERR",""))&amp; IF(ISERROR(FIND($F$2,Lines!R15))=TRUE,"",IF(AND('500DC'!R15="",'800DC'!R15=""),"ERR","")) &amp; IF(ISERROR(FIND($G$2,Lines!R15))=TRUE,"",IF('1000'!R15="","ERR","")) &amp; IF(ISERROR(FIND($H$2,Lines!R15))=TRUE,"",IF('500DC'!R15="","ERR","")) &amp; IF(ISERROR(FIND($I$2,Lines!R15))=TRUE,"",IF('800DC'!R15="","ERR","")) &amp; IF(ISERROR(FIND($J$2,Lines!R15))=TRUE,"",IF('1000'!R15="","ERR",""))</f>
        <v/>
      </c>
      <c r="S15" s="108" t="str">
        <f>IF(ISERROR(FIND($B$2,Lines!S15))=TRUE,"",IF('750'!S15="","ERR","")) &amp; IF(ISERROR(FIND($C$2,Lines!S15))=TRUE,"",IF('500'!S15="","ERR","")) &amp; IF(ISERROR(FIND($D$2,Lines!S15))=TRUE,"",IF('330'!S15="","ERR","")) &amp; IF(ISERROR(FIND($E$2,Lines!S15))=TRUE,"",IF('220'!S15="","ERR",""))&amp; IF(ISERROR(FIND($F$2,Lines!S15))=TRUE,"",IF(AND('500DC'!S15="",'800DC'!S15=""),"ERR","")) &amp; IF(ISERROR(FIND($G$2,Lines!S15))=TRUE,"",IF('1000'!S15="","ERR","")) &amp; IF(ISERROR(FIND($H$2,Lines!S15))=TRUE,"",IF('500DC'!S15="","ERR","")) &amp; IF(ISERROR(FIND($I$2,Lines!S15))=TRUE,"",IF('800DC'!S15="","ERR","")) &amp; IF(ISERROR(FIND($J$2,Lines!S15))=TRUE,"",IF('1000'!S15="","ERR",""))</f>
        <v/>
      </c>
      <c r="T15" s="108" t="str">
        <f>IF(ISERROR(FIND($B$2,Lines!T15))=TRUE,"",IF('750'!T15="","ERR","")) &amp; IF(ISERROR(FIND($C$2,Lines!T15))=TRUE,"",IF('500'!T15="","ERR","")) &amp; IF(ISERROR(FIND($D$2,Lines!T15))=TRUE,"",IF('330'!T15="","ERR","")) &amp; IF(ISERROR(FIND($E$2,Lines!T15))=TRUE,"",IF('220'!T15="","ERR",""))&amp; IF(ISERROR(FIND($F$2,Lines!T15))=TRUE,"",IF(AND('500DC'!T15="",'800DC'!T15=""),"ERR","")) &amp; IF(ISERROR(FIND($G$2,Lines!T15))=TRUE,"",IF('1000'!T15="","ERR","")) &amp; IF(ISERROR(FIND($H$2,Lines!T15))=TRUE,"",IF('500DC'!T15="","ERR","")) &amp; IF(ISERROR(FIND($I$2,Lines!T15))=TRUE,"",IF('800DC'!T15="","ERR","")) &amp; IF(ISERROR(FIND($J$2,Lines!T15))=TRUE,"",IF('1000'!T15="","ERR",""))</f>
        <v/>
      </c>
      <c r="U15" s="108" t="str">
        <f>IF(ISERROR(FIND($B$2,Lines!U15))=TRUE,"",IF('750'!U15="","ERR","")) &amp; IF(ISERROR(FIND($C$2,Lines!U15))=TRUE,"",IF('500'!U15="","ERR","")) &amp; IF(ISERROR(FIND($D$2,Lines!U15))=TRUE,"",IF('330'!U15="","ERR","")) &amp; IF(ISERROR(FIND($E$2,Lines!U15))=TRUE,"",IF('220'!U15="","ERR",""))&amp; IF(ISERROR(FIND($F$2,Lines!U15))=TRUE,"",IF(AND('500DC'!U15="",'800DC'!U15=""),"ERR","")) &amp; IF(ISERROR(FIND($G$2,Lines!U15))=TRUE,"",IF('1000'!U15="","ERR","")) &amp; IF(ISERROR(FIND($H$2,Lines!U15))=TRUE,"",IF('500DC'!U15="","ERR","")) &amp; IF(ISERROR(FIND($I$2,Lines!U15))=TRUE,"",IF('800DC'!U15="","ERR","")) &amp; IF(ISERROR(FIND($J$2,Lines!U15))=TRUE,"",IF('1000'!U15="","ERR",""))</f>
        <v/>
      </c>
      <c r="V15" s="108" t="str">
        <f>IF(ISERROR(FIND($B$2,Lines!V15))=TRUE,"",IF('750'!V15="","ERR","")) &amp; IF(ISERROR(FIND($C$2,Lines!V15))=TRUE,"",IF('500'!V15="","ERR","")) &amp; IF(ISERROR(FIND($D$2,Lines!V15))=TRUE,"",IF('330'!V15="","ERR","")) &amp; IF(ISERROR(FIND($E$2,Lines!V15))=TRUE,"",IF('220'!V15="","ERR",""))&amp; IF(ISERROR(FIND($F$2,Lines!V15))=TRUE,"",IF(AND('500DC'!V15="",'800DC'!V15=""),"ERR","")) &amp; IF(ISERROR(FIND($G$2,Lines!V15))=TRUE,"",IF('1000'!V15="","ERR","")) &amp; IF(ISERROR(FIND($H$2,Lines!V15))=TRUE,"",IF('500DC'!V15="","ERR","")) &amp; IF(ISERROR(FIND($I$2,Lines!V15))=TRUE,"",IF('800DC'!V15="","ERR","")) &amp; IF(ISERROR(FIND($J$2,Lines!V15))=TRUE,"",IF('1000'!V15="","ERR",""))</f>
        <v/>
      </c>
      <c r="W15" s="109" t="str">
        <f>IF(ISERROR(FIND($B$2,Lines!W15))=TRUE,"",IF('750'!W15="","ERR","")) &amp; IF(ISERROR(FIND($C$2,Lines!W15))=TRUE,"",IF('500'!W15="","ERR","")) &amp; IF(ISERROR(FIND($D$2,Lines!W15))=TRUE,"",IF('330'!W15="","ERR","")) &amp; IF(ISERROR(FIND($E$2,Lines!W15))=TRUE,"",IF('220'!W15="","ERR",""))&amp; IF(ISERROR(FIND($F$2,Lines!W15))=TRUE,"",IF(AND('500DC'!W15="",'800DC'!W15=""),"ERR","")) &amp; IF(ISERROR(FIND($G$2,Lines!W15))=TRUE,"",IF('1000'!W15="","ERR","")) &amp; IF(ISERROR(FIND($H$2,Lines!W15))=TRUE,"",IF('500DC'!W15="","ERR","")) &amp; IF(ISERROR(FIND($I$2,Lines!W15))=TRUE,"",IF('800DC'!W15="","ERR","")) &amp; IF(ISERROR(FIND($J$2,Lines!W15))=TRUE,"",IF('1000'!W15="","ERR",""))</f>
        <v/>
      </c>
      <c r="X15" s="108" t="str">
        <f>IF(ISERROR(FIND($B$2,Lines!X15))=TRUE,"",IF('750'!X15="","ERR","")) &amp; IF(ISERROR(FIND($C$2,Lines!X15))=TRUE,"",IF('500'!X15="","ERR","")) &amp; IF(ISERROR(FIND($D$2,Lines!X15))=TRUE,"",IF('330'!X15="","ERR","")) &amp; IF(ISERROR(FIND($E$2,Lines!X15))=TRUE,"",IF('220'!X15="","ERR",""))&amp; IF(ISERROR(FIND($F$2,Lines!X15))=TRUE,"",IF(AND('500DC'!X15="",'800DC'!X15=""),"ERR","")) &amp; IF(ISERROR(FIND($G$2,Lines!X15))=TRUE,"",IF('1000'!X15="","ERR","")) &amp; IF(ISERROR(FIND($H$2,Lines!X15))=TRUE,"",IF('500DC'!X15="","ERR","")) &amp; IF(ISERROR(FIND($I$2,Lines!X15))=TRUE,"",IF('800DC'!X15="","ERR","")) &amp; IF(ISERROR(FIND($J$2,Lines!X15))=TRUE,"",IF('1000'!X15="","ERR",""))</f>
        <v/>
      </c>
      <c r="Y15" s="108" t="str">
        <f>IF(ISERROR(FIND($B$2,Lines!Y15))=TRUE,"",IF('750'!Y15="","ERR","")) &amp; IF(ISERROR(FIND($C$2,Lines!Y15))=TRUE,"",IF('500'!Y15="","ERR","")) &amp; IF(ISERROR(FIND($D$2,Lines!Y15))=TRUE,"",IF('330'!Y15="","ERR","")) &amp; IF(ISERROR(FIND($E$2,Lines!Y15))=TRUE,"",IF('220'!Y15="","ERR",""))&amp; IF(ISERROR(FIND($F$2,Lines!Y15))=TRUE,"",IF(AND('500DC'!Y15="",'800DC'!Y15=""),"ERR","")) &amp; IF(ISERROR(FIND($G$2,Lines!Y15))=TRUE,"",IF('1000'!Y15="","ERR","")) &amp; IF(ISERROR(FIND($H$2,Lines!Y15))=TRUE,"",IF('500DC'!Y15="","ERR","")) &amp; IF(ISERROR(FIND($I$2,Lines!Y15))=TRUE,"",IF('800DC'!Y15="","ERR","")) &amp; IF(ISERROR(FIND($J$2,Lines!Y15))=TRUE,"",IF('1000'!Y15="","ERR",""))</f>
        <v/>
      </c>
      <c r="Z15" s="108" t="str">
        <f>IF(ISERROR(FIND($B$2,Lines!Z15))=TRUE,"",IF('750'!Z15="","ERR","")) &amp; IF(ISERROR(FIND($C$2,Lines!Z15))=TRUE,"",IF('500'!Z15="","ERR","")) &amp; IF(ISERROR(FIND($D$2,Lines!Z15))=TRUE,"",IF('330'!Z15="","ERR","")) &amp; IF(ISERROR(FIND($E$2,Lines!Z15))=TRUE,"",IF('220'!Z15="","ERR",""))&amp; IF(ISERROR(FIND($F$2,Lines!Z15))=TRUE,"",IF(AND('500DC'!Z15="",'800DC'!Z15=""),"ERR","")) &amp; IF(ISERROR(FIND($G$2,Lines!Z15))=TRUE,"",IF('1000'!Z15="","ERR","")) &amp; IF(ISERROR(FIND($H$2,Lines!Z15))=TRUE,"",IF('500DC'!Z15="","ERR","")) &amp; IF(ISERROR(FIND($I$2,Lines!Z15))=TRUE,"",IF('800DC'!Z15="","ERR","")) &amp; IF(ISERROR(FIND($J$2,Lines!Z15))=TRUE,"",IF('1000'!Z15="","ERR",""))</f>
        <v/>
      </c>
      <c r="AA15" s="108" t="str">
        <f>IF(ISERROR(FIND($B$2,Lines!AA15))=TRUE,"",IF('750'!AA15="","ERR","")) &amp; IF(ISERROR(FIND($C$2,Lines!AA15))=TRUE,"",IF('500'!AA15="","ERR","")) &amp; IF(ISERROR(FIND($D$2,Lines!AA15))=TRUE,"",IF('330'!AA15="","ERR","")) &amp; IF(ISERROR(FIND($E$2,Lines!AA15))=TRUE,"",IF('220'!AA15="","ERR",""))&amp; IF(ISERROR(FIND($F$2,Lines!AA15))=TRUE,"",IF(AND('500DC'!AA15="",'800DC'!AA15=""),"ERR","")) &amp; IF(ISERROR(FIND($G$2,Lines!AA15))=TRUE,"",IF('1000'!AA15="","ERR","")) &amp; IF(ISERROR(FIND($H$2,Lines!AA15))=TRUE,"",IF('500DC'!AA15="","ERR","")) &amp; IF(ISERROR(FIND($I$2,Lines!AA15))=TRUE,"",IF('800DC'!AA15="","ERR","")) &amp; IF(ISERROR(FIND($J$2,Lines!AA15))=TRUE,"",IF('1000'!AA15="","ERR",""))</f>
        <v/>
      </c>
      <c r="AB15" s="108" t="str">
        <f>IF(ISERROR(FIND($B$2,Lines!AB15))=TRUE,"",IF('750'!AB15="","ERR","")) &amp; IF(ISERROR(FIND($C$2,Lines!AB15))=TRUE,"",IF('500'!AB15="","ERR","")) &amp; IF(ISERROR(FIND($D$2,Lines!AB15))=TRUE,"",IF('330'!AB15="","ERR","")) &amp; IF(ISERROR(FIND($E$2,Lines!AB15))=TRUE,"",IF('220'!AB15="","ERR",""))&amp; IF(ISERROR(FIND($F$2,Lines!AB15))=TRUE,"",IF(AND('500DC'!AB15="",'800DC'!AB15=""),"ERR","")) &amp; IF(ISERROR(FIND($G$2,Lines!AB15))=TRUE,"",IF('1000'!AB15="","ERR","")) &amp; IF(ISERROR(FIND($H$2,Lines!AB15))=TRUE,"",IF('500DC'!AB15="","ERR","")) &amp; IF(ISERROR(FIND($I$2,Lines!AB15))=TRUE,"",IF('800DC'!AB15="","ERR","")) &amp; IF(ISERROR(FIND($J$2,Lines!AB15))=TRUE,"",IF('1000'!AB15="","ERR",""))</f>
        <v/>
      </c>
      <c r="AC15" s="108" t="str">
        <f>IF(ISERROR(FIND($B$2,Lines!AC15))=TRUE,"",IF('750'!AC15="","ERR","")) &amp; IF(ISERROR(FIND($C$2,Lines!AC15))=TRUE,"",IF('500'!AC15="","ERR","")) &amp; IF(ISERROR(FIND($D$2,Lines!AC15))=TRUE,"",IF('330'!AC15="","ERR","")) &amp; IF(ISERROR(FIND($E$2,Lines!AC15))=TRUE,"",IF('220'!AC15="","ERR",""))&amp; IF(ISERROR(FIND($F$2,Lines!AC15))=TRUE,"",IF(AND('500DC'!AC15="",'800DC'!AC15=""),"ERR","")) &amp; IF(ISERROR(FIND($G$2,Lines!AC15))=TRUE,"",IF('1000'!AC15="","ERR","")) &amp; IF(ISERROR(FIND($H$2,Lines!AC15))=TRUE,"",IF('500DC'!AC15="","ERR","")) &amp; IF(ISERROR(FIND($I$2,Lines!AC15))=TRUE,"",IF('800DC'!AC15="","ERR","")) &amp; IF(ISERROR(FIND($J$2,Lines!AC15))=TRUE,"",IF('1000'!AC15="","ERR",""))</f>
        <v/>
      </c>
      <c r="AD15" s="108" t="str">
        <f>IF(ISERROR(FIND($B$2,Lines!AD15))=TRUE,"",IF('750'!AD15="","ERR","")) &amp; IF(ISERROR(FIND($C$2,Lines!AD15))=TRUE,"",IF('500'!AD15="","ERR","")) &amp; IF(ISERROR(FIND($D$2,Lines!AD15))=TRUE,"",IF('330'!AD15="","ERR","")) &amp; IF(ISERROR(FIND($E$2,Lines!AD15))=TRUE,"",IF('220'!AD15="","ERR",""))&amp; IF(ISERROR(FIND($F$2,Lines!AD15))=TRUE,"",IF(AND('500DC'!AD15="",'800DC'!AD15=""),"ERR","")) &amp; IF(ISERROR(FIND($G$2,Lines!AD15))=TRUE,"",IF('1000'!AD15="","ERR","")) &amp; IF(ISERROR(FIND($H$2,Lines!AD15))=TRUE,"",IF('500DC'!AD15="","ERR","")) &amp; IF(ISERROR(FIND($I$2,Lines!AD15))=TRUE,"",IF('800DC'!AD15="","ERR","")) &amp; IF(ISERROR(FIND($J$2,Lines!AD15))=TRUE,"",IF('1000'!AD15="","ERR",""))</f>
        <v/>
      </c>
      <c r="AE15" s="108" t="str">
        <f>IF(ISERROR(FIND($B$2,Lines!AE15))=TRUE,"",IF('750'!AE15="","ERR","")) &amp; IF(ISERROR(FIND($C$2,Lines!AE15))=TRUE,"",IF('500'!AE15="","ERR","")) &amp; IF(ISERROR(FIND($D$2,Lines!AE15))=TRUE,"",IF('330'!AE15="","ERR","")) &amp; IF(ISERROR(FIND($E$2,Lines!AE15))=TRUE,"",IF('220'!AE15="","ERR",""))&amp; IF(ISERROR(FIND($F$2,Lines!AE15))=TRUE,"",IF(AND('500DC'!AE15="",'800DC'!AE15=""),"ERR","")) &amp; IF(ISERROR(FIND($G$2,Lines!AE15))=TRUE,"",IF('1000'!AE15="","ERR","")) &amp; IF(ISERROR(FIND($H$2,Lines!AE15))=TRUE,"",IF('500DC'!AE15="","ERR","")) &amp; IF(ISERROR(FIND($I$2,Lines!AE15))=TRUE,"",IF('800DC'!AE15="","ERR","")) &amp; IF(ISERROR(FIND($J$2,Lines!AE15))=TRUE,"",IF('1000'!AE15="","ERR",""))</f>
        <v/>
      </c>
      <c r="AF15" s="108" t="str">
        <f>IF(ISERROR(FIND($B$2,Lines!AF15))=TRUE,"",IF('750'!AF15="","ERR","")) &amp; IF(ISERROR(FIND($C$2,Lines!AF15))=TRUE,"",IF('500'!AF15="","ERR","")) &amp; IF(ISERROR(FIND($D$2,Lines!AF15))=TRUE,"",IF('330'!AF15="","ERR","")) &amp; IF(ISERROR(FIND($E$2,Lines!AF15))=TRUE,"",IF('220'!AF15="","ERR",""))&amp; IF(ISERROR(FIND($F$2,Lines!AF15))=TRUE,"",IF(AND('500DC'!AF15="",'800DC'!AF15=""),"ERR","")) &amp; IF(ISERROR(FIND($G$2,Lines!AF15))=TRUE,"",IF('1000'!AF15="","ERR","")) &amp; IF(ISERROR(FIND($H$2,Lines!AF15))=TRUE,"",IF('500DC'!AF15="","ERR","")) &amp; IF(ISERROR(FIND($I$2,Lines!AF15))=TRUE,"",IF('800DC'!AF15="","ERR","")) &amp; IF(ISERROR(FIND($J$2,Lines!AF15))=TRUE,"",IF('1000'!AF15="","ERR",""))</f>
        <v/>
      </c>
      <c r="AG15" s="108" t="str">
        <f>IF(ISERROR(FIND($B$2,Lines!AG15))=TRUE,"",IF('750'!AG15="","ERR","")) &amp; IF(ISERROR(FIND($C$2,Lines!AG15))=TRUE,"",IF('500'!AG15="","ERR","")) &amp; IF(ISERROR(FIND($D$2,Lines!AG15))=TRUE,"",IF('330'!AG15="","ERR","")) &amp; IF(ISERROR(FIND($E$2,Lines!AG15))=TRUE,"",IF('220'!AG15="","ERR",""))&amp; IF(ISERROR(FIND($F$2,Lines!AG15))=TRUE,"",IF(AND('500DC'!AG15="",'800DC'!AG15=""),"ERR","")) &amp; IF(ISERROR(FIND($G$2,Lines!AG15))=TRUE,"",IF('1000'!AG15="","ERR","")) &amp; IF(ISERROR(FIND($H$2,Lines!AG15))=TRUE,"",IF('500DC'!AG15="","ERR","")) &amp; IF(ISERROR(FIND($I$2,Lines!AG15))=TRUE,"",IF('800DC'!AG15="","ERR","")) &amp; IF(ISERROR(FIND($J$2,Lines!AG15))=TRUE,"",IF('1000'!AG15="","ERR",""))</f>
        <v/>
      </c>
      <c r="AH15" s="108" t="str">
        <f>IF(ISERROR(FIND($B$2,Lines!AH15))=TRUE,"",IF('750'!AH15="","ERR","")) &amp; IF(ISERROR(FIND($C$2,Lines!AH15))=TRUE,"",IF('500'!AH15="","ERR","")) &amp; IF(ISERROR(FIND($D$2,Lines!AH15))=TRUE,"",IF('330'!AH15="","ERR","")) &amp; IF(ISERROR(FIND($E$2,Lines!AH15))=TRUE,"",IF('220'!AH15="","ERR",""))&amp; IF(ISERROR(FIND($F$2,Lines!AH15))=TRUE,"",IF(AND('500DC'!AH15="",'800DC'!AH15=""),"ERR","")) &amp; IF(ISERROR(FIND($G$2,Lines!AH15))=TRUE,"",IF('1000'!AH15="","ERR","")) &amp; IF(ISERROR(FIND($H$2,Lines!AH15))=TRUE,"",IF('500DC'!AH15="","ERR","")) &amp; IF(ISERROR(FIND($I$2,Lines!AH15))=TRUE,"",IF('800DC'!AH15="","ERR","")) &amp; IF(ISERROR(FIND($J$2,Lines!AH15))=TRUE,"",IF('1000'!AH15="","ERR",""))</f>
        <v/>
      </c>
      <c r="AI15" s="108" t="str">
        <f>IF(ISERROR(FIND($B$2,Lines!AI15))=TRUE,"",IF('750'!AI15="","ERR","")) &amp; IF(ISERROR(FIND($C$2,Lines!AI15))=TRUE,"",IF('500'!AI15="","ERR","")) &amp; IF(ISERROR(FIND($D$2,Lines!AI15))=TRUE,"",IF('330'!AI15="","ERR","")) &amp; IF(ISERROR(FIND($E$2,Lines!AI15))=TRUE,"",IF('220'!AI15="","ERR",""))&amp; IF(ISERROR(FIND($F$2,Lines!AI15))=TRUE,"",IF(AND('500DC'!AI15="",'800DC'!AI15=""),"ERR","")) &amp; IF(ISERROR(FIND($G$2,Lines!AI15))=TRUE,"",IF('1000'!AI15="","ERR","")) &amp; IF(ISERROR(FIND($H$2,Lines!AI15))=TRUE,"",IF('500DC'!AI15="","ERR","")) &amp; IF(ISERROR(FIND($I$2,Lines!AI15))=TRUE,"",IF('800DC'!AI15="","ERR","")) &amp; IF(ISERROR(FIND($J$2,Lines!AI15))=TRUE,"",IF('1000'!AI15="","ERR",""))</f>
        <v/>
      </c>
      <c r="AJ15" s="108" t="str">
        <f>IF(ISERROR(FIND($B$2,Lines!AJ15))=TRUE,"",IF('750'!AJ15="","ERR","")) &amp; IF(ISERROR(FIND($C$2,Lines!AJ15))=TRUE,"",IF('500'!AJ15="","ERR","")) &amp; IF(ISERROR(FIND($D$2,Lines!AJ15))=TRUE,"",IF('330'!AJ15="","ERR","")) &amp; IF(ISERROR(FIND($E$2,Lines!AJ15))=TRUE,"",IF('220'!AJ15="","ERR",""))&amp; IF(ISERROR(FIND($F$2,Lines!AJ15))=TRUE,"",IF(AND('500DC'!AJ15="",'800DC'!AJ15=""),"ERR","")) &amp; IF(ISERROR(FIND($G$2,Lines!AJ15))=TRUE,"",IF('1000'!AJ15="","ERR","")) &amp; IF(ISERROR(FIND($H$2,Lines!AJ15))=TRUE,"",IF('500DC'!AJ15="","ERR","")) &amp; IF(ISERROR(FIND($I$2,Lines!AJ15))=TRUE,"",IF('800DC'!AJ15="","ERR","")) &amp; IF(ISERROR(FIND($J$2,Lines!AJ15))=TRUE,"",IF('1000'!AJ15="","ERR",""))</f>
        <v/>
      </c>
      <c r="AK15" s="108" t="str">
        <f>IF(ISERROR(FIND($B$2,Lines!AK15))=TRUE,"",IF('750'!AK15="","ERR","")) &amp; IF(ISERROR(FIND($C$2,Lines!AK15))=TRUE,"",IF('500'!AK15="","ERR","")) &amp; IF(ISERROR(FIND($D$2,Lines!AK15))=TRUE,"",IF('330'!AK15="","ERR","")) &amp; IF(ISERROR(FIND($E$2,Lines!AK15))=TRUE,"",IF('220'!AK15="","ERR",""))&amp; IF(ISERROR(FIND($F$2,Lines!AK15))=TRUE,"",IF(AND('500DC'!AK15="",'800DC'!AK15=""),"ERR","")) &amp; IF(ISERROR(FIND($G$2,Lines!AK15))=TRUE,"",IF('1000'!AK15="","ERR","")) &amp; IF(ISERROR(FIND($H$2,Lines!AK15))=TRUE,"",IF('500DC'!AK15="","ERR","")) &amp; IF(ISERROR(FIND($I$2,Lines!AK15))=TRUE,"",IF('800DC'!AK15="","ERR","")) &amp; IF(ISERROR(FIND($J$2,Lines!AK15))=TRUE,"",IF('1000'!AK15="","ERR",""))</f>
        <v/>
      </c>
      <c r="AL15" s="108" t="str">
        <f>IF(ISERROR(FIND($B$2,Lines!AL15))=TRUE,"",IF('750'!AL15="","ERR","")) &amp; IF(ISERROR(FIND($C$2,Lines!AL15))=TRUE,"",IF('500'!AL15="","ERR","")) &amp; IF(ISERROR(FIND($D$2,Lines!AL15))=TRUE,"",IF('330'!AL15="","ERR","")) &amp; IF(ISERROR(FIND($E$2,Lines!AL15))=TRUE,"",IF('220'!AL15="","ERR",""))&amp; IF(ISERROR(FIND($F$2,Lines!AL15))=TRUE,"",IF(AND('500DC'!AL15="",'800DC'!AL15=""),"ERR","")) &amp; IF(ISERROR(FIND($G$2,Lines!AL15))=TRUE,"",IF('1000'!AL15="","ERR","")) &amp; IF(ISERROR(FIND($H$2,Lines!AL15))=TRUE,"",IF('500DC'!AL15="","ERR","")) &amp; IF(ISERROR(FIND($I$2,Lines!AL15))=TRUE,"",IF('800DC'!AL15="","ERR","")) &amp; IF(ISERROR(FIND($J$2,Lines!AL15))=TRUE,"",IF('1000'!AL15="","ERR",""))</f>
        <v/>
      </c>
      <c r="AM15" s="108" t="str">
        <f>IF(ISERROR(FIND($B$2,Lines!AM15))=TRUE,"",IF('750'!AM15="","ERR","")) &amp; IF(ISERROR(FIND($C$2,Lines!AM15))=TRUE,"",IF('500'!AM15="","ERR","")) &amp; IF(ISERROR(FIND($D$2,Lines!AM15))=TRUE,"",IF('330'!AM15="","ERR","")) &amp; IF(ISERROR(FIND($E$2,Lines!AM15))=TRUE,"",IF('220'!AM15="","ERR",""))&amp; IF(ISERROR(FIND($F$2,Lines!AM15))=TRUE,"",IF(AND('500DC'!AM15="",'800DC'!AM15=""),"ERR","")) &amp; IF(ISERROR(FIND($G$2,Lines!AM15))=TRUE,"",IF('1000'!AM15="","ERR","")) &amp; IF(ISERROR(FIND($H$2,Lines!AM15))=TRUE,"",IF('500DC'!AM15="","ERR","")) &amp; IF(ISERROR(FIND($I$2,Lines!AM15))=TRUE,"",IF('800DC'!AM15="","ERR","")) &amp; IF(ISERROR(FIND($J$2,Lines!AM15))=TRUE,"",IF('1000'!AM15="","ERR",""))</f>
        <v/>
      </c>
      <c r="AN15" s="108" t="str">
        <f>IF(ISERROR(FIND($B$2,Lines!AN15))=TRUE,"",IF('750'!AN15="","ERR","")) &amp; IF(ISERROR(FIND($C$2,Lines!AN15))=TRUE,"",IF('500'!AN15="","ERR","")) &amp; IF(ISERROR(FIND($D$2,Lines!AN15))=TRUE,"",IF('330'!AN15="","ERR","")) &amp; IF(ISERROR(FIND($E$2,Lines!AN15))=TRUE,"",IF('220'!AN15="","ERR",""))&amp; IF(ISERROR(FIND($F$2,Lines!AN15))=TRUE,"",IF(AND('500DC'!AN15="",'800DC'!AN15=""),"ERR","")) &amp; IF(ISERROR(FIND($G$2,Lines!AN15))=TRUE,"",IF('1000'!AN15="","ERR","")) &amp; IF(ISERROR(FIND($H$2,Lines!AN15))=TRUE,"",IF('500DC'!AN15="","ERR","")) &amp; IF(ISERROR(FIND($I$2,Lines!AN15))=TRUE,"",IF('800DC'!AN15="","ERR","")) &amp; IF(ISERROR(FIND($J$2,Lines!AN15))=TRUE,"",IF('1000'!AN15="","ERR",""))</f>
        <v/>
      </c>
      <c r="AO15" s="108" t="str">
        <f>IF(ISERROR(FIND($B$2,Lines!AO15))=TRUE,"",IF('750'!AO15="","ERR","")) &amp; IF(ISERROR(FIND($C$2,Lines!AO15))=TRUE,"",IF('500'!AO15="","ERR","")) &amp; IF(ISERROR(FIND($D$2,Lines!AO15))=TRUE,"",IF('330'!AO15="","ERR","")) &amp; IF(ISERROR(FIND($E$2,Lines!AO15))=TRUE,"",IF('220'!AO15="","ERR",""))&amp; IF(ISERROR(FIND($F$2,Lines!AO15))=TRUE,"",IF(AND('500DC'!AO15="",'800DC'!AO15=""),"ERR","")) &amp; IF(ISERROR(FIND($G$2,Lines!AO15))=TRUE,"",IF('1000'!AO15="","ERR","")) &amp; IF(ISERROR(FIND($H$2,Lines!AO15))=TRUE,"",IF('500DC'!AO15="","ERR","")) &amp; IF(ISERROR(FIND($I$2,Lines!AO15))=TRUE,"",IF('800DC'!AO15="","ERR","")) &amp; IF(ISERROR(FIND($J$2,Lines!AO15))=TRUE,"",IF('1000'!AO15="","ERR",""))</f>
        <v/>
      </c>
      <c r="AP15" s="108" t="str">
        <f>IF(ISERROR(FIND($B$2,Lines!AP15))=TRUE,"",IF('750'!AP15="","ERR","")) &amp; IF(ISERROR(FIND($C$2,Lines!AP15))=TRUE,"",IF('500'!AP15="","ERR","")) &amp; IF(ISERROR(FIND($D$2,Lines!AP15))=TRUE,"",IF('330'!AP15="","ERR","")) &amp; IF(ISERROR(FIND($E$2,Lines!AP15))=TRUE,"",IF('220'!AP15="","ERR",""))&amp; IF(ISERROR(FIND($F$2,Lines!AP15))=TRUE,"",IF(AND('500DC'!AP15="",'800DC'!AP15=""),"ERR","")) &amp; IF(ISERROR(FIND($G$2,Lines!AP15))=TRUE,"",IF('1000'!AP15="","ERR","")) &amp; IF(ISERROR(FIND($H$2,Lines!AP15))=TRUE,"",IF('500DC'!AP15="","ERR","")) &amp; IF(ISERROR(FIND($I$2,Lines!AP15))=TRUE,"",IF('800DC'!AP15="","ERR","")) &amp; IF(ISERROR(FIND($J$2,Lines!AP15))=TRUE,"",IF('1000'!AP15="","ERR",""))</f>
        <v/>
      </c>
      <c r="AQ15" s="108" t="str">
        <f>IF(ISERROR(FIND($B$2,Lines!AQ15))=TRUE,"",IF('750'!AQ15="","ERR","")) &amp; IF(ISERROR(FIND($C$2,Lines!AQ15))=TRUE,"",IF('500'!AQ15="","ERR","")) &amp; IF(ISERROR(FIND($D$2,Lines!AQ15))=TRUE,"",IF('330'!AQ15="","ERR","")) &amp; IF(ISERROR(FIND($E$2,Lines!AQ15))=TRUE,"",IF('220'!AQ15="","ERR",""))&amp; IF(ISERROR(FIND($F$2,Lines!AQ15))=TRUE,"",IF(AND('500DC'!AQ15="",'800DC'!AQ15=""),"ERR","")) &amp; IF(ISERROR(FIND($G$2,Lines!AQ15))=TRUE,"",IF('1000'!AQ15="","ERR","")) &amp; IF(ISERROR(FIND($H$2,Lines!AQ15))=TRUE,"",IF('500DC'!AQ15="","ERR","")) &amp; IF(ISERROR(FIND($I$2,Lines!AQ15))=TRUE,"",IF('800DC'!AQ15="","ERR","")) &amp; IF(ISERROR(FIND($J$2,Lines!AQ15))=TRUE,"",IF('1000'!AQ15="","ERR",""))</f>
        <v/>
      </c>
      <c r="AR15" s="108" t="str">
        <f>IF(ISERROR(FIND($B$2,Lines!AR15))=TRUE,"",IF('750'!AR15="","ERR","")) &amp; IF(ISERROR(FIND($C$2,Lines!AR15))=TRUE,"",IF('500'!AR15="","ERR","")) &amp; IF(ISERROR(FIND($D$2,Lines!AR15))=TRUE,"",IF('330'!AR15="","ERR","")) &amp; IF(ISERROR(FIND($E$2,Lines!AR15))=TRUE,"",IF('220'!AR15="","ERR",""))&amp; IF(ISERROR(FIND($F$2,Lines!AR15))=TRUE,"",IF(AND('500DC'!AR15="",'800DC'!AR15=""),"ERR","")) &amp; IF(ISERROR(FIND($G$2,Lines!AR15))=TRUE,"",IF('1000'!AR15="","ERR","")) &amp; IF(ISERROR(FIND($H$2,Lines!AR15))=TRUE,"",IF('500DC'!AR15="","ERR","")) &amp; IF(ISERROR(FIND($I$2,Lines!AR15))=TRUE,"",IF('800DC'!AR15="","ERR","")) &amp; IF(ISERROR(FIND($J$2,Lines!AR15))=TRUE,"",IF('1000'!AR15="","ERR",""))</f>
        <v/>
      </c>
      <c r="AS15" s="108" t="str">
        <f>IF(ISERROR(FIND($B$2,Lines!AS15))=TRUE,"",IF('750'!AS15="","ERR","")) &amp; IF(ISERROR(FIND($C$2,Lines!AS15))=TRUE,"",IF('500'!AS15="","ERR","")) &amp; IF(ISERROR(FIND($D$2,Lines!AS15))=TRUE,"",IF('330'!AS15="","ERR","")) &amp; IF(ISERROR(FIND($E$2,Lines!AS15))=TRUE,"",IF('220'!AS15="","ERR",""))&amp; IF(ISERROR(FIND($F$2,Lines!AS15))=TRUE,"",IF(AND('500DC'!AS15="",'800DC'!AS15=""),"ERR","")) &amp; IF(ISERROR(FIND($G$2,Lines!AS15))=TRUE,"",IF('1000'!AS15="","ERR","")) &amp; IF(ISERROR(FIND($H$2,Lines!AS15))=TRUE,"",IF('500DC'!AS15="","ERR","")) &amp; IF(ISERROR(FIND($I$2,Lines!AS15))=TRUE,"",IF('800DC'!AS15="","ERR","")) &amp; IF(ISERROR(FIND($J$2,Lines!AS15))=TRUE,"",IF('1000'!AS15="","ERR",""))</f>
        <v/>
      </c>
      <c r="AT15" s="108" t="str">
        <f>IF(ISERROR(FIND($B$2,Lines!AT15))=TRUE,"",IF('750'!AT15="","ERR","")) &amp; IF(ISERROR(FIND($C$2,Lines!AT15))=TRUE,"",IF('500'!AT15="","ERR","")) &amp; IF(ISERROR(FIND($D$2,Lines!AT15))=TRUE,"",IF('330'!AT15="","ERR","")) &amp; IF(ISERROR(FIND($E$2,Lines!AT15))=TRUE,"",IF('220'!AT15="","ERR",""))&amp; IF(ISERROR(FIND($F$2,Lines!AT15))=TRUE,"",IF(AND('500DC'!AT15="",'800DC'!AT15=""),"ERR","")) &amp; IF(ISERROR(FIND($G$2,Lines!AT15))=TRUE,"",IF('1000'!AT15="","ERR","")) &amp; IF(ISERROR(FIND($H$2,Lines!AT15))=TRUE,"",IF('500DC'!AT15="","ERR","")) &amp; IF(ISERROR(FIND($I$2,Lines!AT15))=TRUE,"",IF('800DC'!AT15="","ERR","")) &amp; IF(ISERROR(FIND($J$2,Lines!AT15))=TRUE,"",IF('1000'!AT15="","ERR",""))</f>
        <v/>
      </c>
    </row>
    <row r="16" spans="1:46" ht="20.25" customHeight="1">
      <c r="A16" s="2" t="s">
        <v>12</v>
      </c>
      <c r="B16" s="108" t="str">
        <f>IF(ISERROR(FIND($B$2,Lines!B16))=TRUE,"",IF('750'!B16="","ERR","")) &amp; IF(ISERROR(FIND($C$2,Lines!B16))=TRUE,"",IF('500'!B16="","ERR","")) &amp; IF(ISERROR(FIND($D$2,Lines!B16))=TRUE,"",IF('330'!B16="","ERR","")) &amp; IF(ISERROR(FIND($E$2,Lines!B16))=TRUE,"",IF('220'!B16="","ERR",""))&amp; IF(ISERROR(FIND($F$2,Lines!B16))=TRUE,"",IF(AND('500DC'!B16="",'800DC'!B16=""),"ERR","")) &amp; IF(ISERROR(FIND($G$2,Lines!B16))=TRUE,"",IF('1000'!B16="","ERR","")) &amp; IF(ISERROR(FIND($H$2,Lines!B16))=TRUE,"",IF('500DC'!B16="","ERR","")) &amp; IF(ISERROR(FIND($I$2,Lines!B16))=TRUE,"",IF('800DC'!B16="","ERR","")) &amp; IF(ISERROR(FIND($J$2,Lines!B16))=TRUE,"",IF('1000'!B16="","ERR",""))</f>
        <v/>
      </c>
      <c r="C16" s="108" t="str">
        <f>IF(ISERROR(FIND($B$2,Lines!C16))=TRUE,"",IF('750'!C16="","ERR","")) &amp; IF(ISERROR(FIND($C$2,Lines!C16))=TRUE,"",IF('500'!C16="","ERR","")) &amp; IF(ISERROR(FIND($D$2,Lines!C16))=TRUE,"",IF('330'!C16="","ERR","")) &amp; IF(ISERROR(FIND($E$2,Lines!C16))=TRUE,"",IF('220'!C16="","ERR",""))&amp; IF(ISERROR(FIND($F$2,Lines!C16))=TRUE,"",IF(AND('500DC'!C16="",'800DC'!C16=""),"ERR","")) &amp; IF(ISERROR(FIND($G$2,Lines!C16))=TRUE,"",IF('1000'!C16="","ERR","")) &amp; IF(ISERROR(FIND($H$2,Lines!C16))=TRUE,"",IF('500DC'!C16="","ERR","")) &amp; IF(ISERROR(FIND($I$2,Lines!C16))=TRUE,"",IF('800DC'!C16="","ERR","")) &amp; IF(ISERROR(FIND($J$2,Lines!C16))=TRUE,"",IF('1000'!C16="","ERR",""))</f>
        <v/>
      </c>
      <c r="D16" s="108" t="str">
        <f>IF(ISERROR(FIND($B$2,Lines!D16))=TRUE,"",IF('750'!D16="","ERR","")) &amp; IF(ISERROR(FIND($C$2,Lines!D16))=TRUE,"",IF('500'!D16="","ERR","")) &amp; IF(ISERROR(FIND($D$2,Lines!D16))=TRUE,"",IF('330'!D16="","ERR","")) &amp; IF(ISERROR(FIND($E$2,Lines!D16))=TRUE,"",IF('220'!D16="","ERR",""))&amp; IF(ISERROR(FIND($F$2,Lines!D16))=TRUE,"",IF(AND('500DC'!D16="",'800DC'!D16=""),"ERR","")) &amp; IF(ISERROR(FIND($G$2,Lines!D16))=TRUE,"",IF('1000'!D16="","ERR","")) &amp; IF(ISERROR(FIND($H$2,Lines!D16))=TRUE,"",IF('500DC'!D16="","ERR","")) &amp; IF(ISERROR(FIND($I$2,Lines!D16))=TRUE,"",IF('800DC'!D16="","ERR","")) &amp; IF(ISERROR(FIND($J$2,Lines!D16))=TRUE,"",IF('1000'!D16="","ERR",""))</f>
        <v/>
      </c>
      <c r="E16" s="108" t="str">
        <f>IF(ISERROR(FIND($B$2,Lines!E16))=TRUE,"",IF('750'!E16="","ERR","")) &amp; IF(ISERROR(FIND($C$2,Lines!E16))=TRUE,"",IF('500'!E16="","ERR","")) &amp; IF(ISERROR(FIND($D$2,Lines!E16))=TRUE,"",IF('330'!E16="","ERR","")) &amp; IF(ISERROR(FIND($E$2,Lines!E16))=TRUE,"",IF('220'!E16="","ERR",""))&amp; IF(ISERROR(FIND($F$2,Lines!E16))=TRUE,"",IF(AND('500DC'!E16="",'800DC'!E16=""),"ERR","")) &amp; IF(ISERROR(FIND($G$2,Lines!E16))=TRUE,"",IF('1000'!E16="","ERR","")) &amp; IF(ISERROR(FIND($H$2,Lines!E16))=TRUE,"",IF('500DC'!E16="","ERR","")) &amp; IF(ISERROR(FIND($I$2,Lines!E16))=TRUE,"",IF('800DC'!E16="","ERR","")) &amp; IF(ISERROR(FIND($J$2,Lines!E16))=TRUE,"",IF('1000'!E16="","ERR",""))</f>
        <v/>
      </c>
      <c r="F16" s="108" t="str">
        <f>IF(ISERROR(FIND($B$2,Lines!F16))=TRUE,"",IF('750'!F16="","ERR","")) &amp; IF(ISERROR(FIND($C$2,Lines!F16))=TRUE,"",IF('500'!F16="","ERR","")) &amp; IF(ISERROR(FIND($D$2,Lines!F16))=TRUE,"",IF('330'!F16="","ERR","")) &amp; IF(ISERROR(FIND($E$2,Lines!F16))=TRUE,"",IF('220'!F16="","ERR",""))&amp; IF(ISERROR(FIND($F$2,Lines!F16))=TRUE,"",IF(AND('500DC'!F16="",'800DC'!F16=""),"ERR","")) &amp; IF(ISERROR(FIND($G$2,Lines!F16))=TRUE,"",IF('1000'!F16="","ERR","")) &amp; IF(ISERROR(FIND($H$2,Lines!F16))=TRUE,"",IF('500DC'!F16="","ERR","")) &amp; IF(ISERROR(FIND($I$2,Lines!F16))=TRUE,"",IF('800DC'!F16="","ERR","")) &amp; IF(ISERROR(FIND($J$2,Lines!F16))=TRUE,"",IF('1000'!F16="","ERR",""))</f>
        <v/>
      </c>
      <c r="G16" s="108" t="str">
        <f>IF(ISERROR(FIND($B$2,Lines!G16))=TRUE,"",IF('750'!G16="","ERR","")) &amp; IF(ISERROR(FIND($C$2,Lines!G16))=TRUE,"",IF('500'!G16="","ERR","")) &amp; IF(ISERROR(FIND($D$2,Lines!G16))=TRUE,"",IF('330'!G16="","ERR","")) &amp; IF(ISERROR(FIND($E$2,Lines!G16))=TRUE,"",IF('220'!G16="","ERR",""))&amp; IF(ISERROR(FIND($F$2,Lines!G16))=TRUE,"",IF(AND('500DC'!G16="",'800DC'!G16=""),"ERR","")) &amp; IF(ISERROR(FIND($G$2,Lines!G16))=TRUE,"",IF('1000'!G16="","ERR","")) &amp; IF(ISERROR(FIND($H$2,Lines!G16))=TRUE,"",IF('500DC'!G16="","ERR","")) &amp; IF(ISERROR(FIND($I$2,Lines!G16))=TRUE,"",IF('800DC'!G16="","ERR","")) &amp; IF(ISERROR(FIND($J$2,Lines!G16))=TRUE,"",IF('1000'!G16="","ERR",""))</f>
        <v/>
      </c>
      <c r="H16" s="108" t="str">
        <f>IF(ISERROR(FIND($B$2,Lines!H16))=TRUE,"",IF('750'!H16="","ERR","")) &amp; IF(ISERROR(FIND($C$2,Lines!H16))=TRUE,"",IF('500'!H16="","ERR","")) &amp; IF(ISERROR(FIND($D$2,Lines!H16))=TRUE,"",IF('330'!H16="","ERR","")) &amp; IF(ISERROR(FIND($E$2,Lines!H16))=TRUE,"",IF('220'!H16="","ERR",""))&amp; IF(ISERROR(FIND($F$2,Lines!H16))=TRUE,"",IF(AND('500DC'!H16="",'800DC'!H16=""),"ERR","")) &amp; IF(ISERROR(FIND($G$2,Lines!H16))=TRUE,"",IF('1000'!H16="","ERR","")) &amp; IF(ISERROR(FIND($H$2,Lines!H16))=TRUE,"",IF('500DC'!H16="","ERR","")) &amp; IF(ISERROR(FIND($I$2,Lines!H16))=TRUE,"",IF('800DC'!H16="","ERR","")) &amp; IF(ISERROR(FIND($J$2,Lines!H16))=TRUE,"",IF('1000'!H16="","ERR",""))</f>
        <v/>
      </c>
      <c r="I16" s="108" t="str">
        <f>IF(ISERROR(FIND($B$2,Lines!I16))=TRUE,"",IF('750'!I16="","ERR","")) &amp; IF(ISERROR(FIND($C$2,Lines!I16))=TRUE,"",IF('500'!I16="","ERR","")) &amp; IF(ISERROR(FIND($D$2,Lines!I16))=TRUE,"",IF('330'!I16="","ERR","")) &amp; IF(ISERROR(FIND($E$2,Lines!I16))=TRUE,"",IF('220'!I16="","ERR",""))&amp; IF(ISERROR(FIND($F$2,Lines!I16))=TRUE,"",IF(AND('500DC'!I16="",'800DC'!I16=""),"ERR","")) &amp; IF(ISERROR(FIND($G$2,Lines!I16))=TRUE,"",IF('1000'!I16="","ERR","")) &amp; IF(ISERROR(FIND($H$2,Lines!I16))=TRUE,"",IF('500DC'!I16="","ERR","")) &amp; IF(ISERROR(FIND($I$2,Lines!I16))=TRUE,"",IF('800DC'!I16="","ERR","")) &amp; IF(ISERROR(FIND($J$2,Lines!I16))=TRUE,"",IF('1000'!I16="","ERR",""))</f>
        <v/>
      </c>
      <c r="J16" s="108" t="str">
        <f>IF(ISERROR(FIND($B$2,Lines!J16))=TRUE,"",IF('750'!J16="","ERR","")) &amp; IF(ISERROR(FIND($C$2,Lines!J16))=TRUE,"",IF('500'!J16="","ERR","")) &amp; IF(ISERROR(FIND($D$2,Lines!J16))=TRUE,"",IF('330'!J16="","ERR","")) &amp; IF(ISERROR(FIND($E$2,Lines!J16))=TRUE,"",IF('220'!J16="","ERR",""))&amp; IF(ISERROR(FIND($F$2,Lines!J16))=TRUE,"",IF(AND('500DC'!J16="",'800DC'!J16=""),"ERR","")) &amp; IF(ISERROR(FIND($G$2,Lines!J16))=TRUE,"",IF('1000'!J16="","ERR","")) &amp; IF(ISERROR(FIND($H$2,Lines!J16))=TRUE,"",IF('500DC'!J16="","ERR","")) &amp; IF(ISERROR(FIND($I$2,Lines!J16))=TRUE,"",IF('800DC'!J16="","ERR","")) &amp; IF(ISERROR(FIND($J$2,Lines!J16))=TRUE,"",IF('1000'!J16="","ERR",""))</f>
        <v/>
      </c>
      <c r="K16" s="108" t="str">
        <f>IF(ISERROR(FIND($B$2,Lines!K16))=TRUE,"",IF('750'!K16="","ERR","")) &amp; IF(ISERROR(FIND($C$2,Lines!K16))=TRUE,"",IF('500'!K16="","ERR","")) &amp; IF(ISERROR(FIND($D$2,Lines!K16))=TRUE,"",IF('330'!K16="","ERR","")) &amp; IF(ISERROR(FIND($E$2,Lines!K16))=TRUE,"",IF('220'!K16="","ERR",""))&amp; IF(ISERROR(FIND($F$2,Lines!K16))=TRUE,"",IF(AND('500DC'!K16="",'800DC'!K16=""),"ERR","")) &amp; IF(ISERROR(FIND($G$2,Lines!K16))=TRUE,"",IF('1000'!K16="","ERR","")) &amp; IF(ISERROR(FIND($H$2,Lines!K16))=TRUE,"",IF('500DC'!K16="","ERR","")) &amp; IF(ISERROR(FIND($I$2,Lines!K16))=TRUE,"",IF('800DC'!K16="","ERR","")) &amp; IF(ISERROR(FIND($J$2,Lines!K16))=TRUE,"",IF('1000'!K16="","ERR",""))</f>
        <v/>
      </c>
      <c r="L16" s="108" t="str">
        <f>IF(ISERROR(FIND($B$2,Lines!L16))=TRUE,"",IF('750'!L16="","ERR","")) &amp; IF(ISERROR(FIND($C$2,Lines!L16))=TRUE,"",IF('500'!L16="","ERR","")) &amp; IF(ISERROR(FIND($D$2,Lines!L16))=TRUE,"",IF('330'!L16="","ERR","")) &amp; IF(ISERROR(FIND($E$2,Lines!L16))=TRUE,"",IF('220'!L16="","ERR",""))&amp; IF(ISERROR(FIND($F$2,Lines!L16))=TRUE,"",IF(AND('500DC'!L16="",'800DC'!L16=""),"ERR","")) &amp; IF(ISERROR(FIND($G$2,Lines!L16))=TRUE,"",IF('1000'!L16="","ERR","")) &amp; IF(ISERROR(FIND($H$2,Lines!L16))=TRUE,"",IF('500DC'!L16="","ERR","")) &amp; IF(ISERROR(FIND($I$2,Lines!L16))=TRUE,"",IF('800DC'!L16="","ERR","")) &amp; IF(ISERROR(FIND($J$2,Lines!L16))=TRUE,"",IF('1000'!L16="","ERR",""))</f>
        <v/>
      </c>
      <c r="M16" s="108" t="str">
        <f>IF(ISERROR(FIND($B$2,Lines!M16))=TRUE,"",IF('750'!M16="","ERR","")) &amp; IF(ISERROR(FIND($C$2,Lines!M16))=TRUE,"",IF('500'!M16="","ERR","")) &amp; IF(ISERROR(FIND($D$2,Lines!M16))=TRUE,"",IF('330'!M16="","ERR","")) &amp; IF(ISERROR(FIND($E$2,Lines!M16))=TRUE,"",IF('220'!M16="","ERR",""))&amp; IF(ISERROR(FIND($F$2,Lines!M16))=TRUE,"",IF(AND('500DC'!M16="",'800DC'!M16=""),"ERR","")) &amp; IF(ISERROR(FIND($G$2,Lines!M16))=TRUE,"",IF('1000'!M16="","ERR","")) &amp; IF(ISERROR(FIND($H$2,Lines!M16))=TRUE,"",IF('500DC'!M16="","ERR","")) &amp; IF(ISERROR(FIND($I$2,Lines!M16))=TRUE,"",IF('800DC'!M16="","ERR","")) &amp; IF(ISERROR(FIND($J$2,Lines!M16))=TRUE,"",IF('1000'!M16="","ERR",""))</f>
        <v/>
      </c>
      <c r="N16" s="112" t="str">
        <f>IF(ISERROR(FIND($B$2,Lines!N16))=TRUE,"",IF('750'!N16="","ERR","")) &amp; IF(ISERROR(FIND($C$2,Lines!N16))=TRUE,"",IF('500'!N16="","ERR","")) &amp; IF(ISERROR(FIND($D$2,Lines!N16))=TRUE,"",IF('330'!N16="","ERR","")) &amp; IF(ISERROR(FIND($E$2,Lines!N16))=TRUE,"",IF('220'!N16="","ERR",""))&amp; IF(ISERROR(FIND($F$2,Lines!N16))=TRUE,"",IF(AND('500DC'!N16="",'800DC'!N16=""),"ERR","")) &amp; IF(ISERROR(FIND($G$2,Lines!N16))=TRUE,"",IF('1000'!N16="","ERR","")) &amp; IF(ISERROR(FIND($H$2,Lines!N16))=TRUE,"",IF('500DC'!N16="","ERR","")) &amp; IF(ISERROR(FIND($I$2,Lines!N16))=TRUE,"",IF('800DC'!N16="","ERR","")) &amp; IF(ISERROR(FIND($J$2,Lines!N16))=TRUE,"",IF('1000'!N16="","ERR",""))</f>
        <v/>
      </c>
      <c r="O16" s="113" t="str">
        <f>IF(ISERROR(FIND($B$2,Lines!O16))=TRUE,"",IF('750'!O16="","ERR","")) &amp; IF(ISERROR(FIND($C$2,Lines!O16))=TRUE,"",IF('500'!O16="","ERR","")) &amp; IF(ISERROR(FIND($D$2,Lines!O16))=TRUE,"",IF('330'!O16="","ERR","")) &amp; IF(ISERROR(FIND($E$2,Lines!O16))=TRUE,"",IF('220'!O16="","ERR",""))&amp; IF(ISERROR(FIND($F$2,Lines!O16))=TRUE,"",IF(AND('500DC'!O16="",'800DC'!O16=""),"ERR","")) &amp; IF(ISERROR(FIND($G$2,Lines!O16))=TRUE,"",IF('1000'!O16="","ERR","")) &amp; IF(ISERROR(FIND($H$2,Lines!O16))=TRUE,"",IF('500DC'!O16="","ERR","")) &amp; IF(ISERROR(FIND($I$2,Lines!O16))=TRUE,"",IF('800DC'!O16="","ERR","")) &amp; IF(ISERROR(FIND($J$2,Lines!O16))=TRUE,"",IF('1000'!O16="","ERR",""))</f>
        <v/>
      </c>
      <c r="P16" s="114" t="str">
        <f>IF(ISERROR(FIND($B$2,Lines!P16))=TRUE,"",IF('750'!P16="","ERR","")) &amp; IF(ISERROR(FIND($C$2,Lines!P16))=TRUE,"",IF('500'!P16="","ERR","")) &amp; IF(ISERROR(FIND($D$2,Lines!P16))=TRUE,"",IF('330'!P16="","ERR","")) &amp; IF(ISERROR(FIND($E$2,Lines!P16))=TRUE,"",IF('220'!P16="","ERR",""))&amp; IF(ISERROR(FIND($F$2,Lines!P16))=TRUE,"",IF(AND('500DC'!P16="",'800DC'!P16=""),"ERR","")) &amp; IF(ISERROR(FIND($G$2,Lines!P16))=TRUE,"",IF('1000'!P16="","ERR","")) &amp; IF(ISERROR(FIND($H$2,Lines!P16))=TRUE,"",IF('500DC'!P16="","ERR","")) &amp; IF(ISERROR(FIND($I$2,Lines!P16))=TRUE,"",IF('800DC'!P16="","ERR","")) &amp; IF(ISERROR(FIND($J$2,Lines!P16))=TRUE,"",IF('1000'!P16="","ERR",""))</f>
        <v/>
      </c>
      <c r="Q16" s="114" t="str">
        <f>IF(ISERROR(FIND($B$2,Lines!Q16))=TRUE,"",IF('750'!Q16="","ERR","")) &amp; IF(ISERROR(FIND($C$2,Lines!Q16))=TRUE,"",IF('500'!Q16="","ERR","")) &amp; IF(ISERROR(FIND($D$2,Lines!Q16))=TRUE,"",IF('330'!Q16="","ERR","")) &amp; IF(ISERROR(FIND($E$2,Lines!Q16))=TRUE,"",IF('220'!Q16="","ERR",""))&amp; IF(ISERROR(FIND($F$2,Lines!Q16))=TRUE,"",IF(AND('500DC'!Q16="",'800DC'!Q16=""),"ERR","")) &amp; IF(ISERROR(FIND($G$2,Lines!Q16))=TRUE,"",IF('1000'!Q16="","ERR","")) &amp; IF(ISERROR(FIND($H$2,Lines!Q16))=TRUE,"",IF('500DC'!Q16="","ERR","")) &amp; IF(ISERROR(FIND($I$2,Lines!Q16))=TRUE,"",IF('800DC'!Q16="","ERR","")) &amp; IF(ISERROR(FIND($J$2,Lines!Q16))=TRUE,"",IF('1000'!Q16="","ERR",""))</f>
        <v/>
      </c>
      <c r="R16" s="114" t="str">
        <f>IF(ISERROR(FIND($B$2,Lines!R16))=TRUE,"",IF('750'!R16="","ERR","")) &amp; IF(ISERROR(FIND($C$2,Lines!R16))=TRUE,"",IF('500'!R16="","ERR","")) &amp; IF(ISERROR(FIND($D$2,Lines!R16))=TRUE,"",IF('330'!R16="","ERR","")) &amp; IF(ISERROR(FIND($E$2,Lines!R16))=TRUE,"",IF('220'!R16="","ERR",""))&amp; IF(ISERROR(FIND($F$2,Lines!R16))=TRUE,"",IF(AND('500DC'!R16="",'800DC'!R16=""),"ERR","")) &amp; IF(ISERROR(FIND($G$2,Lines!R16))=TRUE,"",IF('1000'!R16="","ERR","")) &amp; IF(ISERROR(FIND($H$2,Lines!R16))=TRUE,"",IF('500DC'!R16="","ERR","")) &amp; IF(ISERROR(FIND($I$2,Lines!R16))=TRUE,"",IF('800DC'!R16="","ERR","")) &amp; IF(ISERROR(FIND($J$2,Lines!R16))=TRUE,"",IF('1000'!R16="","ERR",""))</f>
        <v/>
      </c>
      <c r="S16" s="114" t="str">
        <f>IF(ISERROR(FIND($B$2,Lines!S16))=TRUE,"",IF('750'!S16="","ERR","")) &amp; IF(ISERROR(FIND($C$2,Lines!S16))=TRUE,"",IF('500'!S16="","ERR","")) &amp; IF(ISERROR(FIND($D$2,Lines!S16))=TRUE,"",IF('330'!S16="","ERR","")) &amp; IF(ISERROR(FIND($E$2,Lines!S16))=TRUE,"",IF('220'!S16="","ERR",""))&amp; IF(ISERROR(FIND($F$2,Lines!S16))=TRUE,"",IF(AND('500DC'!S16="",'800DC'!S16=""),"ERR","")) &amp; IF(ISERROR(FIND($G$2,Lines!S16))=TRUE,"",IF('1000'!S16="","ERR","")) &amp; IF(ISERROR(FIND($H$2,Lines!S16))=TRUE,"",IF('500DC'!S16="","ERR","")) &amp; IF(ISERROR(FIND($I$2,Lines!S16))=TRUE,"",IF('800DC'!S16="","ERR","")) &amp; IF(ISERROR(FIND($J$2,Lines!S16))=TRUE,"",IF('1000'!S16="","ERR",""))</f>
        <v/>
      </c>
      <c r="T16" s="114" t="str">
        <f>IF(ISERROR(FIND($B$2,Lines!T16))=TRUE,"",IF('750'!T16="","ERR","")) &amp; IF(ISERROR(FIND($C$2,Lines!T16))=TRUE,"",IF('500'!T16="","ERR","")) &amp; IF(ISERROR(FIND($D$2,Lines!T16))=TRUE,"",IF('330'!T16="","ERR","")) &amp; IF(ISERROR(FIND($E$2,Lines!T16))=TRUE,"",IF('220'!T16="","ERR",""))&amp; IF(ISERROR(FIND($F$2,Lines!T16))=TRUE,"",IF(AND('500DC'!T16="",'800DC'!T16=""),"ERR","")) &amp; IF(ISERROR(FIND($G$2,Lines!T16))=TRUE,"",IF('1000'!T16="","ERR","")) &amp; IF(ISERROR(FIND($H$2,Lines!T16))=TRUE,"",IF('500DC'!T16="","ERR","")) &amp; IF(ISERROR(FIND($I$2,Lines!T16))=TRUE,"",IF('800DC'!T16="","ERR","")) &amp; IF(ISERROR(FIND($J$2,Lines!T16))=TRUE,"",IF('1000'!T16="","ERR",""))</f>
        <v/>
      </c>
      <c r="U16" s="114" t="str">
        <f>IF(ISERROR(FIND($B$2,Lines!U16))=TRUE,"",IF('750'!U16="","ERR","")) &amp; IF(ISERROR(FIND($C$2,Lines!U16))=TRUE,"",IF('500'!U16="","ERR","")) &amp; IF(ISERROR(FIND($D$2,Lines!U16))=TRUE,"",IF('330'!U16="","ERR","")) &amp; IF(ISERROR(FIND($E$2,Lines!U16))=TRUE,"",IF('220'!U16="","ERR",""))&amp; IF(ISERROR(FIND($F$2,Lines!U16))=TRUE,"",IF(AND('500DC'!U16="",'800DC'!U16=""),"ERR","")) &amp; IF(ISERROR(FIND($G$2,Lines!U16))=TRUE,"",IF('1000'!U16="","ERR","")) &amp; IF(ISERROR(FIND($H$2,Lines!U16))=TRUE,"",IF('500DC'!U16="","ERR","")) &amp; IF(ISERROR(FIND($I$2,Lines!U16))=TRUE,"",IF('800DC'!U16="","ERR","")) &amp; IF(ISERROR(FIND($J$2,Lines!U16))=TRUE,"",IF('1000'!U16="","ERR",""))</f>
        <v/>
      </c>
      <c r="V16" s="115" t="str">
        <f>IF(ISERROR(FIND($B$2,Lines!V16))=TRUE,"",IF('750'!V16="","ERR","")) &amp; IF(ISERROR(FIND($C$2,Lines!V16))=TRUE,"",IF('500'!V16="","ERR","")) &amp; IF(ISERROR(FIND($D$2,Lines!V16))=TRUE,"",IF('330'!V16="","ERR","")) &amp; IF(ISERROR(FIND($E$2,Lines!V16))=TRUE,"",IF('220'!V16="","ERR",""))&amp; IF(ISERROR(FIND($F$2,Lines!V16))=TRUE,"",IF(AND('500DC'!V16="",'800DC'!V16=""),"ERR","")) &amp; IF(ISERROR(FIND($G$2,Lines!V16))=TRUE,"",IF('1000'!V16="","ERR","")) &amp; IF(ISERROR(FIND($H$2,Lines!V16))=TRUE,"",IF('500DC'!V16="","ERR","")) &amp; IF(ISERROR(FIND($I$2,Lines!V16))=TRUE,"",IF('800DC'!V16="","ERR","")) &amp; IF(ISERROR(FIND($J$2,Lines!V16))=TRUE,"",IF('1000'!V16="","ERR",""))</f>
        <v/>
      </c>
      <c r="W16" s="109" t="str">
        <f>IF(ISERROR(FIND($B$2,Lines!W16))=TRUE,"",IF('750'!W16="","ERR","")) &amp; IF(ISERROR(FIND($C$2,Lines!W16))=TRUE,"",IF('500'!W16="","ERR","")) &amp; IF(ISERROR(FIND($D$2,Lines!W16))=TRUE,"",IF('330'!W16="","ERR","")) &amp; IF(ISERROR(FIND($E$2,Lines!W16))=TRUE,"",IF('220'!W16="","ERR",""))&amp; IF(ISERROR(FIND($F$2,Lines!W16))=TRUE,"",IF(AND('500DC'!W16="",'800DC'!W16=""),"ERR","")) &amp; IF(ISERROR(FIND($G$2,Lines!W16))=TRUE,"",IF('1000'!W16="","ERR","")) &amp; IF(ISERROR(FIND($H$2,Lines!W16))=TRUE,"",IF('500DC'!W16="","ERR","")) &amp; IF(ISERROR(FIND($I$2,Lines!W16))=TRUE,"",IF('800DC'!W16="","ERR","")) &amp; IF(ISERROR(FIND($J$2,Lines!W16))=TRUE,"",IF('1000'!W16="","ERR",""))</f>
        <v/>
      </c>
      <c r="X16" s="108" t="str">
        <f>IF(ISERROR(FIND($B$2,Lines!X16))=TRUE,"",IF('750'!X16="","ERR","")) &amp; IF(ISERROR(FIND($C$2,Lines!X16))=TRUE,"",IF('500'!X16="","ERR","")) &amp; IF(ISERROR(FIND($D$2,Lines!X16))=TRUE,"",IF('330'!X16="","ERR","")) &amp; IF(ISERROR(FIND($E$2,Lines!X16))=TRUE,"",IF('220'!X16="","ERR",""))&amp; IF(ISERROR(FIND($F$2,Lines!X16))=TRUE,"",IF(AND('500DC'!X16="",'800DC'!X16=""),"ERR","")) &amp; IF(ISERROR(FIND($G$2,Lines!X16))=TRUE,"",IF('1000'!X16="","ERR","")) &amp; IF(ISERROR(FIND($H$2,Lines!X16))=TRUE,"",IF('500DC'!X16="","ERR","")) &amp; IF(ISERROR(FIND($I$2,Lines!X16))=TRUE,"",IF('800DC'!X16="","ERR","")) &amp; IF(ISERROR(FIND($J$2,Lines!X16))=TRUE,"",IF('1000'!X16="","ERR",""))</f>
        <v/>
      </c>
      <c r="Y16" s="108" t="str">
        <f>IF(ISERROR(FIND($B$2,Lines!Y16))=TRUE,"",IF('750'!Y16="","ERR","")) &amp; IF(ISERROR(FIND($C$2,Lines!Y16))=TRUE,"",IF('500'!Y16="","ERR","")) &amp; IF(ISERROR(FIND($D$2,Lines!Y16))=TRUE,"",IF('330'!Y16="","ERR","")) &amp; IF(ISERROR(FIND($E$2,Lines!Y16))=TRUE,"",IF('220'!Y16="","ERR",""))&amp; IF(ISERROR(FIND($F$2,Lines!Y16))=TRUE,"",IF(AND('500DC'!Y16="",'800DC'!Y16=""),"ERR","")) &amp; IF(ISERROR(FIND($G$2,Lines!Y16))=TRUE,"",IF('1000'!Y16="","ERR","")) &amp; IF(ISERROR(FIND($H$2,Lines!Y16))=TRUE,"",IF('500DC'!Y16="","ERR","")) &amp; IF(ISERROR(FIND($I$2,Lines!Y16))=TRUE,"",IF('800DC'!Y16="","ERR","")) &amp; IF(ISERROR(FIND($J$2,Lines!Y16))=TRUE,"",IF('1000'!Y16="","ERR",""))</f>
        <v/>
      </c>
      <c r="Z16" s="108" t="str">
        <f>IF(ISERROR(FIND($B$2,Lines!Z16))=TRUE,"",IF('750'!Z16="","ERR","")) &amp; IF(ISERROR(FIND($C$2,Lines!Z16))=TRUE,"",IF('500'!Z16="","ERR","")) &amp; IF(ISERROR(FIND($D$2,Lines!Z16))=TRUE,"",IF('330'!Z16="","ERR","")) &amp; IF(ISERROR(FIND($E$2,Lines!Z16))=TRUE,"",IF('220'!Z16="","ERR",""))&amp; IF(ISERROR(FIND($F$2,Lines!Z16))=TRUE,"",IF(AND('500DC'!Z16="",'800DC'!Z16=""),"ERR","")) &amp; IF(ISERROR(FIND($G$2,Lines!Z16))=TRUE,"",IF('1000'!Z16="","ERR","")) &amp; IF(ISERROR(FIND($H$2,Lines!Z16))=TRUE,"",IF('500DC'!Z16="","ERR","")) &amp; IF(ISERROR(FIND($I$2,Lines!Z16))=TRUE,"",IF('800DC'!Z16="","ERR","")) &amp; IF(ISERROR(FIND($J$2,Lines!Z16))=TRUE,"",IF('1000'!Z16="","ERR",""))</f>
        <v/>
      </c>
      <c r="AA16" s="108" t="str">
        <f>IF(ISERROR(FIND($B$2,Lines!AA16))=TRUE,"",IF('750'!AA16="","ERR","")) &amp; IF(ISERROR(FIND($C$2,Lines!AA16))=TRUE,"",IF('500'!AA16="","ERR","")) &amp; IF(ISERROR(FIND($D$2,Lines!AA16))=TRUE,"",IF('330'!AA16="","ERR","")) &amp; IF(ISERROR(FIND($E$2,Lines!AA16))=TRUE,"",IF('220'!AA16="","ERR",""))&amp; IF(ISERROR(FIND($F$2,Lines!AA16))=TRUE,"",IF(AND('500DC'!AA16="",'800DC'!AA16=""),"ERR","")) &amp; IF(ISERROR(FIND($G$2,Lines!AA16))=TRUE,"",IF('1000'!AA16="","ERR","")) &amp; IF(ISERROR(FIND($H$2,Lines!AA16))=TRUE,"",IF('500DC'!AA16="","ERR","")) &amp; IF(ISERROR(FIND($I$2,Lines!AA16))=TRUE,"",IF('800DC'!AA16="","ERR","")) &amp; IF(ISERROR(FIND($J$2,Lines!AA16))=TRUE,"",IF('1000'!AA16="","ERR",""))</f>
        <v/>
      </c>
      <c r="AB16" s="108" t="str">
        <f>IF(ISERROR(FIND($B$2,Lines!#REF!))=TRUE,"",IF('750'!AB16="","ERR","")) &amp; IF(ISERROR(FIND($C$2,Lines!#REF!))=TRUE,"",IF('500'!AB16="","ERR","")) &amp; IF(ISERROR(FIND($D$2,Lines!#REF!))=TRUE,"",IF('330'!AB16="","ERR","")) &amp; IF(ISERROR(FIND($E$2,Lines!#REF!))=TRUE,"",IF('220'!AB16="","ERR",""))&amp; IF(ISERROR(FIND($F$2,Lines!#REF!))=TRUE,"",IF(AND('500DC'!AB16="",'800DC'!AB16=""),"ERR","")) &amp; IF(ISERROR(FIND($G$2,Lines!#REF!))=TRUE,"",IF('1000'!AB16="","ERR","")) &amp; IF(ISERROR(FIND($H$2,Lines!#REF!))=TRUE,"",IF('500DC'!AB16="","ERR","")) &amp; IF(ISERROR(FIND($I$2,Lines!#REF!))=TRUE,"",IF('800DC'!AB16="","ERR","")) &amp; IF(ISERROR(FIND($J$2,Lines!#REF!))=TRUE,"",IF('1000'!AB16="","ERR",""))</f>
        <v/>
      </c>
      <c r="AC16" s="108" t="str">
        <f>IF(ISERROR(FIND($B$2,Lines!AC16))=TRUE,"",IF('750'!AC16="","ERR","")) &amp; IF(ISERROR(FIND($C$2,Lines!AC16))=TRUE,"",IF('500'!AC16="","ERR","")) &amp; IF(ISERROR(FIND($D$2,Lines!AC16))=TRUE,"",IF('330'!AC16="","ERR","")) &amp; IF(ISERROR(FIND($E$2,Lines!AC16))=TRUE,"",IF('220'!AC16="","ERR",""))&amp; IF(ISERROR(FIND($F$2,Lines!AC16))=TRUE,"",IF(AND('500DC'!AC16="",'800DC'!AC16=""),"ERR","")) &amp; IF(ISERROR(FIND($G$2,Lines!AC16))=TRUE,"",IF('1000'!AC16="","ERR","")) &amp; IF(ISERROR(FIND($H$2,Lines!AC16))=TRUE,"",IF('500DC'!AC16="","ERR","")) &amp; IF(ISERROR(FIND($I$2,Lines!AC16))=TRUE,"",IF('800DC'!AC16="","ERR","")) &amp; IF(ISERROR(FIND($J$2,Lines!AC16))=TRUE,"",IF('1000'!AC16="","ERR",""))</f>
        <v/>
      </c>
      <c r="AD16" s="108" t="str">
        <f>IF(ISERROR(FIND($B$2,Lines!AD16))=TRUE,"",IF('750'!AD16="","ERR","")) &amp; IF(ISERROR(FIND($C$2,Lines!AD16))=TRUE,"",IF('500'!AD16="","ERR","")) &amp; IF(ISERROR(FIND($D$2,Lines!AD16))=TRUE,"",IF('330'!AD16="","ERR","")) &amp; IF(ISERROR(FIND($E$2,Lines!AD16))=TRUE,"",IF('220'!AD16="","ERR",""))&amp; IF(ISERROR(FIND($F$2,Lines!AD16))=TRUE,"",IF(AND('500DC'!AD16="",'800DC'!AD16=""),"ERR","")) &amp; IF(ISERROR(FIND($G$2,Lines!AD16))=TRUE,"",IF('1000'!AD16="","ERR","")) &amp; IF(ISERROR(FIND($H$2,Lines!AD16))=TRUE,"",IF('500DC'!AD16="","ERR","")) &amp; IF(ISERROR(FIND($I$2,Lines!AD16))=TRUE,"",IF('800DC'!AD16="","ERR","")) &amp; IF(ISERROR(FIND($J$2,Lines!AD16))=TRUE,"",IF('1000'!AD16="","ERR",""))</f>
        <v/>
      </c>
      <c r="AE16" s="108" t="str">
        <f>IF(ISERROR(FIND($B$2,Lines!AE16))=TRUE,"",IF('750'!AE16="","ERR","")) &amp; IF(ISERROR(FIND($C$2,Lines!AE16))=TRUE,"",IF('500'!AE16="","ERR","")) &amp; IF(ISERROR(FIND($D$2,Lines!AE16))=TRUE,"",IF('330'!AE16="","ERR","")) &amp; IF(ISERROR(FIND($E$2,Lines!AE16))=TRUE,"",IF('220'!AE16="","ERR",""))&amp; IF(ISERROR(FIND($F$2,Lines!AE16))=TRUE,"",IF(AND('500DC'!AE16="",'800DC'!AE16=""),"ERR","")) &amp; IF(ISERROR(FIND($G$2,Lines!AE16))=TRUE,"",IF('1000'!AE16="","ERR","")) &amp; IF(ISERROR(FIND($H$2,Lines!AE16))=TRUE,"",IF('500DC'!AE16="","ERR","")) &amp; IF(ISERROR(FIND($I$2,Lines!AE16))=TRUE,"",IF('800DC'!AE16="","ERR","")) &amp; IF(ISERROR(FIND($J$2,Lines!AE16))=TRUE,"",IF('1000'!AE16="","ERR",""))</f>
        <v/>
      </c>
      <c r="AF16" s="108" t="str">
        <f>IF(ISERROR(FIND($B$2,Lines!AF16))=TRUE,"",IF('750'!AF16="","ERR","")) &amp; IF(ISERROR(FIND($C$2,Lines!AF16))=TRUE,"",IF('500'!AF16="","ERR","")) &amp; IF(ISERROR(FIND($D$2,Lines!AF16))=TRUE,"",IF('330'!AF16="","ERR","")) &amp; IF(ISERROR(FIND($E$2,Lines!AF16))=TRUE,"",IF('220'!AF16="","ERR",""))&amp; IF(ISERROR(FIND($F$2,Lines!AF16))=TRUE,"",IF(AND('500DC'!AF16="",'800DC'!AF16=""),"ERR","")) &amp; IF(ISERROR(FIND($G$2,Lines!AF16))=TRUE,"",IF('1000'!AF16="","ERR","")) &amp; IF(ISERROR(FIND($H$2,Lines!AF16))=TRUE,"",IF('500DC'!AF16="","ERR","")) &amp; IF(ISERROR(FIND($I$2,Lines!AF16))=TRUE,"",IF('800DC'!AF16="","ERR","")) &amp; IF(ISERROR(FIND($J$2,Lines!AF16))=TRUE,"",IF('1000'!AF16="","ERR",""))</f>
        <v/>
      </c>
      <c r="AG16" s="108" t="str">
        <f>IF(ISERROR(FIND($B$2,Lines!AG16))=TRUE,"",IF('750'!AG16="","ERR","")) &amp; IF(ISERROR(FIND($C$2,Lines!AG16))=TRUE,"",IF('500'!AG16="","ERR","")) &amp; IF(ISERROR(FIND($D$2,Lines!AG16))=TRUE,"",IF('330'!AG16="","ERR","")) &amp; IF(ISERROR(FIND($E$2,Lines!AG16))=TRUE,"",IF('220'!AG16="","ERR",""))&amp; IF(ISERROR(FIND($F$2,Lines!AG16))=TRUE,"",IF(AND('500DC'!AG16="",'800DC'!AG16=""),"ERR","")) &amp; IF(ISERROR(FIND($G$2,Lines!AG16))=TRUE,"",IF('1000'!AG16="","ERR","")) &amp; IF(ISERROR(FIND($H$2,Lines!AG16))=TRUE,"",IF('500DC'!AG16="","ERR","")) &amp; IF(ISERROR(FIND($I$2,Lines!AG16))=TRUE,"",IF('800DC'!AG16="","ERR","")) &amp; IF(ISERROR(FIND($J$2,Lines!AG16))=TRUE,"",IF('1000'!AG16="","ERR",""))</f>
        <v/>
      </c>
      <c r="AH16" s="108" t="str">
        <f>IF(ISERROR(FIND($B$2,Lines!AH16))=TRUE,"",IF('750'!AH16="","ERR","")) &amp; IF(ISERROR(FIND($C$2,Lines!AH16))=TRUE,"",IF('500'!AH16="","ERR","")) &amp; IF(ISERROR(FIND($D$2,Lines!AH16))=TRUE,"",IF('330'!AH16="","ERR","")) &amp; IF(ISERROR(FIND($E$2,Lines!AH16))=TRUE,"",IF('220'!AH16="","ERR",""))&amp; IF(ISERROR(FIND($F$2,Lines!AH16))=TRUE,"",IF(AND('500DC'!AH16="",'800DC'!AH16=""),"ERR","")) &amp; IF(ISERROR(FIND($G$2,Lines!AH16))=TRUE,"",IF('1000'!AH16="","ERR","")) &amp; IF(ISERROR(FIND($H$2,Lines!AH16))=TRUE,"",IF('500DC'!AH16="","ERR","")) &amp; IF(ISERROR(FIND($I$2,Lines!AH16))=TRUE,"",IF('800DC'!AH16="","ERR","")) &amp; IF(ISERROR(FIND($J$2,Lines!AH16))=TRUE,"",IF('1000'!AH16="","ERR",""))</f>
        <v/>
      </c>
      <c r="AI16" s="108" t="str">
        <f>IF(ISERROR(FIND($B$2,Lines!AI16))=TRUE,"",IF('750'!AI16="","ERR","")) &amp; IF(ISERROR(FIND($C$2,Lines!AI16))=TRUE,"",IF('500'!AI16="","ERR","")) &amp; IF(ISERROR(FIND($D$2,Lines!AI16))=TRUE,"",IF('330'!AI16="","ERR","")) &amp; IF(ISERROR(FIND($E$2,Lines!AI16))=TRUE,"",IF('220'!AI16="","ERR",""))&amp; IF(ISERROR(FIND($F$2,Lines!AI16))=TRUE,"",IF(AND('500DC'!AI16="",'800DC'!AI16=""),"ERR","")) &amp; IF(ISERROR(FIND($G$2,Lines!AI16))=TRUE,"",IF('1000'!AI16="","ERR","")) &amp; IF(ISERROR(FIND($H$2,Lines!AI16))=TRUE,"",IF('500DC'!AI16="","ERR","")) &amp; IF(ISERROR(FIND($I$2,Lines!AI16))=TRUE,"",IF('800DC'!AI16="","ERR","")) &amp; IF(ISERROR(FIND($J$2,Lines!AI16))=TRUE,"",IF('1000'!AI16="","ERR",""))</f>
        <v/>
      </c>
      <c r="AJ16" s="108" t="str">
        <f>IF(ISERROR(FIND($B$2,Lines!AJ16))=TRUE,"",IF('750'!AJ16="","ERR","")) &amp; IF(ISERROR(FIND($C$2,Lines!AJ16))=TRUE,"",IF('500'!AJ16="","ERR","")) &amp; IF(ISERROR(FIND($D$2,Lines!AJ16))=TRUE,"",IF('330'!AJ16="","ERR","")) &amp; IF(ISERROR(FIND($E$2,Lines!AJ16))=TRUE,"",IF('220'!AJ16="","ERR",""))&amp; IF(ISERROR(FIND($F$2,Lines!AJ16))=TRUE,"",IF(AND('500DC'!AJ16="",'800DC'!AJ16=""),"ERR","")) &amp; IF(ISERROR(FIND($G$2,Lines!AJ16))=TRUE,"",IF('1000'!AJ16="","ERR","")) &amp; IF(ISERROR(FIND($H$2,Lines!AJ16))=TRUE,"",IF('500DC'!AJ16="","ERR","")) &amp; IF(ISERROR(FIND($I$2,Lines!AJ16))=TRUE,"",IF('800DC'!AJ16="","ERR","")) &amp; IF(ISERROR(FIND($J$2,Lines!AJ16))=TRUE,"",IF('1000'!AJ16="","ERR",""))</f>
        <v/>
      </c>
      <c r="AK16" s="108" t="str">
        <f>IF(ISERROR(FIND($B$2,Lines!AK16))=TRUE,"",IF('750'!AK16="","ERR","")) &amp; IF(ISERROR(FIND($C$2,Lines!AK16))=TRUE,"",IF('500'!AK16="","ERR","")) &amp; IF(ISERROR(FIND($D$2,Lines!AK16))=TRUE,"",IF('330'!AK16="","ERR","")) &amp; IF(ISERROR(FIND($E$2,Lines!AK16))=TRUE,"",IF('220'!AK16="","ERR",""))&amp; IF(ISERROR(FIND($F$2,Lines!AK16))=TRUE,"",IF(AND('500DC'!AK16="",'800DC'!AK16=""),"ERR","")) &amp; IF(ISERROR(FIND($G$2,Lines!AK16))=TRUE,"",IF('1000'!AK16="","ERR","")) &amp; IF(ISERROR(FIND($H$2,Lines!AK16))=TRUE,"",IF('500DC'!AK16="","ERR","")) &amp; IF(ISERROR(FIND($I$2,Lines!AK16))=TRUE,"",IF('800DC'!AK16="","ERR","")) &amp; IF(ISERROR(FIND($J$2,Lines!AK16))=TRUE,"",IF('1000'!AK16="","ERR",""))</f>
        <v/>
      </c>
      <c r="AL16" s="108" t="str">
        <f>IF(ISERROR(FIND($B$2,Lines!AL16))=TRUE,"",IF('750'!AL16="","ERR","")) &amp; IF(ISERROR(FIND($C$2,Lines!AL16))=TRUE,"",IF('500'!AL16="","ERR","")) &amp; IF(ISERROR(FIND($D$2,Lines!AL16))=TRUE,"",IF('330'!AL16="","ERR","")) &amp; IF(ISERROR(FIND($E$2,Lines!AL16))=TRUE,"",IF('220'!AL16="","ERR",""))&amp; IF(ISERROR(FIND($F$2,Lines!AL16))=TRUE,"",IF(AND('500DC'!AL16="",'800DC'!AL16=""),"ERR","")) &amp; IF(ISERROR(FIND($G$2,Lines!AL16))=TRUE,"",IF('1000'!AL16="","ERR","")) &amp; IF(ISERROR(FIND($H$2,Lines!AL16))=TRUE,"",IF('500DC'!AL16="","ERR","")) &amp; IF(ISERROR(FIND($I$2,Lines!AL16))=TRUE,"",IF('800DC'!AL16="","ERR","")) &amp; IF(ISERROR(FIND($J$2,Lines!AL16))=TRUE,"",IF('1000'!AL16="","ERR",""))</f>
        <v/>
      </c>
      <c r="AM16" s="108" t="str">
        <f>IF(ISERROR(FIND($B$2,Lines!AM16))=TRUE,"",IF('750'!AM16="","ERR","")) &amp; IF(ISERROR(FIND($C$2,Lines!AM16))=TRUE,"",IF('500'!AM16="","ERR","")) &amp; IF(ISERROR(FIND($D$2,Lines!AM16))=TRUE,"",IF('330'!AM16="","ERR","")) &amp; IF(ISERROR(FIND($E$2,Lines!AM16))=TRUE,"",IF('220'!AM16="","ERR",""))&amp; IF(ISERROR(FIND($F$2,Lines!AM16))=TRUE,"",IF(AND('500DC'!AM16="",'800DC'!AM16=""),"ERR","")) &amp; IF(ISERROR(FIND($G$2,Lines!AM16))=TRUE,"",IF('1000'!AM16="","ERR","")) &amp; IF(ISERROR(FIND($H$2,Lines!AM16))=TRUE,"",IF('500DC'!AM16="","ERR","")) &amp; IF(ISERROR(FIND($I$2,Lines!AM16))=TRUE,"",IF('800DC'!AM16="","ERR","")) &amp; IF(ISERROR(FIND($J$2,Lines!AM16))=TRUE,"",IF('1000'!AM16="","ERR",""))</f>
        <v/>
      </c>
      <c r="AN16" s="108" t="str">
        <f>IF(ISERROR(FIND($B$2,Lines!AN16))=TRUE,"",IF('750'!AN16="","ERR","")) &amp; IF(ISERROR(FIND($C$2,Lines!AN16))=TRUE,"",IF('500'!AN16="","ERR","")) &amp; IF(ISERROR(FIND($D$2,Lines!AN16))=TRUE,"",IF('330'!AN16="","ERR","")) &amp; IF(ISERROR(FIND($E$2,Lines!AN16))=TRUE,"",IF('220'!AN16="","ERR",""))&amp; IF(ISERROR(FIND($F$2,Lines!AN16))=TRUE,"",IF(AND('500DC'!AN16="",'800DC'!AN16=""),"ERR","")) &amp; IF(ISERROR(FIND($G$2,Lines!AN16))=TRUE,"",IF('1000'!AN16="","ERR","")) &amp; IF(ISERROR(FIND($H$2,Lines!AN16))=TRUE,"",IF('500DC'!AN16="","ERR","")) &amp; IF(ISERROR(FIND($I$2,Lines!AN16))=TRUE,"",IF('800DC'!AN16="","ERR","")) &amp; IF(ISERROR(FIND($J$2,Lines!AN16))=TRUE,"",IF('1000'!AN16="","ERR",""))</f>
        <v/>
      </c>
      <c r="AO16" s="108" t="str">
        <f>IF(ISERROR(FIND($B$2,Lines!AO16))=TRUE,"",IF('750'!AO16="","ERR","")) &amp; IF(ISERROR(FIND($C$2,Lines!AO16))=TRUE,"",IF('500'!AO16="","ERR","")) &amp; IF(ISERROR(FIND($D$2,Lines!AO16))=TRUE,"",IF('330'!AO16="","ERR","")) &amp; IF(ISERROR(FIND($E$2,Lines!AO16))=TRUE,"",IF('220'!AO16="","ERR",""))&amp; IF(ISERROR(FIND($F$2,Lines!AO16))=TRUE,"",IF(AND('500DC'!AO16="",'800DC'!AO16=""),"ERR","")) &amp; IF(ISERROR(FIND($G$2,Lines!AO16))=TRUE,"",IF('1000'!AO16="","ERR","")) &amp; IF(ISERROR(FIND($H$2,Lines!AO16))=TRUE,"",IF('500DC'!AO16="","ERR","")) &amp; IF(ISERROR(FIND($I$2,Lines!AO16))=TRUE,"",IF('800DC'!AO16="","ERR","")) &amp; IF(ISERROR(FIND($J$2,Lines!AO16))=TRUE,"",IF('1000'!AO16="","ERR",""))</f>
        <v/>
      </c>
      <c r="AP16" s="108" t="str">
        <f>IF(ISERROR(FIND($B$2,Lines!AP16))=TRUE,"",IF('750'!AP16="","ERR","")) &amp; IF(ISERROR(FIND($C$2,Lines!AP16))=TRUE,"",IF('500'!AP16="","ERR","")) &amp; IF(ISERROR(FIND($D$2,Lines!AP16))=TRUE,"",IF('330'!AP16="","ERR","")) &amp; IF(ISERROR(FIND($E$2,Lines!AP16))=TRUE,"",IF('220'!AP16="","ERR",""))&amp; IF(ISERROR(FIND($F$2,Lines!AP16))=TRUE,"",IF(AND('500DC'!AP16="",'800DC'!AP16=""),"ERR","")) &amp; IF(ISERROR(FIND($G$2,Lines!AP16))=TRUE,"",IF('1000'!AP16="","ERR","")) &amp; IF(ISERROR(FIND($H$2,Lines!AP16))=TRUE,"",IF('500DC'!AP16="","ERR","")) &amp; IF(ISERROR(FIND($I$2,Lines!AP16))=TRUE,"",IF('800DC'!AP16="","ERR","")) &amp; IF(ISERROR(FIND($J$2,Lines!AP16))=TRUE,"",IF('1000'!AP16="","ERR",""))</f>
        <v/>
      </c>
      <c r="AQ16" s="108" t="str">
        <f>IF(ISERROR(FIND($B$2,Lines!AQ16))=TRUE,"",IF('750'!AQ16="","ERR","")) &amp; IF(ISERROR(FIND($C$2,Lines!AQ16))=TRUE,"",IF('500'!AQ16="","ERR","")) &amp; IF(ISERROR(FIND($D$2,Lines!AQ16))=TRUE,"",IF('330'!AQ16="","ERR","")) &amp; IF(ISERROR(FIND($E$2,Lines!AQ16))=TRUE,"",IF('220'!AQ16="","ERR",""))&amp; IF(ISERROR(FIND($F$2,Lines!AQ16))=TRUE,"",IF(AND('500DC'!AQ16="",'800DC'!AQ16=""),"ERR","")) &amp; IF(ISERROR(FIND($G$2,Lines!AQ16))=TRUE,"",IF('1000'!AQ16="","ERR","")) &amp; IF(ISERROR(FIND($H$2,Lines!AQ16))=TRUE,"",IF('500DC'!AQ16="","ERR","")) &amp; IF(ISERROR(FIND($I$2,Lines!AQ16))=TRUE,"",IF('800DC'!AQ16="","ERR","")) &amp; IF(ISERROR(FIND($J$2,Lines!AQ16))=TRUE,"",IF('1000'!AQ16="","ERR",""))</f>
        <v/>
      </c>
      <c r="AR16" s="108" t="str">
        <f>IF(ISERROR(FIND($B$2,Lines!AR16))=TRUE,"",IF('750'!AR16="","ERR","")) &amp; IF(ISERROR(FIND($C$2,Lines!AR16))=TRUE,"",IF('500'!AR16="","ERR","")) &amp; IF(ISERROR(FIND($D$2,Lines!AR16))=TRUE,"",IF('330'!AR16="","ERR","")) &amp; IF(ISERROR(FIND($E$2,Lines!AR16))=TRUE,"",IF('220'!AR16="","ERR",""))&amp; IF(ISERROR(FIND($F$2,Lines!AR16))=TRUE,"",IF(AND('500DC'!AR16="",'800DC'!AR16=""),"ERR","")) &amp; IF(ISERROR(FIND($G$2,Lines!AR16))=TRUE,"",IF('1000'!AR16="","ERR","")) &amp; IF(ISERROR(FIND($H$2,Lines!AR16))=TRUE,"",IF('500DC'!AR16="","ERR","")) &amp; IF(ISERROR(FIND($I$2,Lines!AR16))=TRUE,"",IF('800DC'!AR16="","ERR","")) &amp; IF(ISERROR(FIND($J$2,Lines!AR16))=TRUE,"",IF('1000'!AR16="","ERR",""))</f>
        <v/>
      </c>
      <c r="AS16" s="108" t="str">
        <f>IF(ISERROR(FIND($B$2,Lines!AS16))=TRUE,"",IF('750'!AS16="","ERR","")) &amp; IF(ISERROR(FIND($C$2,Lines!AS16))=TRUE,"",IF('500'!AS16="","ERR","")) &amp; IF(ISERROR(FIND($D$2,Lines!AS16))=TRUE,"",IF('330'!AS16="","ERR","")) &amp; IF(ISERROR(FIND($E$2,Lines!AS16))=TRUE,"",IF('220'!AS16="","ERR",""))&amp; IF(ISERROR(FIND($F$2,Lines!AS16))=TRUE,"",IF(AND('500DC'!AS16="",'800DC'!AS16=""),"ERR","")) &amp; IF(ISERROR(FIND($G$2,Lines!AS16))=TRUE,"",IF('1000'!AS16="","ERR","")) &amp; IF(ISERROR(FIND($H$2,Lines!AS16))=TRUE,"",IF('500DC'!AS16="","ERR","")) &amp; IF(ISERROR(FIND($I$2,Lines!AS16))=TRUE,"",IF('800DC'!AS16="","ERR","")) &amp; IF(ISERROR(FIND($J$2,Lines!AS16))=TRUE,"",IF('1000'!AS16="","ERR",""))</f>
        <v/>
      </c>
      <c r="AT16" s="108" t="str">
        <f>IF(ISERROR(FIND($B$2,Lines!AT16))=TRUE,"",IF('750'!AT16="","ERR","")) &amp; IF(ISERROR(FIND($C$2,Lines!AT16))=TRUE,"",IF('500'!AT16="","ERR","")) &amp; IF(ISERROR(FIND($D$2,Lines!AT16))=TRUE,"",IF('330'!AT16="","ERR","")) &amp; IF(ISERROR(FIND($E$2,Lines!AT16))=TRUE,"",IF('220'!AT16="","ERR",""))&amp; IF(ISERROR(FIND($F$2,Lines!AT16))=TRUE,"",IF(AND('500DC'!AT16="",'800DC'!AT16=""),"ERR","")) &amp; IF(ISERROR(FIND($G$2,Lines!AT16))=TRUE,"",IF('1000'!AT16="","ERR","")) &amp; IF(ISERROR(FIND($H$2,Lines!AT16))=TRUE,"",IF('500DC'!AT16="","ERR","")) &amp; IF(ISERROR(FIND($I$2,Lines!AT16))=TRUE,"",IF('800DC'!AT16="","ERR","")) &amp; IF(ISERROR(FIND($J$2,Lines!AT16))=TRUE,"",IF('1000'!AT16="","ERR",""))</f>
        <v/>
      </c>
    </row>
    <row r="17" spans="1:46" ht="20.25" customHeight="1">
      <c r="A17" s="2" t="s">
        <v>13</v>
      </c>
      <c r="B17" s="108" t="str">
        <f>IF(ISERROR(FIND($B$2,Lines!B17))=TRUE,"",IF('750'!B17="","ERR","")) &amp; IF(ISERROR(FIND($C$2,Lines!B17))=TRUE,"",IF('500'!B17="","ERR","")) &amp; IF(ISERROR(FIND($D$2,Lines!B17))=TRUE,"",IF('330'!B17="","ERR","")) &amp; IF(ISERROR(FIND($E$2,Lines!B17))=TRUE,"",IF('220'!B17="","ERR",""))&amp; IF(ISERROR(FIND($F$2,Lines!B17))=TRUE,"",IF(AND('500DC'!B17="",'800DC'!B17=""),"ERR","")) &amp; IF(ISERROR(FIND($G$2,Lines!B17))=TRUE,"",IF('1000'!B17="","ERR","")) &amp; IF(ISERROR(FIND($H$2,Lines!B17))=TRUE,"",IF('500DC'!B17="","ERR","")) &amp; IF(ISERROR(FIND($I$2,Lines!B17))=TRUE,"",IF('800DC'!B17="","ERR","")) &amp; IF(ISERROR(FIND($J$2,Lines!B17))=TRUE,"",IF('1000'!B17="","ERR",""))</f>
        <v/>
      </c>
      <c r="C17" s="108" t="str">
        <f>IF(ISERROR(FIND($B$2,Lines!C17))=TRUE,"",IF('750'!C17="","ERR","")) &amp; IF(ISERROR(FIND($C$2,Lines!C17))=TRUE,"",IF('500'!C17="","ERR","")) &amp; IF(ISERROR(FIND($D$2,Lines!C17))=TRUE,"",IF('330'!C17="","ERR","")) &amp; IF(ISERROR(FIND($E$2,Lines!C17))=TRUE,"",IF('220'!C17="","ERR",""))&amp; IF(ISERROR(FIND($F$2,Lines!C17))=TRUE,"",IF(AND('500DC'!C17="",'800DC'!C17=""),"ERR","")) &amp; IF(ISERROR(FIND($G$2,Lines!C17))=TRUE,"",IF('1000'!C17="","ERR","")) &amp; IF(ISERROR(FIND($H$2,Lines!C17))=TRUE,"",IF('500DC'!C17="","ERR","")) &amp; IF(ISERROR(FIND($I$2,Lines!C17))=TRUE,"",IF('800DC'!C17="","ERR","")) &amp; IF(ISERROR(FIND($J$2,Lines!C17))=TRUE,"",IF('1000'!C17="","ERR",""))</f>
        <v/>
      </c>
      <c r="D17" s="108" t="str">
        <f>IF(ISERROR(FIND($B$2,Lines!D17))=TRUE,"",IF('750'!D17="","ERR","")) &amp; IF(ISERROR(FIND($C$2,Lines!D17))=TRUE,"",IF('500'!D17="","ERR","")) &amp; IF(ISERROR(FIND($D$2,Lines!D17))=TRUE,"",IF('330'!D17="","ERR","")) &amp; IF(ISERROR(FIND($E$2,Lines!D17))=TRUE,"",IF('220'!D17="","ERR",""))&amp; IF(ISERROR(FIND($F$2,Lines!D17))=TRUE,"",IF(AND('500DC'!D17="",'800DC'!D17=""),"ERR","")) &amp; IF(ISERROR(FIND($G$2,Lines!D17))=TRUE,"",IF('1000'!D17="","ERR","")) &amp; IF(ISERROR(FIND($H$2,Lines!D17))=TRUE,"",IF('500DC'!D17="","ERR","")) &amp; IF(ISERROR(FIND($I$2,Lines!D17))=TRUE,"",IF('800DC'!D17="","ERR","")) &amp; IF(ISERROR(FIND($J$2,Lines!D17))=TRUE,"",IF('1000'!D17="","ERR",""))</f>
        <v/>
      </c>
      <c r="E17" s="108" t="str">
        <f>IF(ISERROR(FIND($B$2,Lines!E17))=TRUE,"",IF('750'!E17="","ERR","")) &amp; IF(ISERROR(FIND($C$2,Lines!E17))=TRUE,"",IF('500'!E17="","ERR","")) &amp; IF(ISERROR(FIND($D$2,Lines!E17))=TRUE,"",IF('330'!E17="","ERR","")) &amp; IF(ISERROR(FIND($E$2,Lines!E17))=TRUE,"",IF('220'!E17="","ERR",""))&amp; IF(ISERROR(FIND($F$2,Lines!E17))=TRUE,"",IF(AND('500DC'!E17="",'800DC'!E17=""),"ERR","")) &amp; IF(ISERROR(FIND($G$2,Lines!E17))=TRUE,"",IF('1000'!E17="","ERR","")) &amp; IF(ISERROR(FIND($H$2,Lines!E17))=TRUE,"",IF('500DC'!E17="","ERR","")) &amp; IF(ISERROR(FIND($I$2,Lines!E17))=TRUE,"",IF('800DC'!E17="","ERR","")) &amp; IF(ISERROR(FIND($J$2,Lines!E17))=TRUE,"",IF('1000'!E17="","ERR",""))</f>
        <v/>
      </c>
      <c r="F17" s="108" t="str">
        <f>IF(ISERROR(FIND($B$2,Lines!F17))=TRUE,"",IF('750'!F17="","ERR","")) &amp; IF(ISERROR(FIND($C$2,Lines!F17))=TRUE,"",IF('500'!F17="","ERR","")) &amp; IF(ISERROR(FIND($D$2,Lines!F17))=TRUE,"",IF('330'!F17="","ERR","")) &amp; IF(ISERROR(FIND($E$2,Lines!F17))=TRUE,"",IF('220'!F17="","ERR",""))&amp; IF(ISERROR(FIND($F$2,Lines!F17))=TRUE,"",IF(AND('500DC'!F17="",'800DC'!F17=""),"ERR","")) &amp; IF(ISERROR(FIND($G$2,Lines!F17))=TRUE,"",IF('1000'!F17="","ERR","")) &amp; IF(ISERROR(FIND($H$2,Lines!F17))=TRUE,"",IF('500DC'!F17="","ERR","")) &amp; IF(ISERROR(FIND($I$2,Lines!F17))=TRUE,"",IF('800DC'!F17="","ERR","")) &amp; IF(ISERROR(FIND($J$2,Lines!F17))=TRUE,"",IF('1000'!F17="","ERR",""))</f>
        <v/>
      </c>
      <c r="G17" s="108" t="str">
        <f>IF(ISERROR(FIND($B$2,Lines!G17))=TRUE,"",IF('750'!G17="","ERR","")) &amp; IF(ISERROR(FIND($C$2,Lines!G17))=TRUE,"",IF('500'!G17="","ERR","")) &amp; IF(ISERROR(FIND($D$2,Lines!G17))=TRUE,"",IF('330'!G17="","ERR","")) &amp; IF(ISERROR(FIND($E$2,Lines!G17))=TRUE,"",IF('220'!G17="","ERR",""))&amp; IF(ISERROR(FIND($F$2,Lines!G17))=TRUE,"",IF(AND('500DC'!G17="",'800DC'!G17=""),"ERR","")) &amp; IF(ISERROR(FIND($G$2,Lines!G17))=TRUE,"",IF('1000'!G17="","ERR","")) &amp; IF(ISERROR(FIND($H$2,Lines!G17))=TRUE,"",IF('500DC'!G17="","ERR","")) &amp; IF(ISERROR(FIND($I$2,Lines!G17))=TRUE,"",IF('800DC'!G17="","ERR","")) &amp; IF(ISERROR(FIND($J$2,Lines!G17))=TRUE,"",IF('1000'!G17="","ERR",""))</f>
        <v/>
      </c>
      <c r="H17" s="108" t="str">
        <f>IF(ISERROR(FIND($B$2,Lines!H17))=TRUE,"",IF('750'!H17="","ERR","")) &amp; IF(ISERROR(FIND($C$2,Lines!H17))=TRUE,"",IF('500'!H17="","ERR","")) &amp; IF(ISERROR(FIND($D$2,Lines!H17))=TRUE,"",IF('330'!H17="","ERR","")) &amp; IF(ISERROR(FIND($E$2,Lines!H17))=TRUE,"",IF('220'!H17="","ERR",""))&amp; IF(ISERROR(FIND($F$2,Lines!H17))=TRUE,"",IF(AND('500DC'!H17="",'800DC'!H17=""),"ERR","")) &amp; IF(ISERROR(FIND($G$2,Lines!H17))=TRUE,"",IF('1000'!H17="","ERR","")) &amp; IF(ISERROR(FIND($H$2,Lines!H17))=TRUE,"",IF('500DC'!H17="","ERR","")) &amp; IF(ISERROR(FIND($I$2,Lines!H17))=TRUE,"",IF('800DC'!H17="","ERR","")) &amp; IF(ISERROR(FIND($J$2,Lines!H17))=TRUE,"",IF('1000'!H17="","ERR",""))</f>
        <v/>
      </c>
      <c r="I17" s="108" t="str">
        <f>IF(ISERROR(FIND($B$2,Lines!I17))=TRUE,"",IF('750'!I17="","ERR","")) &amp; IF(ISERROR(FIND($C$2,Lines!I17))=TRUE,"",IF('500'!I17="","ERR","")) &amp; IF(ISERROR(FIND($D$2,Lines!I17))=TRUE,"",IF('330'!I17="","ERR","")) &amp; IF(ISERROR(FIND($E$2,Lines!I17))=TRUE,"",IF('220'!I17="","ERR",""))&amp; IF(ISERROR(FIND($F$2,Lines!I17))=TRUE,"",IF(AND('500DC'!I17="",'800DC'!I17=""),"ERR","")) &amp; IF(ISERROR(FIND($G$2,Lines!I17))=TRUE,"",IF('1000'!I17="","ERR","")) &amp; IF(ISERROR(FIND($H$2,Lines!I17))=TRUE,"",IF('500DC'!I17="","ERR","")) &amp; IF(ISERROR(FIND($I$2,Lines!I17))=TRUE,"",IF('800DC'!I17="","ERR","")) &amp; IF(ISERROR(FIND($J$2,Lines!I17))=TRUE,"",IF('1000'!I17="","ERR",""))</f>
        <v/>
      </c>
      <c r="J17" s="108" t="str">
        <f>IF(ISERROR(FIND($B$2,Lines!J17))=TRUE,"",IF('750'!J17="","ERR","")) &amp; IF(ISERROR(FIND($C$2,Lines!J17))=TRUE,"",IF('500'!J17="","ERR","")) &amp; IF(ISERROR(FIND($D$2,Lines!J17))=TRUE,"",IF('330'!J17="","ERR","")) &amp; IF(ISERROR(FIND($E$2,Lines!J17))=TRUE,"",IF('220'!J17="","ERR",""))&amp; IF(ISERROR(FIND($F$2,Lines!J17))=TRUE,"",IF(AND('500DC'!J17="",'800DC'!J17=""),"ERR","")) &amp; IF(ISERROR(FIND($G$2,Lines!J17))=TRUE,"",IF('1000'!J17="","ERR","")) &amp; IF(ISERROR(FIND($H$2,Lines!J17))=TRUE,"",IF('500DC'!J17="","ERR","")) &amp; IF(ISERROR(FIND($I$2,Lines!J17))=TRUE,"",IF('800DC'!J17="","ERR","")) &amp; IF(ISERROR(FIND($J$2,Lines!J17))=TRUE,"",IF('1000'!J17="","ERR",""))</f>
        <v/>
      </c>
      <c r="K17" s="108" t="str">
        <f>IF(ISERROR(FIND($B$2,Lines!K17))=TRUE,"",IF('750'!K17="","ERR","")) &amp; IF(ISERROR(FIND($C$2,Lines!K17))=TRUE,"",IF('500'!K17="","ERR","")) &amp; IF(ISERROR(FIND($D$2,Lines!K17))=TRUE,"",IF('330'!K17="","ERR","")) &amp; IF(ISERROR(FIND($E$2,Lines!K17))=TRUE,"",IF('220'!K17="","ERR",""))&amp; IF(ISERROR(FIND($F$2,Lines!K17))=TRUE,"",IF(AND('500DC'!K17="",'800DC'!K17=""),"ERR","")) &amp; IF(ISERROR(FIND($G$2,Lines!K17))=TRUE,"",IF('1000'!K17="","ERR","")) &amp; IF(ISERROR(FIND($H$2,Lines!K17))=TRUE,"",IF('500DC'!K17="","ERR","")) &amp; IF(ISERROR(FIND($I$2,Lines!K17))=TRUE,"",IF('800DC'!K17="","ERR","")) &amp; IF(ISERROR(FIND($J$2,Lines!K17))=TRUE,"",IF('1000'!K17="","ERR",""))</f>
        <v/>
      </c>
      <c r="L17" s="108" t="str">
        <f>IF(ISERROR(FIND($B$2,Lines!L17))=TRUE,"",IF('750'!L17="","ERR","")) &amp; IF(ISERROR(FIND($C$2,Lines!L17))=TRUE,"",IF('500'!L17="","ERR","")) &amp; IF(ISERROR(FIND($D$2,Lines!L17))=TRUE,"",IF('330'!L17="","ERR","")) &amp; IF(ISERROR(FIND($E$2,Lines!L17))=TRUE,"",IF('220'!L17="","ERR",""))&amp; IF(ISERROR(FIND($F$2,Lines!L17))=TRUE,"",IF(AND('500DC'!L17="",'800DC'!L17=""),"ERR","")) &amp; IF(ISERROR(FIND($G$2,Lines!L17))=TRUE,"",IF('1000'!L17="","ERR","")) &amp; IF(ISERROR(FIND($H$2,Lines!L17))=TRUE,"",IF('500DC'!L17="","ERR","")) &amp; IF(ISERROR(FIND($I$2,Lines!L17))=TRUE,"",IF('800DC'!L17="","ERR","")) &amp; IF(ISERROR(FIND($J$2,Lines!L17))=TRUE,"",IF('1000'!L17="","ERR",""))</f>
        <v/>
      </c>
      <c r="M17" s="108" t="str">
        <f>IF(ISERROR(FIND($B$2,Lines!M17))=TRUE,"",IF('750'!M17="","ERR","")) &amp; IF(ISERROR(FIND($C$2,Lines!M17))=TRUE,"",IF('500'!M17="","ERR","")) &amp; IF(ISERROR(FIND($D$2,Lines!M17))=TRUE,"",IF('330'!M17="","ERR","")) &amp; IF(ISERROR(FIND($E$2,Lines!M17))=TRUE,"",IF('220'!M17="","ERR",""))&amp; IF(ISERROR(FIND($F$2,Lines!M17))=TRUE,"",IF(AND('500DC'!M17="",'800DC'!M17=""),"ERR","")) &amp; IF(ISERROR(FIND($G$2,Lines!M17))=TRUE,"",IF('1000'!M17="","ERR","")) &amp; IF(ISERROR(FIND($H$2,Lines!M17))=TRUE,"",IF('500DC'!M17="","ERR","")) &amp; IF(ISERROR(FIND($I$2,Lines!M17))=TRUE,"",IF('800DC'!M17="","ERR","")) &amp; IF(ISERROR(FIND($J$2,Lines!M17))=TRUE,"",IF('1000'!M17="","ERR",""))</f>
        <v/>
      </c>
      <c r="N17" s="113" t="str">
        <f>IF(ISERROR(FIND($B$2,Lines!N17))=TRUE,"",IF('750'!N17="","ERR","")) &amp; IF(ISERROR(FIND($C$2,Lines!N17))=TRUE,"",IF('500'!N17="","ERR","")) &amp; IF(ISERROR(FIND($D$2,Lines!N17))=TRUE,"",IF('330'!N17="","ERR","")) &amp; IF(ISERROR(FIND($E$2,Lines!N17))=TRUE,"",IF('220'!N17="","ERR",""))&amp; IF(ISERROR(FIND($F$2,Lines!N17))=TRUE,"",IF(AND('500DC'!N17="",'800DC'!N17=""),"ERR","")) &amp; IF(ISERROR(FIND($G$2,Lines!N17))=TRUE,"",IF('1000'!N17="","ERR","")) &amp; IF(ISERROR(FIND($H$2,Lines!N17))=TRUE,"",IF('500DC'!N17="","ERR","")) &amp; IF(ISERROR(FIND($I$2,Lines!N17))=TRUE,"",IF('800DC'!N17="","ERR","")) &amp; IF(ISERROR(FIND($J$2,Lines!N17))=TRUE,"",IF('1000'!N17="","ERR",""))</f>
        <v/>
      </c>
      <c r="O17" s="116" t="str">
        <f>IF(ISERROR(FIND($B$2,Lines!O17))=TRUE,"",IF('750'!O17="","ERR","")) &amp; IF(ISERROR(FIND($C$2,Lines!O17))=TRUE,"",IF('500'!O17="","ERR","")) &amp; IF(ISERROR(FIND($D$2,Lines!O17))=TRUE,"",IF('330'!O17="","ERR","")) &amp; IF(ISERROR(FIND($E$2,Lines!O17))=TRUE,"",IF('220'!O17="","ERR",""))&amp; IF(ISERROR(FIND($F$2,Lines!O17))=TRUE,"",IF(AND('500DC'!O17="",'800DC'!O17=""),"ERR","")) &amp; IF(ISERROR(FIND($G$2,Lines!O17))=TRUE,"",IF('1000'!O17="","ERR","")) &amp; IF(ISERROR(FIND($H$2,Lines!O17))=TRUE,"",IF('500DC'!O17="","ERR","")) &amp; IF(ISERROR(FIND($I$2,Lines!O17))=TRUE,"",IF('800DC'!O17="","ERR","")) &amp; IF(ISERROR(FIND($J$2,Lines!O17))=TRUE,"",IF('1000'!O17="","ERR",""))</f>
        <v/>
      </c>
      <c r="P17" s="117" t="str">
        <f>IF(ISERROR(FIND($B$2,Lines!P17))=TRUE,"",IF('750'!P17="","ERR","")) &amp; IF(ISERROR(FIND($C$2,Lines!P17))=TRUE,"",IF('500'!P17="","ERR","")) &amp; IF(ISERROR(FIND($D$2,Lines!P17))=TRUE,"",IF('330'!P17="","ERR","")) &amp; IF(ISERROR(FIND($E$2,Lines!P17))=TRUE,"",IF('220'!P17="","ERR",""))&amp; IF(ISERROR(FIND($F$2,Lines!P17))=TRUE,"",IF(AND('500DC'!P17="",'800DC'!P17=""),"ERR","")) &amp; IF(ISERROR(FIND($G$2,Lines!P17))=TRUE,"",IF('1000'!P17="","ERR","")) &amp; IF(ISERROR(FIND($H$2,Lines!P17))=TRUE,"",IF('500DC'!P17="","ERR","")) &amp; IF(ISERROR(FIND($I$2,Lines!P17))=TRUE,"",IF('800DC'!P17="","ERR","")) &amp; IF(ISERROR(FIND($J$2,Lines!P17))=TRUE,"",IF('1000'!P17="","ERR",""))</f>
        <v/>
      </c>
      <c r="Q17" s="117" t="str">
        <f>IF(ISERROR(FIND($B$2,Lines!Q17))=TRUE,"",IF('750'!Q17="","ERR","")) &amp; IF(ISERROR(FIND($C$2,Lines!Q17))=TRUE,"",IF('500'!Q17="","ERR","")) &amp; IF(ISERROR(FIND($D$2,Lines!Q17))=TRUE,"",IF('330'!Q17="","ERR","")) &amp; IF(ISERROR(FIND($E$2,Lines!Q17))=TRUE,"",IF('220'!Q17="","ERR",""))&amp; IF(ISERROR(FIND($F$2,Lines!Q17))=TRUE,"",IF(AND('500DC'!Q17="",'800DC'!Q17=""),"ERR","")) &amp; IF(ISERROR(FIND($G$2,Lines!Q17))=TRUE,"",IF('1000'!Q17="","ERR","")) &amp; IF(ISERROR(FIND($H$2,Lines!Q17))=TRUE,"",IF('500DC'!Q17="","ERR","")) &amp; IF(ISERROR(FIND($I$2,Lines!Q17))=TRUE,"",IF('800DC'!Q17="","ERR","")) &amp; IF(ISERROR(FIND($J$2,Lines!Q17))=TRUE,"",IF('1000'!Q17="","ERR",""))</f>
        <v/>
      </c>
      <c r="R17" s="117" t="str">
        <f>IF(ISERROR(FIND($B$2,Lines!R17))=TRUE,"",IF('750'!R17="","ERR","")) &amp; IF(ISERROR(FIND($C$2,Lines!R17))=TRUE,"",IF('500'!R17="","ERR","")) &amp; IF(ISERROR(FIND($D$2,Lines!R17))=TRUE,"",IF('330'!R17="","ERR","")) &amp; IF(ISERROR(FIND($E$2,Lines!R17))=TRUE,"",IF('220'!R17="","ERR",""))&amp; IF(ISERROR(FIND($F$2,Lines!R17))=TRUE,"",IF(AND('500DC'!R17="",'800DC'!R17=""),"ERR","")) &amp; IF(ISERROR(FIND($G$2,Lines!R17))=TRUE,"",IF('1000'!R17="","ERR","")) &amp; IF(ISERROR(FIND($H$2,Lines!R17))=TRUE,"",IF('500DC'!R17="","ERR","")) &amp; IF(ISERROR(FIND($I$2,Lines!R17))=TRUE,"",IF('800DC'!R17="","ERR","")) &amp; IF(ISERROR(FIND($J$2,Lines!R17))=TRUE,"",IF('1000'!R17="","ERR",""))</f>
        <v/>
      </c>
      <c r="S17" s="117" t="str">
        <f>IF(ISERROR(FIND($B$2,Lines!S17))=TRUE,"",IF('750'!S17="","ERR","")) &amp; IF(ISERROR(FIND($C$2,Lines!S17))=TRUE,"",IF('500'!S17="","ERR","")) &amp; IF(ISERROR(FIND($D$2,Lines!S17))=TRUE,"",IF('330'!S17="","ERR","")) &amp; IF(ISERROR(FIND($E$2,Lines!S17))=TRUE,"",IF('220'!S17="","ERR",""))&amp; IF(ISERROR(FIND($F$2,Lines!S17))=TRUE,"",IF(AND('500DC'!S17="",'800DC'!S17=""),"ERR","")) &amp; IF(ISERROR(FIND($G$2,Lines!S17))=TRUE,"",IF('1000'!S17="","ERR","")) &amp; IF(ISERROR(FIND($H$2,Lines!S17))=TRUE,"",IF('500DC'!S17="","ERR","")) &amp; IF(ISERROR(FIND($I$2,Lines!S17))=TRUE,"",IF('800DC'!S17="","ERR","")) &amp; IF(ISERROR(FIND($J$2,Lines!S17))=TRUE,"",IF('1000'!S17="","ERR",""))</f>
        <v/>
      </c>
      <c r="T17" s="117" t="str">
        <f>IF(ISERROR(FIND($B$2,Lines!T17))=TRUE,"",IF('750'!T17="","ERR","")) &amp; IF(ISERROR(FIND($C$2,Lines!T17))=TRUE,"",IF('500'!T17="","ERR","")) &amp; IF(ISERROR(FIND($D$2,Lines!T17))=TRUE,"",IF('330'!T17="","ERR","")) &amp; IF(ISERROR(FIND($E$2,Lines!T17))=TRUE,"",IF('220'!T17="","ERR",""))&amp; IF(ISERROR(FIND($F$2,Lines!T17))=TRUE,"",IF(AND('500DC'!T17="",'800DC'!T17=""),"ERR","")) &amp; IF(ISERROR(FIND($G$2,Lines!T17))=TRUE,"",IF('1000'!T17="","ERR","")) &amp; IF(ISERROR(FIND($H$2,Lines!T17))=TRUE,"",IF('500DC'!T17="","ERR","")) &amp; IF(ISERROR(FIND($I$2,Lines!T17))=TRUE,"",IF('800DC'!T17="","ERR","")) &amp; IF(ISERROR(FIND($J$2,Lines!T17))=TRUE,"",IF('1000'!T17="","ERR",""))</f>
        <v/>
      </c>
      <c r="U17" s="117" t="str">
        <f>IF(ISERROR(FIND($B$2,Lines!U17))=TRUE,"",IF('750'!U17="","ERR","")) &amp; IF(ISERROR(FIND($C$2,Lines!U17))=TRUE,"",IF('500'!U17="","ERR","")) &amp; IF(ISERROR(FIND($D$2,Lines!U17))=TRUE,"",IF('330'!U17="","ERR","")) &amp; IF(ISERROR(FIND($E$2,Lines!U17))=TRUE,"",IF('220'!U17="","ERR",""))&amp; IF(ISERROR(FIND($F$2,Lines!U17))=TRUE,"",IF(AND('500DC'!U17="",'800DC'!U17=""),"ERR","")) &amp; IF(ISERROR(FIND($G$2,Lines!U17))=TRUE,"",IF('1000'!U17="","ERR","")) &amp; IF(ISERROR(FIND($H$2,Lines!U17))=TRUE,"",IF('500DC'!U17="","ERR","")) &amp; IF(ISERROR(FIND($I$2,Lines!U17))=TRUE,"",IF('800DC'!U17="","ERR","")) &amp; IF(ISERROR(FIND($J$2,Lines!U17))=TRUE,"",IF('1000'!U17="","ERR",""))</f>
        <v/>
      </c>
      <c r="V17" s="118" t="str">
        <f>IF(ISERROR(FIND($B$2,Lines!V17))=TRUE,"",IF('750'!V17="","ERR","")) &amp; IF(ISERROR(FIND($C$2,Lines!V17))=TRUE,"",IF('500'!V17="","ERR","")) &amp; IF(ISERROR(FIND($D$2,Lines!V17))=TRUE,"",IF('330'!V17="","ERR","")) &amp; IF(ISERROR(FIND($E$2,Lines!V17))=TRUE,"",IF('220'!V17="","ERR",""))&amp; IF(ISERROR(FIND($F$2,Lines!V17))=TRUE,"",IF(AND('500DC'!V17="",'800DC'!V17=""),"ERR","")) &amp; IF(ISERROR(FIND($G$2,Lines!V17))=TRUE,"",IF('1000'!V17="","ERR","")) &amp; IF(ISERROR(FIND($H$2,Lines!V17))=TRUE,"",IF('500DC'!V17="","ERR","")) &amp; IF(ISERROR(FIND($I$2,Lines!V17))=TRUE,"",IF('800DC'!V17="","ERR","")) &amp; IF(ISERROR(FIND($J$2,Lines!V17))=TRUE,"",IF('1000'!V17="","ERR",""))</f>
        <v/>
      </c>
      <c r="W17" s="109" t="str">
        <f>IF(ISERROR(FIND($B$2,Lines!W17))=TRUE,"",IF('750'!W17="","ERR","")) &amp; IF(ISERROR(FIND($C$2,Lines!W17))=TRUE,"",IF('500'!W17="","ERR","")) &amp; IF(ISERROR(FIND($D$2,Lines!W17))=TRUE,"",IF('330'!W17="","ERR","")) &amp; IF(ISERROR(FIND($E$2,Lines!W17))=TRUE,"",IF('220'!W17="","ERR",""))&amp; IF(ISERROR(FIND($F$2,Lines!W17))=TRUE,"",IF(AND('500DC'!W17="",'800DC'!W17=""),"ERR","")) &amp; IF(ISERROR(FIND($G$2,Lines!W17))=TRUE,"",IF('1000'!W17="","ERR","")) &amp; IF(ISERROR(FIND($H$2,Lines!W17))=TRUE,"",IF('500DC'!W17="","ERR","")) &amp; IF(ISERROR(FIND($I$2,Lines!W17))=TRUE,"",IF('800DC'!W17="","ERR","")) &amp; IF(ISERROR(FIND($J$2,Lines!W17))=TRUE,"",IF('1000'!W17="","ERR",""))</f>
        <v/>
      </c>
      <c r="X17" s="108" t="str">
        <f>IF(ISERROR(FIND($B$2,Lines!X17))=TRUE,"",IF('750'!X17="","ERR","")) &amp; IF(ISERROR(FIND($C$2,Lines!X17))=TRUE,"",IF('500'!X17="","ERR","")) &amp; IF(ISERROR(FIND($D$2,Lines!X17))=TRUE,"",IF('330'!X17="","ERR","")) &amp; IF(ISERROR(FIND($E$2,Lines!X17))=TRUE,"",IF('220'!X17="","ERR",""))&amp; IF(ISERROR(FIND($F$2,Lines!X17))=TRUE,"",IF(AND('500DC'!X17="",'800DC'!X17=""),"ERR","")) &amp; IF(ISERROR(FIND($G$2,Lines!X17))=TRUE,"",IF('1000'!X17="","ERR","")) &amp; IF(ISERROR(FIND($H$2,Lines!X17))=TRUE,"",IF('500DC'!X17="","ERR","")) &amp; IF(ISERROR(FIND($I$2,Lines!X17))=TRUE,"",IF('800DC'!X17="","ERR","")) &amp; IF(ISERROR(FIND($J$2,Lines!X17))=TRUE,"",IF('1000'!X17="","ERR",""))</f>
        <v/>
      </c>
      <c r="Y17" s="108" t="str">
        <f>IF(ISERROR(FIND($B$2,Lines!Y17))=TRUE,"",IF('750'!Y17="","ERR","")) &amp; IF(ISERROR(FIND($C$2,Lines!Y17))=TRUE,"",IF('500'!Y17="","ERR","")) &amp; IF(ISERROR(FIND($D$2,Lines!Y17))=TRUE,"",IF('330'!Y17="","ERR","")) &amp; IF(ISERROR(FIND($E$2,Lines!Y17))=TRUE,"",IF('220'!Y17="","ERR",""))&amp; IF(ISERROR(FIND($F$2,Lines!Y17))=TRUE,"",IF(AND('500DC'!Y17="",'800DC'!Y17=""),"ERR","")) &amp; IF(ISERROR(FIND($G$2,Lines!Y17))=TRUE,"",IF('1000'!Y17="","ERR","")) &amp; IF(ISERROR(FIND($H$2,Lines!Y17))=TRUE,"",IF('500DC'!Y17="","ERR","")) &amp; IF(ISERROR(FIND($I$2,Lines!Y17))=TRUE,"",IF('800DC'!Y17="","ERR","")) &amp; IF(ISERROR(FIND($J$2,Lines!Y17))=TRUE,"",IF('1000'!Y17="","ERR",""))</f>
        <v/>
      </c>
      <c r="Z17" s="108" t="str">
        <f>IF(ISERROR(FIND($B$2,Lines!Z17))=TRUE,"",IF('750'!Z17="","ERR","")) &amp; IF(ISERROR(FIND($C$2,Lines!Z17))=TRUE,"",IF('500'!Z17="","ERR","")) &amp; IF(ISERROR(FIND($D$2,Lines!Z17))=TRUE,"",IF('330'!Z17="","ERR","")) &amp; IF(ISERROR(FIND($E$2,Lines!Z17))=TRUE,"",IF('220'!Z17="","ERR",""))&amp; IF(ISERROR(FIND($F$2,Lines!Z17))=TRUE,"",IF(AND('500DC'!Z17="",'800DC'!Z17=""),"ERR","")) &amp; IF(ISERROR(FIND($G$2,Lines!Z17))=TRUE,"",IF('1000'!Z17="","ERR","")) &amp; IF(ISERROR(FIND($H$2,Lines!Z17))=TRUE,"",IF('500DC'!Z17="","ERR","")) &amp; IF(ISERROR(FIND($I$2,Lines!Z17))=TRUE,"",IF('800DC'!Z17="","ERR","")) &amp; IF(ISERROR(FIND($J$2,Lines!Z17))=TRUE,"",IF('1000'!Z17="","ERR",""))</f>
        <v/>
      </c>
      <c r="AA17" s="108" t="str">
        <f>IF(ISERROR(FIND($B$2,Lines!AB16))=TRUE,"",IF('750'!AA17="","ERR","")) &amp; IF(ISERROR(FIND($C$2,Lines!AB16))=TRUE,"",IF('500'!AA17="","ERR","")) &amp; IF(ISERROR(FIND($D$2,Lines!AB16))=TRUE,"",IF('330'!AA17="","ERR","")) &amp; IF(ISERROR(FIND($E$2,Lines!AB16))=TRUE,"",IF('220'!AA17="","ERR",""))&amp; IF(ISERROR(FIND($F$2,Lines!AB16))=TRUE,"",IF(AND('500DC'!AA17="",'800DC'!AA17=""),"ERR","")) &amp; IF(ISERROR(FIND($G$2,Lines!AB16))=TRUE,"",IF('1000'!AA17="","ERR","")) &amp; IF(ISERROR(FIND($H$2,Lines!AB16))=TRUE,"",IF('500DC'!AA17="","ERR","")) &amp; IF(ISERROR(FIND($I$2,Lines!AB16))=TRUE,"",IF('800DC'!AA17="","ERR","")) &amp; IF(ISERROR(FIND($J$2,Lines!AB16))=TRUE,"",IF('1000'!AA17="","ERR",""))</f>
        <v/>
      </c>
      <c r="AB17" s="108" t="str">
        <f>IF(ISERROR(FIND($B$2,Lines!AB17))=TRUE,"",IF('750'!AB17="","ERR","")) &amp; IF(ISERROR(FIND($C$2,Lines!AB17))=TRUE,"",IF('500'!AB17="","ERR","")) &amp; IF(ISERROR(FIND($D$2,Lines!AB17))=TRUE,"",IF('330'!AB17="","ERR","")) &amp; IF(ISERROR(FIND($E$2,Lines!AB17))=TRUE,"",IF('220'!AB17="","ERR",""))&amp; IF(ISERROR(FIND($F$2,Lines!AB17))=TRUE,"",IF(AND('500DC'!AB17="",'800DC'!AB17=""),"ERR","")) &amp; IF(ISERROR(FIND($G$2,Lines!AB17))=TRUE,"",IF('1000'!AB17="","ERR","")) &amp; IF(ISERROR(FIND($H$2,Lines!AB17))=TRUE,"",IF('500DC'!AB17="","ERR","")) &amp; IF(ISERROR(FIND($I$2,Lines!AB17))=TRUE,"",IF('800DC'!AB17="","ERR","")) &amp; IF(ISERROR(FIND($J$2,Lines!AB17))=TRUE,"",IF('1000'!AB17="","ERR",""))</f>
        <v/>
      </c>
      <c r="AC17" s="108" t="str">
        <f>IF(ISERROR(FIND($B$2,Lines!AC17))=TRUE,"",IF('750'!AC17="","ERR","")) &amp; IF(ISERROR(FIND($C$2,Lines!AC17))=TRUE,"",IF('500'!AC17="","ERR","")) &amp; IF(ISERROR(FIND($D$2,Lines!AC17))=TRUE,"",IF('330'!AC17="","ERR","")) &amp; IF(ISERROR(FIND($E$2,Lines!AC17))=TRUE,"",IF('220'!AC17="","ERR",""))&amp; IF(ISERROR(FIND($F$2,Lines!AC17))=TRUE,"",IF(AND('500DC'!AC17="",'800DC'!AC17=""),"ERR","")) &amp; IF(ISERROR(FIND($G$2,Lines!AC17))=TRUE,"",IF('1000'!AC17="","ERR","")) &amp; IF(ISERROR(FIND($H$2,Lines!AC17))=TRUE,"",IF('500DC'!AC17="","ERR","")) &amp; IF(ISERROR(FIND($I$2,Lines!AC17))=TRUE,"",IF('800DC'!AC17="","ERR","")) &amp; IF(ISERROR(FIND($J$2,Lines!AC17))=TRUE,"",IF('1000'!AC17="","ERR",""))</f>
        <v/>
      </c>
      <c r="AD17" s="108" t="str">
        <f>IF(ISERROR(FIND($B$2,Lines!AD17))=TRUE,"",IF('750'!AD17="","ERR","")) &amp; IF(ISERROR(FIND($C$2,Lines!AD17))=TRUE,"",IF('500'!AD17="","ERR","")) &amp; IF(ISERROR(FIND($D$2,Lines!AD17))=TRUE,"",IF('330'!AD17="","ERR","")) &amp; IF(ISERROR(FIND($E$2,Lines!AD17))=TRUE,"",IF('220'!AD17="","ERR",""))&amp; IF(ISERROR(FIND($F$2,Lines!AD17))=TRUE,"",IF(AND('500DC'!AD17="",'800DC'!AD17=""),"ERR","")) &amp; IF(ISERROR(FIND($G$2,Lines!AD17))=TRUE,"",IF('1000'!AD17="","ERR","")) &amp; IF(ISERROR(FIND($H$2,Lines!AD17))=TRUE,"",IF('500DC'!AD17="","ERR","")) &amp; IF(ISERROR(FIND($I$2,Lines!AD17))=TRUE,"",IF('800DC'!AD17="","ERR","")) &amp; IF(ISERROR(FIND($J$2,Lines!AD17))=TRUE,"",IF('1000'!AD17="","ERR",""))</f>
        <v/>
      </c>
      <c r="AE17" s="108" t="str">
        <f>IF(ISERROR(FIND($B$2,Lines!AE17))=TRUE,"",IF('750'!AE17="","ERR","")) &amp; IF(ISERROR(FIND($C$2,Lines!AE17))=TRUE,"",IF('500'!AE17="","ERR","")) &amp; IF(ISERROR(FIND($D$2,Lines!AE17))=TRUE,"",IF('330'!AE17="","ERR","")) &amp; IF(ISERROR(FIND($E$2,Lines!AE17))=TRUE,"",IF('220'!AE17="","ERR",""))&amp; IF(ISERROR(FIND($F$2,Lines!AE17))=TRUE,"",IF(AND('500DC'!AE17="",'800DC'!AE17=""),"ERR","")) &amp; IF(ISERROR(FIND($G$2,Lines!AE17))=TRUE,"",IF('1000'!AE17="","ERR","")) &amp; IF(ISERROR(FIND($H$2,Lines!AE17))=TRUE,"",IF('500DC'!AE17="","ERR","")) &amp; IF(ISERROR(FIND($I$2,Lines!AE17))=TRUE,"",IF('800DC'!AE17="","ERR","")) &amp; IF(ISERROR(FIND($J$2,Lines!AE17))=TRUE,"",IF('1000'!AE17="","ERR",""))</f>
        <v/>
      </c>
      <c r="AF17" s="108" t="str">
        <f>IF(ISERROR(FIND($B$2,Lines!AF17))=TRUE,"",IF('750'!AF17="","ERR","")) &amp; IF(ISERROR(FIND($C$2,Lines!AF17))=TRUE,"",IF('500'!AF17="","ERR","")) &amp; IF(ISERROR(FIND($D$2,Lines!AF17))=TRUE,"",IF('330'!AF17="","ERR","")) &amp; IF(ISERROR(FIND($E$2,Lines!AF17))=TRUE,"",IF('220'!AF17="","ERR",""))&amp; IF(ISERROR(FIND($F$2,Lines!AF17))=TRUE,"",IF(AND('500DC'!AF17="",'800DC'!AF17=""),"ERR","")) &amp; IF(ISERROR(FIND($G$2,Lines!AF17))=TRUE,"",IF('1000'!AF17="","ERR","")) &amp; IF(ISERROR(FIND($H$2,Lines!AF17))=TRUE,"",IF('500DC'!AF17="","ERR","")) &amp; IF(ISERROR(FIND($I$2,Lines!AF17))=TRUE,"",IF('800DC'!AF17="","ERR","")) &amp; IF(ISERROR(FIND($J$2,Lines!AF17))=TRUE,"",IF('1000'!AF17="","ERR",""))</f>
        <v/>
      </c>
      <c r="AG17" s="108" t="str">
        <f>IF(ISERROR(FIND($B$2,Lines!AG17))=TRUE,"",IF('750'!AG17="","ERR","")) &amp; IF(ISERROR(FIND($C$2,Lines!AG17))=TRUE,"",IF('500'!AG17="","ERR","")) &amp; IF(ISERROR(FIND($D$2,Lines!AG17))=TRUE,"",IF('330'!AG17="","ERR","")) &amp; IF(ISERROR(FIND($E$2,Lines!AG17))=TRUE,"",IF('220'!AG17="","ERR",""))&amp; IF(ISERROR(FIND($F$2,Lines!AG17))=TRUE,"",IF(AND('500DC'!AG17="",'800DC'!AG17=""),"ERR","")) &amp; IF(ISERROR(FIND($G$2,Lines!AG17))=TRUE,"",IF('1000'!AG17="","ERR","")) &amp; IF(ISERROR(FIND($H$2,Lines!AG17))=TRUE,"",IF('500DC'!AG17="","ERR","")) &amp; IF(ISERROR(FIND($I$2,Lines!AG17))=TRUE,"",IF('800DC'!AG17="","ERR","")) &amp; IF(ISERROR(FIND($J$2,Lines!AG17))=TRUE,"",IF('1000'!AG17="","ERR",""))</f>
        <v/>
      </c>
      <c r="AH17" s="108" t="str">
        <f>IF(ISERROR(FIND($B$2,Lines!AH17))=TRUE,"",IF('750'!AH17="","ERR","")) &amp; IF(ISERROR(FIND($C$2,Lines!AH17))=TRUE,"",IF('500'!AH17="","ERR","")) &amp; IF(ISERROR(FIND($D$2,Lines!AH17))=TRUE,"",IF('330'!AH17="","ERR","")) &amp; IF(ISERROR(FIND($E$2,Lines!AH17))=TRUE,"",IF('220'!AH17="","ERR",""))&amp; IF(ISERROR(FIND($F$2,Lines!AH17))=TRUE,"",IF(AND('500DC'!AH17="",'800DC'!AH17=""),"ERR","")) &amp; IF(ISERROR(FIND($G$2,Lines!AH17))=TRUE,"",IF('1000'!AH17="","ERR","")) &amp; IF(ISERROR(FIND($H$2,Lines!AH17))=TRUE,"",IF('500DC'!AH17="","ERR","")) &amp; IF(ISERROR(FIND($I$2,Lines!AH17))=TRUE,"",IF('800DC'!AH17="","ERR","")) &amp; IF(ISERROR(FIND($J$2,Lines!AH17))=TRUE,"",IF('1000'!AH17="","ERR",""))</f>
        <v/>
      </c>
      <c r="AI17" s="108" t="str">
        <f>IF(ISERROR(FIND($B$2,Lines!AI17))=TRUE,"",IF('750'!AI17="","ERR","")) &amp; IF(ISERROR(FIND($C$2,Lines!AI17))=TRUE,"",IF('500'!AI17="","ERR","")) &amp; IF(ISERROR(FIND($D$2,Lines!AI17))=TRUE,"",IF('330'!AI17="","ERR","")) &amp; IF(ISERROR(FIND($E$2,Lines!AI17))=TRUE,"",IF('220'!AI17="","ERR",""))&amp; IF(ISERROR(FIND($F$2,Lines!AI17))=TRUE,"",IF(AND('500DC'!AI17="",'800DC'!AI17=""),"ERR","")) &amp; IF(ISERROR(FIND($G$2,Lines!AI17))=TRUE,"",IF('1000'!AI17="","ERR","")) &amp; IF(ISERROR(FIND($H$2,Lines!AI17))=TRUE,"",IF('500DC'!AI17="","ERR","")) &amp; IF(ISERROR(FIND($I$2,Lines!AI17))=TRUE,"",IF('800DC'!AI17="","ERR","")) &amp; IF(ISERROR(FIND($J$2,Lines!AI17))=TRUE,"",IF('1000'!AI17="","ERR",""))</f>
        <v/>
      </c>
      <c r="AJ17" s="108" t="str">
        <f>IF(ISERROR(FIND($B$2,Lines!AJ17))=TRUE,"",IF('750'!AJ17="","ERR","")) &amp; IF(ISERROR(FIND($C$2,Lines!AJ17))=TRUE,"",IF('500'!AJ17="","ERR","")) &amp; IF(ISERROR(FIND($D$2,Lines!AJ17))=TRUE,"",IF('330'!AJ17="","ERR","")) &amp; IF(ISERROR(FIND($E$2,Lines!AJ17))=TRUE,"",IF('220'!AJ17="","ERR",""))&amp; IF(ISERROR(FIND($F$2,Lines!AJ17))=TRUE,"",IF(AND('500DC'!AJ17="",'800DC'!AJ17=""),"ERR","")) &amp; IF(ISERROR(FIND($G$2,Lines!AJ17))=TRUE,"",IF('1000'!AJ17="","ERR","")) &amp; IF(ISERROR(FIND($H$2,Lines!AJ17))=TRUE,"",IF('500DC'!AJ17="","ERR","")) &amp; IF(ISERROR(FIND($I$2,Lines!AJ17))=TRUE,"",IF('800DC'!AJ17="","ERR","")) &amp; IF(ISERROR(FIND($J$2,Lines!AJ17))=TRUE,"",IF('1000'!AJ17="","ERR",""))</f>
        <v/>
      </c>
      <c r="AK17" s="108" t="str">
        <f>IF(ISERROR(FIND($B$2,Lines!AK17))=TRUE,"",IF('750'!AK17="","ERR","")) &amp; IF(ISERROR(FIND($C$2,Lines!AK17))=TRUE,"",IF('500'!AK17="","ERR","")) &amp; IF(ISERROR(FIND($D$2,Lines!AK17))=TRUE,"",IF('330'!AK17="","ERR","")) &amp; IF(ISERROR(FIND($E$2,Lines!AK17))=TRUE,"",IF('220'!AK17="","ERR",""))&amp; IF(ISERROR(FIND($F$2,Lines!AK17))=TRUE,"",IF(AND('500DC'!AK17="",'800DC'!AK17=""),"ERR","")) &amp; IF(ISERROR(FIND($G$2,Lines!AK17))=TRUE,"",IF('1000'!AK17="","ERR","")) &amp; IF(ISERROR(FIND($H$2,Lines!AK17))=TRUE,"",IF('500DC'!AK17="","ERR","")) &amp; IF(ISERROR(FIND($I$2,Lines!AK17))=TRUE,"",IF('800DC'!AK17="","ERR","")) &amp; IF(ISERROR(FIND($J$2,Lines!AK17))=TRUE,"",IF('1000'!AK17="","ERR",""))</f>
        <v/>
      </c>
      <c r="AL17" s="108" t="str">
        <f>IF(ISERROR(FIND($B$2,Lines!AL17))=TRUE,"",IF('750'!AL17="","ERR","")) &amp; IF(ISERROR(FIND($C$2,Lines!AL17))=TRUE,"",IF('500'!AL17="","ERR","")) &amp; IF(ISERROR(FIND($D$2,Lines!AL17))=TRUE,"",IF('330'!AL17="","ERR","")) &amp; IF(ISERROR(FIND($E$2,Lines!AL17))=TRUE,"",IF('220'!AL17="","ERR",""))&amp; IF(ISERROR(FIND($F$2,Lines!AL17))=TRUE,"",IF(AND('500DC'!AL17="",'800DC'!AL17=""),"ERR","")) &amp; IF(ISERROR(FIND($G$2,Lines!AL17))=TRUE,"",IF('1000'!AL17="","ERR","")) &amp; IF(ISERROR(FIND($H$2,Lines!AL17))=TRUE,"",IF('500DC'!AL17="","ERR","")) &amp; IF(ISERROR(FIND($I$2,Lines!AL17))=TRUE,"",IF('800DC'!AL17="","ERR","")) &amp; IF(ISERROR(FIND($J$2,Lines!AL17))=TRUE,"",IF('1000'!AL17="","ERR",""))</f>
        <v/>
      </c>
      <c r="AM17" s="108" t="str">
        <f>IF(ISERROR(FIND($B$2,Lines!AM17))=TRUE,"",IF('750'!AM17="","ERR","")) &amp; IF(ISERROR(FIND($C$2,Lines!AM17))=TRUE,"",IF('500'!AM17="","ERR","")) &amp; IF(ISERROR(FIND($D$2,Lines!AM17))=TRUE,"",IF('330'!AM17="","ERR","")) &amp; IF(ISERROR(FIND($E$2,Lines!AM17))=TRUE,"",IF('220'!AM17="","ERR",""))&amp; IF(ISERROR(FIND($F$2,Lines!AM17))=TRUE,"",IF(AND('500DC'!AM17="",'800DC'!AM17=""),"ERR","")) &amp; IF(ISERROR(FIND($G$2,Lines!AM17))=TRUE,"",IF('1000'!AM17="","ERR","")) &amp; IF(ISERROR(FIND($H$2,Lines!AM17))=TRUE,"",IF('500DC'!AM17="","ERR","")) &amp; IF(ISERROR(FIND($I$2,Lines!AM17))=TRUE,"",IF('800DC'!AM17="","ERR","")) &amp; IF(ISERROR(FIND($J$2,Lines!AM17))=TRUE,"",IF('1000'!AM17="","ERR",""))</f>
        <v/>
      </c>
      <c r="AN17" s="108" t="str">
        <f>IF(ISERROR(FIND($B$2,Lines!AN17))=TRUE,"",IF('750'!AN17="","ERR","")) &amp; IF(ISERROR(FIND($C$2,Lines!AN17))=TRUE,"",IF('500'!AN17="","ERR","")) &amp; IF(ISERROR(FIND($D$2,Lines!AN17))=TRUE,"",IF('330'!AN17="","ERR","")) &amp; IF(ISERROR(FIND($E$2,Lines!AN17))=TRUE,"",IF('220'!AN17="","ERR",""))&amp; IF(ISERROR(FIND($F$2,Lines!AN17))=TRUE,"",IF(AND('500DC'!AN17="",'800DC'!AN17=""),"ERR","")) &amp; IF(ISERROR(FIND($G$2,Lines!AN17))=TRUE,"",IF('1000'!AN17="","ERR","")) &amp; IF(ISERROR(FIND($H$2,Lines!AN17))=TRUE,"",IF('500DC'!AN17="","ERR","")) &amp; IF(ISERROR(FIND($I$2,Lines!AN17))=TRUE,"",IF('800DC'!AN17="","ERR","")) &amp; IF(ISERROR(FIND($J$2,Lines!AN17))=TRUE,"",IF('1000'!AN17="","ERR",""))</f>
        <v/>
      </c>
      <c r="AO17" s="108" t="str">
        <f>IF(ISERROR(FIND($B$2,Lines!AO17))=TRUE,"",IF('750'!AO17="","ERR","")) &amp; IF(ISERROR(FIND($C$2,Lines!AO17))=TRUE,"",IF('500'!AO17="","ERR","")) &amp; IF(ISERROR(FIND($D$2,Lines!AO17))=TRUE,"",IF('330'!AO17="","ERR","")) &amp; IF(ISERROR(FIND($E$2,Lines!AO17))=TRUE,"",IF('220'!AO17="","ERR",""))&amp; IF(ISERROR(FIND($F$2,Lines!AO17))=TRUE,"",IF(AND('500DC'!AO17="",'800DC'!AO17=""),"ERR","")) &amp; IF(ISERROR(FIND($G$2,Lines!AO17))=TRUE,"",IF('1000'!AO17="","ERR","")) &amp; IF(ISERROR(FIND($H$2,Lines!AO17))=TRUE,"",IF('500DC'!AO17="","ERR","")) &amp; IF(ISERROR(FIND($I$2,Lines!AO17))=TRUE,"",IF('800DC'!AO17="","ERR","")) &amp; IF(ISERROR(FIND($J$2,Lines!AO17))=TRUE,"",IF('1000'!AO17="","ERR",""))</f>
        <v/>
      </c>
      <c r="AP17" s="108" t="str">
        <f>IF(ISERROR(FIND($B$2,Lines!AP17))=TRUE,"",IF('750'!AP17="","ERR","")) &amp; IF(ISERROR(FIND($C$2,Lines!AP17))=TRUE,"",IF('500'!AP17="","ERR","")) &amp; IF(ISERROR(FIND($D$2,Lines!AP17))=TRUE,"",IF('330'!AP17="","ERR","")) &amp; IF(ISERROR(FIND($E$2,Lines!AP17))=TRUE,"",IF('220'!AP17="","ERR",""))&amp; IF(ISERROR(FIND($F$2,Lines!AP17))=TRUE,"",IF(AND('500DC'!AP17="",'800DC'!AP17=""),"ERR","")) &amp; IF(ISERROR(FIND($G$2,Lines!AP17))=TRUE,"",IF('1000'!AP17="","ERR","")) &amp; IF(ISERROR(FIND($H$2,Lines!AP17))=TRUE,"",IF('500DC'!AP17="","ERR","")) &amp; IF(ISERROR(FIND($I$2,Lines!AP17))=TRUE,"",IF('800DC'!AP17="","ERR","")) &amp; IF(ISERROR(FIND($J$2,Lines!AP17))=TRUE,"",IF('1000'!AP17="","ERR",""))</f>
        <v/>
      </c>
      <c r="AQ17" s="108" t="str">
        <f>IF(ISERROR(FIND($B$2,Lines!AQ17))=TRUE,"",IF('750'!AQ17="","ERR","")) &amp; IF(ISERROR(FIND($C$2,Lines!AQ17))=TRUE,"",IF('500'!AQ17="","ERR","")) &amp; IF(ISERROR(FIND($D$2,Lines!AQ17))=TRUE,"",IF('330'!AQ17="","ERR","")) &amp; IF(ISERROR(FIND($E$2,Lines!AQ17))=TRUE,"",IF('220'!AQ17="","ERR",""))&amp; IF(ISERROR(FIND($F$2,Lines!AQ17))=TRUE,"",IF(AND('500DC'!AQ17="",'800DC'!AQ17=""),"ERR","")) &amp; IF(ISERROR(FIND($G$2,Lines!AQ17))=TRUE,"",IF('1000'!AQ17="","ERR","")) &amp; IF(ISERROR(FIND($H$2,Lines!AQ17))=TRUE,"",IF('500DC'!AQ17="","ERR","")) &amp; IF(ISERROR(FIND($I$2,Lines!AQ17))=TRUE,"",IF('800DC'!AQ17="","ERR","")) &amp; IF(ISERROR(FIND($J$2,Lines!AQ17))=TRUE,"",IF('1000'!AQ17="","ERR",""))</f>
        <v/>
      </c>
      <c r="AR17" s="108" t="str">
        <f>IF(ISERROR(FIND($B$2,Lines!AR17))=TRUE,"",IF('750'!AR17="","ERR","")) &amp; IF(ISERROR(FIND($C$2,Lines!AR17))=TRUE,"",IF('500'!AR17="","ERR","")) &amp; IF(ISERROR(FIND($D$2,Lines!AR17))=TRUE,"",IF('330'!AR17="","ERR","")) &amp; IF(ISERROR(FIND($E$2,Lines!AR17))=TRUE,"",IF('220'!AR17="","ERR",""))&amp; IF(ISERROR(FIND($F$2,Lines!AR17))=TRUE,"",IF(AND('500DC'!AR17="",'800DC'!AR17=""),"ERR","")) &amp; IF(ISERROR(FIND($G$2,Lines!AR17))=TRUE,"",IF('1000'!AR17="","ERR","")) &amp; IF(ISERROR(FIND($H$2,Lines!AR17))=TRUE,"",IF('500DC'!AR17="","ERR","")) &amp; IF(ISERROR(FIND($I$2,Lines!AR17))=TRUE,"",IF('800DC'!AR17="","ERR","")) &amp; IF(ISERROR(FIND($J$2,Lines!AR17))=TRUE,"",IF('1000'!AR17="","ERR",""))</f>
        <v/>
      </c>
      <c r="AS17" s="108" t="str">
        <f>IF(ISERROR(FIND($B$2,Lines!AS17))=TRUE,"",IF('750'!AS17="","ERR","")) &amp; IF(ISERROR(FIND($C$2,Lines!AS17))=TRUE,"",IF('500'!AS17="","ERR","")) &amp; IF(ISERROR(FIND($D$2,Lines!AS17))=TRUE,"",IF('330'!AS17="","ERR","")) &amp; IF(ISERROR(FIND($E$2,Lines!AS17))=TRUE,"",IF('220'!AS17="","ERR",""))&amp; IF(ISERROR(FIND($F$2,Lines!AS17))=TRUE,"",IF(AND('500DC'!AS17="",'800DC'!AS17=""),"ERR","")) &amp; IF(ISERROR(FIND($G$2,Lines!AS17))=TRUE,"",IF('1000'!AS17="","ERR","")) &amp; IF(ISERROR(FIND($H$2,Lines!AS17))=TRUE,"",IF('500DC'!AS17="","ERR","")) &amp; IF(ISERROR(FIND($I$2,Lines!AS17))=TRUE,"",IF('800DC'!AS17="","ERR","")) &amp; IF(ISERROR(FIND($J$2,Lines!AS17))=TRUE,"",IF('1000'!AS17="","ERR",""))</f>
        <v/>
      </c>
      <c r="AT17" s="108" t="str">
        <f>IF(ISERROR(FIND($B$2,Lines!AT17))=TRUE,"",IF('750'!AT17="","ERR","")) &amp; IF(ISERROR(FIND($C$2,Lines!AT17))=TRUE,"",IF('500'!AT17="","ERR","")) &amp; IF(ISERROR(FIND($D$2,Lines!AT17))=TRUE,"",IF('330'!AT17="","ERR","")) &amp; IF(ISERROR(FIND($E$2,Lines!AT17))=TRUE,"",IF('220'!AT17="","ERR",""))&amp; IF(ISERROR(FIND($F$2,Lines!AT17))=TRUE,"",IF(AND('500DC'!AT17="",'800DC'!AT17=""),"ERR","")) &amp; IF(ISERROR(FIND($G$2,Lines!AT17))=TRUE,"",IF('1000'!AT17="","ERR","")) &amp; IF(ISERROR(FIND($H$2,Lines!AT17))=TRUE,"",IF('500DC'!AT17="","ERR","")) &amp; IF(ISERROR(FIND($I$2,Lines!AT17))=TRUE,"",IF('800DC'!AT17="","ERR","")) &amp; IF(ISERROR(FIND($J$2,Lines!AT17))=TRUE,"",IF('1000'!AT17="","ERR",""))</f>
        <v/>
      </c>
    </row>
    <row r="18" spans="1:46" ht="20.25" customHeight="1">
      <c r="A18" s="2" t="s">
        <v>66</v>
      </c>
      <c r="B18" s="108" t="str">
        <f>IF(ISERROR(FIND($B$2,Lines!B18))=TRUE,"",IF('750'!B18="","ERR","")) &amp; IF(ISERROR(FIND($C$2,Lines!B18))=TRUE,"",IF('500'!B18="","ERR","")) &amp; IF(ISERROR(FIND($D$2,Lines!B18))=TRUE,"",IF('330'!B18="","ERR","")) &amp; IF(ISERROR(FIND($E$2,Lines!B18))=TRUE,"",IF('220'!B18="","ERR",""))&amp; IF(ISERROR(FIND($F$2,Lines!B18))=TRUE,"",IF(AND('500DC'!B18="",'800DC'!B18=""),"ERR","")) &amp; IF(ISERROR(FIND($G$2,Lines!B18))=TRUE,"",IF('1000'!B18="","ERR","")) &amp; IF(ISERROR(FIND($H$2,Lines!B18))=TRUE,"",IF('500DC'!B18="","ERR","")) &amp; IF(ISERROR(FIND($I$2,Lines!B18))=TRUE,"",IF('800DC'!B18="","ERR","")) &amp; IF(ISERROR(FIND($J$2,Lines!B18))=TRUE,"",IF('1000'!B18="","ERR",""))</f>
        <v/>
      </c>
      <c r="C18" s="108" t="str">
        <f>IF(ISERROR(FIND($B$2,Lines!C18))=TRUE,"",IF('750'!C18="","ERR","")) &amp; IF(ISERROR(FIND($C$2,Lines!C18))=TRUE,"",IF('500'!C18="","ERR","")) &amp; IF(ISERROR(FIND($D$2,Lines!C18))=TRUE,"",IF('330'!C18="","ERR","")) &amp; IF(ISERROR(FIND($E$2,Lines!C18))=TRUE,"",IF('220'!C18="","ERR",""))&amp; IF(ISERROR(FIND($F$2,Lines!C18))=TRUE,"",IF(AND('500DC'!C18="",'800DC'!C18=""),"ERR","")) &amp; IF(ISERROR(FIND($G$2,Lines!C18))=TRUE,"",IF('1000'!C18="","ERR","")) &amp; IF(ISERROR(FIND($H$2,Lines!C18))=TRUE,"",IF('500DC'!C18="","ERR","")) &amp; IF(ISERROR(FIND($I$2,Lines!C18))=TRUE,"",IF('800DC'!C18="","ERR","")) &amp; IF(ISERROR(FIND($J$2,Lines!C18))=TRUE,"",IF('1000'!C18="","ERR",""))</f>
        <v/>
      </c>
      <c r="D18" s="108" t="str">
        <f>IF(ISERROR(FIND($B$2,Lines!D18))=TRUE,"",IF('750'!D18="","ERR","")) &amp; IF(ISERROR(FIND($C$2,Lines!D18))=TRUE,"",IF('500'!D18="","ERR","")) &amp; IF(ISERROR(FIND($D$2,Lines!D18))=TRUE,"",IF('330'!D18="","ERR","")) &amp; IF(ISERROR(FIND($E$2,Lines!D18))=TRUE,"",IF('220'!D18="","ERR",""))&amp; IF(ISERROR(FIND($F$2,Lines!D18))=TRUE,"",IF(AND('500DC'!D18="",'800DC'!D18=""),"ERR","")) &amp; IF(ISERROR(FIND($G$2,Lines!D18))=TRUE,"",IF('1000'!D18="","ERR","")) &amp; IF(ISERROR(FIND($H$2,Lines!D18))=TRUE,"",IF('500DC'!D18="","ERR","")) &amp; IF(ISERROR(FIND($I$2,Lines!D18))=TRUE,"",IF('800DC'!D18="","ERR","")) &amp; IF(ISERROR(FIND($J$2,Lines!D18))=TRUE,"",IF('1000'!D18="","ERR",""))</f>
        <v/>
      </c>
      <c r="E18" s="108" t="str">
        <f>IF(ISERROR(FIND($B$2,Lines!E18))=TRUE,"",IF('750'!E18="","ERR","")) &amp; IF(ISERROR(FIND($C$2,Lines!E18))=TRUE,"",IF('500'!E18="","ERR","")) &amp; IF(ISERROR(FIND($D$2,Lines!E18))=TRUE,"",IF('330'!E18="","ERR","")) &amp; IF(ISERROR(FIND($E$2,Lines!E18))=TRUE,"",IF('220'!E18="","ERR",""))&amp; IF(ISERROR(FIND($F$2,Lines!E18))=TRUE,"",IF(AND('500DC'!E18="",'800DC'!E18=""),"ERR","")) &amp; IF(ISERROR(FIND($G$2,Lines!E18))=TRUE,"",IF('1000'!E18="","ERR","")) &amp; IF(ISERROR(FIND($H$2,Lines!E18))=TRUE,"",IF('500DC'!E18="","ERR","")) &amp; IF(ISERROR(FIND($I$2,Lines!E18))=TRUE,"",IF('800DC'!E18="","ERR","")) &amp; IF(ISERROR(FIND($J$2,Lines!E18))=TRUE,"",IF('1000'!E18="","ERR",""))</f>
        <v/>
      </c>
      <c r="F18" s="108" t="str">
        <f>IF(ISERROR(FIND($B$2,Lines!F18))=TRUE,"",IF('750'!F18="","ERR","")) &amp; IF(ISERROR(FIND($C$2,Lines!F18))=TRUE,"",IF('500'!F18="","ERR","")) &amp; IF(ISERROR(FIND($D$2,Lines!F18))=TRUE,"",IF('330'!F18="","ERR","")) &amp; IF(ISERROR(FIND($E$2,Lines!F18))=TRUE,"",IF('220'!F18="","ERR",""))&amp; IF(ISERROR(FIND($F$2,Lines!F18))=TRUE,"",IF(AND('500DC'!F18="",'800DC'!F18=""),"ERR","")) &amp; IF(ISERROR(FIND($G$2,Lines!F18))=TRUE,"",IF('1000'!F18="","ERR","")) &amp; IF(ISERROR(FIND($H$2,Lines!F18))=TRUE,"",IF('500DC'!F18="","ERR","")) &amp; IF(ISERROR(FIND($I$2,Lines!F18))=TRUE,"",IF('800DC'!F18="","ERR","")) &amp; IF(ISERROR(FIND($J$2,Lines!F18))=TRUE,"",IF('1000'!F18="","ERR",""))</f>
        <v/>
      </c>
      <c r="G18" s="108" t="str">
        <f>IF(ISERROR(FIND($B$2,Lines!G18))=TRUE,"",IF('750'!G18="","ERR","")) &amp; IF(ISERROR(FIND($C$2,Lines!G18))=TRUE,"",IF('500'!G18="","ERR","")) &amp; IF(ISERROR(FIND($D$2,Lines!G18))=TRUE,"",IF('330'!G18="","ERR","")) &amp; IF(ISERROR(FIND($E$2,Lines!G18))=TRUE,"",IF('220'!G18="","ERR",""))&amp; IF(ISERROR(FIND($F$2,Lines!G18))=TRUE,"",IF(AND('500DC'!G18="",'800DC'!G18=""),"ERR","")) &amp; IF(ISERROR(FIND($G$2,Lines!G18))=TRUE,"",IF('1000'!G18="","ERR","")) &amp; IF(ISERROR(FIND($H$2,Lines!G18))=TRUE,"",IF('500DC'!G18="","ERR","")) &amp; IF(ISERROR(FIND($I$2,Lines!G18))=TRUE,"",IF('800DC'!G18="","ERR","")) &amp; IF(ISERROR(FIND($J$2,Lines!G18))=TRUE,"",IF('1000'!G18="","ERR",""))</f>
        <v/>
      </c>
      <c r="H18" s="108" t="str">
        <f>IF(ISERROR(FIND($B$2,Lines!H18))=TRUE,"",IF('750'!H18="","ERR","")) &amp; IF(ISERROR(FIND($C$2,Lines!H18))=TRUE,"",IF('500'!H18="","ERR","")) &amp; IF(ISERROR(FIND($D$2,Lines!H18))=TRUE,"",IF('330'!H18="","ERR","")) &amp; IF(ISERROR(FIND($E$2,Lines!H18))=TRUE,"",IF('220'!H18="","ERR",""))&amp; IF(ISERROR(FIND($F$2,Lines!H18))=TRUE,"",IF(AND('500DC'!H18="",'800DC'!H18=""),"ERR","")) &amp; IF(ISERROR(FIND($G$2,Lines!H18))=TRUE,"",IF('1000'!H18="","ERR","")) &amp; IF(ISERROR(FIND($H$2,Lines!H18))=TRUE,"",IF('500DC'!H18="","ERR","")) &amp; IF(ISERROR(FIND($I$2,Lines!H18))=TRUE,"",IF('800DC'!H18="","ERR","")) &amp; IF(ISERROR(FIND($J$2,Lines!H18))=TRUE,"",IF('1000'!H18="","ERR",""))</f>
        <v/>
      </c>
      <c r="I18" s="108" t="str">
        <f>IF(ISERROR(FIND($B$2,Lines!I18))=TRUE,"",IF('750'!I18="","ERR","")) &amp; IF(ISERROR(FIND($C$2,Lines!I18))=TRUE,"",IF('500'!I18="","ERR","")) &amp; IF(ISERROR(FIND($D$2,Lines!I18))=TRUE,"",IF('330'!I18="","ERR","")) &amp; IF(ISERROR(FIND($E$2,Lines!I18))=TRUE,"",IF('220'!I18="","ERR",""))&amp; IF(ISERROR(FIND($F$2,Lines!I18))=TRUE,"",IF(AND('500DC'!I18="",'800DC'!I18=""),"ERR","")) &amp; IF(ISERROR(FIND($G$2,Lines!I18))=TRUE,"",IF('1000'!I18="","ERR","")) &amp; IF(ISERROR(FIND($H$2,Lines!I18))=TRUE,"",IF('500DC'!I18="","ERR","")) &amp; IF(ISERROR(FIND($I$2,Lines!I18))=TRUE,"",IF('800DC'!I18="","ERR","")) &amp; IF(ISERROR(FIND($J$2,Lines!I18))=TRUE,"",IF('1000'!I18="","ERR",""))</f>
        <v/>
      </c>
      <c r="J18" s="108" t="str">
        <f>IF(ISERROR(FIND($B$2,Lines!J18))=TRUE,"",IF('750'!J18="","ERR","")) &amp; IF(ISERROR(FIND($C$2,Lines!J18))=TRUE,"",IF('500'!J18="","ERR","")) &amp; IF(ISERROR(FIND($D$2,Lines!J18))=TRUE,"",IF('330'!J18="","ERR","")) &amp; IF(ISERROR(FIND($E$2,Lines!J18))=TRUE,"",IF('220'!J18="","ERR",""))&amp; IF(ISERROR(FIND($F$2,Lines!J18))=TRUE,"",IF(AND('500DC'!J18="",'800DC'!J18=""),"ERR","")) &amp; IF(ISERROR(FIND($G$2,Lines!J18))=TRUE,"",IF('1000'!J18="","ERR","")) &amp; IF(ISERROR(FIND($H$2,Lines!J18))=TRUE,"",IF('500DC'!J18="","ERR","")) &amp; IF(ISERROR(FIND($I$2,Lines!J18))=TRUE,"",IF('800DC'!J18="","ERR","")) &amp; IF(ISERROR(FIND($J$2,Lines!J18))=TRUE,"",IF('1000'!J18="","ERR",""))</f>
        <v/>
      </c>
      <c r="K18" s="108" t="str">
        <f>IF(ISERROR(FIND($B$2,Lines!K18))=TRUE,"",IF('750'!K18="","ERR","")) &amp; IF(ISERROR(FIND($C$2,Lines!K18))=TRUE,"",IF('500'!K18="","ERR","")) &amp; IF(ISERROR(FIND($D$2,Lines!K18))=TRUE,"",IF('330'!K18="","ERR","")) &amp; IF(ISERROR(FIND($E$2,Lines!K18))=TRUE,"",IF('220'!K18="","ERR",""))&amp; IF(ISERROR(FIND($F$2,Lines!K18))=TRUE,"",IF(AND('500DC'!K18="",'800DC'!K18=""),"ERR","")) &amp; IF(ISERROR(FIND($G$2,Lines!K18))=TRUE,"",IF('1000'!K18="","ERR","")) &amp; IF(ISERROR(FIND($H$2,Lines!K18))=TRUE,"",IF('500DC'!K18="","ERR","")) &amp; IF(ISERROR(FIND($I$2,Lines!K18))=TRUE,"",IF('800DC'!K18="","ERR","")) &amp; IF(ISERROR(FIND($J$2,Lines!K18))=TRUE,"",IF('1000'!K18="","ERR",""))</f>
        <v/>
      </c>
      <c r="L18" s="108" t="str">
        <f>IF(ISERROR(FIND($B$2,Lines!L18))=TRUE,"",IF('750'!L18="","ERR","")) &amp; IF(ISERROR(FIND($C$2,Lines!L18))=TRUE,"",IF('500'!L18="","ERR","")) &amp; IF(ISERROR(FIND($D$2,Lines!L18))=TRUE,"",IF('330'!L18="","ERR","")) &amp; IF(ISERROR(FIND($E$2,Lines!L18))=TRUE,"",IF('220'!L18="","ERR",""))&amp; IF(ISERROR(FIND($F$2,Lines!L18))=TRUE,"",IF(AND('500DC'!L18="",'800DC'!L18=""),"ERR","")) &amp; IF(ISERROR(FIND($G$2,Lines!L18))=TRUE,"",IF('1000'!L18="","ERR","")) &amp; IF(ISERROR(FIND($H$2,Lines!L18))=TRUE,"",IF('500DC'!L18="","ERR","")) &amp; IF(ISERROR(FIND($I$2,Lines!L18))=TRUE,"",IF('800DC'!L18="","ERR","")) &amp; IF(ISERROR(FIND($J$2,Lines!L18))=TRUE,"",IF('1000'!L18="","ERR",""))</f>
        <v/>
      </c>
      <c r="M18" s="108" t="str">
        <f>IF(ISERROR(FIND($B$2,Lines!M18))=TRUE,"",IF('750'!M18="","ERR","")) &amp; IF(ISERROR(FIND($C$2,Lines!M18))=TRUE,"",IF('500'!M18="","ERR","")) &amp; IF(ISERROR(FIND($D$2,Lines!M18))=TRUE,"",IF('330'!M18="","ERR","")) &amp; IF(ISERROR(FIND($E$2,Lines!M18))=TRUE,"",IF('220'!M18="","ERR",""))&amp; IF(ISERROR(FIND($F$2,Lines!M18))=TRUE,"",IF(AND('500DC'!M18="",'800DC'!M18=""),"ERR","")) &amp; IF(ISERROR(FIND($G$2,Lines!M18))=TRUE,"",IF('1000'!M18="","ERR","")) &amp; IF(ISERROR(FIND($H$2,Lines!M18))=TRUE,"",IF('500DC'!M18="","ERR","")) &amp; IF(ISERROR(FIND($I$2,Lines!M18))=TRUE,"",IF('800DC'!M18="","ERR","")) &amp; IF(ISERROR(FIND($J$2,Lines!M18))=TRUE,"",IF('1000'!M18="","ERR",""))</f>
        <v/>
      </c>
      <c r="N18" s="113" t="str">
        <f>IF(ISERROR(FIND($B$2,Lines!N18))=TRUE,"",IF('750'!N18="","ERR","")) &amp; IF(ISERROR(FIND($C$2,Lines!N18))=TRUE,"",IF('500'!N18="","ERR","")) &amp; IF(ISERROR(FIND($D$2,Lines!N18))=TRUE,"",IF('330'!N18="","ERR","")) &amp; IF(ISERROR(FIND($E$2,Lines!N18))=TRUE,"",IF('220'!N18="","ERR",""))&amp; IF(ISERROR(FIND($F$2,Lines!N18))=TRUE,"",IF(AND('500DC'!N18="",'800DC'!N18=""),"ERR","")) &amp; IF(ISERROR(FIND($G$2,Lines!N18))=TRUE,"",IF('1000'!N18="","ERR","")) &amp; IF(ISERROR(FIND($H$2,Lines!N18))=TRUE,"",IF('500DC'!N18="","ERR","")) &amp; IF(ISERROR(FIND($I$2,Lines!N18))=TRUE,"",IF('800DC'!N18="","ERR","")) &amp; IF(ISERROR(FIND($J$2,Lines!N18))=TRUE,"",IF('1000'!N18="","ERR",""))</f>
        <v/>
      </c>
      <c r="O18" s="117" t="str">
        <f>IF(ISERROR(FIND($B$2,Lines!O18))=TRUE,"",IF('750'!O18="","ERR","")) &amp; IF(ISERROR(FIND($C$2,Lines!O18))=TRUE,"",IF('500'!O18="","ERR","")) &amp; IF(ISERROR(FIND($D$2,Lines!O18))=TRUE,"",IF('330'!O18="","ERR","")) &amp; IF(ISERROR(FIND($E$2,Lines!O18))=TRUE,"",IF('220'!O18="","ERR",""))&amp; IF(ISERROR(FIND($F$2,Lines!O18))=TRUE,"",IF(AND('500DC'!O18="",'800DC'!O18=""),"ERR","")) &amp; IF(ISERROR(FIND($G$2,Lines!O18))=TRUE,"",IF('1000'!O18="","ERR","")) &amp; IF(ISERROR(FIND($H$2,Lines!O18))=TRUE,"",IF('500DC'!O18="","ERR","")) &amp; IF(ISERROR(FIND($I$2,Lines!O18))=TRUE,"",IF('800DC'!O18="","ERR","")) &amp; IF(ISERROR(FIND($J$2,Lines!O18))=TRUE,"",IF('1000'!O18="","ERR",""))</f>
        <v/>
      </c>
      <c r="P18" s="116" t="str">
        <f>IF(ISERROR(FIND($B$2,Lines!P18))=TRUE,"",IF('750'!P18="","ERR","")) &amp; IF(ISERROR(FIND($C$2,Lines!P18))=TRUE,"",IF('500'!P18="","ERR","")) &amp; IF(ISERROR(FIND($D$2,Lines!P18))=TRUE,"",IF('330'!P18="","ERR","")) &amp; IF(ISERROR(FIND($E$2,Lines!P18))=TRUE,"",IF('220'!P18="","ERR",""))&amp; IF(ISERROR(FIND($F$2,Lines!P18))=TRUE,"",IF(AND('500DC'!P18="",'800DC'!P18=""),"ERR","")) &amp; IF(ISERROR(FIND($G$2,Lines!P18))=TRUE,"",IF('1000'!P18="","ERR","")) &amp; IF(ISERROR(FIND($H$2,Lines!P18))=TRUE,"",IF('500DC'!P18="","ERR","")) &amp; IF(ISERROR(FIND($I$2,Lines!P18))=TRUE,"",IF('800DC'!P18="","ERR","")) &amp; IF(ISERROR(FIND($J$2,Lines!P18))=TRUE,"",IF('1000'!P18="","ERR",""))</f>
        <v/>
      </c>
      <c r="Q18" s="117" t="str">
        <f>IF(ISERROR(FIND($B$2,Lines!Q18))=TRUE,"",IF('750'!Q18="","ERR","")) &amp; IF(ISERROR(FIND($C$2,Lines!Q18))=TRUE,"",IF('500'!Q18="","ERR","")) &amp; IF(ISERROR(FIND($D$2,Lines!Q18))=TRUE,"",IF('330'!Q18="","ERR","")) &amp; IF(ISERROR(FIND($E$2,Lines!Q18))=TRUE,"",IF('220'!Q18="","ERR",""))&amp; IF(ISERROR(FIND($F$2,Lines!Q18))=TRUE,"",IF(AND('500DC'!Q18="",'800DC'!Q18=""),"ERR","")) &amp; IF(ISERROR(FIND($G$2,Lines!Q18))=TRUE,"",IF('1000'!Q18="","ERR","")) &amp; IF(ISERROR(FIND($H$2,Lines!Q18))=TRUE,"",IF('500DC'!Q18="","ERR","")) &amp; IF(ISERROR(FIND($I$2,Lines!Q18))=TRUE,"",IF('800DC'!Q18="","ERR","")) &amp; IF(ISERROR(FIND($J$2,Lines!Q18))=TRUE,"",IF('1000'!Q18="","ERR",""))</f>
        <v/>
      </c>
      <c r="R18" s="117" t="str">
        <f>IF(ISERROR(FIND($B$2,Lines!R18))=TRUE,"",IF('750'!R18="","ERR","")) &amp; IF(ISERROR(FIND($C$2,Lines!R18))=TRUE,"",IF('500'!R18="","ERR","")) &amp; IF(ISERROR(FIND($D$2,Lines!R18))=TRUE,"",IF('330'!R18="","ERR","")) &amp; IF(ISERROR(FIND($E$2,Lines!R18))=TRUE,"",IF('220'!R18="","ERR",""))&amp; IF(ISERROR(FIND($F$2,Lines!R18))=TRUE,"",IF(AND('500DC'!R18="",'800DC'!R18=""),"ERR","")) &amp; IF(ISERROR(FIND($G$2,Lines!R18))=TRUE,"",IF('1000'!R18="","ERR","")) &amp; IF(ISERROR(FIND($H$2,Lines!R18))=TRUE,"",IF('500DC'!R18="","ERR","")) &amp; IF(ISERROR(FIND($I$2,Lines!R18))=TRUE,"",IF('800DC'!R18="","ERR","")) &amp; IF(ISERROR(FIND($J$2,Lines!R18))=TRUE,"",IF('1000'!R18="","ERR",""))</f>
        <v/>
      </c>
      <c r="S18" s="117" t="str">
        <f>IF(ISERROR(FIND($B$2,Lines!S18))=TRUE,"",IF('750'!S18="","ERR","")) &amp; IF(ISERROR(FIND($C$2,Lines!S18))=TRUE,"",IF('500'!S18="","ERR","")) &amp; IF(ISERROR(FIND($D$2,Lines!S18))=TRUE,"",IF('330'!S18="","ERR","")) &amp; IF(ISERROR(FIND($E$2,Lines!S18))=TRUE,"",IF('220'!S18="","ERR",""))&amp; IF(ISERROR(FIND($F$2,Lines!S18))=TRUE,"",IF(AND('500DC'!S18="",'800DC'!S18=""),"ERR","")) &amp; IF(ISERROR(FIND($G$2,Lines!S18))=TRUE,"",IF('1000'!S18="","ERR","")) &amp; IF(ISERROR(FIND($H$2,Lines!S18))=TRUE,"",IF('500DC'!S18="","ERR","")) &amp; IF(ISERROR(FIND($I$2,Lines!S18))=TRUE,"",IF('800DC'!S18="","ERR","")) &amp; IF(ISERROR(FIND($J$2,Lines!S18))=TRUE,"",IF('1000'!S18="","ERR",""))</f>
        <v/>
      </c>
      <c r="T18" s="117" t="str">
        <f>IF(ISERROR(FIND($B$2,Lines!T18))=TRUE,"",IF('750'!T18="","ERR","")) &amp; IF(ISERROR(FIND($C$2,Lines!T18))=TRUE,"",IF('500'!T18="","ERR","")) &amp; IF(ISERROR(FIND($D$2,Lines!T18))=TRUE,"",IF('330'!T18="","ERR","")) &amp; IF(ISERROR(FIND($E$2,Lines!T18))=TRUE,"",IF('220'!T18="","ERR",""))&amp; IF(ISERROR(FIND($F$2,Lines!T18))=TRUE,"",IF(AND('500DC'!T18="",'800DC'!T18=""),"ERR","")) &amp; IF(ISERROR(FIND($G$2,Lines!T18))=TRUE,"",IF('1000'!T18="","ERR","")) &amp; IF(ISERROR(FIND($H$2,Lines!T18))=TRUE,"",IF('500DC'!T18="","ERR","")) &amp; IF(ISERROR(FIND($I$2,Lines!T18))=TRUE,"",IF('800DC'!T18="","ERR","")) &amp; IF(ISERROR(FIND($J$2,Lines!T18))=TRUE,"",IF('1000'!T18="","ERR",""))</f>
        <v/>
      </c>
      <c r="U18" s="117" t="str">
        <f>IF(ISERROR(FIND($B$2,Lines!U18))=TRUE,"",IF('750'!U18="","ERR","")) &amp; IF(ISERROR(FIND($C$2,Lines!U18))=TRUE,"",IF('500'!U18="","ERR","")) &amp; IF(ISERROR(FIND($D$2,Lines!U18))=TRUE,"",IF('330'!U18="","ERR","")) &amp; IF(ISERROR(FIND($E$2,Lines!U18))=TRUE,"",IF('220'!U18="","ERR",""))&amp; IF(ISERROR(FIND($F$2,Lines!U18))=TRUE,"",IF(AND('500DC'!U18="",'800DC'!U18=""),"ERR","")) &amp; IF(ISERROR(FIND($G$2,Lines!U18))=TRUE,"",IF('1000'!U18="","ERR","")) &amp; IF(ISERROR(FIND($H$2,Lines!U18))=TRUE,"",IF('500DC'!U18="","ERR","")) &amp; IF(ISERROR(FIND($I$2,Lines!U18))=TRUE,"",IF('800DC'!U18="","ERR","")) &amp; IF(ISERROR(FIND($J$2,Lines!U18))=TRUE,"",IF('1000'!U18="","ERR",""))</f>
        <v/>
      </c>
      <c r="V18" s="118" t="str">
        <f>IF(ISERROR(FIND($B$2,Lines!V18))=TRUE,"",IF('750'!V18="","ERR","")) &amp; IF(ISERROR(FIND($C$2,Lines!V18))=TRUE,"",IF('500'!V18="","ERR","")) &amp; IF(ISERROR(FIND($D$2,Lines!V18))=TRUE,"",IF('330'!V18="","ERR","")) &amp; IF(ISERROR(FIND($E$2,Lines!V18))=TRUE,"",IF('220'!V18="","ERR",""))&amp; IF(ISERROR(FIND($F$2,Lines!V18))=TRUE,"",IF(AND('500DC'!V18="",'800DC'!V18=""),"ERR","")) &amp; IF(ISERROR(FIND($G$2,Lines!V18))=TRUE,"",IF('1000'!V18="","ERR","")) &amp; IF(ISERROR(FIND($H$2,Lines!V18))=TRUE,"",IF('500DC'!V18="","ERR","")) &amp; IF(ISERROR(FIND($I$2,Lines!V18))=TRUE,"",IF('800DC'!V18="","ERR","")) &amp; IF(ISERROR(FIND($J$2,Lines!V18))=TRUE,"",IF('1000'!V18="","ERR",""))</f>
        <v/>
      </c>
      <c r="W18" s="109" t="str">
        <f>IF(ISERROR(FIND($B$2,Lines!W18))=TRUE,"",IF('750'!W18="","ERR","")) &amp; IF(ISERROR(FIND($C$2,Lines!W18))=TRUE,"",IF('500'!W18="","ERR","")) &amp; IF(ISERROR(FIND($D$2,Lines!W18))=TRUE,"",IF('330'!W18="","ERR","")) &amp; IF(ISERROR(FIND($E$2,Lines!W18))=TRUE,"",IF('220'!W18="","ERR",""))&amp; IF(ISERROR(FIND($F$2,Lines!W18))=TRUE,"",IF(AND('500DC'!W18="",'800DC'!W18=""),"ERR","")) &amp; IF(ISERROR(FIND($G$2,Lines!W18))=TRUE,"",IF('1000'!W18="","ERR","")) &amp; IF(ISERROR(FIND($H$2,Lines!W18))=TRUE,"",IF('500DC'!W18="","ERR","")) &amp; IF(ISERROR(FIND($I$2,Lines!W18))=TRUE,"",IF('800DC'!W18="","ERR","")) &amp; IF(ISERROR(FIND($J$2,Lines!W18))=TRUE,"",IF('1000'!W18="","ERR",""))</f>
        <v/>
      </c>
      <c r="X18" s="108" t="str">
        <f>IF(ISERROR(FIND($B$2,Lines!X18))=TRUE,"",IF('750'!X18="","ERR","")) &amp; IF(ISERROR(FIND($C$2,Lines!X18))=TRUE,"",IF('500'!X18="","ERR","")) &amp; IF(ISERROR(FIND($D$2,Lines!X18))=TRUE,"",IF('330'!X18="","ERR","")) &amp; IF(ISERROR(FIND($E$2,Lines!X18))=TRUE,"",IF('220'!X18="","ERR",""))&amp; IF(ISERROR(FIND($F$2,Lines!X18))=TRUE,"",IF(AND('500DC'!X18="",'800DC'!X18=""),"ERR","")) &amp; IF(ISERROR(FIND($G$2,Lines!X18))=TRUE,"",IF('1000'!X18="","ERR","")) &amp; IF(ISERROR(FIND($H$2,Lines!X18))=TRUE,"",IF('500DC'!X18="","ERR","")) &amp; IF(ISERROR(FIND($I$2,Lines!X18))=TRUE,"",IF('800DC'!X18="","ERR","")) &amp; IF(ISERROR(FIND($J$2,Lines!X18))=TRUE,"",IF('1000'!X18="","ERR",""))</f>
        <v/>
      </c>
      <c r="Y18" s="108" t="str">
        <f>IF(ISERROR(FIND($B$2,Lines!Y18))=TRUE,"",IF('750'!Y18="","ERR","")) &amp; IF(ISERROR(FIND($C$2,Lines!Y18))=TRUE,"",IF('500'!Y18="","ERR","")) &amp; IF(ISERROR(FIND($D$2,Lines!Y18))=TRUE,"",IF('330'!Y18="","ERR","")) &amp; IF(ISERROR(FIND($E$2,Lines!Y18))=TRUE,"",IF('220'!Y18="","ERR",""))&amp; IF(ISERROR(FIND($F$2,Lines!Y18))=TRUE,"",IF(AND('500DC'!Y18="",'800DC'!Y18=""),"ERR","")) &amp; IF(ISERROR(FIND($G$2,Lines!Y18))=TRUE,"",IF('1000'!Y18="","ERR","")) &amp; IF(ISERROR(FIND($H$2,Lines!Y18))=TRUE,"",IF('500DC'!Y18="","ERR","")) &amp; IF(ISERROR(FIND($I$2,Lines!Y18))=TRUE,"",IF('800DC'!Y18="","ERR","")) &amp; IF(ISERROR(FIND($J$2,Lines!Y18))=TRUE,"",IF('1000'!Y18="","ERR",""))</f>
        <v/>
      </c>
      <c r="Z18" s="108" t="str">
        <f>IF(ISERROR(FIND($B$2,Lines!Z18))=TRUE,"",IF('750'!Z18="","ERR","")) &amp; IF(ISERROR(FIND($C$2,Lines!Z18))=TRUE,"",IF('500'!Z18="","ERR","")) &amp; IF(ISERROR(FIND($D$2,Lines!Z18))=TRUE,"",IF('330'!Z18="","ERR","")) &amp; IF(ISERROR(FIND($E$2,Lines!Z18))=TRUE,"",IF('220'!Z18="","ERR",""))&amp; IF(ISERROR(FIND($F$2,Lines!Z18))=TRUE,"",IF(AND('500DC'!Z18="",'800DC'!Z18=""),"ERR","")) &amp; IF(ISERROR(FIND($G$2,Lines!Z18))=TRUE,"",IF('1000'!Z18="","ERR","")) &amp; IF(ISERROR(FIND($H$2,Lines!Z18))=TRUE,"",IF('500DC'!Z18="","ERR","")) &amp; IF(ISERROR(FIND($I$2,Lines!Z18))=TRUE,"",IF('800DC'!Z18="","ERR","")) &amp; IF(ISERROR(FIND($J$2,Lines!Z18))=TRUE,"",IF('1000'!Z18="","ERR",""))</f>
        <v/>
      </c>
      <c r="AA18" s="108" t="str">
        <f>IF(ISERROR(FIND($B$2,Lines!AA18))=TRUE,"",IF('750'!AA18="","ERR","")) &amp; IF(ISERROR(FIND($C$2,Lines!AA18))=TRUE,"",IF('500'!AA18="","ERR","")) &amp; IF(ISERROR(FIND($D$2,Lines!AA18))=TRUE,"",IF('330'!AA18="","ERR","")) &amp; IF(ISERROR(FIND($E$2,Lines!AA18))=TRUE,"",IF('220'!AA18="","ERR",""))&amp; IF(ISERROR(FIND($F$2,Lines!AA18))=TRUE,"",IF(AND('500DC'!AA18="",'800DC'!AA18=""),"ERR","")) &amp; IF(ISERROR(FIND($G$2,Lines!AA18))=TRUE,"",IF('1000'!AA18="","ERR","")) &amp; IF(ISERROR(FIND($H$2,Lines!AA18))=TRUE,"",IF('500DC'!AA18="","ERR","")) &amp; IF(ISERROR(FIND($I$2,Lines!AA18))=TRUE,"",IF('800DC'!AA18="","ERR","")) &amp; IF(ISERROR(FIND($J$2,Lines!AA18))=TRUE,"",IF('1000'!AA18="","ERR",""))</f>
        <v/>
      </c>
      <c r="AB18" s="108" t="str">
        <f>IF(ISERROR(FIND($B$2,Lines!AB18))=TRUE,"",IF('750'!AB18="","ERR","")) &amp; IF(ISERROR(FIND($C$2,Lines!AB18))=TRUE,"",IF('500'!AB18="","ERR","")) &amp; IF(ISERROR(FIND($D$2,Lines!AB18))=TRUE,"",IF('330'!AB18="","ERR","")) &amp; IF(ISERROR(FIND($E$2,Lines!AB18))=TRUE,"",IF('220'!AB18="","ERR",""))&amp; IF(ISERROR(FIND($F$2,Lines!AB18))=TRUE,"",IF(AND('500DC'!AB18="",'800DC'!AB18=""),"ERR","")) &amp; IF(ISERROR(FIND($G$2,Lines!AB18))=TRUE,"",IF('1000'!AB18="","ERR","")) &amp; IF(ISERROR(FIND($H$2,Lines!AB18))=TRUE,"",IF('500DC'!AB18="","ERR","")) &amp; IF(ISERROR(FIND($I$2,Lines!AB18))=TRUE,"",IF('800DC'!AB18="","ERR","")) &amp; IF(ISERROR(FIND($J$2,Lines!AB18))=TRUE,"",IF('1000'!AB18="","ERR",""))</f>
        <v/>
      </c>
      <c r="AC18" s="108" t="str">
        <f>IF(ISERROR(FIND($B$2,Lines!AC18))=TRUE,"",IF('750'!AC18="","ERR","")) &amp; IF(ISERROR(FIND($C$2,Lines!AC18))=TRUE,"",IF('500'!AC18="","ERR","")) &amp; IF(ISERROR(FIND($D$2,Lines!AC18))=TRUE,"",IF('330'!AC18="","ERR","")) &amp; IF(ISERROR(FIND($E$2,Lines!AC18))=TRUE,"",IF('220'!AC18="","ERR",""))&amp; IF(ISERROR(FIND($F$2,Lines!AC18))=TRUE,"",IF(AND('500DC'!AC18="",'800DC'!AC18=""),"ERR","")) &amp; IF(ISERROR(FIND($G$2,Lines!AC18))=TRUE,"",IF('1000'!AC18="","ERR","")) &amp; IF(ISERROR(FIND($H$2,Lines!AC18))=TRUE,"",IF('500DC'!AC18="","ERR","")) &amp; IF(ISERROR(FIND($I$2,Lines!AC18))=TRUE,"",IF('800DC'!AC18="","ERR","")) &amp; IF(ISERROR(FIND($J$2,Lines!AC18))=TRUE,"",IF('1000'!AC18="","ERR",""))</f>
        <v/>
      </c>
      <c r="AD18" s="108" t="str">
        <f>IF(ISERROR(FIND($B$2,Lines!AD18))=TRUE,"",IF('750'!AD18="","ERR","")) &amp; IF(ISERROR(FIND($C$2,Lines!AD18))=TRUE,"",IF('500'!AD18="","ERR","")) &amp; IF(ISERROR(FIND($D$2,Lines!AD18))=TRUE,"",IF('330'!AD18="","ERR","")) &amp; IF(ISERROR(FIND($E$2,Lines!AD18))=TRUE,"",IF('220'!AD18="","ERR",""))&amp; IF(ISERROR(FIND($F$2,Lines!AD18))=TRUE,"",IF(AND('500DC'!AD18="",'800DC'!AD18=""),"ERR","")) &amp; IF(ISERROR(FIND($G$2,Lines!AD18))=TRUE,"",IF('1000'!AD18="","ERR","")) &amp; IF(ISERROR(FIND($H$2,Lines!AD18))=TRUE,"",IF('500DC'!AD18="","ERR","")) &amp; IF(ISERROR(FIND($I$2,Lines!AD18))=TRUE,"",IF('800DC'!AD18="","ERR","")) &amp; IF(ISERROR(FIND($J$2,Lines!AD18))=TRUE,"",IF('1000'!AD18="","ERR",""))</f>
        <v/>
      </c>
      <c r="AE18" s="108" t="str">
        <f>IF(ISERROR(FIND($B$2,Lines!AE18))=TRUE,"",IF('750'!AE18="","ERR","")) &amp; IF(ISERROR(FIND($C$2,Lines!AE18))=TRUE,"",IF('500'!AE18="","ERR","")) &amp; IF(ISERROR(FIND($D$2,Lines!AE18))=TRUE,"",IF('330'!AE18="","ERR","")) &amp; IF(ISERROR(FIND($E$2,Lines!AE18))=TRUE,"",IF('220'!AE18="","ERR",""))&amp; IF(ISERROR(FIND($F$2,Lines!AE18))=TRUE,"",IF(AND('500DC'!AE18="",'800DC'!AE18=""),"ERR","")) &amp; IF(ISERROR(FIND($G$2,Lines!AE18))=TRUE,"",IF('1000'!AE18="","ERR","")) &amp; IF(ISERROR(FIND($H$2,Lines!AE18))=TRUE,"",IF('500DC'!AE18="","ERR","")) &amp; IF(ISERROR(FIND($I$2,Lines!AE18))=TRUE,"",IF('800DC'!AE18="","ERR","")) &amp; IF(ISERROR(FIND($J$2,Lines!AE18))=TRUE,"",IF('1000'!AE18="","ERR",""))</f>
        <v/>
      </c>
      <c r="AF18" s="108" t="str">
        <f>IF(ISERROR(FIND($B$2,Lines!AF18))=TRUE,"",IF('750'!AF18="","ERR","")) &amp; IF(ISERROR(FIND($C$2,Lines!AF18))=TRUE,"",IF('500'!AF18="","ERR","")) &amp; IF(ISERROR(FIND($D$2,Lines!AF18))=TRUE,"",IF('330'!AF18="","ERR","")) &amp; IF(ISERROR(FIND($E$2,Lines!AF18))=TRUE,"",IF('220'!AF18="","ERR",""))&amp; IF(ISERROR(FIND($F$2,Lines!AF18))=TRUE,"",IF(AND('500DC'!AF18="",'800DC'!AF18=""),"ERR","")) &amp; IF(ISERROR(FIND($G$2,Lines!AF18))=TRUE,"",IF('1000'!AF18="","ERR","")) &amp; IF(ISERROR(FIND($H$2,Lines!AF18))=TRUE,"",IF('500DC'!AF18="","ERR","")) &amp; IF(ISERROR(FIND($I$2,Lines!AF18))=TRUE,"",IF('800DC'!AF18="","ERR","")) &amp; IF(ISERROR(FIND($J$2,Lines!AF18))=TRUE,"",IF('1000'!AF18="","ERR",""))</f>
        <v/>
      </c>
      <c r="AG18" s="108" t="str">
        <f>IF(ISERROR(FIND($B$2,Lines!AG18))=TRUE,"",IF('750'!AG18="","ERR","")) &amp; IF(ISERROR(FIND($C$2,Lines!AG18))=TRUE,"",IF('500'!AG18="","ERR","")) &amp; IF(ISERROR(FIND($D$2,Lines!AG18))=TRUE,"",IF('330'!AG18="","ERR","")) &amp; IF(ISERROR(FIND($E$2,Lines!AG18))=TRUE,"",IF('220'!AG18="","ERR",""))&amp; IF(ISERROR(FIND($F$2,Lines!AG18))=TRUE,"",IF(AND('500DC'!AG18="",'800DC'!AG18=""),"ERR","")) &amp; IF(ISERROR(FIND($G$2,Lines!AG18))=TRUE,"",IF('1000'!AG18="","ERR","")) &amp; IF(ISERROR(FIND($H$2,Lines!AG18))=TRUE,"",IF('500DC'!AG18="","ERR","")) &amp; IF(ISERROR(FIND($I$2,Lines!AG18))=TRUE,"",IF('800DC'!AG18="","ERR","")) &amp; IF(ISERROR(FIND($J$2,Lines!AG18))=TRUE,"",IF('1000'!AG18="","ERR",""))</f>
        <v/>
      </c>
      <c r="AH18" s="108" t="str">
        <f>IF(ISERROR(FIND($B$2,Lines!AH18))=TRUE,"",IF('750'!AH18="","ERR","")) &amp; IF(ISERROR(FIND($C$2,Lines!AH18))=TRUE,"",IF('500'!AH18="","ERR","")) &amp; IF(ISERROR(FIND($D$2,Lines!AH18))=TRUE,"",IF('330'!AH18="","ERR","")) &amp; IF(ISERROR(FIND($E$2,Lines!AH18))=TRUE,"",IF('220'!AH18="","ERR",""))&amp; IF(ISERROR(FIND($F$2,Lines!AH18))=TRUE,"",IF(AND('500DC'!AH18="",'800DC'!AH18=""),"ERR","")) &amp; IF(ISERROR(FIND($G$2,Lines!AH18))=TRUE,"",IF('1000'!AH18="","ERR","")) &amp; IF(ISERROR(FIND($H$2,Lines!AH18))=TRUE,"",IF('500DC'!AH18="","ERR","")) &amp; IF(ISERROR(FIND($I$2,Lines!AH18))=TRUE,"",IF('800DC'!AH18="","ERR","")) &amp; IF(ISERROR(FIND($J$2,Lines!AH18))=TRUE,"",IF('1000'!AH18="","ERR",""))</f>
        <v/>
      </c>
      <c r="AI18" s="108" t="str">
        <f>IF(ISERROR(FIND($B$2,Lines!AI18))=TRUE,"",IF('750'!AI18="","ERR","")) &amp; IF(ISERROR(FIND($C$2,Lines!AI18))=TRUE,"",IF('500'!AI18="","ERR","")) &amp; IF(ISERROR(FIND($D$2,Lines!AI18))=TRUE,"",IF('330'!AI18="","ERR","")) &amp; IF(ISERROR(FIND($E$2,Lines!AI18))=TRUE,"",IF('220'!AI18="","ERR",""))&amp; IF(ISERROR(FIND($F$2,Lines!AI18))=TRUE,"",IF(AND('500DC'!AI18="",'800DC'!AI18=""),"ERR","")) &amp; IF(ISERROR(FIND($G$2,Lines!AI18))=TRUE,"",IF('1000'!AI18="","ERR","")) &amp; IF(ISERROR(FIND($H$2,Lines!AI18))=TRUE,"",IF('500DC'!AI18="","ERR","")) &amp; IF(ISERROR(FIND($I$2,Lines!AI18))=TRUE,"",IF('800DC'!AI18="","ERR","")) &amp; IF(ISERROR(FIND($J$2,Lines!AI18))=TRUE,"",IF('1000'!AI18="","ERR",""))</f>
        <v/>
      </c>
      <c r="AJ18" s="108" t="str">
        <f>IF(ISERROR(FIND($B$2,Lines!AJ18))=TRUE,"",IF('750'!AJ18="","ERR","")) &amp; IF(ISERROR(FIND($C$2,Lines!AJ18))=TRUE,"",IF('500'!AJ18="","ERR","")) &amp; IF(ISERROR(FIND($D$2,Lines!AJ18))=TRUE,"",IF('330'!AJ18="","ERR","")) &amp; IF(ISERROR(FIND($E$2,Lines!AJ18))=TRUE,"",IF('220'!AJ18="","ERR",""))&amp; IF(ISERROR(FIND($F$2,Lines!AJ18))=TRUE,"",IF(AND('500DC'!AJ18="",'800DC'!AJ18=""),"ERR","")) &amp; IF(ISERROR(FIND($G$2,Lines!AJ18))=TRUE,"",IF('1000'!AJ18="","ERR","")) &amp; IF(ISERROR(FIND($H$2,Lines!AJ18))=TRUE,"",IF('500DC'!AJ18="","ERR","")) &amp; IF(ISERROR(FIND($I$2,Lines!AJ18))=TRUE,"",IF('800DC'!AJ18="","ERR","")) &amp; IF(ISERROR(FIND($J$2,Lines!AJ18))=TRUE,"",IF('1000'!AJ18="","ERR",""))</f>
        <v/>
      </c>
      <c r="AK18" s="108" t="str">
        <f>IF(ISERROR(FIND($B$2,Lines!AK18))=TRUE,"",IF('750'!AK18="","ERR","")) &amp; IF(ISERROR(FIND($C$2,Lines!AK18))=TRUE,"",IF('500'!AK18="","ERR","")) &amp; IF(ISERROR(FIND($D$2,Lines!AK18))=TRUE,"",IF('330'!AK18="","ERR","")) &amp; IF(ISERROR(FIND($E$2,Lines!AK18))=TRUE,"",IF('220'!AK18="","ERR",""))&amp; IF(ISERROR(FIND($F$2,Lines!AK18))=TRUE,"",IF(AND('500DC'!AK18="",'800DC'!AK18=""),"ERR","")) &amp; IF(ISERROR(FIND($G$2,Lines!AK18))=TRUE,"",IF('1000'!AK18="","ERR","")) &amp; IF(ISERROR(FIND($H$2,Lines!AK18))=TRUE,"",IF('500DC'!AK18="","ERR","")) &amp; IF(ISERROR(FIND($I$2,Lines!AK18))=TRUE,"",IF('800DC'!AK18="","ERR","")) &amp; IF(ISERROR(FIND($J$2,Lines!AK18))=TRUE,"",IF('1000'!AK18="","ERR",""))</f>
        <v/>
      </c>
      <c r="AL18" s="108" t="str">
        <f>IF(ISERROR(FIND($B$2,Lines!AL18))=TRUE,"",IF('750'!AL18="","ERR","")) &amp; IF(ISERROR(FIND($C$2,Lines!AL18))=TRUE,"",IF('500'!AL18="","ERR","")) &amp; IF(ISERROR(FIND($D$2,Lines!AL18))=TRUE,"",IF('330'!AL18="","ERR","")) &amp; IF(ISERROR(FIND($E$2,Lines!AL18))=TRUE,"",IF('220'!AL18="","ERR",""))&amp; IF(ISERROR(FIND($F$2,Lines!AL18))=TRUE,"",IF(AND('500DC'!AL18="",'800DC'!AL18=""),"ERR","")) &amp; IF(ISERROR(FIND($G$2,Lines!AL18))=TRUE,"",IF('1000'!AL18="","ERR","")) &amp; IF(ISERROR(FIND($H$2,Lines!AL18))=TRUE,"",IF('500DC'!AL18="","ERR","")) &amp; IF(ISERROR(FIND($I$2,Lines!AL18))=TRUE,"",IF('800DC'!AL18="","ERR","")) &amp; IF(ISERROR(FIND($J$2,Lines!AL18))=TRUE,"",IF('1000'!AL18="","ERR",""))</f>
        <v/>
      </c>
      <c r="AM18" s="108" t="str">
        <f>IF(ISERROR(FIND($B$2,Lines!AM18))=TRUE,"",IF('750'!AM18="","ERR","")) &amp; IF(ISERROR(FIND($C$2,Lines!AM18))=TRUE,"",IF('500'!AM18="","ERR","")) &amp; IF(ISERROR(FIND($D$2,Lines!AM18))=TRUE,"",IF('330'!AM18="","ERR","")) &amp; IF(ISERROR(FIND($E$2,Lines!AM18))=TRUE,"",IF('220'!AM18="","ERR",""))&amp; IF(ISERROR(FIND($F$2,Lines!AM18))=TRUE,"",IF(AND('500DC'!AM18="",'800DC'!AM18=""),"ERR","")) &amp; IF(ISERROR(FIND($G$2,Lines!AM18))=TRUE,"",IF('1000'!AM18="","ERR","")) &amp; IF(ISERROR(FIND($H$2,Lines!AM18))=TRUE,"",IF('500DC'!AM18="","ERR","")) &amp; IF(ISERROR(FIND($I$2,Lines!AM18))=TRUE,"",IF('800DC'!AM18="","ERR","")) &amp; IF(ISERROR(FIND($J$2,Lines!AM18))=TRUE,"",IF('1000'!AM18="","ERR",""))</f>
        <v/>
      </c>
      <c r="AN18" s="108" t="str">
        <f>IF(ISERROR(FIND($B$2,Lines!AN18))=TRUE,"",IF('750'!AN18="","ERR","")) &amp; IF(ISERROR(FIND($C$2,Lines!AN18))=TRUE,"",IF('500'!AN18="","ERR","")) &amp; IF(ISERROR(FIND($D$2,Lines!AN18))=TRUE,"",IF('330'!AN18="","ERR","")) &amp; IF(ISERROR(FIND($E$2,Lines!AN18))=TRUE,"",IF('220'!AN18="","ERR",""))&amp; IF(ISERROR(FIND($F$2,Lines!AN18))=TRUE,"",IF(AND('500DC'!AN18="",'800DC'!AN18=""),"ERR","")) &amp; IF(ISERROR(FIND($G$2,Lines!AN18))=TRUE,"",IF('1000'!AN18="","ERR","")) &amp; IF(ISERROR(FIND($H$2,Lines!AN18))=TRUE,"",IF('500DC'!AN18="","ERR","")) &amp; IF(ISERROR(FIND($I$2,Lines!AN18))=TRUE,"",IF('800DC'!AN18="","ERR","")) &amp; IF(ISERROR(FIND($J$2,Lines!AN18))=TRUE,"",IF('1000'!AN18="","ERR",""))</f>
        <v/>
      </c>
      <c r="AO18" s="108" t="str">
        <f>IF(ISERROR(FIND($B$2,Lines!AO18))=TRUE,"",IF('750'!AO18="","ERR","")) &amp; IF(ISERROR(FIND($C$2,Lines!AO18))=TRUE,"",IF('500'!AO18="","ERR","")) &amp; IF(ISERROR(FIND($D$2,Lines!AO18))=TRUE,"",IF('330'!AO18="","ERR","")) &amp; IF(ISERROR(FIND($E$2,Lines!AO18))=TRUE,"",IF('220'!AO18="","ERR",""))&amp; IF(ISERROR(FIND($F$2,Lines!AO18))=TRUE,"",IF(AND('500DC'!AO18="",'800DC'!AO18=""),"ERR","")) &amp; IF(ISERROR(FIND($G$2,Lines!AO18))=TRUE,"",IF('1000'!AO18="","ERR","")) &amp; IF(ISERROR(FIND($H$2,Lines!AO18))=TRUE,"",IF('500DC'!AO18="","ERR","")) &amp; IF(ISERROR(FIND($I$2,Lines!AO18))=TRUE,"",IF('800DC'!AO18="","ERR","")) &amp; IF(ISERROR(FIND($J$2,Lines!AO18))=TRUE,"",IF('1000'!AO18="","ERR",""))</f>
        <v/>
      </c>
      <c r="AP18" s="108" t="str">
        <f>IF(ISERROR(FIND($B$2,Lines!AP18))=TRUE,"",IF('750'!AP18="","ERR","")) &amp; IF(ISERROR(FIND($C$2,Lines!AP18))=TRUE,"",IF('500'!AP18="","ERR","")) &amp; IF(ISERROR(FIND($D$2,Lines!AP18))=TRUE,"",IF('330'!AP18="","ERR","")) &amp; IF(ISERROR(FIND($E$2,Lines!AP18))=TRUE,"",IF('220'!AP18="","ERR",""))&amp; IF(ISERROR(FIND($F$2,Lines!AP18))=TRUE,"",IF(AND('500DC'!AP18="",'800DC'!AP18=""),"ERR","")) &amp; IF(ISERROR(FIND($G$2,Lines!AP18))=TRUE,"",IF('1000'!AP18="","ERR","")) &amp; IF(ISERROR(FIND($H$2,Lines!AP18))=TRUE,"",IF('500DC'!AP18="","ERR","")) &amp; IF(ISERROR(FIND($I$2,Lines!AP18))=TRUE,"",IF('800DC'!AP18="","ERR","")) &amp; IF(ISERROR(FIND($J$2,Lines!AP18))=TRUE,"",IF('1000'!AP18="","ERR",""))</f>
        <v/>
      </c>
      <c r="AQ18" s="108" t="str">
        <f>IF(ISERROR(FIND($B$2,Lines!AQ18))=TRUE,"",IF('750'!AQ18="","ERR","")) &amp; IF(ISERROR(FIND($C$2,Lines!AQ18))=TRUE,"",IF('500'!AQ18="","ERR","")) &amp; IF(ISERROR(FIND($D$2,Lines!AQ18))=TRUE,"",IF('330'!AQ18="","ERR","")) &amp; IF(ISERROR(FIND($E$2,Lines!AQ18))=TRUE,"",IF('220'!AQ18="","ERR",""))&amp; IF(ISERROR(FIND($F$2,Lines!AQ18))=TRUE,"",IF(AND('500DC'!AQ18="",'800DC'!AQ18=""),"ERR","")) &amp; IF(ISERROR(FIND($G$2,Lines!AQ18))=TRUE,"",IF('1000'!AQ18="","ERR","")) &amp; IF(ISERROR(FIND($H$2,Lines!AQ18))=TRUE,"",IF('500DC'!AQ18="","ERR","")) &amp; IF(ISERROR(FIND($I$2,Lines!AQ18))=TRUE,"",IF('800DC'!AQ18="","ERR","")) &amp; IF(ISERROR(FIND($J$2,Lines!AQ18))=TRUE,"",IF('1000'!AQ18="","ERR",""))</f>
        <v/>
      </c>
      <c r="AR18" s="108" t="str">
        <f>IF(ISERROR(FIND($B$2,Lines!AR18))=TRUE,"",IF('750'!AR18="","ERR","")) &amp; IF(ISERROR(FIND($C$2,Lines!AR18))=TRUE,"",IF('500'!AR18="","ERR","")) &amp; IF(ISERROR(FIND($D$2,Lines!AR18))=TRUE,"",IF('330'!AR18="","ERR","")) &amp; IF(ISERROR(FIND($E$2,Lines!AR18))=TRUE,"",IF('220'!AR18="","ERR",""))&amp; IF(ISERROR(FIND($F$2,Lines!AR18))=TRUE,"",IF(AND('500DC'!AR18="",'800DC'!AR18=""),"ERR","")) &amp; IF(ISERROR(FIND($G$2,Lines!AR18))=TRUE,"",IF('1000'!AR18="","ERR","")) &amp; IF(ISERROR(FIND($H$2,Lines!AR18))=TRUE,"",IF('500DC'!AR18="","ERR","")) &amp; IF(ISERROR(FIND($I$2,Lines!AR18))=TRUE,"",IF('800DC'!AR18="","ERR","")) &amp; IF(ISERROR(FIND($J$2,Lines!AR18))=TRUE,"",IF('1000'!AR18="","ERR",""))</f>
        <v/>
      </c>
      <c r="AS18" s="108" t="str">
        <f>IF(ISERROR(FIND($B$2,Lines!AS18))=TRUE,"",IF('750'!AS18="","ERR","")) &amp; IF(ISERROR(FIND($C$2,Lines!AS18))=TRUE,"",IF('500'!AS18="","ERR","")) &amp; IF(ISERROR(FIND($D$2,Lines!AS18))=TRUE,"",IF('330'!AS18="","ERR","")) &amp; IF(ISERROR(FIND($E$2,Lines!AS18))=TRUE,"",IF('220'!AS18="","ERR",""))&amp; IF(ISERROR(FIND($F$2,Lines!AS18))=TRUE,"",IF(AND('500DC'!AS18="",'800DC'!AS18=""),"ERR","")) &amp; IF(ISERROR(FIND($G$2,Lines!AS18))=TRUE,"",IF('1000'!AS18="","ERR","")) &amp; IF(ISERROR(FIND($H$2,Lines!AS18))=TRUE,"",IF('500DC'!AS18="","ERR","")) &amp; IF(ISERROR(FIND($I$2,Lines!AS18))=TRUE,"",IF('800DC'!AS18="","ERR","")) &amp; IF(ISERROR(FIND($J$2,Lines!AS18))=TRUE,"",IF('1000'!AS18="","ERR",""))</f>
        <v/>
      </c>
      <c r="AT18" s="108" t="str">
        <f>IF(ISERROR(FIND($B$2,Lines!AT18))=TRUE,"",IF('750'!AT18="","ERR","")) &amp; IF(ISERROR(FIND($C$2,Lines!AT18))=TRUE,"",IF('500'!AT18="","ERR","")) &amp; IF(ISERROR(FIND($D$2,Lines!AT18))=TRUE,"",IF('330'!AT18="","ERR","")) &amp; IF(ISERROR(FIND($E$2,Lines!AT18))=TRUE,"",IF('220'!AT18="","ERR",""))&amp; IF(ISERROR(FIND($F$2,Lines!AT18))=TRUE,"",IF(AND('500DC'!AT18="",'800DC'!AT18=""),"ERR","")) &amp; IF(ISERROR(FIND($G$2,Lines!AT18))=TRUE,"",IF('1000'!AT18="","ERR","")) &amp; IF(ISERROR(FIND($H$2,Lines!AT18))=TRUE,"",IF('500DC'!AT18="","ERR","")) &amp; IF(ISERROR(FIND($I$2,Lines!AT18))=TRUE,"",IF('800DC'!AT18="","ERR","")) &amp; IF(ISERROR(FIND($J$2,Lines!AT18))=TRUE,"",IF('1000'!AT18="","ERR",""))</f>
        <v/>
      </c>
    </row>
    <row r="19" spans="1:46" ht="20.25" customHeight="1">
      <c r="A19" s="2" t="s">
        <v>67</v>
      </c>
      <c r="B19" s="108" t="str">
        <f>IF(ISERROR(FIND($B$2,Lines!B19))=TRUE,"",IF('750'!B19="","ERR","")) &amp; IF(ISERROR(FIND($C$2,Lines!B19))=TRUE,"",IF('500'!B19="","ERR","")) &amp; IF(ISERROR(FIND($D$2,Lines!B19))=TRUE,"",IF('330'!B19="","ERR","")) &amp; IF(ISERROR(FIND($E$2,Lines!B19))=TRUE,"",IF('220'!B19="","ERR",""))&amp; IF(ISERROR(FIND($F$2,Lines!B19))=TRUE,"",IF(AND('500DC'!B19="",'800DC'!B19=""),"ERR","")) &amp; IF(ISERROR(FIND($G$2,Lines!B19))=TRUE,"",IF('1000'!B19="","ERR","")) &amp; IF(ISERROR(FIND($H$2,Lines!B19))=TRUE,"",IF('500DC'!B19="","ERR","")) &amp; IF(ISERROR(FIND($I$2,Lines!B19))=TRUE,"",IF('800DC'!B19="","ERR","")) &amp; IF(ISERROR(FIND($J$2,Lines!B19))=TRUE,"",IF('1000'!B19="","ERR",""))</f>
        <v/>
      </c>
      <c r="C19" s="108" t="str">
        <f>IF(ISERROR(FIND($B$2,Lines!C19))=TRUE,"",IF('750'!C19="","ERR","")) &amp; IF(ISERROR(FIND($C$2,Lines!C19))=TRUE,"",IF('500'!C19="","ERR","")) &amp; IF(ISERROR(FIND($D$2,Lines!C19))=TRUE,"",IF('330'!C19="","ERR","")) &amp; IF(ISERROR(FIND($E$2,Lines!C19))=TRUE,"",IF('220'!C19="","ERR",""))&amp; IF(ISERROR(FIND($F$2,Lines!C19))=TRUE,"",IF(AND('500DC'!C19="",'800DC'!C19=""),"ERR","")) &amp; IF(ISERROR(FIND($G$2,Lines!C19))=TRUE,"",IF('1000'!C19="","ERR","")) &amp; IF(ISERROR(FIND($H$2,Lines!C19))=TRUE,"",IF('500DC'!C19="","ERR","")) &amp; IF(ISERROR(FIND($I$2,Lines!C19))=TRUE,"",IF('800DC'!C19="","ERR","")) &amp; IF(ISERROR(FIND($J$2,Lines!C19))=TRUE,"",IF('1000'!C19="","ERR",""))</f>
        <v/>
      </c>
      <c r="D19" s="108" t="str">
        <f>IF(ISERROR(FIND($B$2,Lines!D19))=TRUE,"",IF('750'!D19="","ERR","")) &amp; IF(ISERROR(FIND($C$2,Lines!D19))=TRUE,"",IF('500'!D19="","ERR","")) &amp; IF(ISERROR(FIND($D$2,Lines!D19))=TRUE,"",IF('330'!D19="","ERR","")) &amp; IF(ISERROR(FIND($E$2,Lines!D19))=TRUE,"",IF('220'!D19="","ERR",""))&amp; IF(ISERROR(FIND($F$2,Lines!D19))=TRUE,"",IF(AND('500DC'!D19="",'800DC'!D19=""),"ERR","")) &amp; IF(ISERROR(FIND($G$2,Lines!D19))=TRUE,"",IF('1000'!D19="","ERR","")) &amp; IF(ISERROR(FIND($H$2,Lines!D19))=TRUE,"",IF('500DC'!D19="","ERR","")) &amp; IF(ISERROR(FIND($I$2,Lines!D19))=TRUE,"",IF('800DC'!D19="","ERR","")) &amp; IF(ISERROR(FIND($J$2,Lines!D19))=TRUE,"",IF('1000'!D19="","ERR",""))</f>
        <v/>
      </c>
      <c r="E19" s="108" t="str">
        <f>IF(ISERROR(FIND($B$2,Lines!E19))=TRUE,"",IF('750'!E19="","ERR","")) &amp; IF(ISERROR(FIND($C$2,Lines!E19))=TRUE,"",IF('500'!E19="","ERR","")) &amp; IF(ISERROR(FIND($D$2,Lines!E19))=TRUE,"",IF('330'!E19="","ERR","")) &amp; IF(ISERROR(FIND($E$2,Lines!E19))=TRUE,"",IF('220'!E19="","ERR",""))&amp; IF(ISERROR(FIND($F$2,Lines!E19))=TRUE,"",IF(AND('500DC'!E19="",'800DC'!E19=""),"ERR","")) &amp; IF(ISERROR(FIND($G$2,Lines!E19))=TRUE,"",IF('1000'!E19="","ERR","")) &amp; IF(ISERROR(FIND($H$2,Lines!E19))=TRUE,"",IF('500DC'!E19="","ERR","")) &amp; IF(ISERROR(FIND($I$2,Lines!E19))=TRUE,"",IF('800DC'!E19="","ERR","")) &amp; IF(ISERROR(FIND($J$2,Lines!E19))=TRUE,"",IF('1000'!E19="","ERR",""))</f>
        <v/>
      </c>
      <c r="F19" s="108" t="str">
        <f>IF(ISERROR(FIND($B$2,Lines!F19))=TRUE,"",IF('750'!F19="","ERR","")) &amp; IF(ISERROR(FIND($C$2,Lines!F19))=TRUE,"",IF('500'!F19="","ERR","")) &amp; IF(ISERROR(FIND($D$2,Lines!F19))=TRUE,"",IF('330'!F19="","ERR","")) &amp; IF(ISERROR(FIND($E$2,Lines!F19))=TRUE,"",IF('220'!F19="","ERR",""))&amp; IF(ISERROR(FIND($F$2,Lines!F19))=TRUE,"",IF(AND('500DC'!F19="",'800DC'!F19=""),"ERR","")) &amp; IF(ISERROR(FIND($G$2,Lines!F19))=TRUE,"",IF('1000'!F19="","ERR","")) &amp; IF(ISERROR(FIND($H$2,Lines!F19))=TRUE,"",IF('500DC'!F19="","ERR","")) &amp; IF(ISERROR(FIND($I$2,Lines!F19))=TRUE,"",IF('800DC'!F19="","ERR","")) &amp; IF(ISERROR(FIND($J$2,Lines!F19))=TRUE,"",IF('1000'!F19="","ERR",""))</f>
        <v/>
      </c>
      <c r="G19" s="108" t="str">
        <f>IF(ISERROR(FIND($B$2,Lines!G19))=TRUE,"",IF('750'!G19="","ERR","")) &amp; IF(ISERROR(FIND($C$2,Lines!G19))=TRUE,"",IF('500'!G19="","ERR","")) &amp; IF(ISERROR(FIND($D$2,Lines!G19))=TRUE,"",IF('330'!G19="","ERR","")) &amp; IF(ISERROR(FIND($E$2,Lines!G19))=TRUE,"",IF('220'!G19="","ERR",""))&amp; IF(ISERROR(FIND($F$2,Lines!G19))=TRUE,"",IF(AND('500DC'!G19="",'800DC'!G19=""),"ERR","")) &amp; IF(ISERROR(FIND($G$2,Lines!G19))=TRUE,"",IF('1000'!G19="","ERR","")) &amp; IF(ISERROR(FIND($H$2,Lines!G19))=TRUE,"",IF('500DC'!G19="","ERR","")) &amp; IF(ISERROR(FIND($I$2,Lines!G19))=TRUE,"",IF('800DC'!G19="","ERR","")) &amp; IF(ISERROR(FIND($J$2,Lines!G19))=TRUE,"",IF('1000'!G19="","ERR",""))</f>
        <v/>
      </c>
      <c r="H19" s="108" t="str">
        <f>IF(ISERROR(FIND($B$2,Lines!H19))=TRUE,"",IF('750'!H19="","ERR","")) &amp; IF(ISERROR(FIND($C$2,Lines!H19))=TRUE,"",IF('500'!H19="","ERR","")) &amp; IF(ISERROR(FIND($D$2,Lines!H19))=TRUE,"",IF('330'!H19="","ERR","")) &amp; IF(ISERROR(FIND($E$2,Lines!H19))=TRUE,"",IF('220'!H19="","ERR",""))&amp; IF(ISERROR(FIND($F$2,Lines!H19))=TRUE,"",IF(AND('500DC'!H19="",'800DC'!H19=""),"ERR","")) &amp; IF(ISERROR(FIND($G$2,Lines!H19))=TRUE,"",IF('1000'!H19="","ERR","")) &amp; IF(ISERROR(FIND($H$2,Lines!H19))=TRUE,"",IF('500DC'!H19="","ERR","")) &amp; IF(ISERROR(FIND($I$2,Lines!H19))=TRUE,"",IF('800DC'!H19="","ERR","")) &amp; IF(ISERROR(FIND($J$2,Lines!H19))=TRUE,"",IF('1000'!H19="","ERR",""))</f>
        <v/>
      </c>
      <c r="I19" s="108" t="str">
        <f>IF(ISERROR(FIND($B$2,Lines!I19))=TRUE,"",IF('750'!I19="","ERR","")) &amp; IF(ISERROR(FIND($C$2,Lines!I19))=TRUE,"",IF('500'!I19="","ERR","")) &amp; IF(ISERROR(FIND($D$2,Lines!I19))=TRUE,"",IF('330'!I19="","ERR","")) &amp; IF(ISERROR(FIND($E$2,Lines!I19))=TRUE,"",IF('220'!I19="","ERR",""))&amp; IF(ISERROR(FIND($F$2,Lines!I19))=TRUE,"",IF(AND('500DC'!I19="",'800DC'!I19=""),"ERR","")) &amp; IF(ISERROR(FIND($G$2,Lines!I19))=TRUE,"",IF('1000'!I19="","ERR","")) &amp; IF(ISERROR(FIND($H$2,Lines!I19))=TRUE,"",IF('500DC'!I19="","ERR","")) &amp; IF(ISERROR(FIND($I$2,Lines!I19))=TRUE,"",IF('800DC'!I19="","ERR","")) &amp; IF(ISERROR(FIND($J$2,Lines!I19))=TRUE,"",IF('1000'!I19="","ERR",""))</f>
        <v/>
      </c>
      <c r="J19" s="108" t="str">
        <f>IF(ISERROR(FIND($B$2,Lines!J19))=TRUE,"",IF('750'!J19="","ERR","")) &amp; IF(ISERROR(FIND($C$2,Lines!J19))=TRUE,"",IF('500'!J19="","ERR","")) &amp; IF(ISERROR(FIND($D$2,Lines!J19))=TRUE,"",IF('330'!J19="","ERR","")) &amp; IF(ISERROR(FIND($E$2,Lines!J19))=TRUE,"",IF('220'!J19="","ERR",""))&amp; IF(ISERROR(FIND($F$2,Lines!J19))=TRUE,"",IF(AND('500DC'!J19="",'800DC'!J19=""),"ERR","")) &amp; IF(ISERROR(FIND($G$2,Lines!J19))=TRUE,"",IF('1000'!J19="","ERR","")) &amp; IF(ISERROR(FIND($H$2,Lines!J19))=TRUE,"",IF('500DC'!J19="","ERR","")) &amp; IF(ISERROR(FIND($I$2,Lines!J19))=TRUE,"",IF('800DC'!J19="","ERR","")) &amp; IF(ISERROR(FIND($J$2,Lines!J19))=TRUE,"",IF('1000'!J19="","ERR",""))</f>
        <v/>
      </c>
      <c r="K19" s="108" t="str">
        <f>IF(ISERROR(FIND($B$2,Lines!K19))=TRUE,"",IF('750'!K19="","ERR","")) &amp; IF(ISERROR(FIND($C$2,Lines!K19))=TRUE,"",IF('500'!K19="","ERR","")) &amp; IF(ISERROR(FIND($D$2,Lines!K19))=TRUE,"",IF('330'!K19="","ERR","")) &amp; IF(ISERROR(FIND($E$2,Lines!K19))=TRUE,"",IF('220'!K19="","ERR",""))&amp; IF(ISERROR(FIND($F$2,Lines!K19))=TRUE,"",IF(AND('500DC'!K19="",'800DC'!K19=""),"ERR","")) &amp; IF(ISERROR(FIND($G$2,Lines!K19))=TRUE,"",IF('1000'!K19="","ERR","")) &amp; IF(ISERROR(FIND($H$2,Lines!K19))=TRUE,"",IF('500DC'!K19="","ERR","")) &amp; IF(ISERROR(FIND($I$2,Lines!K19))=TRUE,"",IF('800DC'!K19="","ERR","")) &amp; IF(ISERROR(FIND($J$2,Lines!K19))=TRUE,"",IF('1000'!K19="","ERR",""))</f>
        <v/>
      </c>
      <c r="L19" s="108" t="str">
        <f>IF(ISERROR(FIND($B$2,Lines!L19))=TRUE,"",IF('750'!L19="","ERR","")) &amp; IF(ISERROR(FIND($C$2,Lines!L19))=TRUE,"",IF('500'!L19="","ERR","")) &amp; IF(ISERROR(FIND($D$2,Lines!L19))=TRUE,"",IF('330'!L19="","ERR","")) &amp; IF(ISERROR(FIND($E$2,Lines!L19))=TRUE,"",IF('220'!L19="","ERR",""))&amp; IF(ISERROR(FIND($F$2,Lines!L19))=TRUE,"",IF(AND('500DC'!L19="",'800DC'!L19=""),"ERR","")) &amp; IF(ISERROR(FIND($G$2,Lines!L19))=TRUE,"",IF('1000'!L19="","ERR","")) &amp; IF(ISERROR(FIND($H$2,Lines!L19))=TRUE,"",IF('500DC'!L19="","ERR","")) &amp; IF(ISERROR(FIND($I$2,Lines!L19))=TRUE,"",IF('800DC'!L19="","ERR","")) &amp; IF(ISERROR(FIND($J$2,Lines!L19))=TRUE,"",IF('1000'!L19="","ERR",""))</f>
        <v/>
      </c>
      <c r="M19" s="108" t="str">
        <f>IF(ISERROR(FIND($B$2,Lines!M19))=TRUE,"",IF('750'!M19="","ERR","")) &amp; IF(ISERROR(FIND($C$2,Lines!M19))=TRUE,"",IF('500'!M19="","ERR","")) &amp; IF(ISERROR(FIND($D$2,Lines!M19))=TRUE,"",IF('330'!M19="","ERR","")) &amp; IF(ISERROR(FIND($E$2,Lines!M19))=TRUE,"",IF('220'!M19="","ERR",""))&amp; IF(ISERROR(FIND($F$2,Lines!M19))=TRUE,"",IF(AND('500DC'!M19="",'800DC'!M19=""),"ERR","")) &amp; IF(ISERROR(FIND($G$2,Lines!M19))=TRUE,"",IF('1000'!M19="","ERR","")) &amp; IF(ISERROR(FIND($H$2,Lines!M19))=TRUE,"",IF('500DC'!M19="","ERR","")) &amp; IF(ISERROR(FIND($I$2,Lines!M19))=TRUE,"",IF('800DC'!M19="","ERR","")) &amp; IF(ISERROR(FIND($J$2,Lines!M19))=TRUE,"",IF('1000'!M19="","ERR",""))</f>
        <v/>
      </c>
      <c r="N19" s="113" t="str">
        <f>IF(ISERROR(FIND($B$2,Lines!N19))=TRUE,"",IF('750'!N19="","ERR","")) &amp; IF(ISERROR(FIND($C$2,Lines!N19))=TRUE,"",IF('500'!N19="","ERR","")) &amp; IF(ISERROR(FIND($D$2,Lines!N19))=TRUE,"",IF('330'!N19="","ERR","")) &amp; IF(ISERROR(FIND($E$2,Lines!N19))=TRUE,"",IF('220'!N19="","ERR",""))&amp; IF(ISERROR(FIND($F$2,Lines!N19))=TRUE,"",IF(AND('500DC'!N19="",'800DC'!N19=""),"ERR","")) &amp; IF(ISERROR(FIND($G$2,Lines!N19))=TRUE,"",IF('1000'!N19="","ERR","")) &amp; IF(ISERROR(FIND($H$2,Lines!N19))=TRUE,"",IF('500DC'!N19="","ERR","")) &amp; IF(ISERROR(FIND($I$2,Lines!N19))=TRUE,"",IF('800DC'!N19="","ERR","")) &amp; IF(ISERROR(FIND($J$2,Lines!N19))=TRUE,"",IF('1000'!N19="","ERR",""))</f>
        <v/>
      </c>
      <c r="O19" s="117" t="str">
        <f>IF(ISERROR(FIND($B$2,Lines!O19))=TRUE,"",IF('750'!O19="","ERR","")) &amp; IF(ISERROR(FIND($C$2,Lines!O19))=TRUE,"",IF('500'!O19="","ERR","")) &amp; IF(ISERROR(FIND($D$2,Lines!O19))=TRUE,"",IF('330'!O19="","ERR","")) &amp; IF(ISERROR(FIND($E$2,Lines!O19))=TRUE,"",IF('220'!O19="","ERR",""))&amp; IF(ISERROR(FIND($F$2,Lines!O19))=TRUE,"",IF(AND('500DC'!O19="",'800DC'!O19=""),"ERR","")) &amp; IF(ISERROR(FIND($G$2,Lines!O19))=TRUE,"",IF('1000'!O19="","ERR","")) &amp; IF(ISERROR(FIND($H$2,Lines!O19))=TRUE,"",IF('500DC'!O19="","ERR","")) &amp; IF(ISERROR(FIND($I$2,Lines!O19))=TRUE,"",IF('800DC'!O19="","ERR","")) &amp; IF(ISERROR(FIND($J$2,Lines!O19))=TRUE,"",IF('1000'!O19="","ERR",""))</f>
        <v/>
      </c>
      <c r="P19" s="117" t="str">
        <f>IF(ISERROR(FIND($B$2,Lines!P19))=TRUE,"",IF('750'!P19="","ERR","")) &amp; IF(ISERROR(FIND($C$2,Lines!P19))=TRUE,"",IF('500'!P19="","ERR","")) &amp; IF(ISERROR(FIND($D$2,Lines!P19))=TRUE,"",IF('330'!P19="","ERR","")) &amp; IF(ISERROR(FIND($E$2,Lines!P19))=TRUE,"",IF('220'!P19="","ERR",""))&amp; IF(ISERROR(FIND($F$2,Lines!P19))=TRUE,"",IF(AND('500DC'!P19="",'800DC'!P19=""),"ERR","")) &amp; IF(ISERROR(FIND($G$2,Lines!P19))=TRUE,"",IF('1000'!P19="","ERR","")) &amp; IF(ISERROR(FIND($H$2,Lines!P19))=TRUE,"",IF('500DC'!P19="","ERR","")) &amp; IF(ISERROR(FIND($I$2,Lines!P19))=TRUE,"",IF('800DC'!P19="","ERR","")) &amp; IF(ISERROR(FIND($J$2,Lines!P19))=TRUE,"",IF('1000'!P19="","ERR",""))</f>
        <v/>
      </c>
      <c r="Q19" s="116" t="str">
        <f>IF(ISERROR(FIND($B$2,Lines!Q19))=TRUE,"",IF('750'!Q19="","ERR","")) &amp; IF(ISERROR(FIND($C$2,Lines!Q19))=TRUE,"",IF('500'!Q19="","ERR","")) &amp; IF(ISERROR(FIND($D$2,Lines!Q19))=TRUE,"",IF('330'!Q19="","ERR","")) &amp; IF(ISERROR(FIND($E$2,Lines!Q19))=TRUE,"",IF('220'!Q19="","ERR",""))&amp; IF(ISERROR(FIND($F$2,Lines!Q19))=TRUE,"",IF(AND('500DC'!Q19="",'800DC'!Q19=""),"ERR","")) &amp; IF(ISERROR(FIND($G$2,Lines!Q19))=TRUE,"",IF('1000'!Q19="","ERR","")) &amp; IF(ISERROR(FIND($H$2,Lines!Q19))=TRUE,"",IF('500DC'!Q19="","ERR","")) &amp; IF(ISERROR(FIND($I$2,Lines!Q19))=TRUE,"",IF('800DC'!Q19="","ERR","")) &amp; IF(ISERROR(FIND($J$2,Lines!Q19))=TRUE,"",IF('1000'!Q19="","ERR",""))</f>
        <v/>
      </c>
      <c r="R19" s="117" t="str">
        <f>IF(ISERROR(FIND($B$2,Lines!R19))=TRUE,"",IF('750'!R19="","ERR","")) &amp; IF(ISERROR(FIND($C$2,Lines!R19))=TRUE,"",IF('500'!R19="","ERR","")) &amp; IF(ISERROR(FIND($D$2,Lines!R19))=TRUE,"",IF('330'!R19="","ERR","")) &amp; IF(ISERROR(FIND($E$2,Lines!R19))=TRUE,"",IF('220'!R19="","ERR",""))&amp; IF(ISERROR(FIND($F$2,Lines!R19))=TRUE,"",IF(AND('500DC'!R19="",'800DC'!R19=""),"ERR","")) &amp; IF(ISERROR(FIND($G$2,Lines!R19))=TRUE,"",IF('1000'!R19="","ERR","")) &amp; IF(ISERROR(FIND($H$2,Lines!R19))=TRUE,"",IF('500DC'!R19="","ERR","")) &amp; IF(ISERROR(FIND($I$2,Lines!R19))=TRUE,"",IF('800DC'!R19="","ERR","")) &amp; IF(ISERROR(FIND($J$2,Lines!R19))=TRUE,"",IF('1000'!R19="","ERR",""))</f>
        <v/>
      </c>
      <c r="S19" s="117" t="str">
        <f>IF(ISERROR(FIND($B$2,Lines!S19))=TRUE,"",IF('750'!S19="","ERR","")) &amp; IF(ISERROR(FIND($C$2,Lines!S19))=TRUE,"",IF('500'!S19="","ERR","")) &amp; IF(ISERROR(FIND($D$2,Lines!S19))=TRUE,"",IF('330'!S19="","ERR","")) &amp; IF(ISERROR(FIND($E$2,Lines!S19))=TRUE,"",IF('220'!S19="","ERR",""))&amp; IF(ISERROR(FIND($F$2,Lines!S19))=TRUE,"",IF(AND('500DC'!S19="",'800DC'!S19=""),"ERR","")) &amp; IF(ISERROR(FIND($G$2,Lines!S19))=TRUE,"",IF('1000'!S19="","ERR","")) &amp; IF(ISERROR(FIND($H$2,Lines!S19))=TRUE,"",IF('500DC'!S19="","ERR","")) &amp; IF(ISERROR(FIND($I$2,Lines!S19))=TRUE,"",IF('800DC'!S19="","ERR","")) &amp; IF(ISERROR(FIND($J$2,Lines!S19))=TRUE,"",IF('1000'!S19="","ERR",""))</f>
        <v/>
      </c>
      <c r="T19" s="117" t="str">
        <f>IF(ISERROR(FIND($B$2,Lines!T19))=TRUE,"",IF('750'!T19="","ERR","")) &amp; IF(ISERROR(FIND($C$2,Lines!T19))=TRUE,"",IF('500'!T19="","ERR","")) &amp; IF(ISERROR(FIND($D$2,Lines!T19))=TRUE,"",IF('330'!T19="","ERR","")) &amp; IF(ISERROR(FIND($E$2,Lines!T19))=TRUE,"",IF('220'!T19="","ERR",""))&amp; IF(ISERROR(FIND($F$2,Lines!T19))=TRUE,"",IF(AND('500DC'!T19="",'800DC'!T19=""),"ERR","")) &amp; IF(ISERROR(FIND($G$2,Lines!T19))=TRUE,"",IF('1000'!T19="","ERR","")) &amp; IF(ISERROR(FIND($H$2,Lines!T19))=TRUE,"",IF('500DC'!T19="","ERR","")) &amp; IF(ISERROR(FIND($I$2,Lines!T19))=TRUE,"",IF('800DC'!T19="","ERR","")) &amp; IF(ISERROR(FIND($J$2,Lines!T19))=TRUE,"",IF('1000'!T19="","ERR",""))</f>
        <v/>
      </c>
      <c r="U19" s="117" t="str">
        <f>IF(ISERROR(FIND($B$2,Lines!U19))=TRUE,"",IF('750'!U19="","ERR","")) &amp; IF(ISERROR(FIND($C$2,Lines!U19))=TRUE,"",IF('500'!U19="","ERR","")) &amp; IF(ISERROR(FIND($D$2,Lines!U19))=TRUE,"",IF('330'!U19="","ERR","")) &amp; IF(ISERROR(FIND($E$2,Lines!U19))=TRUE,"",IF('220'!U19="","ERR",""))&amp; IF(ISERROR(FIND($F$2,Lines!U19))=TRUE,"",IF(AND('500DC'!U19="",'800DC'!U19=""),"ERR","")) &amp; IF(ISERROR(FIND($G$2,Lines!U19))=TRUE,"",IF('1000'!U19="","ERR","")) &amp; IF(ISERROR(FIND($H$2,Lines!U19))=TRUE,"",IF('500DC'!U19="","ERR","")) &amp; IF(ISERROR(FIND($I$2,Lines!U19))=TRUE,"",IF('800DC'!U19="","ERR","")) &amp; IF(ISERROR(FIND($J$2,Lines!U19))=TRUE,"",IF('1000'!U19="","ERR",""))</f>
        <v/>
      </c>
      <c r="V19" s="118" t="str">
        <f>IF(ISERROR(FIND($B$2,Lines!V19))=TRUE,"",IF('750'!V19="","ERR","")) &amp; IF(ISERROR(FIND($C$2,Lines!V19))=TRUE,"",IF('500'!V19="","ERR","")) &amp; IF(ISERROR(FIND($D$2,Lines!V19))=TRUE,"",IF('330'!V19="","ERR","")) &amp; IF(ISERROR(FIND($E$2,Lines!V19))=TRUE,"",IF('220'!V19="","ERR",""))&amp; IF(ISERROR(FIND($F$2,Lines!V19))=TRUE,"",IF(AND('500DC'!V19="",'800DC'!V19=""),"ERR","")) &amp; IF(ISERROR(FIND($G$2,Lines!V19))=TRUE,"",IF('1000'!V19="","ERR","")) &amp; IF(ISERROR(FIND($H$2,Lines!V19))=TRUE,"",IF('500DC'!V19="","ERR","")) &amp; IF(ISERROR(FIND($I$2,Lines!V19))=TRUE,"",IF('800DC'!V19="","ERR","")) &amp; IF(ISERROR(FIND($J$2,Lines!V19))=TRUE,"",IF('1000'!V19="","ERR",""))</f>
        <v/>
      </c>
      <c r="W19" s="109" t="str">
        <f>IF(ISERROR(FIND($B$2,Lines!W19))=TRUE,"",IF('750'!W19="","ERR","")) &amp; IF(ISERROR(FIND($C$2,Lines!W19))=TRUE,"",IF('500'!W19="","ERR","")) &amp; IF(ISERROR(FIND($D$2,Lines!W19))=TRUE,"",IF('330'!W19="","ERR","")) &amp; IF(ISERROR(FIND($E$2,Lines!W19))=TRUE,"",IF('220'!W19="","ERR",""))&amp; IF(ISERROR(FIND($F$2,Lines!W19))=TRUE,"",IF(AND('500DC'!W19="",'800DC'!W19=""),"ERR","")) &amp; IF(ISERROR(FIND($G$2,Lines!W19))=TRUE,"",IF('1000'!W19="","ERR","")) &amp; IF(ISERROR(FIND($H$2,Lines!W19))=TRUE,"",IF('500DC'!W19="","ERR","")) &amp; IF(ISERROR(FIND($I$2,Lines!W19))=TRUE,"",IF('800DC'!W19="","ERR","")) &amp; IF(ISERROR(FIND($J$2,Lines!W19))=TRUE,"",IF('1000'!W19="","ERR",""))</f>
        <v/>
      </c>
      <c r="X19" s="108" t="str">
        <f>IF(ISERROR(FIND($B$2,Lines!X19))=TRUE,"",IF('750'!X19="","ERR","")) &amp; IF(ISERROR(FIND($C$2,Lines!X19))=TRUE,"",IF('500'!X19="","ERR","")) &amp; IF(ISERROR(FIND($D$2,Lines!X19))=TRUE,"",IF('330'!X19="","ERR","")) &amp; IF(ISERROR(FIND($E$2,Lines!X19))=TRUE,"",IF('220'!X19="","ERR",""))&amp; IF(ISERROR(FIND($F$2,Lines!X19))=TRUE,"",IF(AND('500DC'!X19="",'800DC'!X19=""),"ERR","")) &amp; IF(ISERROR(FIND($G$2,Lines!X19))=TRUE,"",IF('1000'!X19="","ERR","")) &amp; IF(ISERROR(FIND($H$2,Lines!X19))=TRUE,"",IF('500DC'!X19="","ERR","")) &amp; IF(ISERROR(FIND($I$2,Lines!X19))=TRUE,"",IF('800DC'!X19="","ERR","")) &amp; IF(ISERROR(FIND($J$2,Lines!X19))=TRUE,"",IF('1000'!X19="","ERR",""))</f>
        <v/>
      </c>
      <c r="Y19" s="108" t="str">
        <f>IF(ISERROR(FIND($B$2,Lines!Y19))=TRUE,"",IF('750'!Y19="","ERR","")) &amp; IF(ISERROR(FIND($C$2,Lines!Y19))=TRUE,"",IF('500'!Y19="","ERR","")) &amp; IF(ISERROR(FIND($D$2,Lines!Y19))=TRUE,"",IF('330'!Y19="","ERR","")) &amp; IF(ISERROR(FIND($E$2,Lines!Y19))=TRUE,"",IF('220'!Y19="","ERR",""))&amp; IF(ISERROR(FIND($F$2,Lines!Y19))=TRUE,"",IF(AND('500DC'!Y19="",'800DC'!Y19=""),"ERR","")) &amp; IF(ISERROR(FIND($G$2,Lines!Y19))=TRUE,"",IF('1000'!Y19="","ERR","")) &amp; IF(ISERROR(FIND($H$2,Lines!Y19))=TRUE,"",IF('500DC'!Y19="","ERR","")) &amp; IF(ISERROR(FIND($I$2,Lines!Y19))=TRUE,"",IF('800DC'!Y19="","ERR","")) &amp; IF(ISERROR(FIND($J$2,Lines!Y19))=TRUE,"",IF('1000'!Y19="","ERR",""))</f>
        <v/>
      </c>
      <c r="Z19" s="108" t="str">
        <f>IF(ISERROR(FIND($B$2,Lines!Z19))=TRUE,"",IF('750'!Z19="","ERR","")) &amp; IF(ISERROR(FIND($C$2,Lines!Z19))=TRUE,"",IF('500'!Z19="","ERR","")) &amp; IF(ISERROR(FIND($D$2,Lines!Z19))=TRUE,"",IF('330'!Z19="","ERR","")) &amp; IF(ISERROR(FIND($E$2,Lines!Z19))=TRUE,"",IF('220'!Z19="","ERR",""))&amp; IF(ISERROR(FIND($F$2,Lines!Z19))=TRUE,"",IF(AND('500DC'!Z19="",'800DC'!Z19=""),"ERR","")) &amp; IF(ISERROR(FIND($G$2,Lines!Z19))=TRUE,"",IF('1000'!Z19="","ERR","")) &amp; IF(ISERROR(FIND($H$2,Lines!Z19))=TRUE,"",IF('500DC'!Z19="","ERR","")) &amp; IF(ISERROR(FIND($I$2,Lines!Z19))=TRUE,"",IF('800DC'!Z19="","ERR","")) &amp; IF(ISERROR(FIND($J$2,Lines!Z19))=TRUE,"",IF('1000'!Z19="","ERR",""))</f>
        <v/>
      </c>
      <c r="AA19" s="108" t="str">
        <f>IF(ISERROR(FIND($B$2,Lines!AA19))=TRUE,"",IF('750'!AA19="","ERR","")) &amp; IF(ISERROR(FIND($C$2,Lines!AA19))=TRUE,"",IF('500'!AA19="","ERR","")) &amp; IF(ISERROR(FIND($D$2,Lines!AA19))=TRUE,"",IF('330'!AA19="","ERR","")) &amp; IF(ISERROR(FIND($E$2,Lines!AA19))=TRUE,"",IF('220'!AA19="","ERR",""))&amp; IF(ISERROR(FIND($F$2,Lines!AA19))=TRUE,"",IF(AND('500DC'!AA19="",'800DC'!AA19=""),"ERR","")) &amp; IF(ISERROR(FIND($G$2,Lines!AA19))=TRUE,"",IF('1000'!AA19="","ERR","")) &amp; IF(ISERROR(FIND($H$2,Lines!AA19))=TRUE,"",IF('500DC'!AA19="","ERR","")) &amp; IF(ISERROR(FIND($I$2,Lines!AA19))=TRUE,"",IF('800DC'!AA19="","ERR","")) &amp; IF(ISERROR(FIND($J$2,Lines!AA19))=TRUE,"",IF('1000'!AA19="","ERR",""))</f>
        <v/>
      </c>
      <c r="AB19" s="108" t="str">
        <f>IF(ISERROR(FIND($B$2,Lines!AB19))=TRUE,"",IF('750'!AB19="","ERR","")) &amp; IF(ISERROR(FIND($C$2,Lines!AB19))=TRUE,"",IF('500'!AB19="","ERR","")) &amp; IF(ISERROR(FIND($D$2,Lines!AB19))=TRUE,"",IF('330'!AB19="","ERR","")) &amp; IF(ISERROR(FIND($E$2,Lines!AB19))=TRUE,"",IF('220'!AB19="","ERR",""))&amp; IF(ISERROR(FIND($F$2,Lines!AB19))=TRUE,"",IF(AND('500DC'!AB19="",'800DC'!AB19=""),"ERR","")) &amp; IF(ISERROR(FIND($G$2,Lines!AB19))=TRUE,"",IF('1000'!AB19="","ERR","")) &amp; IF(ISERROR(FIND($H$2,Lines!AB19))=TRUE,"",IF('500DC'!AB19="","ERR","")) &amp; IF(ISERROR(FIND($I$2,Lines!AB19))=TRUE,"",IF('800DC'!AB19="","ERR","")) &amp; IF(ISERROR(FIND($J$2,Lines!AB19))=TRUE,"",IF('1000'!AB19="","ERR",""))</f>
        <v/>
      </c>
      <c r="AC19" s="108" t="str">
        <f>IF(ISERROR(FIND($B$2,Lines!AC19))=TRUE,"",IF('750'!AC19="","ERR","")) &amp; IF(ISERROR(FIND($C$2,Lines!AC19))=TRUE,"",IF('500'!AC19="","ERR","")) &amp; IF(ISERROR(FIND($D$2,Lines!AC19))=TRUE,"",IF('330'!AC19="","ERR","")) &amp; IF(ISERROR(FIND($E$2,Lines!AC19))=TRUE,"",IF('220'!AC19="","ERR",""))&amp; IF(ISERROR(FIND($F$2,Lines!AC19))=TRUE,"",IF(AND('500DC'!AC19="",'800DC'!AC19=""),"ERR","")) &amp; IF(ISERROR(FIND($G$2,Lines!AC19))=TRUE,"",IF('1000'!AC19="","ERR","")) &amp; IF(ISERROR(FIND($H$2,Lines!AC19))=TRUE,"",IF('500DC'!AC19="","ERR","")) &amp; IF(ISERROR(FIND($I$2,Lines!AC19))=TRUE,"",IF('800DC'!AC19="","ERR","")) &amp; IF(ISERROR(FIND($J$2,Lines!AC19))=TRUE,"",IF('1000'!AC19="","ERR",""))</f>
        <v/>
      </c>
      <c r="AD19" s="108" t="str">
        <f>IF(ISERROR(FIND($B$2,Lines!AD19))=TRUE,"",IF('750'!AD19="","ERR","")) &amp; IF(ISERROR(FIND($C$2,Lines!AD19))=TRUE,"",IF('500'!AD19="","ERR","")) &amp; IF(ISERROR(FIND($D$2,Lines!AD19))=TRUE,"",IF('330'!AD19="","ERR","")) &amp; IF(ISERROR(FIND($E$2,Lines!AD19))=TRUE,"",IF('220'!AD19="","ERR",""))&amp; IF(ISERROR(FIND($F$2,Lines!AD19))=TRUE,"",IF(AND('500DC'!AD19="",'800DC'!AD19=""),"ERR","")) &amp; IF(ISERROR(FIND($G$2,Lines!AD19))=TRUE,"",IF('1000'!AD19="","ERR","")) &amp; IF(ISERROR(FIND($H$2,Lines!AD19))=TRUE,"",IF('500DC'!AD19="","ERR","")) &amp; IF(ISERROR(FIND($I$2,Lines!AD19))=TRUE,"",IF('800DC'!AD19="","ERR","")) &amp; IF(ISERROR(FIND($J$2,Lines!AD19))=TRUE,"",IF('1000'!AD19="","ERR",""))</f>
        <v/>
      </c>
      <c r="AE19" s="108" t="str">
        <f>IF(ISERROR(FIND($B$2,Lines!AE19))=TRUE,"",IF('750'!AE19="","ERR","")) &amp; IF(ISERROR(FIND($C$2,Lines!AE19))=TRUE,"",IF('500'!AE19="","ERR","")) &amp; IF(ISERROR(FIND($D$2,Lines!AE19))=TRUE,"",IF('330'!AE19="","ERR","")) &amp; IF(ISERROR(FIND($E$2,Lines!AE19))=TRUE,"",IF('220'!AE19="","ERR",""))&amp; IF(ISERROR(FIND($F$2,Lines!AE19))=TRUE,"",IF(AND('500DC'!AE19="",'800DC'!AE19=""),"ERR","")) &amp; IF(ISERROR(FIND($G$2,Lines!AE19))=TRUE,"",IF('1000'!AE19="","ERR","")) &amp; IF(ISERROR(FIND($H$2,Lines!AE19))=TRUE,"",IF('500DC'!AE19="","ERR","")) &amp; IF(ISERROR(FIND($I$2,Lines!AE19))=TRUE,"",IF('800DC'!AE19="","ERR","")) &amp; IF(ISERROR(FIND($J$2,Lines!AE19))=TRUE,"",IF('1000'!AE19="","ERR",""))</f>
        <v/>
      </c>
      <c r="AF19" s="108" t="str">
        <f>IF(ISERROR(FIND($B$2,Lines!AF19))=TRUE,"",IF('750'!AF19="","ERR","")) &amp; IF(ISERROR(FIND($C$2,Lines!AF19))=TRUE,"",IF('500'!AF19="","ERR","")) &amp; IF(ISERROR(FIND($D$2,Lines!AF19))=TRUE,"",IF('330'!AF19="","ERR","")) &amp; IF(ISERROR(FIND($E$2,Lines!AF19))=TRUE,"",IF('220'!AF19="","ERR",""))&amp; IF(ISERROR(FIND($F$2,Lines!AF19))=TRUE,"",IF(AND('500DC'!AF19="",'800DC'!AF19=""),"ERR","")) &amp; IF(ISERROR(FIND($G$2,Lines!AF19))=TRUE,"",IF('1000'!AF19="","ERR","")) &amp; IF(ISERROR(FIND($H$2,Lines!AF19))=TRUE,"",IF('500DC'!AF19="","ERR","")) &amp; IF(ISERROR(FIND($I$2,Lines!AF19))=TRUE,"",IF('800DC'!AF19="","ERR","")) &amp; IF(ISERROR(FIND($J$2,Lines!AF19))=TRUE,"",IF('1000'!AF19="","ERR",""))</f>
        <v/>
      </c>
      <c r="AG19" s="108" t="str">
        <f>IF(ISERROR(FIND($B$2,Lines!AG19))=TRUE,"",IF('750'!AG19="","ERR","")) &amp; IF(ISERROR(FIND($C$2,Lines!AG19))=TRUE,"",IF('500'!AG19="","ERR","")) &amp; IF(ISERROR(FIND($D$2,Lines!AG19))=TRUE,"",IF('330'!AG19="","ERR","")) &amp; IF(ISERROR(FIND($E$2,Lines!AG19))=TRUE,"",IF('220'!AG19="","ERR",""))&amp; IF(ISERROR(FIND($F$2,Lines!AG19))=TRUE,"",IF(AND('500DC'!AG19="",'800DC'!AG19=""),"ERR","")) &amp; IF(ISERROR(FIND($G$2,Lines!AG19))=TRUE,"",IF('1000'!AG19="","ERR","")) &amp; IF(ISERROR(FIND($H$2,Lines!AG19))=TRUE,"",IF('500DC'!AG19="","ERR","")) &amp; IF(ISERROR(FIND($I$2,Lines!AG19))=TRUE,"",IF('800DC'!AG19="","ERR","")) &amp; IF(ISERROR(FIND($J$2,Lines!AG19))=TRUE,"",IF('1000'!AG19="","ERR",""))</f>
        <v/>
      </c>
      <c r="AH19" s="108" t="str">
        <f>IF(ISERROR(FIND($B$2,Lines!AH19))=TRUE,"",IF('750'!AH19="","ERR","")) &amp; IF(ISERROR(FIND($C$2,Lines!AH19))=TRUE,"",IF('500'!AH19="","ERR","")) &amp; IF(ISERROR(FIND($D$2,Lines!AH19))=TRUE,"",IF('330'!AH19="","ERR","")) &amp; IF(ISERROR(FIND($E$2,Lines!AH19))=TRUE,"",IF('220'!AH19="","ERR",""))&amp; IF(ISERROR(FIND($F$2,Lines!AH19))=TRUE,"",IF(AND('500DC'!AH19="",'800DC'!AH19=""),"ERR","")) &amp; IF(ISERROR(FIND($G$2,Lines!AH19))=TRUE,"",IF('1000'!AH19="","ERR","")) &amp; IF(ISERROR(FIND($H$2,Lines!AH19))=TRUE,"",IF('500DC'!AH19="","ERR","")) &amp; IF(ISERROR(FIND($I$2,Lines!AH19))=TRUE,"",IF('800DC'!AH19="","ERR","")) &amp; IF(ISERROR(FIND($J$2,Lines!AH19))=TRUE,"",IF('1000'!AH19="","ERR",""))</f>
        <v/>
      </c>
      <c r="AI19" s="108" t="str">
        <f>IF(ISERROR(FIND($B$2,Lines!AI19))=TRUE,"",IF('750'!AI19="","ERR","")) &amp; IF(ISERROR(FIND($C$2,Lines!AI19))=TRUE,"",IF('500'!AI19="","ERR","")) &amp; IF(ISERROR(FIND($D$2,Lines!AI19))=TRUE,"",IF('330'!AI19="","ERR","")) &amp; IF(ISERROR(FIND($E$2,Lines!AI19))=TRUE,"",IF('220'!AI19="","ERR",""))&amp; IF(ISERROR(FIND($F$2,Lines!AI19))=TRUE,"",IF(AND('500DC'!AI19="",'800DC'!AI19=""),"ERR","")) &amp; IF(ISERROR(FIND($G$2,Lines!AI19))=TRUE,"",IF('1000'!AI19="","ERR","")) &amp; IF(ISERROR(FIND($H$2,Lines!AI19))=TRUE,"",IF('500DC'!AI19="","ERR","")) &amp; IF(ISERROR(FIND($I$2,Lines!AI19))=TRUE,"",IF('800DC'!AI19="","ERR","")) &amp; IF(ISERROR(FIND($J$2,Lines!AI19))=TRUE,"",IF('1000'!AI19="","ERR",""))</f>
        <v/>
      </c>
      <c r="AJ19" s="108" t="str">
        <f>IF(ISERROR(FIND($B$2,Lines!AJ19))=TRUE,"",IF('750'!AJ19="","ERR","")) &amp; IF(ISERROR(FIND($C$2,Lines!AJ19))=TRUE,"",IF('500'!AJ19="","ERR","")) &amp; IF(ISERROR(FIND($D$2,Lines!AJ19))=TRUE,"",IF('330'!AJ19="","ERR","")) &amp; IF(ISERROR(FIND($E$2,Lines!AJ19))=TRUE,"",IF('220'!AJ19="","ERR",""))&amp; IF(ISERROR(FIND($F$2,Lines!AJ19))=TRUE,"",IF(AND('500DC'!AJ19="",'800DC'!AJ19=""),"ERR","")) &amp; IF(ISERROR(FIND($G$2,Lines!AJ19))=TRUE,"",IF('1000'!AJ19="","ERR","")) &amp; IF(ISERROR(FIND($H$2,Lines!AJ19))=TRUE,"",IF('500DC'!AJ19="","ERR","")) &amp; IF(ISERROR(FIND($I$2,Lines!AJ19))=TRUE,"",IF('800DC'!AJ19="","ERR","")) &amp; IF(ISERROR(FIND($J$2,Lines!AJ19))=TRUE,"",IF('1000'!AJ19="","ERR",""))</f>
        <v/>
      </c>
      <c r="AK19" s="108" t="str">
        <f>IF(ISERROR(FIND($B$2,Lines!AK19))=TRUE,"",IF('750'!AK19="","ERR","")) &amp; IF(ISERROR(FIND($C$2,Lines!AK19))=TRUE,"",IF('500'!AK19="","ERR","")) &amp; IF(ISERROR(FIND($D$2,Lines!AK19))=TRUE,"",IF('330'!AK19="","ERR","")) &amp; IF(ISERROR(FIND($E$2,Lines!AK19))=TRUE,"",IF('220'!AK19="","ERR",""))&amp; IF(ISERROR(FIND($F$2,Lines!AK19))=TRUE,"",IF(AND('500DC'!AK19="",'800DC'!AK19=""),"ERR","")) &amp; IF(ISERROR(FIND($G$2,Lines!AK19))=TRUE,"",IF('1000'!AK19="","ERR","")) &amp; IF(ISERROR(FIND($H$2,Lines!AK19))=TRUE,"",IF('500DC'!AK19="","ERR","")) &amp; IF(ISERROR(FIND($I$2,Lines!AK19))=TRUE,"",IF('800DC'!AK19="","ERR","")) &amp; IF(ISERROR(FIND($J$2,Lines!AK19))=TRUE,"",IF('1000'!AK19="","ERR",""))</f>
        <v/>
      </c>
      <c r="AL19" s="108" t="str">
        <f>IF(ISERROR(FIND($B$2,Lines!AL19))=TRUE,"",IF('750'!AL19="","ERR","")) &amp; IF(ISERROR(FIND($C$2,Lines!AL19))=TRUE,"",IF('500'!AL19="","ERR","")) &amp; IF(ISERROR(FIND($D$2,Lines!AL19))=TRUE,"",IF('330'!AL19="","ERR","")) &amp; IF(ISERROR(FIND($E$2,Lines!AL19))=TRUE,"",IF('220'!AL19="","ERR",""))&amp; IF(ISERROR(FIND($F$2,Lines!AL19))=TRUE,"",IF(AND('500DC'!AL19="",'800DC'!AL19=""),"ERR","")) &amp; IF(ISERROR(FIND($G$2,Lines!AL19))=TRUE,"",IF('1000'!AL19="","ERR","")) &amp; IF(ISERROR(FIND($H$2,Lines!AL19))=TRUE,"",IF('500DC'!AL19="","ERR","")) &amp; IF(ISERROR(FIND($I$2,Lines!AL19))=TRUE,"",IF('800DC'!AL19="","ERR","")) &amp; IF(ISERROR(FIND($J$2,Lines!AL19))=TRUE,"",IF('1000'!AL19="","ERR",""))</f>
        <v/>
      </c>
      <c r="AM19" s="108" t="str">
        <f>IF(ISERROR(FIND($B$2,Lines!AM19))=TRUE,"",IF('750'!AM19="","ERR","")) &amp; IF(ISERROR(FIND($C$2,Lines!AM19))=TRUE,"",IF('500'!AM19="","ERR","")) &amp; IF(ISERROR(FIND($D$2,Lines!AM19))=TRUE,"",IF('330'!AM19="","ERR","")) &amp; IF(ISERROR(FIND($E$2,Lines!AM19))=TRUE,"",IF('220'!AM19="","ERR",""))&amp; IF(ISERROR(FIND($F$2,Lines!AM19))=TRUE,"",IF(AND('500DC'!AM19="",'800DC'!AM19=""),"ERR","")) &amp; IF(ISERROR(FIND($G$2,Lines!AM19))=TRUE,"",IF('1000'!AM19="","ERR","")) &amp; IF(ISERROR(FIND($H$2,Lines!AM19))=TRUE,"",IF('500DC'!AM19="","ERR","")) &amp; IF(ISERROR(FIND($I$2,Lines!AM19))=TRUE,"",IF('800DC'!AM19="","ERR","")) &amp; IF(ISERROR(FIND($J$2,Lines!AM19))=TRUE,"",IF('1000'!AM19="","ERR",""))</f>
        <v/>
      </c>
      <c r="AN19" s="108" t="str">
        <f>IF(ISERROR(FIND($B$2,Lines!AN19))=TRUE,"",IF('750'!AN19="","ERR","")) &amp; IF(ISERROR(FIND($C$2,Lines!AN19))=TRUE,"",IF('500'!AN19="","ERR","")) &amp; IF(ISERROR(FIND($D$2,Lines!AN19))=TRUE,"",IF('330'!AN19="","ERR","")) &amp; IF(ISERROR(FIND($E$2,Lines!AN19))=TRUE,"",IF('220'!AN19="","ERR",""))&amp; IF(ISERROR(FIND($F$2,Lines!AN19))=TRUE,"",IF(AND('500DC'!AN19="",'800DC'!AN19=""),"ERR","")) &amp; IF(ISERROR(FIND($G$2,Lines!AN19))=TRUE,"",IF('1000'!AN19="","ERR","")) &amp; IF(ISERROR(FIND($H$2,Lines!AN19))=TRUE,"",IF('500DC'!AN19="","ERR","")) &amp; IF(ISERROR(FIND($I$2,Lines!AN19))=TRUE,"",IF('800DC'!AN19="","ERR","")) &amp; IF(ISERROR(FIND($J$2,Lines!AN19))=TRUE,"",IF('1000'!AN19="","ERR",""))</f>
        <v/>
      </c>
      <c r="AO19" s="108" t="str">
        <f>IF(ISERROR(FIND($B$2,Lines!AO19))=TRUE,"",IF('750'!AO19="","ERR","")) &amp; IF(ISERROR(FIND($C$2,Lines!AO19))=TRUE,"",IF('500'!AO19="","ERR","")) &amp; IF(ISERROR(FIND($D$2,Lines!AO19))=TRUE,"",IF('330'!AO19="","ERR","")) &amp; IF(ISERROR(FIND($E$2,Lines!AO19))=TRUE,"",IF('220'!AO19="","ERR",""))&amp; IF(ISERROR(FIND($F$2,Lines!AO19))=TRUE,"",IF(AND('500DC'!AO19="",'800DC'!AO19=""),"ERR","")) &amp; IF(ISERROR(FIND($G$2,Lines!AO19))=TRUE,"",IF('1000'!AO19="","ERR","")) &amp; IF(ISERROR(FIND($H$2,Lines!AO19))=TRUE,"",IF('500DC'!AO19="","ERR","")) &amp; IF(ISERROR(FIND($I$2,Lines!AO19))=TRUE,"",IF('800DC'!AO19="","ERR","")) &amp; IF(ISERROR(FIND($J$2,Lines!AO19))=TRUE,"",IF('1000'!AO19="","ERR",""))</f>
        <v/>
      </c>
      <c r="AP19" s="108" t="str">
        <f>IF(ISERROR(FIND($B$2,Lines!AP19))=TRUE,"",IF('750'!AP19="","ERR","")) &amp; IF(ISERROR(FIND($C$2,Lines!AP19))=TRUE,"",IF('500'!AP19="","ERR","")) &amp; IF(ISERROR(FIND($D$2,Lines!AP19))=TRUE,"",IF('330'!AP19="","ERR","")) &amp; IF(ISERROR(FIND($E$2,Lines!AP19))=TRUE,"",IF('220'!AP19="","ERR",""))&amp; IF(ISERROR(FIND($F$2,Lines!AP19))=TRUE,"",IF(AND('500DC'!AP19="",'800DC'!AP19=""),"ERR","")) &amp; IF(ISERROR(FIND($G$2,Lines!AP19))=TRUE,"",IF('1000'!AP19="","ERR","")) &amp; IF(ISERROR(FIND($H$2,Lines!AP19))=TRUE,"",IF('500DC'!AP19="","ERR","")) &amp; IF(ISERROR(FIND($I$2,Lines!AP19))=TRUE,"",IF('800DC'!AP19="","ERR","")) &amp; IF(ISERROR(FIND($J$2,Lines!AP19))=TRUE,"",IF('1000'!AP19="","ERR",""))</f>
        <v/>
      </c>
      <c r="AQ19" s="108" t="str">
        <f>IF(ISERROR(FIND($B$2,Lines!AQ19))=TRUE,"",IF('750'!AQ19="","ERR","")) &amp; IF(ISERROR(FIND($C$2,Lines!AQ19))=TRUE,"",IF('500'!AQ19="","ERR","")) &amp; IF(ISERROR(FIND($D$2,Lines!AQ19))=TRUE,"",IF('330'!AQ19="","ERR","")) &amp; IF(ISERROR(FIND($E$2,Lines!AQ19))=TRUE,"",IF('220'!AQ19="","ERR",""))&amp; IF(ISERROR(FIND($F$2,Lines!AQ19))=TRUE,"",IF(AND('500DC'!AQ19="",'800DC'!AQ19=""),"ERR","")) &amp; IF(ISERROR(FIND($G$2,Lines!AQ19))=TRUE,"",IF('1000'!AQ19="","ERR","")) &amp; IF(ISERROR(FIND($H$2,Lines!AQ19))=TRUE,"",IF('500DC'!AQ19="","ERR","")) &amp; IF(ISERROR(FIND($I$2,Lines!AQ19))=TRUE,"",IF('800DC'!AQ19="","ERR","")) &amp; IF(ISERROR(FIND($J$2,Lines!AQ19))=TRUE,"",IF('1000'!AQ19="","ERR",""))</f>
        <v/>
      </c>
      <c r="AR19" s="108" t="str">
        <f>IF(ISERROR(FIND($B$2,Lines!AR19))=TRUE,"",IF('750'!AR19="","ERR","")) &amp; IF(ISERROR(FIND($C$2,Lines!AR19))=TRUE,"",IF('500'!AR19="","ERR","")) &amp; IF(ISERROR(FIND($D$2,Lines!AR19))=TRUE,"",IF('330'!AR19="","ERR","")) &amp; IF(ISERROR(FIND($E$2,Lines!AR19))=TRUE,"",IF('220'!AR19="","ERR",""))&amp; IF(ISERROR(FIND($F$2,Lines!AR19))=TRUE,"",IF(AND('500DC'!AR19="",'800DC'!AR19=""),"ERR","")) &amp; IF(ISERROR(FIND($G$2,Lines!AR19))=TRUE,"",IF('1000'!AR19="","ERR","")) &amp; IF(ISERROR(FIND($H$2,Lines!AR19))=TRUE,"",IF('500DC'!AR19="","ERR","")) &amp; IF(ISERROR(FIND($I$2,Lines!AR19))=TRUE,"",IF('800DC'!AR19="","ERR","")) &amp; IF(ISERROR(FIND($J$2,Lines!AR19))=TRUE,"",IF('1000'!AR19="","ERR",""))</f>
        <v/>
      </c>
      <c r="AS19" s="108" t="str">
        <f>IF(ISERROR(FIND($B$2,Lines!AS19))=TRUE,"",IF('750'!AS19="","ERR","")) &amp; IF(ISERROR(FIND($C$2,Lines!AS19))=TRUE,"",IF('500'!AS19="","ERR","")) &amp; IF(ISERROR(FIND($D$2,Lines!AS19))=TRUE,"",IF('330'!AS19="","ERR","")) &amp; IF(ISERROR(FIND($E$2,Lines!AS19))=TRUE,"",IF('220'!AS19="","ERR",""))&amp; IF(ISERROR(FIND($F$2,Lines!AS19))=TRUE,"",IF(AND('500DC'!AS19="",'800DC'!AS19=""),"ERR","")) &amp; IF(ISERROR(FIND($G$2,Lines!AS19))=TRUE,"",IF('1000'!AS19="","ERR","")) &amp; IF(ISERROR(FIND($H$2,Lines!AS19))=TRUE,"",IF('500DC'!AS19="","ERR","")) &amp; IF(ISERROR(FIND($I$2,Lines!AS19))=TRUE,"",IF('800DC'!AS19="","ERR","")) &amp; IF(ISERROR(FIND($J$2,Lines!AS19))=TRUE,"",IF('1000'!AS19="","ERR",""))</f>
        <v/>
      </c>
      <c r="AT19" s="108" t="str">
        <f>IF(ISERROR(FIND($B$2,Lines!AT19))=TRUE,"",IF('750'!AT19="","ERR","")) &amp; IF(ISERROR(FIND($C$2,Lines!AT19))=TRUE,"",IF('500'!AT19="","ERR","")) &amp; IF(ISERROR(FIND($D$2,Lines!AT19))=TRUE,"",IF('330'!AT19="","ERR","")) &amp; IF(ISERROR(FIND($E$2,Lines!AT19))=TRUE,"",IF('220'!AT19="","ERR",""))&amp; IF(ISERROR(FIND($F$2,Lines!AT19))=TRUE,"",IF(AND('500DC'!AT19="",'800DC'!AT19=""),"ERR","")) &amp; IF(ISERROR(FIND($G$2,Lines!AT19))=TRUE,"",IF('1000'!AT19="","ERR","")) &amp; IF(ISERROR(FIND($H$2,Lines!AT19))=TRUE,"",IF('500DC'!AT19="","ERR","")) &amp; IF(ISERROR(FIND($I$2,Lines!AT19))=TRUE,"",IF('800DC'!AT19="","ERR","")) &amp; IF(ISERROR(FIND($J$2,Lines!AT19))=TRUE,"",IF('1000'!AT19="","ERR",""))</f>
        <v/>
      </c>
    </row>
    <row r="20" spans="1:46" ht="20.25" customHeight="1">
      <c r="A20" s="2" t="s">
        <v>68</v>
      </c>
      <c r="B20" s="108" t="str">
        <f>IF(ISERROR(FIND($B$2,Lines!B20))=TRUE,"",IF('750'!B20="","ERR","")) &amp; IF(ISERROR(FIND($C$2,Lines!B20))=TRUE,"",IF('500'!B20="","ERR","")) &amp; IF(ISERROR(FIND($D$2,Lines!B20))=TRUE,"",IF('330'!B20="","ERR","")) &amp; IF(ISERROR(FIND($E$2,Lines!B20))=TRUE,"",IF('220'!B20="","ERR",""))&amp; IF(ISERROR(FIND($F$2,Lines!B20))=TRUE,"",IF(AND('500DC'!B20="",'800DC'!B20=""),"ERR","")) &amp; IF(ISERROR(FIND($G$2,Lines!B20))=TRUE,"",IF('1000'!B20="","ERR","")) &amp; IF(ISERROR(FIND($H$2,Lines!B20))=TRUE,"",IF('500DC'!B20="","ERR","")) &amp; IF(ISERROR(FIND($I$2,Lines!B20))=TRUE,"",IF('800DC'!B20="","ERR","")) &amp; IF(ISERROR(FIND($J$2,Lines!B20))=TRUE,"",IF('1000'!B20="","ERR",""))</f>
        <v/>
      </c>
      <c r="C20" s="108" t="str">
        <f>IF(ISERROR(FIND($B$2,Lines!C20))=TRUE,"",IF('750'!C20="","ERR","")) &amp; IF(ISERROR(FIND($C$2,Lines!C20))=TRUE,"",IF('500'!C20="","ERR","")) &amp; IF(ISERROR(FIND($D$2,Lines!C20))=TRUE,"",IF('330'!C20="","ERR","")) &amp; IF(ISERROR(FIND($E$2,Lines!C20))=TRUE,"",IF('220'!C20="","ERR",""))&amp; IF(ISERROR(FIND($F$2,Lines!C20))=TRUE,"",IF(AND('500DC'!C20="",'800DC'!C20=""),"ERR","")) &amp; IF(ISERROR(FIND($G$2,Lines!C20))=TRUE,"",IF('1000'!C20="","ERR","")) &amp; IF(ISERROR(FIND($H$2,Lines!C20))=TRUE,"",IF('500DC'!C20="","ERR","")) &amp; IF(ISERROR(FIND($I$2,Lines!C20))=TRUE,"",IF('800DC'!C20="","ERR","")) &amp; IF(ISERROR(FIND($J$2,Lines!C20))=TRUE,"",IF('1000'!C20="","ERR",""))</f>
        <v/>
      </c>
      <c r="D20" s="108" t="str">
        <f>IF(ISERROR(FIND($B$2,Lines!D20))=TRUE,"",IF('750'!D20="","ERR","")) &amp; IF(ISERROR(FIND($C$2,Lines!D20))=TRUE,"",IF('500'!D20="","ERR","")) &amp; IF(ISERROR(FIND($D$2,Lines!D20))=TRUE,"",IF('330'!D20="","ERR","")) &amp; IF(ISERROR(FIND($E$2,Lines!D20))=TRUE,"",IF('220'!D20="","ERR",""))&amp; IF(ISERROR(FIND($F$2,Lines!D20))=TRUE,"",IF(AND('500DC'!D20="",'800DC'!D20=""),"ERR","")) &amp; IF(ISERROR(FIND($G$2,Lines!D20))=TRUE,"",IF('1000'!D20="","ERR","")) &amp; IF(ISERROR(FIND($H$2,Lines!D20))=TRUE,"",IF('500DC'!D20="","ERR","")) &amp; IF(ISERROR(FIND($I$2,Lines!D20))=TRUE,"",IF('800DC'!D20="","ERR","")) &amp; IF(ISERROR(FIND($J$2,Lines!D20))=TRUE,"",IF('1000'!D20="","ERR",""))</f>
        <v/>
      </c>
      <c r="E20" s="108" t="str">
        <f>IF(ISERROR(FIND($B$2,Lines!E20))=TRUE,"",IF('750'!E20="","ERR","")) &amp; IF(ISERROR(FIND($C$2,Lines!E20))=TRUE,"",IF('500'!E20="","ERR","")) &amp; IF(ISERROR(FIND($D$2,Lines!E20))=TRUE,"",IF('330'!E20="","ERR","")) &amp; IF(ISERROR(FIND($E$2,Lines!E20))=TRUE,"",IF('220'!E20="","ERR",""))&amp; IF(ISERROR(FIND($F$2,Lines!E20))=TRUE,"",IF(AND('500DC'!E20="",'800DC'!E20=""),"ERR","")) &amp; IF(ISERROR(FIND($G$2,Lines!E20))=TRUE,"",IF('1000'!E20="","ERR","")) &amp; IF(ISERROR(FIND($H$2,Lines!E20))=TRUE,"",IF('500DC'!E20="","ERR","")) &amp; IF(ISERROR(FIND($I$2,Lines!E20))=TRUE,"",IF('800DC'!E20="","ERR","")) &amp; IF(ISERROR(FIND($J$2,Lines!E20))=TRUE,"",IF('1000'!E20="","ERR",""))</f>
        <v/>
      </c>
      <c r="F20" s="108" t="str">
        <f>IF(ISERROR(FIND($B$2,Lines!F20))=TRUE,"",IF('750'!F20="","ERR","")) &amp; IF(ISERROR(FIND($C$2,Lines!F20))=TRUE,"",IF('500'!F20="","ERR","")) &amp; IF(ISERROR(FIND($D$2,Lines!F20))=TRUE,"",IF('330'!F20="","ERR","")) &amp; IF(ISERROR(FIND($E$2,Lines!F20))=TRUE,"",IF('220'!F20="","ERR",""))&amp; IF(ISERROR(FIND($F$2,Lines!F20))=TRUE,"",IF(AND('500DC'!F20="",'800DC'!F20=""),"ERR","")) &amp; IF(ISERROR(FIND($G$2,Lines!F20))=TRUE,"",IF('1000'!F20="","ERR","")) &amp; IF(ISERROR(FIND($H$2,Lines!F20))=TRUE,"",IF('500DC'!F20="","ERR","")) &amp; IF(ISERROR(FIND($I$2,Lines!F20))=TRUE,"",IF('800DC'!F20="","ERR","")) &amp; IF(ISERROR(FIND($J$2,Lines!F20))=TRUE,"",IF('1000'!F20="","ERR",""))</f>
        <v/>
      </c>
      <c r="G20" s="108" t="str">
        <f>IF(ISERROR(FIND($B$2,Lines!G20))=TRUE,"",IF('750'!G20="","ERR","")) &amp; IF(ISERROR(FIND($C$2,Lines!G20))=TRUE,"",IF('500'!G20="","ERR","")) &amp; IF(ISERROR(FIND($D$2,Lines!G20))=TRUE,"",IF('330'!G20="","ERR","")) &amp; IF(ISERROR(FIND($E$2,Lines!G20))=TRUE,"",IF('220'!G20="","ERR",""))&amp; IF(ISERROR(FIND($F$2,Lines!G20))=TRUE,"",IF(AND('500DC'!G20="",'800DC'!G20=""),"ERR","")) &amp; IF(ISERROR(FIND($G$2,Lines!G20))=TRUE,"",IF('1000'!G20="","ERR","")) &amp; IF(ISERROR(FIND($H$2,Lines!G20))=TRUE,"",IF('500DC'!G20="","ERR","")) &amp; IF(ISERROR(FIND($I$2,Lines!G20))=TRUE,"",IF('800DC'!G20="","ERR","")) &amp; IF(ISERROR(FIND($J$2,Lines!G20))=TRUE,"",IF('1000'!G20="","ERR",""))</f>
        <v/>
      </c>
      <c r="H20" s="108" t="str">
        <f>IF(ISERROR(FIND($B$2,Lines!H20))=TRUE,"",IF('750'!H20="","ERR","")) &amp; IF(ISERROR(FIND($C$2,Lines!H20))=TRUE,"",IF('500'!H20="","ERR","")) &amp; IF(ISERROR(FIND($D$2,Lines!H20))=TRUE,"",IF('330'!H20="","ERR","")) &amp; IF(ISERROR(FIND($E$2,Lines!H20))=TRUE,"",IF('220'!H20="","ERR",""))&amp; IF(ISERROR(FIND($F$2,Lines!H20))=TRUE,"",IF(AND('500DC'!H20="",'800DC'!H20=""),"ERR","")) &amp; IF(ISERROR(FIND($G$2,Lines!H20))=TRUE,"",IF('1000'!H20="","ERR","")) &amp; IF(ISERROR(FIND($H$2,Lines!H20))=TRUE,"",IF('500DC'!H20="","ERR","")) &amp; IF(ISERROR(FIND($I$2,Lines!H20))=TRUE,"",IF('800DC'!H20="","ERR","")) &amp; IF(ISERROR(FIND($J$2,Lines!H20))=TRUE,"",IF('1000'!H20="","ERR",""))</f>
        <v/>
      </c>
      <c r="I20" s="108" t="str">
        <f>IF(ISERROR(FIND($B$2,Lines!I20))=TRUE,"",IF('750'!I20="","ERR","")) &amp; IF(ISERROR(FIND($C$2,Lines!I20))=TRUE,"",IF('500'!I20="","ERR","")) &amp; IF(ISERROR(FIND($D$2,Lines!I20))=TRUE,"",IF('330'!I20="","ERR","")) &amp; IF(ISERROR(FIND($E$2,Lines!I20))=TRUE,"",IF('220'!I20="","ERR",""))&amp; IF(ISERROR(FIND($F$2,Lines!I20))=TRUE,"",IF(AND('500DC'!I20="",'800DC'!I20=""),"ERR","")) &amp; IF(ISERROR(FIND($G$2,Lines!I20))=TRUE,"",IF('1000'!I20="","ERR","")) &amp; IF(ISERROR(FIND($H$2,Lines!I20))=TRUE,"",IF('500DC'!I20="","ERR","")) &amp; IF(ISERROR(FIND($I$2,Lines!I20))=TRUE,"",IF('800DC'!I20="","ERR","")) &amp; IF(ISERROR(FIND($J$2,Lines!I20))=TRUE,"",IF('1000'!I20="","ERR",""))</f>
        <v/>
      </c>
      <c r="J20" s="108" t="str">
        <f>IF(ISERROR(FIND($B$2,Lines!J20))=TRUE,"",IF('750'!J20="","ERR","")) &amp; IF(ISERROR(FIND($C$2,Lines!J20))=TRUE,"",IF('500'!J20="","ERR","")) &amp; IF(ISERROR(FIND($D$2,Lines!J20))=TRUE,"",IF('330'!J20="","ERR","")) &amp; IF(ISERROR(FIND($E$2,Lines!J20))=TRUE,"",IF('220'!J20="","ERR",""))&amp; IF(ISERROR(FIND($F$2,Lines!J20))=TRUE,"",IF(AND('500DC'!J20="",'800DC'!J20=""),"ERR","")) &amp; IF(ISERROR(FIND($G$2,Lines!J20))=TRUE,"",IF('1000'!J20="","ERR","")) &amp; IF(ISERROR(FIND($H$2,Lines!J20))=TRUE,"",IF('500DC'!J20="","ERR","")) &amp; IF(ISERROR(FIND($I$2,Lines!J20))=TRUE,"",IF('800DC'!J20="","ERR","")) &amp; IF(ISERROR(FIND($J$2,Lines!J20))=TRUE,"",IF('1000'!J20="","ERR",""))</f>
        <v/>
      </c>
      <c r="K20" s="108" t="str">
        <f>IF(ISERROR(FIND($B$2,Lines!K20))=TRUE,"",IF('750'!K20="","ERR","")) &amp; IF(ISERROR(FIND($C$2,Lines!K20))=TRUE,"",IF('500'!K20="","ERR","")) &amp; IF(ISERROR(FIND($D$2,Lines!K20))=TRUE,"",IF('330'!K20="","ERR","")) &amp; IF(ISERROR(FIND($E$2,Lines!K20))=TRUE,"",IF('220'!K20="","ERR",""))&amp; IF(ISERROR(FIND($F$2,Lines!K20))=TRUE,"",IF(AND('500DC'!K20="",'800DC'!K20=""),"ERR","")) &amp; IF(ISERROR(FIND($G$2,Lines!K20))=TRUE,"",IF('1000'!K20="","ERR","")) &amp; IF(ISERROR(FIND($H$2,Lines!K20))=TRUE,"",IF('500DC'!K20="","ERR","")) &amp; IF(ISERROR(FIND($I$2,Lines!K20))=TRUE,"",IF('800DC'!K20="","ERR","")) &amp; IF(ISERROR(FIND($J$2,Lines!K20))=TRUE,"",IF('1000'!K20="","ERR",""))</f>
        <v/>
      </c>
      <c r="L20" s="108" t="str">
        <f>IF(ISERROR(FIND($B$2,Lines!L20))=TRUE,"",IF('750'!L20="","ERR","")) &amp; IF(ISERROR(FIND($C$2,Lines!L20))=TRUE,"",IF('500'!L20="","ERR","")) &amp; IF(ISERROR(FIND($D$2,Lines!L20))=TRUE,"",IF('330'!L20="","ERR","")) &amp; IF(ISERROR(FIND($E$2,Lines!L20))=TRUE,"",IF('220'!L20="","ERR",""))&amp; IF(ISERROR(FIND($F$2,Lines!L20))=TRUE,"",IF(AND('500DC'!L20="",'800DC'!L20=""),"ERR","")) &amp; IF(ISERROR(FIND($G$2,Lines!L20))=TRUE,"",IF('1000'!L20="","ERR","")) &amp; IF(ISERROR(FIND($H$2,Lines!L20))=TRUE,"",IF('500DC'!L20="","ERR","")) &amp; IF(ISERROR(FIND($I$2,Lines!L20))=TRUE,"",IF('800DC'!L20="","ERR","")) &amp; IF(ISERROR(FIND($J$2,Lines!L20))=TRUE,"",IF('1000'!L20="","ERR",""))</f>
        <v/>
      </c>
      <c r="M20" s="108" t="str">
        <f>IF(ISERROR(FIND($B$2,Lines!M20))=TRUE,"",IF('750'!M20="","ERR","")) &amp; IF(ISERROR(FIND($C$2,Lines!M20))=TRUE,"",IF('500'!M20="","ERR","")) &amp; IF(ISERROR(FIND($D$2,Lines!M20))=TRUE,"",IF('330'!M20="","ERR","")) &amp; IF(ISERROR(FIND($E$2,Lines!M20))=TRUE,"",IF('220'!M20="","ERR",""))&amp; IF(ISERROR(FIND($F$2,Lines!M20))=TRUE,"",IF(AND('500DC'!M20="",'800DC'!M20=""),"ERR","")) &amp; IF(ISERROR(FIND($G$2,Lines!M20))=TRUE,"",IF('1000'!M20="","ERR","")) &amp; IF(ISERROR(FIND($H$2,Lines!M20))=TRUE,"",IF('500DC'!M20="","ERR","")) &amp; IF(ISERROR(FIND($I$2,Lines!M20))=TRUE,"",IF('800DC'!M20="","ERR","")) &amp; IF(ISERROR(FIND($J$2,Lines!M20))=TRUE,"",IF('1000'!M20="","ERR",""))</f>
        <v/>
      </c>
      <c r="N20" s="113" t="str">
        <f>IF(ISERROR(FIND($B$2,Lines!N20))=TRUE,"",IF('750'!N20="","ERR","")) &amp; IF(ISERROR(FIND($C$2,Lines!N20))=TRUE,"",IF('500'!N20="","ERR","")) &amp; IF(ISERROR(FIND($D$2,Lines!N20))=TRUE,"",IF('330'!N20="","ERR","")) &amp; IF(ISERROR(FIND($E$2,Lines!N20))=TRUE,"",IF('220'!N20="","ERR",""))&amp; IF(ISERROR(FIND($F$2,Lines!N20))=TRUE,"",IF(AND('500DC'!N20="",'800DC'!N20=""),"ERR","")) &amp; IF(ISERROR(FIND($G$2,Lines!N20))=TRUE,"",IF('1000'!N20="","ERR","")) &amp; IF(ISERROR(FIND($H$2,Lines!N20))=TRUE,"",IF('500DC'!N20="","ERR","")) &amp; IF(ISERROR(FIND($I$2,Lines!N20))=TRUE,"",IF('800DC'!N20="","ERR","")) &amp; IF(ISERROR(FIND($J$2,Lines!N20))=TRUE,"",IF('1000'!N20="","ERR",""))</f>
        <v/>
      </c>
      <c r="O20" s="117" t="str">
        <f>IF(ISERROR(FIND($B$2,Lines!O20))=TRUE,"",IF('750'!O20="","ERR","")) &amp; IF(ISERROR(FIND($C$2,Lines!O20))=TRUE,"",IF('500'!O20="","ERR","")) &amp; IF(ISERROR(FIND($D$2,Lines!O20))=TRUE,"",IF('330'!O20="","ERR","")) &amp; IF(ISERROR(FIND($E$2,Lines!O20))=TRUE,"",IF('220'!O20="","ERR",""))&amp; IF(ISERROR(FIND($F$2,Lines!O20))=TRUE,"",IF(AND('500DC'!O20="",'800DC'!O20=""),"ERR","")) &amp; IF(ISERROR(FIND($G$2,Lines!O20))=TRUE,"",IF('1000'!O20="","ERR","")) &amp; IF(ISERROR(FIND($H$2,Lines!O20))=TRUE,"",IF('500DC'!O20="","ERR","")) &amp; IF(ISERROR(FIND($I$2,Lines!O20))=TRUE,"",IF('800DC'!O20="","ERR","")) &amp; IF(ISERROR(FIND($J$2,Lines!O20))=TRUE,"",IF('1000'!O20="","ERR",""))</f>
        <v/>
      </c>
      <c r="P20" s="117" t="str">
        <f>IF(ISERROR(FIND($B$2,Lines!P20))=TRUE,"",IF('750'!P20="","ERR","")) &amp; IF(ISERROR(FIND($C$2,Lines!P20))=TRUE,"",IF('500'!P20="","ERR","")) &amp; IF(ISERROR(FIND($D$2,Lines!P20))=TRUE,"",IF('330'!P20="","ERR","")) &amp; IF(ISERROR(FIND($E$2,Lines!P20))=TRUE,"",IF('220'!P20="","ERR",""))&amp; IF(ISERROR(FIND($F$2,Lines!P20))=TRUE,"",IF(AND('500DC'!P20="",'800DC'!P20=""),"ERR","")) &amp; IF(ISERROR(FIND($G$2,Lines!P20))=TRUE,"",IF('1000'!P20="","ERR","")) &amp; IF(ISERROR(FIND($H$2,Lines!P20))=TRUE,"",IF('500DC'!P20="","ERR","")) &amp; IF(ISERROR(FIND($I$2,Lines!P20))=TRUE,"",IF('800DC'!P20="","ERR","")) &amp; IF(ISERROR(FIND($J$2,Lines!P20))=TRUE,"",IF('1000'!P20="","ERR",""))</f>
        <v/>
      </c>
      <c r="Q20" s="117" t="str">
        <f>IF(ISERROR(FIND($B$2,Lines!Q20))=TRUE,"",IF('750'!Q20="","ERR","")) &amp; IF(ISERROR(FIND($C$2,Lines!Q20))=TRUE,"",IF('500'!Q20="","ERR","")) &amp; IF(ISERROR(FIND($D$2,Lines!Q20))=TRUE,"",IF('330'!Q20="","ERR","")) &amp; IF(ISERROR(FIND($E$2,Lines!Q20))=TRUE,"",IF('220'!Q20="","ERR",""))&amp; IF(ISERROR(FIND($F$2,Lines!Q20))=TRUE,"",IF(AND('500DC'!Q20="",'800DC'!Q20=""),"ERR","")) &amp; IF(ISERROR(FIND($G$2,Lines!Q20))=TRUE,"",IF('1000'!Q20="","ERR","")) &amp; IF(ISERROR(FIND($H$2,Lines!Q20))=TRUE,"",IF('500DC'!Q20="","ERR","")) &amp; IF(ISERROR(FIND($I$2,Lines!Q20))=TRUE,"",IF('800DC'!Q20="","ERR","")) &amp; IF(ISERROR(FIND($J$2,Lines!Q20))=TRUE,"",IF('1000'!Q20="","ERR",""))</f>
        <v/>
      </c>
      <c r="R20" s="116" t="str">
        <f>IF(ISERROR(FIND($B$2,Lines!R20))=TRUE,"",IF('750'!R20="","ERR","")) &amp; IF(ISERROR(FIND($C$2,Lines!R20))=TRUE,"",IF('500'!R20="","ERR","")) &amp; IF(ISERROR(FIND($D$2,Lines!R20))=TRUE,"",IF('330'!R20="","ERR","")) &amp; IF(ISERROR(FIND($E$2,Lines!R20))=TRUE,"",IF('220'!R20="","ERR",""))&amp; IF(ISERROR(FIND($F$2,Lines!R20))=TRUE,"",IF(AND('500DC'!R20="",'800DC'!R20=""),"ERR","")) &amp; IF(ISERROR(FIND($G$2,Lines!R20))=TRUE,"",IF('1000'!R20="","ERR","")) &amp; IF(ISERROR(FIND($H$2,Lines!R20))=TRUE,"",IF('500DC'!R20="","ERR","")) &amp; IF(ISERROR(FIND($I$2,Lines!R20))=TRUE,"",IF('800DC'!R20="","ERR","")) &amp; IF(ISERROR(FIND($J$2,Lines!R20))=TRUE,"",IF('1000'!R20="","ERR",""))</f>
        <v/>
      </c>
      <c r="S20" s="117" t="str">
        <f>IF(ISERROR(FIND($B$2,Lines!S20))=TRUE,"",IF('750'!S20="","ERR","")) &amp; IF(ISERROR(FIND($C$2,Lines!S20))=TRUE,"",IF('500'!S20="","ERR","")) &amp; IF(ISERROR(FIND($D$2,Lines!S20))=TRUE,"",IF('330'!S20="","ERR","")) &amp; IF(ISERROR(FIND($E$2,Lines!S20))=TRUE,"",IF('220'!S20="","ERR",""))&amp; IF(ISERROR(FIND($F$2,Lines!S20))=TRUE,"",IF(AND('500DC'!S20="",'800DC'!S20=""),"ERR","")) &amp; IF(ISERROR(FIND($G$2,Lines!S20))=TRUE,"",IF('1000'!S20="","ERR","")) &amp; IF(ISERROR(FIND($H$2,Lines!S20))=TRUE,"",IF('500DC'!S20="","ERR","")) &amp; IF(ISERROR(FIND($I$2,Lines!S20))=TRUE,"",IF('800DC'!S20="","ERR","")) &amp; IF(ISERROR(FIND($J$2,Lines!S20))=TRUE,"",IF('1000'!S20="","ERR",""))</f>
        <v/>
      </c>
      <c r="T20" s="117" t="str">
        <f>IF(ISERROR(FIND($B$2,Lines!T20))=TRUE,"",IF('750'!T20="","ERR","")) &amp; IF(ISERROR(FIND($C$2,Lines!T20))=TRUE,"",IF('500'!T20="","ERR","")) &amp; IF(ISERROR(FIND($D$2,Lines!T20))=TRUE,"",IF('330'!T20="","ERR","")) &amp; IF(ISERROR(FIND($E$2,Lines!T20))=TRUE,"",IF('220'!T20="","ERR",""))&amp; IF(ISERROR(FIND($F$2,Lines!T20))=TRUE,"",IF(AND('500DC'!T20="",'800DC'!T20=""),"ERR","")) &amp; IF(ISERROR(FIND($G$2,Lines!T20))=TRUE,"",IF('1000'!T20="","ERR","")) &amp; IF(ISERROR(FIND($H$2,Lines!T20))=TRUE,"",IF('500DC'!T20="","ERR","")) &amp; IF(ISERROR(FIND($I$2,Lines!T20))=TRUE,"",IF('800DC'!T20="","ERR","")) &amp; IF(ISERROR(FIND($J$2,Lines!T20))=TRUE,"",IF('1000'!T20="","ERR",""))</f>
        <v/>
      </c>
      <c r="U20" s="117" t="str">
        <f>IF(ISERROR(FIND($B$2,Lines!U20))=TRUE,"",IF('750'!U20="","ERR","")) &amp; IF(ISERROR(FIND($C$2,Lines!U20))=TRUE,"",IF('500'!U20="","ERR","")) &amp; IF(ISERROR(FIND($D$2,Lines!U20))=TRUE,"",IF('330'!U20="","ERR","")) &amp; IF(ISERROR(FIND($E$2,Lines!U20))=TRUE,"",IF('220'!U20="","ERR",""))&amp; IF(ISERROR(FIND($F$2,Lines!U20))=TRUE,"",IF(AND('500DC'!U20="",'800DC'!U20=""),"ERR","")) &amp; IF(ISERROR(FIND($G$2,Lines!U20))=TRUE,"",IF('1000'!U20="","ERR","")) &amp; IF(ISERROR(FIND($H$2,Lines!U20))=TRUE,"",IF('500DC'!U20="","ERR","")) &amp; IF(ISERROR(FIND($I$2,Lines!U20))=TRUE,"",IF('800DC'!U20="","ERR","")) &amp; IF(ISERROR(FIND($J$2,Lines!U20))=TRUE,"",IF('1000'!U20="","ERR",""))</f>
        <v/>
      </c>
      <c r="V20" s="118" t="str">
        <f>IF(ISERROR(FIND($B$2,Lines!V20))=TRUE,"",IF('750'!V20="","ERR","")) &amp; IF(ISERROR(FIND($C$2,Lines!V20))=TRUE,"",IF('500'!V20="","ERR","")) &amp; IF(ISERROR(FIND($D$2,Lines!V20))=TRUE,"",IF('330'!V20="","ERR","")) &amp; IF(ISERROR(FIND($E$2,Lines!V20))=TRUE,"",IF('220'!V20="","ERR",""))&amp; IF(ISERROR(FIND($F$2,Lines!V20))=TRUE,"",IF(AND('500DC'!V20="",'800DC'!V20=""),"ERR","")) &amp; IF(ISERROR(FIND($G$2,Lines!V20))=TRUE,"",IF('1000'!V20="","ERR","")) &amp; IF(ISERROR(FIND($H$2,Lines!V20))=TRUE,"",IF('500DC'!V20="","ERR","")) &amp; IF(ISERROR(FIND($I$2,Lines!V20))=TRUE,"",IF('800DC'!V20="","ERR","")) &amp; IF(ISERROR(FIND($J$2,Lines!V20))=TRUE,"",IF('1000'!V20="","ERR",""))</f>
        <v/>
      </c>
      <c r="W20" s="109" t="str">
        <f>IF(ISERROR(FIND($B$2,Lines!W20))=TRUE,"",IF('750'!W20="","ERR","")) &amp; IF(ISERROR(FIND($C$2,Lines!W20))=TRUE,"",IF('500'!W20="","ERR","")) &amp; IF(ISERROR(FIND($D$2,Lines!W20))=TRUE,"",IF('330'!W20="","ERR","")) &amp; IF(ISERROR(FIND($E$2,Lines!W20))=TRUE,"",IF('220'!W20="","ERR",""))&amp; IF(ISERROR(FIND($F$2,Lines!W20))=TRUE,"",IF(AND('500DC'!W20="",'800DC'!W20=""),"ERR","")) &amp; IF(ISERROR(FIND($G$2,Lines!W20))=TRUE,"",IF('1000'!W20="","ERR","")) &amp; IF(ISERROR(FIND($H$2,Lines!W20))=TRUE,"",IF('500DC'!W20="","ERR","")) &amp; IF(ISERROR(FIND($I$2,Lines!W20))=TRUE,"",IF('800DC'!W20="","ERR","")) &amp; IF(ISERROR(FIND($J$2,Lines!W20))=TRUE,"",IF('1000'!W20="","ERR",""))</f>
        <v/>
      </c>
      <c r="X20" s="108" t="str">
        <f>IF(ISERROR(FIND($B$2,Lines!X20))=TRUE,"",IF('750'!X20="","ERR","")) &amp; IF(ISERROR(FIND($C$2,Lines!X20))=TRUE,"",IF('500'!X20="","ERR","")) &amp; IF(ISERROR(FIND($D$2,Lines!X20))=TRUE,"",IF('330'!X20="","ERR","")) &amp; IF(ISERROR(FIND($E$2,Lines!X20))=TRUE,"",IF('220'!X20="","ERR",""))&amp; IF(ISERROR(FIND($F$2,Lines!X20))=TRUE,"",IF(AND('500DC'!X20="",'800DC'!X20=""),"ERR","")) &amp; IF(ISERROR(FIND($G$2,Lines!X20))=TRUE,"",IF('1000'!X20="","ERR","")) &amp; IF(ISERROR(FIND($H$2,Lines!X20))=TRUE,"",IF('500DC'!X20="","ERR","")) &amp; IF(ISERROR(FIND($I$2,Lines!X20))=TRUE,"",IF('800DC'!X20="","ERR","")) &amp; IF(ISERROR(FIND($J$2,Lines!X20))=TRUE,"",IF('1000'!X20="","ERR",""))</f>
        <v/>
      </c>
      <c r="Y20" s="108" t="str">
        <f>IF(ISERROR(FIND($B$2,Lines!Y20))=TRUE,"",IF('750'!Y20="","ERR","")) &amp; IF(ISERROR(FIND($C$2,Lines!Y20))=TRUE,"",IF('500'!Y20="","ERR","")) &amp; IF(ISERROR(FIND($D$2,Lines!Y20))=TRUE,"",IF('330'!Y20="","ERR","")) &amp; IF(ISERROR(FIND($E$2,Lines!Y20))=TRUE,"",IF('220'!Y20="","ERR",""))&amp; IF(ISERROR(FIND($F$2,Lines!Y20))=TRUE,"",IF(AND('500DC'!Y20="",'800DC'!Y20=""),"ERR","")) &amp; IF(ISERROR(FIND($G$2,Lines!Y20))=TRUE,"",IF('1000'!Y20="","ERR","")) &amp; IF(ISERROR(FIND($H$2,Lines!Y20))=TRUE,"",IF('500DC'!Y20="","ERR","")) &amp; IF(ISERROR(FIND($I$2,Lines!Y20))=TRUE,"",IF('800DC'!Y20="","ERR","")) &amp; IF(ISERROR(FIND($J$2,Lines!Y20))=TRUE,"",IF('1000'!Y20="","ERR",""))</f>
        <v/>
      </c>
      <c r="Z20" s="108" t="str">
        <f>IF(ISERROR(FIND($B$2,Lines!Z20))=TRUE,"",IF('750'!Z20="","ERR","")) &amp; IF(ISERROR(FIND($C$2,Lines!Z20))=TRUE,"",IF('500'!Z20="","ERR","")) &amp; IF(ISERROR(FIND($D$2,Lines!Z20))=TRUE,"",IF('330'!Z20="","ERR","")) &amp; IF(ISERROR(FIND($E$2,Lines!Z20))=TRUE,"",IF('220'!Z20="","ERR",""))&amp; IF(ISERROR(FIND($F$2,Lines!Z20))=TRUE,"",IF(AND('500DC'!Z20="",'800DC'!Z20=""),"ERR","")) &amp; IF(ISERROR(FIND($G$2,Lines!Z20))=TRUE,"",IF('1000'!Z20="","ERR","")) &amp; IF(ISERROR(FIND($H$2,Lines!Z20))=TRUE,"",IF('500DC'!Z20="","ERR","")) &amp; IF(ISERROR(FIND($I$2,Lines!Z20))=TRUE,"",IF('800DC'!Z20="","ERR","")) &amp; IF(ISERROR(FIND($J$2,Lines!Z20))=TRUE,"",IF('1000'!Z20="","ERR",""))</f>
        <v/>
      </c>
      <c r="AA20" s="108" t="str">
        <f>IF(ISERROR(FIND($B$2,Lines!AA20))=TRUE,"",IF('750'!AA20="","ERR","")) &amp; IF(ISERROR(FIND($C$2,Lines!AA20))=TRUE,"",IF('500'!AA20="","ERR","")) &amp; IF(ISERROR(FIND($D$2,Lines!AA20))=TRUE,"",IF('330'!AA20="","ERR","")) &amp; IF(ISERROR(FIND($E$2,Lines!AA20))=TRUE,"",IF('220'!AA20="","ERR",""))&amp; IF(ISERROR(FIND($F$2,Lines!AA20))=TRUE,"",IF(AND('500DC'!AA20="",'800DC'!AA20=""),"ERR","")) &amp; IF(ISERROR(FIND($G$2,Lines!AA20))=TRUE,"",IF('1000'!AA20="","ERR","")) &amp; IF(ISERROR(FIND($H$2,Lines!AA20))=TRUE,"",IF('500DC'!AA20="","ERR","")) &amp; IF(ISERROR(FIND($I$2,Lines!AA20))=TRUE,"",IF('800DC'!AA20="","ERR","")) &amp; IF(ISERROR(FIND($J$2,Lines!AA20))=TRUE,"",IF('1000'!AA20="","ERR",""))</f>
        <v/>
      </c>
      <c r="AB20" s="108" t="str">
        <f>IF(ISERROR(FIND($B$2,Lines!AB20))=TRUE,"",IF('750'!AB20="","ERR","")) &amp; IF(ISERROR(FIND($C$2,Lines!AB20))=TRUE,"",IF('500'!AB20="","ERR","")) &amp; IF(ISERROR(FIND($D$2,Lines!AB20))=TRUE,"",IF('330'!AB20="","ERR","")) &amp; IF(ISERROR(FIND($E$2,Lines!AB20))=TRUE,"",IF('220'!AB20="","ERR",""))&amp; IF(ISERROR(FIND($F$2,Lines!AB20))=TRUE,"",IF(AND('500DC'!AB20="",'800DC'!AB20=""),"ERR","")) &amp; IF(ISERROR(FIND($G$2,Lines!AB20))=TRUE,"",IF('1000'!AB20="","ERR","")) &amp; IF(ISERROR(FIND($H$2,Lines!AB20))=TRUE,"",IF('500DC'!AB20="","ERR","")) &amp; IF(ISERROR(FIND($I$2,Lines!AB20))=TRUE,"",IF('800DC'!AB20="","ERR","")) &amp; IF(ISERROR(FIND($J$2,Lines!AB20))=TRUE,"",IF('1000'!AB20="","ERR",""))</f>
        <v/>
      </c>
      <c r="AC20" s="108" t="str">
        <f>IF(ISERROR(FIND($B$2,Lines!AC20))=TRUE,"",IF('750'!AC20="","ERR","")) &amp; IF(ISERROR(FIND($C$2,Lines!AC20))=TRUE,"",IF('500'!AC20="","ERR","")) &amp; IF(ISERROR(FIND($D$2,Lines!AC20))=TRUE,"",IF('330'!AC20="","ERR","")) &amp; IF(ISERROR(FIND($E$2,Lines!AC20))=TRUE,"",IF('220'!AC20="","ERR",""))&amp; IF(ISERROR(FIND($F$2,Lines!AC20))=TRUE,"",IF(AND('500DC'!AC20="",'800DC'!AC20=""),"ERR","")) &amp; IF(ISERROR(FIND($G$2,Lines!AC20))=TRUE,"",IF('1000'!AC20="","ERR","")) &amp; IF(ISERROR(FIND($H$2,Lines!AC20))=TRUE,"",IF('500DC'!AC20="","ERR","")) &amp; IF(ISERROR(FIND($I$2,Lines!AC20))=TRUE,"",IF('800DC'!AC20="","ERR","")) &amp; IF(ISERROR(FIND($J$2,Lines!AC20))=TRUE,"",IF('1000'!AC20="","ERR",""))</f>
        <v/>
      </c>
      <c r="AD20" s="108" t="str">
        <f>IF(ISERROR(FIND($B$2,Lines!AD20))=TRUE,"",IF('750'!AD20="","ERR","")) &amp; IF(ISERROR(FIND($C$2,Lines!AD20))=TRUE,"",IF('500'!AD20="","ERR","")) &amp; IF(ISERROR(FIND($D$2,Lines!AD20))=TRUE,"",IF('330'!AD20="","ERR","")) &amp; IF(ISERROR(FIND($E$2,Lines!AD20))=TRUE,"",IF('220'!AD20="","ERR",""))&amp; IF(ISERROR(FIND($F$2,Lines!AD20))=TRUE,"",IF(AND('500DC'!AD20="",'800DC'!AD20=""),"ERR","")) &amp; IF(ISERROR(FIND($G$2,Lines!AD20))=TRUE,"",IF('1000'!AD20="","ERR","")) &amp; IF(ISERROR(FIND($H$2,Lines!AD20))=TRUE,"",IF('500DC'!AD20="","ERR","")) &amp; IF(ISERROR(FIND($I$2,Lines!AD20))=TRUE,"",IF('800DC'!AD20="","ERR","")) &amp; IF(ISERROR(FIND($J$2,Lines!AD20))=TRUE,"",IF('1000'!AD20="","ERR",""))</f>
        <v/>
      </c>
      <c r="AE20" s="108" t="str">
        <f>IF(ISERROR(FIND($B$2,Lines!AE20))=TRUE,"",IF('750'!AE20="","ERR","")) &amp; IF(ISERROR(FIND($C$2,Lines!AE20))=TRUE,"",IF('500'!AE20="","ERR","")) &amp; IF(ISERROR(FIND($D$2,Lines!AE20))=TRUE,"",IF('330'!AE20="","ERR","")) &amp; IF(ISERROR(FIND($E$2,Lines!AE20))=TRUE,"",IF('220'!AE20="","ERR",""))&amp; IF(ISERROR(FIND($F$2,Lines!AE20))=TRUE,"",IF(AND('500DC'!AE20="",'800DC'!AE20=""),"ERR","")) &amp; IF(ISERROR(FIND($G$2,Lines!AE20))=TRUE,"",IF('1000'!AE20="","ERR","")) &amp; IF(ISERROR(FIND($H$2,Lines!AE20))=TRUE,"",IF('500DC'!AE20="","ERR","")) &amp; IF(ISERROR(FIND($I$2,Lines!AE20))=TRUE,"",IF('800DC'!AE20="","ERR","")) &amp; IF(ISERROR(FIND($J$2,Lines!AE20))=TRUE,"",IF('1000'!AE20="","ERR",""))</f>
        <v/>
      </c>
      <c r="AF20" s="108" t="str">
        <f>IF(ISERROR(FIND($B$2,Lines!AF20))=TRUE,"",IF('750'!AF20="","ERR","")) &amp; IF(ISERROR(FIND($C$2,Lines!AF20))=TRUE,"",IF('500'!AF20="","ERR","")) &amp; IF(ISERROR(FIND($D$2,Lines!AF20))=TRUE,"",IF('330'!AF20="","ERR","")) &amp; IF(ISERROR(FIND($E$2,Lines!AF20))=TRUE,"",IF('220'!AF20="","ERR",""))&amp; IF(ISERROR(FIND($F$2,Lines!AF20))=TRUE,"",IF(AND('500DC'!AF20="",'800DC'!AF20=""),"ERR","")) &amp; IF(ISERROR(FIND($G$2,Lines!AF20))=TRUE,"",IF('1000'!AF20="","ERR","")) &amp; IF(ISERROR(FIND($H$2,Lines!AF20))=TRUE,"",IF('500DC'!AF20="","ERR","")) &amp; IF(ISERROR(FIND($I$2,Lines!AF20))=TRUE,"",IF('800DC'!AF20="","ERR","")) &amp; IF(ISERROR(FIND($J$2,Lines!AF20))=TRUE,"",IF('1000'!AF20="","ERR",""))</f>
        <v/>
      </c>
      <c r="AG20" s="108" t="str">
        <f>IF(ISERROR(FIND($B$2,Lines!AG20))=TRUE,"",IF('750'!AG20="","ERR","")) &amp; IF(ISERROR(FIND($C$2,Lines!AG20))=TRUE,"",IF('500'!AG20="","ERR","")) &amp; IF(ISERROR(FIND($D$2,Lines!AG20))=TRUE,"",IF('330'!AG20="","ERR","")) &amp; IF(ISERROR(FIND($E$2,Lines!AG20))=TRUE,"",IF('220'!AG20="","ERR",""))&amp; IF(ISERROR(FIND($F$2,Lines!AG20))=TRUE,"",IF(AND('500DC'!AG20="",'800DC'!AG20=""),"ERR","")) &amp; IF(ISERROR(FIND($G$2,Lines!AG20))=TRUE,"",IF('1000'!AG20="","ERR","")) &amp; IF(ISERROR(FIND($H$2,Lines!AG20))=TRUE,"",IF('500DC'!AG20="","ERR","")) &amp; IF(ISERROR(FIND($I$2,Lines!AG20))=TRUE,"",IF('800DC'!AG20="","ERR","")) &amp; IF(ISERROR(FIND($J$2,Lines!AG20))=TRUE,"",IF('1000'!AG20="","ERR",""))</f>
        <v/>
      </c>
      <c r="AH20" s="108" t="str">
        <f>IF(ISERROR(FIND($B$2,Lines!AH20))=TRUE,"",IF('750'!AH20="","ERR","")) &amp; IF(ISERROR(FIND($C$2,Lines!AH20))=TRUE,"",IF('500'!AH20="","ERR","")) &amp; IF(ISERROR(FIND($D$2,Lines!AH20))=TRUE,"",IF('330'!AH20="","ERR","")) &amp; IF(ISERROR(FIND($E$2,Lines!AH20))=TRUE,"",IF('220'!AH20="","ERR",""))&amp; IF(ISERROR(FIND($F$2,Lines!AH20))=TRUE,"",IF(AND('500DC'!AH20="",'800DC'!AH20=""),"ERR","")) &amp; IF(ISERROR(FIND($G$2,Lines!AH20))=TRUE,"",IF('1000'!AH20="","ERR","")) &amp; IF(ISERROR(FIND($H$2,Lines!AH20))=TRUE,"",IF('500DC'!AH20="","ERR","")) &amp; IF(ISERROR(FIND($I$2,Lines!AH20))=TRUE,"",IF('800DC'!AH20="","ERR","")) &amp; IF(ISERROR(FIND($J$2,Lines!AH20))=TRUE,"",IF('1000'!AH20="","ERR",""))</f>
        <v/>
      </c>
      <c r="AI20" s="108" t="str">
        <f>IF(ISERROR(FIND($B$2,Lines!AI20))=TRUE,"",IF('750'!AI20="","ERR","")) &amp; IF(ISERROR(FIND($C$2,Lines!AI20))=TRUE,"",IF('500'!AI20="","ERR","")) &amp; IF(ISERROR(FIND($D$2,Lines!AI20))=TRUE,"",IF('330'!AI20="","ERR","")) &amp; IF(ISERROR(FIND($E$2,Lines!AI20))=TRUE,"",IF('220'!AI20="","ERR",""))&amp; IF(ISERROR(FIND($F$2,Lines!AI20))=TRUE,"",IF(AND('500DC'!AI20="",'800DC'!AI20=""),"ERR","")) &amp; IF(ISERROR(FIND($G$2,Lines!AI20))=TRUE,"",IF('1000'!AI20="","ERR","")) &amp; IF(ISERROR(FIND($H$2,Lines!AI20))=TRUE,"",IF('500DC'!AI20="","ERR","")) &amp; IF(ISERROR(FIND($I$2,Lines!AI20))=TRUE,"",IF('800DC'!AI20="","ERR","")) &amp; IF(ISERROR(FIND($J$2,Lines!AI20))=TRUE,"",IF('1000'!AI20="","ERR",""))</f>
        <v/>
      </c>
      <c r="AJ20" s="108" t="str">
        <f>IF(ISERROR(FIND($B$2,Lines!AJ20))=TRUE,"",IF('750'!AJ20="","ERR","")) &amp; IF(ISERROR(FIND($C$2,Lines!AJ20))=TRUE,"",IF('500'!AJ20="","ERR","")) &amp; IF(ISERROR(FIND($D$2,Lines!AJ20))=TRUE,"",IF('330'!AJ20="","ERR","")) &amp; IF(ISERROR(FIND($E$2,Lines!AJ20))=TRUE,"",IF('220'!AJ20="","ERR",""))&amp; IF(ISERROR(FIND($F$2,Lines!AJ20))=TRUE,"",IF(AND('500DC'!AJ20="",'800DC'!AJ20=""),"ERR","")) &amp; IF(ISERROR(FIND($G$2,Lines!AJ20))=TRUE,"",IF('1000'!AJ20="","ERR","")) &amp; IF(ISERROR(FIND($H$2,Lines!AJ20))=TRUE,"",IF('500DC'!AJ20="","ERR","")) &amp; IF(ISERROR(FIND($I$2,Lines!AJ20))=TRUE,"",IF('800DC'!AJ20="","ERR","")) &amp; IF(ISERROR(FIND($J$2,Lines!AJ20))=TRUE,"",IF('1000'!AJ20="","ERR",""))</f>
        <v/>
      </c>
      <c r="AK20" s="108" t="str">
        <f>IF(ISERROR(FIND($B$2,Lines!AK20))=TRUE,"",IF('750'!AK20="","ERR","")) &amp; IF(ISERROR(FIND($C$2,Lines!AK20))=TRUE,"",IF('500'!AK20="","ERR","")) &amp; IF(ISERROR(FIND($D$2,Lines!AK20))=TRUE,"",IF('330'!AK20="","ERR","")) &amp; IF(ISERROR(FIND($E$2,Lines!AK20))=TRUE,"",IF('220'!AK20="","ERR",""))&amp; IF(ISERROR(FIND($F$2,Lines!AK20))=TRUE,"",IF(AND('500DC'!AK20="",'800DC'!AK20=""),"ERR","")) &amp; IF(ISERROR(FIND($G$2,Lines!AK20))=TRUE,"",IF('1000'!AK20="","ERR","")) &amp; IF(ISERROR(FIND($H$2,Lines!AK20))=TRUE,"",IF('500DC'!AK20="","ERR","")) &amp; IF(ISERROR(FIND($I$2,Lines!AK20))=TRUE,"",IF('800DC'!AK20="","ERR","")) &amp; IF(ISERROR(FIND($J$2,Lines!AK20))=TRUE,"",IF('1000'!AK20="","ERR",""))</f>
        <v/>
      </c>
      <c r="AL20" s="108" t="str">
        <f>IF(ISERROR(FIND($B$2,Lines!AL20))=TRUE,"",IF('750'!AL20="","ERR","")) &amp; IF(ISERROR(FIND($C$2,Lines!AL20))=TRUE,"",IF('500'!AL20="","ERR","")) &amp; IF(ISERROR(FIND($D$2,Lines!AL20))=TRUE,"",IF('330'!AL20="","ERR","")) &amp; IF(ISERROR(FIND($E$2,Lines!AL20))=TRUE,"",IF('220'!AL20="","ERR",""))&amp; IF(ISERROR(FIND($F$2,Lines!AL20))=TRUE,"",IF(AND('500DC'!AL20="",'800DC'!AL20=""),"ERR","")) &amp; IF(ISERROR(FIND($G$2,Lines!AL20))=TRUE,"",IF('1000'!AL20="","ERR","")) &amp; IF(ISERROR(FIND($H$2,Lines!AL20))=TRUE,"",IF('500DC'!AL20="","ERR","")) &amp; IF(ISERROR(FIND($I$2,Lines!AL20))=TRUE,"",IF('800DC'!AL20="","ERR","")) &amp; IF(ISERROR(FIND($J$2,Lines!AL20))=TRUE,"",IF('1000'!AL20="","ERR",""))</f>
        <v/>
      </c>
      <c r="AM20" s="108" t="str">
        <f>IF(ISERROR(FIND($B$2,Lines!AM20))=TRUE,"",IF('750'!AM20="","ERR","")) &amp; IF(ISERROR(FIND($C$2,Lines!AM20))=TRUE,"",IF('500'!AM20="","ERR","")) &amp; IF(ISERROR(FIND($D$2,Lines!AM20))=TRUE,"",IF('330'!AM20="","ERR","")) &amp; IF(ISERROR(FIND($E$2,Lines!AM20))=TRUE,"",IF('220'!AM20="","ERR",""))&amp; IF(ISERROR(FIND($F$2,Lines!AM20))=TRUE,"",IF(AND('500DC'!AM20="",'800DC'!AM20=""),"ERR","")) &amp; IF(ISERROR(FIND($G$2,Lines!AM20))=TRUE,"",IF('1000'!AM20="","ERR","")) &amp; IF(ISERROR(FIND($H$2,Lines!AM20))=TRUE,"",IF('500DC'!AM20="","ERR","")) &amp; IF(ISERROR(FIND($I$2,Lines!AM20))=TRUE,"",IF('800DC'!AM20="","ERR","")) &amp; IF(ISERROR(FIND($J$2,Lines!AM20))=TRUE,"",IF('1000'!AM20="","ERR",""))</f>
        <v/>
      </c>
      <c r="AN20" s="108" t="str">
        <f>IF(ISERROR(FIND($B$2,Lines!AN20))=TRUE,"",IF('750'!AN20="","ERR","")) &amp; IF(ISERROR(FIND($C$2,Lines!AN20))=TRUE,"",IF('500'!AN20="","ERR","")) &amp; IF(ISERROR(FIND($D$2,Lines!AN20))=TRUE,"",IF('330'!AN20="","ERR","")) &amp; IF(ISERROR(FIND($E$2,Lines!AN20))=TRUE,"",IF('220'!AN20="","ERR",""))&amp; IF(ISERROR(FIND($F$2,Lines!AN20))=TRUE,"",IF(AND('500DC'!AN20="",'800DC'!AN20=""),"ERR","")) &amp; IF(ISERROR(FIND($G$2,Lines!AN20))=TRUE,"",IF('1000'!AN20="","ERR","")) &amp; IF(ISERROR(FIND($H$2,Lines!AN20))=TRUE,"",IF('500DC'!AN20="","ERR","")) &amp; IF(ISERROR(FIND($I$2,Lines!AN20))=TRUE,"",IF('800DC'!AN20="","ERR","")) &amp; IF(ISERROR(FIND($J$2,Lines!AN20))=TRUE,"",IF('1000'!AN20="","ERR",""))</f>
        <v/>
      </c>
      <c r="AO20" s="108" t="str">
        <f>IF(ISERROR(FIND($B$2,Lines!AO20))=TRUE,"",IF('750'!AO20="","ERR","")) &amp; IF(ISERROR(FIND($C$2,Lines!AO20))=TRUE,"",IF('500'!AO20="","ERR","")) &amp; IF(ISERROR(FIND($D$2,Lines!AO20))=TRUE,"",IF('330'!AO20="","ERR","")) &amp; IF(ISERROR(FIND($E$2,Lines!AO20))=TRUE,"",IF('220'!AO20="","ERR",""))&amp; IF(ISERROR(FIND($F$2,Lines!AO20))=TRUE,"",IF(AND('500DC'!AO20="",'800DC'!AO20=""),"ERR","")) &amp; IF(ISERROR(FIND($G$2,Lines!AO20))=TRUE,"",IF('1000'!AO20="","ERR","")) &amp; IF(ISERROR(FIND($H$2,Lines!AO20))=TRUE,"",IF('500DC'!AO20="","ERR","")) &amp; IF(ISERROR(FIND($I$2,Lines!AO20))=TRUE,"",IF('800DC'!AO20="","ERR","")) &amp; IF(ISERROR(FIND($J$2,Lines!AO20))=TRUE,"",IF('1000'!AO20="","ERR",""))</f>
        <v/>
      </c>
      <c r="AP20" s="108" t="str">
        <f>IF(ISERROR(FIND($B$2,Lines!AP20))=TRUE,"",IF('750'!AP20="","ERR","")) &amp; IF(ISERROR(FIND($C$2,Lines!AP20))=TRUE,"",IF('500'!AP20="","ERR","")) &amp; IF(ISERROR(FIND($D$2,Lines!AP20))=TRUE,"",IF('330'!AP20="","ERR","")) &amp; IF(ISERROR(FIND($E$2,Lines!AP20))=TRUE,"",IF('220'!AP20="","ERR",""))&amp; IF(ISERROR(FIND($F$2,Lines!AP20))=TRUE,"",IF(AND('500DC'!AP20="",'800DC'!AP20=""),"ERR","")) &amp; IF(ISERROR(FIND($G$2,Lines!AP20))=TRUE,"",IF('1000'!AP20="","ERR","")) &amp; IF(ISERROR(FIND($H$2,Lines!AP20))=TRUE,"",IF('500DC'!AP20="","ERR","")) &amp; IF(ISERROR(FIND($I$2,Lines!AP20))=TRUE,"",IF('800DC'!AP20="","ERR","")) &amp; IF(ISERROR(FIND($J$2,Lines!AP20))=TRUE,"",IF('1000'!AP20="","ERR",""))</f>
        <v/>
      </c>
      <c r="AQ20" s="108" t="str">
        <f>IF(ISERROR(FIND($B$2,Lines!AQ20))=TRUE,"",IF('750'!AQ20="","ERR","")) &amp; IF(ISERROR(FIND($C$2,Lines!AQ20))=TRUE,"",IF('500'!AQ20="","ERR","")) &amp; IF(ISERROR(FIND($D$2,Lines!AQ20))=TRUE,"",IF('330'!AQ20="","ERR","")) &amp; IF(ISERROR(FIND($E$2,Lines!AQ20))=TRUE,"",IF('220'!AQ20="","ERR",""))&amp; IF(ISERROR(FIND($F$2,Lines!AQ20))=TRUE,"",IF(AND('500DC'!AQ20="",'800DC'!AQ20=""),"ERR","")) &amp; IF(ISERROR(FIND($G$2,Lines!AQ20))=TRUE,"",IF('1000'!AQ20="","ERR","")) &amp; IF(ISERROR(FIND($H$2,Lines!AQ20))=TRUE,"",IF('500DC'!AQ20="","ERR","")) &amp; IF(ISERROR(FIND($I$2,Lines!AQ20))=TRUE,"",IF('800DC'!AQ20="","ERR","")) &amp; IF(ISERROR(FIND($J$2,Lines!AQ20))=TRUE,"",IF('1000'!AQ20="","ERR",""))</f>
        <v/>
      </c>
      <c r="AR20" s="108" t="str">
        <f>IF(ISERROR(FIND($B$2,Lines!AR20))=TRUE,"",IF('750'!AR20="","ERR","")) &amp; IF(ISERROR(FIND($C$2,Lines!AR20))=TRUE,"",IF('500'!AR20="","ERR","")) &amp; IF(ISERROR(FIND($D$2,Lines!AR20))=TRUE,"",IF('330'!AR20="","ERR","")) &amp; IF(ISERROR(FIND($E$2,Lines!AR20))=TRUE,"",IF('220'!AR20="","ERR",""))&amp; IF(ISERROR(FIND($F$2,Lines!AR20))=TRUE,"",IF(AND('500DC'!AR20="",'800DC'!AR20=""),"ERR","")) &amp; IF(ISERROR(FIND($G$2,Lines!AR20))=TRUE,"",IF('1000'!AR20="","ERR","")) &amp; IF(ISERROR(FIND($H$2,Lines!AR20))=TRUE,"",IF('500DC'!AR20="","ERR","")) &amp; IF(ISERROR(FIND($I$2,Lines!AR20))=TRUE,"",IF('800DC'!AR20="","ERR","")) &amp; IF(ISERROR(FIND($J$2,Lines!AR20))=TRUE,"",IF('1000'!AR20="","ERR",""))</f>
        <v/>
      </c>
      <c r="AS20" s="108" t="str">
        <f>IF(ISERROR(FIND($B$2,Lines!AS20))=TRUE,"",IF('750'!AS20="","ERR","")) &amp; IF(ISERROR(FIND($C$2,Lines!AS20))=TRUE,"",IF('500'!AS20="","ERR","")) &amp; IF(ISERROR(FIND($D$2,Lines!AS20))=TRUE,"",IF('330'!AS20="","ERR","")) &amp; IF(ISERROR(FIND($E$2,Lines!AS20))=TRUE,"",IF('220'!AS20="","ERR",""))&amp; IF(ISERROR(FIND($F$2,Lines!AS20))=TRUE,"",IF(AND('500DC'!AS20="",'800DC'!AS20=""),"ERR","")) &amp; IF(ISERROR(FIND($G$2,Lines!AS20))=TRUE,"",IF('1000'!AS20="","ERR","")) &amp; IF(ISERROR(FIND($H$2,Lines!AS20))=TRUE,"",IF('500DC'!AS20="","ERR","")) &amp; IF(ISERROR(FIND($I$2,Lines!AS20))=TRUE,"",IF('800DC'!AS20="","ERR","")) &amp; IF(ISERROR(FIND($J$2,Lines!AS20))=TRUE,"",IF('1000'!AS20="","ERR",""))</f>
        <v/>
      </c>
      <c r="AT20" s="108" t="str">
        <f>IF(ISERROR(FIND($B$2,Lines!AT20))=TRUE,"",IF('750'!AT20="","ERR","")) &amp; IF(ISERROR(FIND($C$2,Lines!AT20))=TRUE,"",IF('500'!AT20="","ERR","")) &amp; IF(ISERROR(FIND($D$2,Lines!AT20))=TRUE,"",IF('330'!AT20="","ERR","")) &amp; IF(ISERROR(FIND($E$2,Lines!AT20))=TRUE,"",IF('220'!AT20="","ERR",""))&amp; IF(ISERROR(FIND($F$2,Lines!AT20))=TRUE,"",IF(AND('500DC'!AT20="",'800DC'!AT20=""),"ERR","")) &amp; IF(ISERROR(FIND($G$2,Lines!AT20))=TRUE,"",IF('1000'!AT20="","ERR","")) &amp; IF(ISERROR(FIND($H$2,Lines!AT20))=TRUE,"",IF('500DC'!AT20="","ERR","")) &amp; IF(ISERROR(FIND($I$2,Lines!AT20))=TRUE,"",IF('800DC'!AT20="","ERR","")) &amp; IF(ISERROR(FIND($J$2,Lines!AT20))=TRUE,"",IF('1000'!AT20="","ERR",""))</f>
        <v/>
      </c>
    </row>
    <row r="21" spans="1:46" ht="20.25" customHeight="1">
      <c r="A21" s="2" t="s">
        <v>69</v>
      </c>
      <c r="B21" s="108" t="str">
        <f>IF(ISERROR(FIND($B$2,Lines!B21))=TRUE,"",IF('750'!B21="","ERR","")) &amp; IF(ISERROR(FIND($C$2,Lines!B21))=TRUE,"",IF('500'!B21="","ERR","")) &amp; IF(ISERROR(FIND($D$2,Lines!B21))=TRUE,"",IF('330'!B21="","ERR","")) &amp; IF(ISERROR(FIND($E$2,Lines!B21))=TRUE,"",IF('220'!B21="","ERR",""))&amp; IF(ISERROR(FIND($F$2,Lines!B21))=TRUE,"",IF(AND('500DC'!B21="",'800DC'!B21=""),"ERR","")) &amp; IF(ISERROR(FIND($G$2,Lines!B21))=TRUE,"",IF('1000'!B21="","ERR","")) &amp; IF(ISERROR(FIND($H$2,Lines!B21))=TRUE,"",IF('500DC'!B21="","ERR","")) &amp; IF(ISERROR(FIND($I$2,Lines!B21))=TRUE,"",IF('800DC'!B21="","ERR","")) &amp; IF(ISERROR(FIND($J$2,Lines!B21))=TRUE,"",IF('1000'!B21="","ERR",""))</f>
        <v/>
      </c>
      <c r="C21" s="108" t="str">
        <f>IF(ISERROR(FIND($B$2,Lines!C21))=TRUE,"",IF('750'!C21="","ERR","")) &amp; IF(ISERROR(FIND($C$2,Lines!C21))=TRUE,"",IF('500'!C21="","ERR","")) &amp; IF(ISERROR(FIND($D$2,Lines!C21))=TRUE,"",IF('330'!C21="","ERR","")) &amp; IF(ISERROR(FIND($E$2,Lines!C21))=TRUE,"",IF('220'!C21="","ERR",""))&amp; IF(ISERROR(FIND($F$2,Lines!C21))=TRUE,"",IF(AND('500DC'!C21="",'800DC'!C21=""),"ERR","")) &amp; IF(ISERROR(FIND($G$2,Lines!C21))=TRUE,"",IF('1000'!C21="","ERR","")) &amp; IF(ISERROR(FIND($H$2,Lines!C21))=TRUE,"",IF('500DC'!C21="","ERR","")) &amp; IF(ISERROR(FIND($I$2,Lines!C21))=TRUE,"",IF('800DC'!C21="","ERR","")) &amp; IF(ISERROR(FIND($J$2,Lines!C21))=TRUE,"",IF('1000'!C21="","ERR",""))</f>
        <v/>
      </c>
      <c r="D21" s="108" t="str">
        <f>IF(ISERROR(FIND($B$2,Lines!D21))=TRUE,"",IF('750'!D21="","ERR","")) &amp; IF(ISERROR(FIND($C$2,Lines!D21))=TRUE,"",IF('500'!D21="","ERR","")) &amp; IF(ISERROR(FIND($D$2,Lines!D21))=TRUE,"",IF('330'!D21="","ERR","")) &amp; IF(ISERROR(FIND($E$2,Lines!D21))=TRUE,"",IF('220'!D21="","ERR",""))&amp; IF(ISERROR(FIND($F$2,Lines!D21))=TRUE,"",IF(AND('500DC'!D21="",'800DC'!D21=""),"ERR","")) &amp; IF(ISERROR(FIND($G$2,Lines!D21))=TRUE,"",IF('1000'!D21="","ERR","")) &amp; IF(ISERROR(FIND($H$2,Lines!D21))=TRUE,"",IF('500DC'!D21="","ERR","")) &amp; IF(ISERROR(FIND($I$2,Lines!D21))=TRUE,"",IF('800DC'!D21="","ERR","")) &amp; IF(ISERROR(FIND($J$2,Lines!D21))=TRUE,"",IF('1000'!D21="","ERR",""))</f>
        <v/>
      </c>
      <c r="E21" s="108" t="str">
        <f>IF(ISERROR(FIND($B$2,Lines!E21))=TRUE,"",IF('750'!E21="","ERR","")) &amp; IF(ISERROR(FIND($C$2,Lines!E21))=TRUE,"",IF('500'!E21="","ERR","")) &amp; IF(ISERROR(FIND($D$2,Lines!E21))=TRUE,"",IF('330'!E21="","ERR","")) &amp; IF(ISERROR(FIND($E$2,Lines!E21))=TRUE,"",IF('220'!E21="","ERR",""))&amp; IF(ISERROR(FIND($F$2,Lines!E21))=TRUE,"",IF(AND('500DC'!E21="",'800DC'!E21=""),"ERR","")) &amp; IF(ISERROR(FIND($G$2,Lines!E21))=TRUE,"",IF('1000'!E21="","ERR","")) &amp; IF(ISERROR(FIND($H$2,Lines!E21))=TRUE,"",IF('500DC'!E21="","ERR","")) &amp; IF(ISERROR(FIND($I$2,Lines!E21))=TRUE,"",IF('800DC'!E21="","ERR","")) &amp; IF(ISERROR(FIND($J$2,Lines!E21))=TRUE,"",IF('1000'!E21="","ERR",""))</f>
        <v/>
      </c>
      <c r="F21" s="108" t="str">
        <f>IF(ISERROR(FIND($B$2,Lines!F21))=TRUE,"",IF('750'!F21="","ERR","")) &amp; IF(ISERROR(FIND($C$2,Lines!F21))=TRUE,"",IF('500'!F21="","ERR","")) &amp; IF(ISERROR(FIND($D$2,Lines!F21))=TRUE,"",IF('330'!F21="","ERR","")) &amp; IF(ISERROR(FIND($E$2,Lines!F21))=TRUE,"",IF('220'!F21="","ERR",""))&amp; IF(ISERROR(FIND($F$2,Lines!F21))=TRUE,"",IF(AND('500DC'!F21="",'800DC'!F21=""),"ERR","")) &amp; IF(ISERROR(FIND($G$2,Lines!F21))=TRUE,"",IF('1000'!F21="","ERR","")) &amp; IF(ISERROR(FIND($H$2,Lines!F21))=TRUE,"",IF('500DC'!F21="","ERR","")) &amp; IF(ISERROR(FIND($I$2,Lines!F21))=TRUE,"",IF('800DC'!F21="","ERR","")) &amp; IF(ISERROR(FIND($J$2,Lines!F21))=TRUE,"",IF('1000'!F21="","ERR",""))</f>
        <v/>
      </c>
      <c r="G21" s="108" t="str">
        <f>IF(ISERROR(FIND($B$2,Lines!G21))=TRUE,"",IF('750'!G21="","ERR","")) &amp; IF(ISERROR(FIND($C$2,Lines!G21))=TRUE,"",IF('500'!G21="","ERR","")) &amp; IF(ISERROR(FIND($D$2,Lines!G21))=TRUE,"",IF('330'!G21="","ERR","")) &amp; IF(ISERROR(FIND($E$2,Lines!G21))=TRUE,"",IF('220'!G21="","ERR",""))&amp; IF(ISERROR(FIND($F$2,Lines!G21))=TRUE,"",IF(AND('500DC'!G21="",'800DC'!G21=""),"ERR","")) &amp; IF(ISERROR(FIND($G$2,Lines!G21))=TRUE,"",IF('1000'!G21="","ERR","")) &amp; IF(ISERROR(FIND($H$2,Lines!G21))=TRUE,"",IF('500DC'!G21="","ERR","")) &amp; IF(ISERROR(FIND($I$2,Lines!G21))=TRUE,"",IF('800DC'!G21="","ERR","")) &amp; IF(ISERROR(FIND($J$2,Lines!G21))=TRUE,"",IF('1000'!G21="","ERR",""))</f>
        <v/>
      </c>
      <c r="H21" s="108" t="str">
        <f>IF(ISERROR(FIND($B$2,Lines!H21))=TRUE,"",IF('750'!H21="","ERR","")) &amp; IF(ISERROR(FIND($C$2,Lines!H21))=TRUE,"",IF('500'!H21="","ERR","")) &amp; IF(ISERROR(FIND($D$2,Lines!H21))=TRUE,"",IF('330'!H21="","ERR","")) &amp; IF(ISERROR(FIND($E$2,Lines!H21))=TRUE,"",IF('220'!H21="","ERR",""))&amp; IF(ISERROR(FIND($F$2,Lines!H21))=TRUE,"",IF(AND('500DC'!H21="",'800DC'!H21=""),"ERR","")) &amp; IF(ISERROR(FIND($G$2,Lines!H21))=TRUE,"",IF('1000'!H21="","ERR","")) &amp; IF(ISERROR(FIND($H$2,Lines!H21))=TRUE,"",IF('500DC'!H21="","ERR","")) &amp; IF(ISERROR(FIND($I$2,Lines!H21))=TRUE,"",IF('800DC'!H21="","ERR","")) &amp; IF(ISERROR(FIND($J$2,Lines!H21))=TRUE,"",IF('1000'!H21="","ERR",""))</f>
        <v/>
      </c>
      <c r="I21" s="108" t="str">
        <f>IF(ISERROR(FIND($B$2,Lines!I21))=TRUE,"",IF('750'!I21="","ERR","")) &amp; IF(ISERROR(FIND($C$2,Lines!I21))=TRUE,"",IF('500'!I21="","ERR","")) &amp; IF(ISERROR(FIND($D$2,Lines!I21))=TRUE,"",IF('330'!I21="","ERR","")) &amp; IF(ISERROR(FIND($E$2,Lines!I21))=TRUE,"",IF('220'!I21="","ERR",""))&amp; IF(ISERROR(FIND($F$2,Lines!I21))=TRUE,"",IF(AND('500DC'!I21="",'800DC'!I21=""),"ERR","")) &amp; IF(ISERROR(FIND($G$2,Lines!I21))=TRUE,"",IF('1000'!I21="","ERR","")) &amp; IF(ISERROR(FIND($H$2,Lines!I21))=TRUE,"",IF('500DC'!I21="","ERR","")) &amp; IF(ISERROR(FIND($I$2,Lines!I21))=TRUE,"",IF('800DC'!I21="","ERR","")) &amp; IF(ISERROR(FIND($J$2,Lines!I21))=TRUE,"",IF('1000'!I21="","ERR",""))</f>
        <v/>
      </c>
      <c r="J21" s="108" t="str">
        <f>IF(ISERROR(FIND($B$2,Lines!J21))=TRUE,"",IF('750'!J21="","ERR","")) &amp; IF(ISERROR(FIND($C$2,Lines!J21))=TRUE,"",IF('500'!J21="","ERR","")) &amp; IF(ISERROR(FIND($D$2,Lines!J21))=TRUE,"",IF('330'!J21="","ERR","")) &amp; IF(ISERROR(FIND($E$2,Lines!J21))=TRUE,"",IF('220'!J21="","ERR",""))&amp; IF(ISERROR(FIND($F$2,Lines!J21))=TRUE,"",IF(AND('500DC'!J21="",'800DC'!J21=""),"ERR","")) &amp; IF(ISERROR(FIND($G$2,Lines!J21))=TRUE,"",IF('1000'!J21="","ERR","")) &amp; IF(ISERROR(FIND($H$2,Lines!J21))=TRUE,"",IF('500DC'!J21="","ERR","")) &amp; IF(ISERROR(FIND($I$2,Lines!J21))=TRUE,"",IF('800DC'!J21="","ERR","")) &amp; IF(ISERROR(FIND($J$2,Lines!J21))=TRUE,"",IF('1000'!J21="","ERR",""))</f>
        <v/>
      </c>
      <c r="K21" s="108" t="str">
        <f>IF(ISERROR(FIND($B$2,Lines!K21))=TRUE,"",IF('750'!K21="","ERR","")) &amp; IF(ISERROR(FIND($C$2,Lines!K21))=TRUE,"",IF('500'!K21="","ERR","")) &amp; IF(ISERROR(FIND($D$2,Lines!K21))=TRUE,"",IF('330'!K21="","ERR","")) &amp; IF(ISERROR(FIND($E$2,Lines!K21))=TRUE,"",IF('220'!K21="","ERR",""))&amp; IF(ISERROR(FIND($F$2,Lines!K21))=TRUE,"",IF(AND('500DC'!K21="",'800DC'!K21=""),"ERR","")) &amp; IF(ISERROR(FIND($G$2,Lines!K21))=TRUE,"",IF('1000'!K21="","ERR","")) &amp; IF(ISERROR(FIND($H$2,Lines!K21))=TRUE,"",IF('500DC'!K21="","ERR","")) &amp; IF(ISERROR(FIND($I$2,Lines!K21))=TRUE,"",IF('800DC'!K21="","ERR","")) &amp; IF(ISERROR(FIND($J$2,Lines!K21))=TRUE,"",IF('1000'!K21="","ERR",""))</f>
        <v/>
      </c>
      <c r="L21" s="108" t="str">
        <f>IF(ISERROR(FIND($B$2,Lines!L21))=TRUE,"",IF('750'!L21="","ERR","")) &amp; IF(ISERROR(FIND($C$2,Lines!L21))=TRUE,"",IF('500'!L21="","ERR","")) &amp; IF(ISERROR(FIND($D$2,Lines!L21))=TRUE,"",IF('330'!L21="","ERR","")) &amp; IF(ISERROR(FIND($E$2,Lines!L21))=TRUE,"",IF('220'!L21="","ERR",""))&amp; IF(ISERROR(FIND($F$2,Lines!L21))=TRUE,"",IF(AND('500DC'!L21="",'800DC'!L21=""),"ERR","")) &amp; IF(ISERROR(FIND($G$2,Lines!L21))=TRUE,"",IF('1000'!L21="","ERR","")) &amp; IF(ISERROR(FIND($H$2,Lines!L21))=TRUE,"",IF('500DC'!L21="","ERR","")) &amp; IF(ISERROR(FIND($I$2,Lines!L21))=TRUE,"",IF('800DC'!L21="","ERR","")) &amp; IF(ISERROR(FIND($J$2,Lines!L21))=TRUE,"",IF('1000'!L21="","ERR",""))</f>
        <v/>
      </c>
      <c r="M21" s="108" t="str">
        <f>IF(ISERROR(FIND($B$2,Lines!M21))=TRUE,"",IF('750'!M21="","ERR","")) &amp; IF(ISERROR(FIND($C$2,Lines!M21))=TRUE,"",IF('500'!M21="","ERR","")) &amp; IF(ISERROR(FIND($D$2,Lines!M21))=TRUE,"",IF('330'!M21="","ERR","")) &amp; IF(ISERROR(FIND($E$2,Lines!M21))=TRUE,"",IF('220'!M21="","ERR",""))&amp; IF(ISERROR(FIND($F$2,Lines!M21))=TRUE,"",IF(AND('500DC'!M21="",'800DC'!M21=""),"ERR","")) &amp; IF(ISERROR(FIND($G$2,Lines!M21))=TRUE,"",IF('1000'!M21="","ERR","")) &amp; IF(ISERROR(FIND($H$2,Lines!M21))=TRUE,"",IF('500DC'!M21="","ERR","")) &amp; IF(ISERROR(FIND($I$2,Lines!M21))=TRUE,"",IF('800DC'!M21="","ERR","")) &amp; IF(ISERROR(FIND($J$2,Lines!M21))=TRUE,"",IF('1000'!M21="","ERR",""))</f>
        <v/>
      </c>
      <c r="N21" s="113" t="str">
        <f>IF(ISERROR(FIND($B$2,Lines!N21))=TRUE,"",IF('750'!N21="","ERR","")) &amp; IF(ISERROR(FIND($C$2,Lines!N21))=TRUE,"",IF('500'!N21="","ERR","")) &amp; IF(ISERROR(FIND($D$2,Lines!N21))=TRUE,"",IF('330'!N21="","ERR","")) &amp; IF(ISERROR(FIND($E$2,Lines!N21))=TRUE,"",IF('220'!N21="","ERR",""))&amp; IF(ISERROR(FIND($F$2,Lines!N21))=TRUE,"",IF(AND('500DC'!N21="",'800DC'!N21=""),"ERR","")) &amp; IF(ISERROR(FIND($G$2,Lines!N21))=TRUE,"",IF('1000'!N21="","ERR","")) &amp; IF(ISERROR(FIND($H$2,Lines!N21))=TRUE,"",IF('500DC'!N21="","ERR","")) &amp; IF(ISERROR(FIND($I$2,Lines!N21))=TRUE,"",IF('800DC'!N21="","ERR","")) &amp; IF(ISERROR(FIND($J$2,Lines!N21))=TRUE,"",IF('1000'!N21="","ERR",""))</f>
        <v/>
      </c>
      <c r="O21" s="117" t="str">
        <f>IF(ISERROR(FIND($B$2,Lines!O21))=TRUE,"",IF('750'!O21="","ERR","")) &amp; IF(ISERROR(FIND($C$2,Lines!O21))=TRUE,"",IF('500'!O21="","ERR","")) &amp; IF(ISERROR(FIND($D$2,Lines!O21))=TRUE,"",IF('330'!O21="","ERR","")) &amp; IF(ISERROR(FIND($E$2,Lines!O21))=TRUE,"",IF('220'!O21="","ERR",""))&amp; IF(ISERROR(FIND($F$2,Lines!O21))=TRUE,"",IF(AND('500DC'!O21="",'800DC'!O21=""),"ERR","")) &amp; IF(ISERROR(FIND($G$2,Lines!O21))=TRUE,"",IF('1000'!O21="","ERR","")) &amp; IF(ISERROR(FIND($H$2,Lines!O21))=TRUE,"",IF('500DC'!O21="","ERR","")) &amp; IF(ISERROR(FIND($I$2,Lines!O21))=TRUE,"",IF('800DC'!O21="","ERR","")) &amp; IF(ISERROR(FIND($J$2,Lines!O21))=TRUE,"",IF('1000'!O21="","ERR",""))</f>
        <v/>
      </c>
      <c r="P21" s="117" t="str">
        <f>IF(ISERROR(FIND($B$2,Lines!P21))=TRUE,"",IF('750'!P21="","ERR","")) &amp; IF(ISERROR(FIND($C$2,Lines!P21))=TRUE,"",IF('500'!P21="","ERR","")) &amp; IF(ISERROR(FIND($D$2,Lines!P21))=TRUE,"",IF('330'!P21="","ERR","")) &amp; IF(ISERROR(FIND($E$2,Lines!P21))=TRUE,"",IF('220'!P21="","ERR",""))&amp; IF(ISERROR(FIND($F$2,Lines!P21))=TRUE,"",IF(AND('500DC'!P21="",'800DC'!P21=""),"ERR","")) &amp; IF(ISERROR(FIND($G$2,Lines!P21))=TRUE,"",IF('1000'!P21="","ERR","")) &amp; IF(ISERROR(FIND($H$2,Lines!P21))=TRUE,"",IF('500DC'!P21="","ERR","")) &amp; IF(ISERROR(FIND($I$2,Lines!P21))=TRUE,"",IF('800DC'!P21="","ERR","")) &amp; IF(ISERROR(FIND($J$2,Lines!P21))=TRUE,"",IF('1000'!P21="","ERR",""))</f>
        <v/>
      </c>
      <c r="Q21" s="117" t="str">
        <f>IF(ISERROR(FIND($B$2,Lines!Q21))=TRUE,"",IF('750'!Q21="","ERR","")) &amp; IF(ISERROR(FIND($C$2,Lines!Q21))=TRUE,"",IF('500'!Q21="","ERR","")) &amp; IF(ISERROR(FIND($D$2,Lines!Q21))=TRUE,"",IF('330'!Q21="","ERR","")) &amp; IF(ISERROR(FIND($E$2,Lines!Q21))=TRUE,"",IF('220'!Q21="","ERR",""))&amp; IF(ISERROR(FIND($F$2,Lines!Q21))=TRUE,"",IF(AND('500DC'!Q21="",'800DC'!Q21=""),"ERR","")) &amp; IF(ISERROR(FIND($G$2,Lines!Q21))=TRUE,"",IF('1000'!Q21="","ERR","")) &amp; IF(ISERROR(FIND($H$2,Lines!Q21))=TRUE,"",IF('500DC'!Q21="","ERR","")) &amp; IF(ISERROR(FIND($I$2,Lines!Q21))=TRUE,"",IF('800DC'!Q21="","ERR","")) &amp; IF(ISERROR(FIND($J$2,Lines!Q21))=TRUE,"",IF('1000'!Q21="","ERR",""))</f>
        <v/>
      </c>
      <c r="R21" s="117" t="str">
        <f>IF(ISERROR(FIND($B$2,Lines!R21))=TRUE,"",IF('750'!R21="","ERR","")) &amp; IF(ISERROR(FIND($C$2,Lines!R21))=TRUE,"",IF('500'!R21="","ERR","")) &amp; IF(ISERROR(FIND($D$2,Lines!R21))=TRUE,"",IF('330'!R21="","ERR","")) &amp; IF(ISERROR(FIND($E$2,Lines!R21))=TRUE,"",IF('220'!R21="","ERR",""))&amp; IF(ISERROR(FIND($F$2,Lines!R21))=TRUE,"",IF(AND('500DC'!R21="",'800DC'!R21=""),"ERR","")) &amp; IF(ISERROR(FIND($G$2,Lines!R21))=TRUE,"",IF('1000'!R21="","ERR","")) &amp; IF(ISERROR(FIND($H$2,Lines!R21))=TRUE,"",IF('500DC'!R21="","ERR","")) &amp; IF(ISERROR(FIND($I$2,Lines!R21))=TRUE,"",IF('800DC'!R21="","ERR","")) &amp; IF(ISERROR(FIND($J$2,Lines!R21))=TRUE,"",IF('1000'!R21="","ERR",""))</f>
        <v/>
      </c>
      <c r="S21" s="116" t="str">
        <f>IF(ISERROR(FIND($B$2,Lines!S21))=TRUE,"",IF('750'!S21="","ERR","")) &amp; IF(ISERROR(FIND($C$2,Lines!S21))=TRUE,"",IF('500'!S21="","ERR","")) &amp; IF(ISERROR(FIND($D$2,Lines!S21))=TRUE,"",IF('330'!S21="","ERR","")) &amp; IF(ISERROR(FIND($E$2,Lines!S21))=TRUE,"",IF('220'!S21="","ERR",""))&amp; IF(ISERROR(FIND($F$2,Lines!S21))=TRUE,"",IF(AND('500DC'!S21="",'800DC'!S21=""),"ERR","")) &amp; IF(ISERROR(FIND($G$2,Lines!S21))=TRUE,"",IF('1000'!S21="","ERR","")) &amp; IF(ISERROR(FIND($H$2,Lines!S21))=TRUE,"",IF('500DC'!S21="","ERR","")) &amp; IF(ISERROR(FIND($I$2,Lines!S21))=TRUE,"",IF('800DC'!S21="","ERR","")) &amp; IF(ISERROR(FIND($J$2,Lines!S21))=TRUE,"",IF('1000'!S21="","ERR",""))</f>
        <v/>
      </c>
      <c r="T21" s="117" t="str">
        <f>IF(ISERROR(FIND($B$2,Lines!T21))=TRUE,"",IF('750'!T21="","ERR","")) &amp; IF(ISERROR(FIND($C$2,Lines!T21))=TRUE,"",IF('500'!T21="","ERR","")) &amp; IF(ISERROR(FIND($D$2,Lines!T21))=TRUE,"",IF('330'!T21="","ERR","")) &amp; IF(ISERROR(FIND($E$2,Lines!T21))=TRUE,"",IF('220'!T21="","ERR",""))&amp; IF(ISERROR(FIND($F$2,Lines!T21))=TRUE,"",IF(AND('500DC'!T21="",'800DC'!T21=""),"ERR","")) &amp; IF(ISERROR(FIND($G$2,Lines!T21))=TRUE,"",IF('1000'!T21="","ERR","")) &amp; IF(ISERROR(FIND($H$2,Lines!T21))=TRUE,"",IF('500DC'!T21="","ERR","")) &amp; IF(ISERROR(FIND($I$2,Lines!T21))=TRUE,"",IF('800DC'!T21="","ERR","")) &amp; IF(ISERROR(FIND($J$2,Lines!T21))=TRUE,"",IF('1000'!T21="","ERR",""))</f>
        <v/>
      </c>
      <c r="U21" s="117" t="str">
        <f>IF(ISERROR(FIND($B$2,Lines!U21))=TRUE,"",IF('750'!U21="","ERR","")) &amp; IF(ISERROR(FIND($C$2,Lines!U21))=TRUE,"",IF('500'!U21="","ERR","")) &amp; IF(ISERROR(FIND($D$2,Lines!U21))=TRUE,"",IF('330'!U21="","ERR","")) &amp; IF(ISERROR(FIND($E$2,Lines!U21))=TRUE,"",IF('220'!U21="","ERR",""))&amp; IF(ISERROR(FIND($F$2,Lines!U21))=TRUE,"",IF(AND('500DC'!U21="",'800DC'!U21=""),"ERR","")) &amp; IF(ISERROR(FIND($G$2,Lines!U21))=TRUE,"",IF('1000'!U21="","ERR","")) &amp; IF(ISERROR(FIND($H$2,Lines!U21))=TRUE,"",IF('500DC'!U21="","ERR","")) &amp; IF(ISERROR(FIND($I$2,Lines!U21))=TRUE,"",IF('800DC'!U21="","ERR","")) &amp; IF(ISERROR(FIND($J$2,Lines!U21))=TRUE,"",IF('1000'!U21="","ERR",""))</f>
        <v/>
      </c>
      <c r="V21" s="118" t="str">
        <f>IF(ISERROR(FIND($B$2,Lines!V21))=TRUE,"",IF('750'!V21="","ERR","")) &amp; IF(ISERROR(FIND($C$2,Lines!V21))=TRUE,"",IF('500'!V21="","ERR","")) &amp; IF(ISERROR(FIND($D$2,Lines!V21))=TRUE,"",IF('330'!V21="","ERR","")) &amp; IF(ISERROR(FIND($E$2,Lines!V21))=TRUE,"",IF('220'!V21="","ERR",""))&amp; IF(ISERROR(FIND($F$2,Lines!V21))=TRUE,"",IF(AND('500DC'!V21="",'800DC'!V21=""),"ERR","")) &amp; IF(ISERROR(FIND($G$2,Lines!V21))=TRUE,"",IF('1000'!V21="","ERR","")) &amp; IF(ISERROR(FIND($H$2,Lines!V21))=TRUE,"",IF('500DC'!V21="","ERR","")) &amp; IF(ISERROR(FIND($I$2,Lines!V21))=TRUE,"",IF('800DC'!V21="","ERR","")) &amp; IF(ISERROR(FIND($J$2,Lines!V21))=TRUE,"",IF('1000'!V21="","ERR",""))</f>
        <v/>
      </c>
      <c r="W21" s="109" t="str">
        <f>IF(ISERROR(FIND($B$2,Lines!W21))=TRUE,"",IF('750'!W21="","ERR","")) &amp; IF(ISERROR(FIND($C$2,Lines!W21))=TRUE,"",IF('500'!W21="","ERR","")) &amp; IF(ISERROR(FIND($D$2,Lines!W21))=TRUE,"",IF('330'!W21="","ERR","")) &amp; IF(ISERROR(FIND($E$2,Lines!W21))=TRUE,"",IF('220'!W21="","ERR",""))&amp; IF(ISERROR(FIND($F$2,Lines!W21))=TRUE,"",IF(AND('500DC'!W21="",'800DC'!W21=""),"ERR","")) &amp; IF(ISERROR(FIND($G$2,Lines!W21))=TRUE,"",IF('1000'!W21="","ERR","")) &amp; IF(ISERROR(FIND($H$2,Lines!W21))=TRUE,"",IF('500DC'!W21="","ERR","")) &amp; IF(ISERROR(FIND($I$2,Lines!W21))=TRUE,"",IF('800DC'!W21="","ERR","")) &amp; IF(ISERROR(FIND($J$2,Lines!W21))=TRUE,"",IF('1000'!W21="","ERR",""))</f>
        <v/>
      </c>
      <c r="X21" s="108" t="str">
        <f>IF(ISERROR(FIND($B$2,Lines!X21))=TRUE,"",IF('750'!X21="","ERR","")) &amp; IF(ISERROR(FIND($C$2,Lines!X21))=TRUE,"",IF('500'!X21="","ERR","")) &amp; IF(ISERROR(FIND($D$2,Lines!X21))=TRUE,"",IF('330'!X21="","ERR","")) &amp; IF(ISERROR(FIND($E$2,Lines!X21))=TRUE,"",IF('220'!X21="","ERR",""))&amp; IF(ISERROR(FIND($F$2,Lines!X21))=TRUE,"",IF(AND('500DC'!X21="",'800DC'!X21=""),"ERR","")) &amp; IF(ISERROR(FIND($G$2,Lines!X21))=TRUE,"",IF('1000'!X21="","ERR","")) &amp; IF(ISERROR(FIND($H$2,Lines!X21))=TRUE,"",IF('500DC'!X21="","ERR","")) &amp; IF(ISERROR(FIND($I$2,Lines!X21))=TRUE,"",IF('800DC'!X21="","ERR","")) &amp; IF(ISERROR(FIND($J$2,Lines!X21))=TRUE,"",IF('1000'!X21="","ERR",""))</f>
        <v/>
      </c>
      <c r="Y21" s="108" t="str">
        <f>IF(ISERROR(FIND($B$2,Lines!Y21))=TRUE,"",IF('750'!Y21="","ERR","")) &amp; IF(ISERROR(FIND($C$2,Lines!Y21))=TRUE,"",IF('500'!Y21="","ERR","")) &amp; IF(ISERROR(FIND($D$2,Lines!Y21))=TRUE,"",IF('330'!Y21="","ERR","")) &amp; IF(ISERROR(FIND($E$2,Lines!Y21))=TRUE,"",IF('220'!Y21="","ERR",""))&amp; IF(ISERROR(FIND($F$2,Lines!Y21))=TRUE,"",IF(AND('500DC'!Y21="",'800DC'!Y21=""),"ERR","")) &amp; IF(ISERROR(FIND($G$2,Lines!Y21))=TRUE,"",IF('1000'!Y21="","ERR","")) &amp; IF(ISERROR(FIND($H$2,Lines!Y21))=TRUE,"",IF('500DC'!Y21="","ERR","")) &amp; IF(ISERROR(FIND($I$2,Lines!Y21))=TRUE,"",IF('800DC'!Y21="","ERR","")) &amp; IF(ISERROR(FIND($J$2,Lines!Y21))=TRUE,"",IF('1000'!Y21="","ERR",""))</f>
        <v/>
      </c>
      <c r="Z21" s="108" t="str">
        <f>IF(ISERROR(FIND($B$2,Lines!Z21))=TRUE,"",IF('750'!Z21="","ERR","")) &amp; IF(ISERROR(FIND($C$2,Lines!Z21))=TRUE,"",IF('500'!Z21="","ERR","")) &amp; IF(ISERROR(FIND($D$2,Lines!Z21))=TRUE,"",IF('330'!Z21="","ERR","")) &amp; IF(ISERROR(FIND($E$2,Lines!Z21))=TRUE,"",IF('220'!Z21="","ERR",""))&amp; IF(ISERROR(FIND($F$2,Lines!Z21))=TRUE,"",IF(AND('500DC'!Z21="",'800DC'!Z21=""),"ERR","")) &amp; IF(ISERROR(FIND($G$2,Lines!Z21))=TRUE,"",IF('1000'!Z21="","ERR","")) &amp; IF(ISERROR(FIND($H$2,Lines!Z21))=TRUE,"",IF('500DC'!Z21="","ERR","")) &amp; IF(ISERROR(FIND($I$2,Lines!Z21))=TRUE,"",IF('800DC'!Z21="","ERR","")) &amp; IF(ISERROR(FIND($J$2,Lines!Z21))=TRUE,"",IF('1000'!Z21="","ERR",""))</f>
        <v/>
      </c>
      <c r="AA21" s="108" t="str">
        <f>IF(ISERROR(FIND($B$2,Lines!AA21))=TRUE,"",IF('750'!AA21="","ERR","")) &amp; IF(ISERROR(FIND($C$2,Lines!AA21))=TRUE,"",IF('500'!AA21="","ERR","")) &amp; IF(ISERROR(FIND($D$2,Lines!AA21))=TRUE,"",IF('330'!AA21="","ERR","")) &amp; IF(ISERROR(FIND($E$2,Lines!AA21))=TRUE,"",IF('220'!AA21="","ERR",""))&amp; IF(ISERROR(FIND($F$2,Lines!AA21))=TRUE,"",IF(AND('500DC'!AA21="",'800DC'!AA21=""),"ERR","")) &amp; IF(ISERROR(FIND($G$2,Lines!AA21))=TRUE,"",IF('1000'!AA21="","ERR","")) &amp; IF(ISERROR(FIND($H$2,Lines!AA21))=TRUE,"",IF('500DC'!AA21="","ERR","")) &amp; IF(ISERROR(FIND($I$2,Lines!AA21))=TRUE,"",IF('800DC'!AA21="","ERR","")) &amp; IF(ISERROR(FIND($J$2,Lines!AA21))=TRUE,"",IF('1000'!AA21="","ERR",""))</f>
        <v/>
      </c>
      <c r="AB21" s="108" t="str">
        <f>IF(ISERROR(FIND($B$2,Lines!AB21))=TRUE,"",IF('750'!AB21="","ERR","")) &amp; IF(ISERROR(FIND($C$2,Lines!AB21))=TRUE,"",IF('500'!AB21="","ERR","")) &amp; IF(ISERROR(FIND($D$2,Lines!AB21))=TRUE,"",IF('330'!AB21="","ERR","")) &amp; IF(ISERROR(FIND($E$2,Lines!AB21))=TRUE,"",IF('220'!AB21="","ERR",""))&amp; IF(ISERROR(FIND($F$2,Lines!AB21))=TRUE,"",IF(AND('500DC'!AB21="",'800DC'!AB21=""),"ERR","")) &amp; IF(ISERROR(FIND($G$2,Lines!AB21))=TRUE,"",IF('1000'!AB21="","ERR","")) &amp; IF(ISERROR(FIND($H$2,Lines!AB21))=TRUE,"",IF('500DC'!AB21="","ERR","")) &amp; IF(ISERROR(FIND($I$2,Lines!AB21))=TRUE,"",IF('800DC'!AB21="","ERR","")) &amp; IF(ISERROR(FIND($J$2,Lines!AB21))=TRUE,"",IF('1000'!AB21="","ERR",""))</f>
        <v/>
      </c>
      <c r="AC21" s="108" t="str">
        <f>IF(ISERROR(FIND($B$2,Lines!AC21))=TRUE,"",IF('750'!AC21="","ERR","")) &amp; IF(ISERROR(FIND($C$2,Lines!AC21))=TRUE,"",IF('500'!AC21="","ERR","")) &amp; IF(ISERROR(FIND($D$2,Lines!AC21))=TRUE,"",IF('330'!AC21="","ERR","")) &amp; IF(ISERROR(FIND($E$2,Lines!AC21))=TRUE,"",IF('220'!AC21="","ERR",""))&amp; IF(ISERROR(FIND($F$2,Lines!AC21))=TRUE,"",IF(AND('500DC'!AC21="",'800DC'!AC21=""),"ERR","")) &amp; IF(ISERROR(FIND($G$2,Lines!AC21))=TRUE,"",IF('1000'!AC21="","ERR","")) &amp; IF(ISERROR(FIND($H$2,Lines!AC21))=TRUE,"",IF('500DC'!AC21="","ERR","")) &amp; IF(ISERROR(FIND($I$2,Lines!AC21))=TRUE,"",IF('800DC'!AC21="","ERR","")) &amp; IF(ISERROR(FIND($J$2,Lines!AC21))=TRUE,"",IF('1000'!AC21="","ERR",""))</f>
        <v/>
      </c>
      <c r="AD21" s="108" t="str">
        <f>IF(ISERROR(FIND($B$2,Lines!AD21))=TRUE,"",IF('750'!AD21="","ERR","")) &amp; IF(ISERROR(FIND($C$2,Lines!AD21))=TRUE,"",IF('500'!AD21="","ERR","")) &amp; IF(ISERROR(FIND($D$2,Lines!AD21))=TRUE,"",IF('330'!AD21="","ERR","")) &amp; IF(ISERROR(FIND($E$2,Lines!AD21))=TRUE,"",IF('220'!AD21="","ERR",""))&amp; IF(ISERROR(FIND($F$2,Lines!AD21))=TRUE,"",IF(AND('500DC'!AD21="",'800DC'!AD21=""),"ERR","")) &amp; IF(ISERROR(FIND($G$2,Lines!AD21))=TRUE,"",IF('1000'!AD21="","ERR","")) &amp; IF(ISERROR(FIND($H$2,Lines!AD21))=TRUE,"",IF('500DC'!AD21="","ERR","")) &amp; IF(ISERROR(FIND($I$2,Lines!AD21))=TRUE,"",IF('800DC'!AD21="","ERR","")) &amp; IF(ISERROR(FIND($J$2,Lines!AD21))=TRUE,"",IF('1000'!AD21="","ERR",""))</f>
        <v/>
      </c>
      <c r="AE21" s="108" t="str">
        <f>IF(ISERROR(FIND($B$2,Lines!AE21))=TRUE,"",IF('750'!AE21="","ERR","")) &amp; IF(ISERROR(FIND($C$2,Lines!AE21))=TRUE,"",IF('500'!AE21="","ERR","")) &amp; IF(ISERROR(FIND($D$2,Lines!AE21))=TRUE,"",IF('330'!AE21="","ERR","")) &amp; IF(ISERROR(FIND($E$2,Lines!AE21))=TRUE,"",IF('220'!AE21="","ERR",""))&amp; IF(ISERROR(FIND($F$2,Lines!AE21))=TRUE,"",IF(AND('500DC'!AE21="",'800DC'!AE21=""),"ERR","")) &amp; IF(ISERROR(FIND($G$2,Lines!AE21))=TRUE,"",IF('1000'!AE21="","ERR","")) &amp; IF(ISERROR(FIND($H$2,Lines!AE21))=TRUE,"",IF('500DC'!AE21="","ERR","")) &amp; IF(ISERROR(FIND($I$2,Lines!AE21))=TRUE,"",IF('800DC'!AE21="","ERR","")) &amp; IF(ISERROR(FIND($J$2,Lines!AE21))=TRUE,"",IF('1000'!AE21="","ERR",""))</f>
        <v/>
      </c>
      <c r="AF21" s="108" t="str">
        <f>IF(ISERROR(FIND($B$2,Lines!AF21))=TRUE,"",IF('750'!AF21="","ERR","")) &amp; IF(ISERROR(FIND($C$2,Lines!AF21))=TRUE,"",IF('500'!AF21="","ERR","")) &amp; IF(ISERROR(FIND($D$2,Lines!AF21))=TRUE,"",IF('330'!AF21="","ERR","")) &amp; IF(ISERROR(FIND($E$2,Lines!AF21))=TRUE,"",IF('220'!AF21="","ERR",""))&amp; IF(ISERROR(FIND($F$2,Lines!AF21))=TRUE,"",IF(AND('500DC'!AF21="",'800DC'!AF21=""),"ERR","")) &amp; IF(ISERROR(FIND($G$2,Lines!AF21))=TRUE,"",IF('1000'!AF21="","ERR","")) &amp; IF(ISERROR(FIND($H$2,Lines!AF21))=TRUE,"",IF('500DC'!AF21="","ERR","")) &amp; IF(ISERROR(FIND($I$2,Lines!AF21))=TRUE,"",IF('800DC'!AF21="","ERR","")) &amp; IF(ISERROR(FIND($J$2,Lines!AF21))=TRUE,"",IF('1000'!AF21="","ERR",""))</f>
        <v/>
      </c>
      <c r="AG21" s="108" t="str">
        <f>IF(ISERROR(FIND($B$2,Lines!AG21))=TRUE,"",IF('750'!AG21="","ERR","")) &amp; IF(ISERROR(FIND($C$2,Lines!AG21))=TRUE,"",IF('500'!AG21="","ERR","")) &amp; IF(ISERROR(FIND($D$2,Lines!AG21))=TRUE,"",IF('330'!AG21="","ERR","")) &amp; IF(ISERROR(FIND($E$2,Lines!AG21))=TRUE,"",IF('220'!AG21="","ERR",""))&amp; IF(ISERROR(FIND($F$2,Lines!AG21))=TRUE,"",IF(AND('500DC'!AG21="",'800DC'!AG21=""),"ERR","")) &amp; IF(ISERROR(FIND($G$2,Lines!AG21))=TRUE,"",IF('1000'!AG21="","ERR","")) &amp; IF(ISERROR(FIND($H$2,Lines!AG21))=TRUE,"",IF('500DC'!AG21="","ERR","")) &amp; IF(ISERROR(FIND($I$2,Lines!AG21))=TRUE,"",IF('800DC'!AG21="","ERR","")) &amp; IF(ISERROR(FIND($J$2,Lines!AG21))=TRUE,"",IF('1000'!AG21="","ERR",""))</f>
        <v/>
      </c>
      <c r="AH21" s="108" t="str">
        <f>IF(ISERROR(FIND($B$2,Lines!AH21))=TRUE,"",IF('750'!AH21="","ERR","")) &amp; IF(ISERROR(FIND($C$2,Lines!AH21))=TRUE,"",IF('500'!AH21="","ERR","")) &amp; IF(ISERROR(FIND($D$2,Lines!AH21))=TRUE,"",IF('330'!AH21="","ERR","")) &amp; IF(ISERROR(FIND($E$2,Lines!AH21))=TRUE,"",IF('220'!AH21="","ERR",""))&amp; IF(ISERROR(FIND($F$2,Lines!AH21))=TRUE,"",IF(AND('500DC'!AH21="",'800DC'!AH21=""),"ERR","")) &amp; IF(ISERROR(FIND($G$2,Lines!AH21))=TRUE,"",IF('1000'!AH21="","ERR","")) &amp; IF(ISERROR(FIND($H$2,Lines!AH21))=TRUE,"",IF('500DC'!AH21="","ERR","")) &amp; IF(ISERROR(FIND($I$2,Lines!AH21))=TRUE,"",IF('800DC'!AH21="","ERR","")) &amp; IF(ISERROR(FIND($J$2,Lines!AH21))=TRUE,"",IF('1000'!AH21="","ERR",""))</f>
        <v/>
      </c>
      <c r="AI21" s="108" t="str">
        <f>IF(ISERROR(FIND($B$2,Lines!AI21))=TRUE,"",IF('750'!AI21="","ERR","")) &amp; IF(ISERROR(FIND($C$2,Lines!AI21))=TRUE,"",IF('500'!AI21="","ERR","")) &amp; IF(ISERROR(FIND($D$2,Lines!AI21))=TRUE,"",IF('330'!AI21="","ERR","")) &amp; IF(ISERROR(FIND($E$2,Lines!AI21))=TRUE,"",IF('220'!AI21="","ERR",""))&amp; IF(ISERROR(FIND($F$2,Lines!AI21))=TRUE,"",IF(AND('500DC'!AI21="",'800DC'!AI21=""),"ERR","")) &amp; IF(ISERROR(FIND($G$2,Lines!AI21))=TRUE,"",IF('1000'!AI21="","ERR","")) &amp; IF(ISERROR(FIND($H$2,Lines!AI21))=TRUE,"",IF('500DC'!AI21="","ERR","")) &amp; IF(ISERROR(FIND($I$2,Lines!AI21))=TRUE,"",IF('800DC'!AI21="","ERR","")) &amp; IF(ISERROR(FIND($J$2,Lines!AI21))=TRUE,"",IF('1000'!AI21="","ERR",""))</f>
        <v/>
      </c>
      <c r="AJ21" s="108" t="str">
        <f>IF(ISERROR(FIND($B$2,Lines!AJ21))=TRUE,"",IF('750'!AJ21="","ERR","")) &amp; IF(ISERROR(FIND($C$2,Lines!AJ21))=TRUE,"",IF('500'!AJ21="","ERR","")) &amp; IF(ISERROR(FIND($D$2,Lines!AJ21))=TRUE,"",IF('330'!AJ21="","ERR","")) &amp; IF(ISERROR(FIND($E$2,Lines!AJ21))=TRUE,"",IF('220'!AJ21="","ERR",""))&amp; IF(ISERROR(FIND($F$2,Lines!AJ21))=TRUE,"",IF(AND('500DC'!AJ21="",'800DC'!AJ21=""),"ERR","")) &amp; IF(ISERROR(FIND($G$2,Lines!AJ21))=TRUE,"",IF('1000'!AJ21="","ERR","")) &amp; IF(ISERROR(FIND($H$2,Lines!AJ21))=TRUE,"",IF('500DC'!AJ21="","ERR","")) &amp; IF(ISERROR(FIND($I$2,Lines!AJ21))=TRUE,"",IF('800DC'!AJ21="","ERR","")) &amp; IF(ISERROR(FIND($J$2,Lines!AJ21))=TRUE,"",IF('1000'!AJ21="","ERR",""))</f>
        <v/>
      </c>
      <c r="AK21" s="108" t="str">
        <f>IF(ISERROR(FIND($B$2,Lines!AK21))=TRUE,"",IF('750'!AK21="","ERR","")) &amp; IF(ISERROR(FIND($C$2,Lines!AK21))=TRUE,"",IF('500'!AK21="","ERR","")) &amp; IF(ISERROR(FIND($D$2,Lines!AK21))=TRUE,"",IF('330'!AK21="","ERR","")) &amp; IF(ISERROR(FIND($E$2,Lines!AK21))=TRUE,"",IF('220'!AK21="","ERR",""))&amp; IF(ISERROR(FIND($F$2,Lines!AK21))=TRUE,"",IF(AND('500DC'!AK21="",'800DC'!AK21=""),"ERR","")) &amp; IF(ISERROR(FIND($G$2,Lines!AK21))=TRUE,"",IF('1000'!AK21="","ERR","")) &amp; IF(ISERROR(FIND($H$2,Lines!AK21))=TRUE,"",IF('500DC'!AK21="","ERR","")) &amp; IF(ISERROR(FIND($I$2,Lines!AK21))=TRUE,"",IF('800DC'!AK21="","ERR","")) &amp; IF(ISERROR(FIND($J$2,Lines!AK21))=TRUE,"",IF('1000'!AK21="","ERR",""))</f>
        <v/>
      </c>
      <c r="AL21" s="108" t="str">
        <f>IF(ISERROR(FIND($B$2,Lines!AL21))=TRUE,"",IF('750'!AL21="","ERR","")) &amp; IF(ISERROR(FIND($C$2,Lines!AL21))=TRUE,"",IF('500'!AL21="","ERR","")) &amp; IF(ISERROR(FIND($D$2,Lines!AL21))=TRUE,"",IF('330'!AL21="","ERR","")) &amp; IF(ISERROR(FIND($E$2,Lines!AL21))=TRUE,"",IF('220'!AL21="","ERR",""))&amp; IF(ISERROR(FIND($F$2,Lines!AL21))=TRUE,"",IF(AND('500DC'!AL21="",'800DC'!AL21=""),"ERR","")) &amp; IF(ISERROR(FIND($G$2,Lines!AL21))=TRUE,"",IF('1000'!AL21="","ERR","")) &amp; IF(ISERROR(FIND($H$2,Lines!AL21))=TRUE,"",IF('500DC'!AL21="","ERR","")) &amp; IF(ISERROR(FIND($I$2,Lines!AL21))=TRUE,"",IF('800DC'!AL21="","ERR","")) &amp; IF(ISERROR(FIND($J$2,Lines!AL21))=TRUE,"",IF('1000'!AL21="","ERR",""))</f>
        <v/>
      </c>
      <c r="AM21" s="108" t="str">
        <f>IF(ISERROR(FIND($B$2,Lines!AM21))=TRUE,"",IF('750'!AM21="","ERR","")) &amp; IF(ISERROR(FIND($C$2,Lines!AM21))=TRUE,"",IF('500'!AM21="","ERR","")) &amp; IF(ISERROR(FIND($D$2,Lines!AM21))=TRUE,"",IF('330'!AM21="","ERR","")) &amp; IF(ISERROR(FIND($E$2,Lines!AM21))=TRUE,"",IF('220'!AM21="","ERR",""))&amp; IF(ISERROR(FIND($F$2,Lines!AM21))=TRUE,"",IF(AND('500DC'!AM21="",'800DC'!AM21=""),"ERR","")) &amp; IF(ISERROR(FIND($G$2,Lines!AM21))=TRUE,"",IF('1000'!AM21="","ERR","")) &amp; IF(ISERROR(FIND($H$2,Lines!AM21))=TRUE,"",IF('500DC'!AM21="","ERR","")) &amp; IF(ISERROR(FIND($I$2,Lines!AM21))=TRUE,"",IF('800DC'!AM21="","ERR","")) &amp; IF(ISERROR(FIND($J$2,Lines!AM21))=TRUE,"",IF('1000'!AM21="","ERR",""))</f>
        <v/>
      </c>
      <c r="AN21" s="108" t="str">
        <f>IF(ISERROR(FIND($B$2,Lines!AN21))=TRUE,"",IF('750'!AN21="","ERR","")) &amp; IF(ISERROR(FIND($C$2,Lines!AN21))=TRUE,"",IF('500'!AN21="","ERR","")) &amp; IF(ISERROR(FIND($D$2,Lines!AN21))=TRUE,"",IF('330'!AN21="","ERR","")) &amp; IF(ISERROR(FIND($E$2,Lines!AN21))=TRUE,"",IF('220'!AN21="","ERR",""))&amp; IF(ISERROR(FIND($F$2,Lines!AN21))=TRUE,"",IF(AND('500DC'!AN21="",'800DC'!AN21=""),"ERR","")) &amp; IF(ISERROR(FIND($G$2,Lines!AN21))=TRUE,"",IF('1000'!AN21="","ERR","")) &amp; IF(ISERROR(FIND($H$2,Lines!AN21))=TRUE,"",IF('500DC'!AN21="","ERR","")) &amp; IF(ISERROR(FIND($I$2,Lines!AN21))=TRUE,"",IF('800DC'!AN21="","ERR","")) &amp; IF(ISERROR(FIND($J$2,Lines!AN21))=TRUE,"",IF('1000'!AN21="","ERR",""))</f>
        <v/>
      </c>
      <c r="AO21" s="108" t="str">
        <f>IF(ISERROR(FIND($B$2,Lines!AO21))=TRUE,"",IF('750'!AO21="","ERR","")) &amp; IF(ISERROR(FIND($C$2,Lines!AO21))=TRUE,"",IF('500'!AO21="","ERR","")) &amp; IF(ISERROR(FIND($D$2,Lines!AO21))=TRUE,"",IF('330'!AO21="","ERR","")) &amp; IF(ISERROR(FIND($E$2,Lines!AO21))=TRUE,"",IF('220'!AO21="","ERR",""))&amp; IF(ISERROR(FIND($F$2,Lines!AO21))=TRUE,"",IF(AND('500DC'!AO21="",'800DC'!AO21=""),"ERR","")) &amp; IF(ISERROR(FIND($G$2,Lines!AO21))=TRUE,"",IF('1000'!AO21="","ERR","")) &amp; IF(ISERROR(FIND($H$2,Lines!AO21))=TRUE,"",IF('500DC'!AO21="","ERR","")) &amp; IF(ISERROR(FIND($I$2,Lines!AO21))=TRUE,"",IF('800DC'!AO21="","ERR","")) &amp; IF(ISERROR(FIND($J$2,Lines!AO21))=TRUE,"",IF('1000'!AO21="","ERR",""))</f>
        <v/>
      </c>
      <c r="AP21" s="108" t="str">
        <f>IF(ISERROR(FIND($B$2,Lines!AP21))=TRUE,"",IF('750'!AP21="","ERR","")) &amp; IF(ISERROR(FIND($C$2,Lines!AP21))=TRUE,"",IF('500'!AP21="","ERR","")) &amp; IF(ISERROR(FIND($D$2,Lines!AP21))=TRUE,"",IF('330'!AP21="","ERR","")) &amp; IF(ISERROR(FIND($E$2,Lines!AP21))=TRUE,"",IF('220'!AP21="","ERR",""))&amp; IF(ISERROR(FIND($F$2,Lines!AP21))=TRUE,"",IF(AND('500DC'!AP21="",'800DC'!AP21=""),"ERR","")) &amp; IF(ISERROR(FIND($G$2,Lines!AP21))=TRUE,"",IF('1000'!AP21="","ERR","")) &amp; IF(ISERROR(FIND($H$2,Lines!AP21))=TRUE,"",IF('500DC'!AP21="","ERR","")) &amp; IF(ISERROR(FIND($I$2,Lines!AP21))=TRUE,"",IF('800DC'!AP21="","ERR","")) &amp; IF(ISERROR(FIND($J$2,Lines!AP21))=TRUE,"",IF('1000'!AP21="","ERR",""))</f>
        <v/>
      </c>
      <c r="AQ21" s="108" t="str">
        <f>IF(ISERROR(FIND($B$2,Lines!AQ21))=TRUE,"",IF('750'!AQ21="","ERR","")) &amp; IF(ISERROR(FIND($C$2,Lines!AQ21))=TRUE,"",IF('500'!AQ21="","ERR","")) &amp; IF(ISERROR(FIND($D$2,Lines!AQ21))=TRUE,"",IF('330'!AQ21="","ERR","")) &amp; IF(ISERROR(FIND($E$2,Lines!AQ21))=TRUE,"",IF('220'!AQ21="","ERR",""))&amp; IF(ISERROR(FIND($F$2,Lines!AQ21))=TRUE,"",IF(AND('500DC'!AQ21="",'800DC'!AQ21=""),"ERR","")) &amp; IF(ISERROR(FIND($G$2,Lines!AQ21))=TRUE,"",IF('1000'!AQ21="","ERR","")) &amp; IF(ISERROR(FIND($H$2,Lines!AQ21))=TRUE,"",IF('500DC'!AQ21="","ERR","")) &amp; IF(ISERROR(FIND($I$2,Lines!AQ21))=TRUE,"",IF('800DC'!AQ21="","ERR","")) &amp; IF(ISERROR(FIND($J$2,Lines!AQ21))=TRUE,"",IF('1000'!AQ21="","ERR",""))</f>
        <v/>
      </c>
      <c r="AR21" s="108" t="str">
        <f>IF(ISERROR(FIND($B$2,Lines!AR21))=TRUE,"",IF('750'!AR21="","ERR","")) &amp; IF(ISERROR(FIND($C$2,Lines!AR21))=TRUE,"",IF('500'!AR21="","ERR","")) &amp; IF(ISERROR(FIND($D$2,Lines!AR21))=TRUE,"",IF('330'!AR21="","ERR","")) &amp; IF(ISERROR(FIND($E$2,Lines!AR21))=TRUE,"",IF('220'!AR21="","ERR",""))&amp; IF(ISERROR(FIND($F$2,Lines!AR21))=TRUE,"",IF(AND('500DC'!AR21="",'800DC'!AR21=""),"ERR","")) &amp; IF(ISERROR(FIND($G$2,Lines!AR21))=TRUE,"",IF('1000'!AR21="","ERR","")) &amp; IF(ISERROR(FIND($H$2,Lines!AR21))=TRUE,"",IF('500DC'!AR21="","ERR","")) &amp; IF(ISERROR(FIND($I$2,Lines!AR21))=TRUE,"",IF('800DC'!AR21="","ERR","")) &amp; IF(ISERROR(FIND($J$2,Lines!AR21))=TRUE,"",IF('1000'!AR21="","ERR",""))</f>
        <v/>
      </c>
      <c r="AS21" s="108" t="str">
        <f>IF(ISERROR(FIND($B$2,Lines!AS21))=TRUE,"",IF('750'!AS21="","ERR","")) &amp; IF(ISERROR(FIND($C$2,Lines!AS21))=TRUE,"",IF('500'!AS21="","ERR","")) &amp; IF(ISERROR(FIND($D$2,Lines!AS21))=TRUE,"",IF('330'!AS21="","ERR","")) &amp; IF(ISERROR(FIND($E$2,Lines!AS21))=TRUE,"",IF('220'!AS21="","ERR",""))&amp; IF(ISERROR(FIND($F$2,Lines!AS21))=TRUE,"",IF(AND('500DC'!AS21="",'800DC'!AS21=""),"ERR","")) &amp; IF(ISERROR(FIND($G$2,Lines!AS21))=TRUE,"",IF('1000'!AS21="","ERR","")) &amp; IF(ISERROR(FIND($H$2,Lines!AS21))=TRUE,"",IF('500DC'!AS21="","ERR","")) &amp; IF(ISERROR(FIND($I$2,Lines!AS21))=TRUE,"",IF('800DC'!AS21="","ERR","")) &amp; IF(ISERROR(FIND($J$2,Lines!AS21))=TRUE,"",IF('1000'!AS21="","ERR",""))</f>
        <v/>
      </c>
      <c r="AT21" s="108" t="str">
        <f>IF(ISERROR(FIND($B$2,Lines!AT21))=TRUE,"",IF('750'!AT21="","ERR","")) &amp; IF(ISERROR(FIND($C$2,Lines!AT21))=TRUE,"",IF('500'!AT21="","ERR","")) &amp; IF(ISERROR(FIND($D$2,Lines!AT21))=TRUE,"",IF('330'!AT21="","ERR","")) &amp; IF(ISERROR(FIND($E$2,Lines!AT21))=TRUE,"",IF('220'!AT21="","ERR",""))&amp; IF(ISERROR(FIND($F$2,Lines!AT21))=TRUE,"",IF(AND('500DC'!AT21="",'800DC'!AT21=""),"ERR","")) &amp; IF(ISERROR(FIND($G$2,Lines!AT21))=TRUE,"",IF('1000'!AT21="","ERR","")) &amp; IF(ISERROR(FIND($H$2,Lines!AT21))=TRUE,"",IF('500DC'!AT21="","ERR","")) &amp; IF(ISERROR(FIND($I$2,Lines!AT21))=TRUE,"",IF('800DC'!AT21="","ERR","")) &amp; IF(ISERROR(FIND($J$2,Lines!AT21))=TRUE,"",IF('1000'!AT21="","ERR",""))</f>
        <v/>
      </c>
    </row>
    <row r="22" spans="1:46" ht="20.25" customHeight="1">
      <c r="A22" s="2" t="s">
        <v>70</v>
      </c>
      <c r="B22" s="108" t="str">
        <f>IF(ISERROR(FIND($B$2,Lines!B22))=TRUE,"",IF('750'!B22="","ERR","")) &amp; IF(ISERROR(FIND($C$2,Lines!B22))=TRUE,"",IF('500'!B22="","ERR","")) &amp; IF(ISERROR(FIND($D$2,Lines!B22))=TRUE,"",IF('330'!B22="","ERR","")) &amp; IF(ISERROR(FIND($E$2,Lines!B22))=TRUE,"",IF('220'!B22="","ERR",""))&amp; IF(ISERROR(FIND($F$2,Lines!B22))=TRUE,"",IF(AND('500DC'!B22="",'800DC'!B22=""),"ERR","")) &amp; IF(ISERROR(FIND($G$2,Lines!B22))=TRUE,"",IF('1000'!B22="","ERR","")) &amp; IF(ISERROR(FIND($H$2,Lines!B22))=TRUE,"",IF('500DC'!B22="","ERR","")) &amp; IF(ISERROR(FIND($I$2,Lines!B22))=TRUE,"",IF('800DC'!B22="","ERR","")) &amp; IF(ISERROR(FIND($J$2,Lines!B22))=TRUE,"",IF('1000'!B22="","ERR",""))</f>
        <v/>
      </c>
      <c r="C22" s="108" t="str">
        <f>IF(ISERROR(FIND($B$2,Lines!C22))=TRUE,"",IF('750'!C22="","ERR","")) &amp; IF(ISERROR(FIND($C$2,Lines!C22))=TRUE,"",IF('500'!C22="","ERR","")) &amp; IF(ISERROR(FIND($D$2,Lines!C22))=TRUE,"",IF('330'!C22="","ERR","")) &amp; IF(ISERROR(FIND($E$2,Lines!C22))=TRUE,"",IF('220'!C22="","ERR",""))&amp; IF(ISERROR(FIND($F$2,Lines!C22))=TRUE,"",IF(AND('500DC'!C22="",'800DC'!C22=""),"ERR","")) &amp; IF(ISERROR(FIND($G$2,Lines!C22))=TRUE,"",IF('1000'!C22="","ERR","")) &amp; IF(ISERROR(FIND($H$2,Lines!C22))=TRUE,"",IF('500DC'!C22="","ERR","")) &amp; IF(ISERROR(FIND($I$2,Lines!C22))=TRUE,"",IF('800DC'!C22="","ERR","")) &amp; IF(ISERROR(FIND($J$2,Lines!C22))=TRUE,"",IF('1000'!C22="","ERR",""))</f>
        <v/>
      </c>
      <c r="D22" s="108" t="str">
        <f>IF(ISERROR(FIND($B$2,Lines!D22))=TRUE,"",IF('750'!D22="","ERR","")) &amp; IF(ISERROR(FIND($C$2,Lines!D22))=TRUE,"",IF('500'!D22="","ERR","")) &amp; IF(ISERROR(FIND($D$2,Lines!D22))=TRUE,"",IF('330'!D22="","ERR","")) &amp; IF(ISERROR(FIND($E$2,Lines!D22))=TRUE,"",IF('220'!D22="","ERR",""))&amp; IF(ISERROR(FIND($F$2,Lines!D22))=TRUE,"",IF(AND('500DC'!D22="",'800DC'!D22=""),"ERR","")) &amp; IF(ISERROR(FIND($G$2,Lines!D22))=TRUE,"",IF('1000'!D22="","ERR","")) &amp; IF(ISERROR(FIND($H$2,Lines!D22))=TRUE,"",IF('500DC'!D22="","ERR","")) &amp; IF(ISERROR(FIND($I$2,Lines!D22))=TRUE,"",IF('800DC'!D22="","ERR","")) &amp; IF(ISERROR(FIND($J$2,Lines!D22))=TRUE,"",IF('1000'!D22="","ERR",""))</f>
        <v/>
      </c>
      <c r="E22" s="108" t="str">
        <f>IF(ISERROR(FIND($B$2,Lines!E22))=TRUE,"",IF('750'!E22="","ERR","")) &amp; IF(ISERROR(FIND($C$2,Lines!E22))=TRUE,"",IF('500'!E22="","ERR","")) &amp; IF(ISERROR(FIND($D$2,Lines!E22))=TRUE,"",IF('330'!E22="","ERR","")) &amp; IF(ISERROR(FIND($E$2,Lines!E22))=TRUE,"",IF('220'!E22="","ERR",""))&amp; IF(ISERROR(FIND($F$2,Lines!E22))=TRUE,"",IF(AND('500DC'!E22="",'800DC'!E22=""),"ERR","")) &amp; IF(ISERROR(FIND($G$2,Lines!E22))=TRUE,"",IF('1000'!E22="","ERR","")) &amp; IF(ISERROR(FIND($H$2,Lines!E22))=TRUE,"",IF('500DC'!E22="","ERR","")) &amp; IF(ISERROR(FIND($I$2,Lines!E22))=TRUE,"",IF('800DC'!E22="","ERR","")) &amp; IF(ISERROR(FIND($J$2,Lines!E22))=TRUE,"",IF('1000'!E22="","ERR",""))</f>
        <v/>
      </c>
      <c r="F22" s="108" t="str">
        <f>IF(ISERROR(FIND($B$2,Lines!F22))=TRUE,"",IF('750'!F22="","ERR","")) &amp; IF(ISERROR(FIND($C$2,Lines!F22))=TRUE,"",IF('500'!F22="","ERR","")) &amp; IF(ISERROR(FIND($D$2,Lines!F22))=TRUE,"",IF('330'!F22="","ERR","")) &amp; IF(ISERROR(FIND($E$2,Lines!F22))=TRUE,"",IF('220'!F22="","ERR",""))&amp; IF(ISERROR(FIND($F$2,Lines!F22))=TRUE,"",IF(AND('500DC'!F22="",'800DC'!F22=""),"ERR","")) &amp; IF(ISERROR(FIND($G$2,Lines!F22))=TRUE,"",IF('1000'!F22="","ERR","")) &amp; IF(ISERROR(FIND($H$2,Lines!F22))=TRUE,"",IF('500DC'!F22="","ERR","")) &amp; IF(ISERROR(FIND($I$2,Lines!F22))=TRUE,"",IF('800DC'!F22="","ERR","")) &amp; IF(ISERROR(FIND($J$2,Lines!F22))=TRUE,"",IF('1000'!F22="","ERR",""))</f>
        <v/>
      </c>
      <c r="G22" s="108" t="str">
        <f>IF(ISERROR(FIND($B$2,Lines!G22))=TRUE,"",IF('750'!G22="","ERR","")) &amp; IF(ISERROR(FIND($C$2,Lines!G22))=TRUE,"",IF('500'!G22="","ERR","")) &amp; IF(ISERROR(FIND($D$2,Lines!G22))=TRUE,"",IF('330'!G22="","ERR","")) &amp; IF(ISERROR(FIND($E$2,Lines!G22))=TRUE,"",IF('220'!G22="","ERR",""))&amp; IF(ISERROR(FIND($F$2,Lines!G22))=TRUE,"",IF(AND('500DC'!G22="",'800DC'!G22=""),"ERR","")) &amp; IF(ISERROR(FIND($G$2,Lines!G22))=TRUE,"",IF('1000'!G22="","ERR","")) &amp; IF(ISERROR(FIND($H$2,Lines!G22))=TRUE,"",IF('500DC'!G22="","ERR","")) &amp; IF(ISERROR(FIND($I$2,Lines!G22))=TRUE,"",IF('800DC'!G22="","ERR","")) &amp; IF(ISERROR(FIND($J$2,Lines!G22))=TRUE,"",IF('1000'!G22="","ERR",""))</f>
        <v/>
      </c>
      <c r="H22" s="108" t="str">
        <f>IF(ISERROR(FIND($B$2,Lines!H22))=TRUE,"",IF('750'!H22="","ERR","")) &amp; IF(ISERROR(FIND($C$2,Lines!H22))=TRUE,"",IF('500'!H22="","ERR","")) &amp; IF(ISERROR(FIND($D$2,Lines!H22))=TRUE,"",IF('330'!H22="","ERR","")) &amp; IF(ISERROR(FIND($E$2,Lines!H22))=TRUE,"",IF('220'!H22="","ERR",""))&amp; IF(ISERROR(FIND($F$2,Lines!H22))=TRUE,"",IF(AND('500DC'!H22="",'800DC'!H22=""),"ERR","")) &amp; IF(ISERROR(FIND($G$2,Lines!H22))=TRUE,"",IF('1000'!H22="","ERR","")) &amp; IF(ISERROR(FIND($H$2,Lines!H22))=TRUE,"",IF('500DC'!H22="","ERR","")) &amp; IF(ISERROR(FIND($I$2,Lines!H22))=TRUE,"",IF('800DC'!H22="","ERR","")) &amp; IF(ISERROR(FIND($J$2,Lines!H22))=TRUE,"",IF('1000'!H22="","ERR",""))</f>
        <v/>
      </c>
      <c r="I22" s="108" t="str">
        <f>IF(ISERROR(FIND($B$2,Lines!I22))=TRUE,"",IF('750'!I22="","ERR","")) &amp; IF(ISERROR(FIND($C$2,Lines!I22))=TRUE,"",IF('500'!I22="","ERR","")) &amp; IF(ISERROR(FIND($D$2,Lines!I22))=TRUE,"",IF('330'!I22="","ERR","")) &amp; IF(ISERROR(FIND($E$2,Lines!I22))=TRUE,"",IF('220'!I22="","ERR",""))&amp; IF(ISERROR(FIND($F$2,Lines!I22))=TRUE,"",IF(AND('500DC'!I22="",'800DC'!I22=""),"ERR","")) &amp; IF(ISERROR(FIND($G$2,Lines!I22))=TRUE,"",IF('1000'!I22="","ERR","")) &amp; IF(ISERROR(FIND($H$2,Lines!I22))=TRUE,"",IF('500DC'!I22="","ERR","")) &amp; IF(ISERROR(FIND($I$2,Lines!I22))=TRUE,"",IF('800DC'!I22="","ERR","")) &amp; IF(ISERROR(FIND($J$2,Lines!I22))=TRUE,"",IF('1000'!I22="","ERR",""))</f>
        <v/>
      </c>
      <c r="J22" s="108" t="str">
        <f>IF(ISERROR(FIND($B$2,Lines!J22))=TRUE,"",IF('750'!J22="","ERR","")) &amp; IF(ISERROR(FIND($C$2,Lines!J22))=TRUE,"",IF('500'!J22="","ERR","")) &amp; IF(ISERROR(FIND($D$2,Lines!J22))=TRUE,"",IF('330'!J22="","ERR","")) &amp; IF(ISERROR(FIND($E$2,Lines!J22))=TRUE,"",IF('220'!J22="","ERR",""))&amp; IF(ISERROR(FIND($F$2,Lines!J22))=TRUE,"",IF(AND('500DC'!J22="",'800DC'!J22=""),"ERR","")) &amp; IF(ISERROR(FIND($G$2,Lines!J22))=TRUE,"",IF('1000'!J22="","ERR","")) &amp; IF(ISERROR(FIND($H$2,Lines!J22))=TRUE,"",IF('500DC'!J22="","ERR","")) &amp; IF(ISERROR(FIND($I$2,Lines!J22))=TRUE,"",IF('800DC'!J22="","ERR","")) &amp; IF(ISERROR(FIND($J$2,Lines!J22))=TRUE,"",IF('1000'!J22="","ERR",""))</f>
        <v/>
      </c>
      <c r="K22" s="108" t="str">
        <f>IF(ISERROR(FIND($B$2,Lines!K22))=TRUE,"",IF('750'!K22="","ERR","")) &amp; IF(ISERROR(FIND($C$2,Lines!K22))=TRUE,"",IF('500'!K22="","ERR","")) &amp; IF(ISERROR(FIND($D$2,Lines!K22))=TRUE,"",IF('330'!K22="","ERR","")) &amp; IF(ISERROR(FIND($E$2,Lines!K22))=TRUE,"",IF('220'!K22="","ERR",""))&amp; IF(ISERROR(FIND($F$2,Lines!K22))=TRUE,"",IF(AND('500DC'!K22="",'800DC'!K22=""),"ERR","")) &amp; IF(ISERROR(FIND($G$2,Lines!K22))=TRUE,"",IF('1000'!K22="","ERR","")) &amp; IF(ISERROR(FIND($H$2,Lines!K22))=TRUE,"",IF('500DC'!K22="","ERR","")) &amp; IF(ISERROR(FIND($I$2,Lines!K22))=TRUE,"",IF('800DC'!K22="","ERR","")) &amp; IF(ISERROR(FIND($J$2,Lines!K22))=TRUE,"",IF('1000'!K22="","ERR",""))</f>
        <v/>
      </c>
      <c r="L22" s="108" t="str">
        <f>IF(ISERROR(FIND($B$2,Lines!L22))=TRUE,"",IF('750'!L22="","ERR","")) &amp; IF(ISERROR(FIND($C$2,Lines!L22))=TRUE,"",IF('500'!L22="","ERR","")) &amp; IF(ISERROR(FIND($D$2,Lines!L22))=TRUE,"",IF('330'!L22="","ERR","")) &amp; IF(ISERROR(FIND($E$2,Lines!L22))=TRUE,"",IF('220'!L22="","ERR",""))&amp; IF(ISERROR(FIND($F$2,Lines!L22))=TRUE,"",IF(AND('500DC'!L22="",'800DC'!L22=""),"ERR","")) &amp; IF(ISERROR(FIND($G$2,Lines!L22))=TRUE,"",IF('1000'!L22="","ERR","")) &amp; IF(ISERROR(FIND($H$2,Lines!L22))=TRUE,"",IF('500DC'!L22="","ERR","")) &amp; IF(ISERROR(FIND($I$2,Lines!L22))=TRUE,"",IF('800DC'!L22="","ERR","")) &amp; IF(ISERROR(FIND($J$2,Lines!L22))=TRUE,"",IF('1000'!L22="","ERR",""))</f>
        <v/>
      </c>
      <c r="M22" s="108" t="str">
        <f>IF(ISERROR(FIND($B$2,Lines!M22))=TRUE,"",IF('750'!M22="","ERR","")) &amp; IF(ISERROR(FIND($C$2,Lines!M22))=TRUE,"",IF('500'!M22="","ERR","")) &amp; IF(ISERROR(FIND($D$2,Lines!M22))=TRUE,"",IF('330'!M22="","ERR","")) &amp; IF(ISERROR(FIND($E$2,Lines!M22))=TRUE,"",IF('220'!M22="","ERR",""))&amp; IF(ISERROR(FIND($F$2,Lines!M22))=TRUE,"",IF(AND('500DC'!M22="",'800DC'!M22=""),"ERR","")) &amp; IF(ISERROR(FIND($G$2,Lines!M22))=TRUE,"",IF('1000'!M22="","ERR","")) &amp; IF(ISERROR(FIND($H$2,Lines!M22))=TRUE,"",IF('500DC'!M22="","ERR","")) &amp; IF(ISERROR(FIND($I$2,Lines!M22))=TRUE,"",IF('800DC'!M22="","ERR","")) &amp; IF(ISERROR(FIND($J$2,Lines!M22))=TRUE,"",IF('1000'!M22="","ERR",""))</f>
        <v/>
      </c>
      <c r="N22" s="113" t="str">
        <f>IF(ISERROR(FIND($B$2,Lines!N22))=TRUE,"",IF('750'!N22="","ERR","")) &amp; IF(ISERROR(FIND($C$2,Lines!N22))=TRUE,"",IF('500'!N22="","ERR","")) &amp; IF(ISERROR(FIND($D$2,Lines!N22))=TRUE,"",IF('330'!N22="","ERR","")) &amp; IF(ISERROR(FIND($E$2,Lines!N22))=TRUE,"",IF('220'!N22="","ERR",""))&amp; IF(ISERROR(FIND($F$2,Lines!N22))=TRUE,"",IF(AND('500DC'!N22="",'800DC'!N22=""),"ERR","")) &amp; IF(ISERROR(FIND($G$2,Lines!N22))=TRUE,"",IF('1000'!N22="","ERR","")) &amp; IF(ISERROR(FIND($H$2,Lines!N22))=TRUE,"",IF('500DC'!N22="","ERR","")) &amp; IF(ISERROR(FIND($I$2,Lines!N22))=TRUE,"",IF('800DC'!N22="","ERR","")) &amp; IF(ISERROR(FIND($J$2,Lines!N22))=TRUE,"",IF('1000'!N22="","ERR",""))</f>
        <v/>
      </c>
      <c r="O22" s="117" t="str">
        <f>IF(ISERROR(FIND($B$2,Lines!O22))=TRUE,"",IF('750'!O22="","ERR","")) &amp; IF(ISERROR(FIND($C$2,Lines!O22))=TRUE,"",IF('500'!O22="","ERR","")) &amp; IF(ISERROR(FIND($D$2,Lines!O22))=TRUE,"",IF('330'!O22="","ERR","")) &amp; IF(ISERROR(FIND($E$2,Lines!O22))=TRUE,"",IF('220'!O22="","ERR",""))&amp; IF(ISERROR(FIND($F$2,Lines!O22))=TRUE,"",IF(AND('500DC'!O22="",'800DC'!O22=""),"ERR","")) &amp; IF(ISERROR(FIND($G$2,Lines!O22))=TRUE,"",IF('1000'!O22="","ERR","")) &amp; IF(ISERROR(FIND($H$2,Lines!O22))=TRUE,"",IF('500DC'!O22="","ERR","")) &amp; IF(ISERROR(FIND($I$2,Lines!O22))=TRUE,"",IF('800DC'!O22="","ERR","")) &amp; IF(ISERROR(FIND($J$2,Lines!O22))=TRUE,"",IF('1000'!O22="","ERR",""))</f>
        <v/>
      </c>
      <c r="P22" s="117" t="str">
        <f>IF(ISERROR(FIND($B$2,Lines!P22))=TRUE,"",IF('750'!P22="","ERR","")) &amp; IF(ISERROR(FIND($C$2,Lines!P22))=TRUE,"",IF('500'!P22="","ERR","")) &amp; IF(ISERROR(FIND($D$2,Lines!P22))=TRUE,"",IF('330'!P22="","ERR","")) &amp; IF(ISERROR(FIND($E$2,Lines!P22))=TRUE,"",IF('220'!P22="","ERR",""))&amp; IF(ISERROR(FIND($F$2,Lines!P22))=TRUE,"",IF(AND('500DC'!P22="",'800DC'!P22=""),"ERR","")) &amp; IF(ISERROR(FIND($G$2,Lines!P22))=TRUE,"",IF('1000'!P22="","ERR","")) &amp; IF(ISERROR(FIND($H$2,Lines!P22))=TRUE,"",IF('500DC'!P22="","ERR","")) &amp; IF(ISERROR(FIND($I$2,Lines!P22))=TRUE,"",IF('800DC'!P22="","ERR","")) &amp; IF(ISERROR(FIND($J$2,Lines!P22))=TRUE,"",IF('1000'!P22="","ERR",""))</f>
        <v/>
      </c>
      <c r="Q22" s="117" t="str">
        <f>IF(ISERROR(FIND($B$2,Lines!Q22))=TRUE,"",IF('750'!Q22="","ERR","")) &amp; IF(ISERROR(FIND($C$2,Lines!Q22))=TRUE,"",IF('500'!Q22="","ERR","")) &amp; IF(ISERROR(FIND($D$2,Lines!Q22))=TRUE,"",IF('330'!Q22="","ERR","")) &amp; IF(ISERROR(FIND($E$2,Lines!Q22))=TRUE,"",IF('220'!Q22="","ERR",""))&amp; IF(ISERROR(FIND($F$2,Lines!Q22))=TRUE,"",IF(AND('500DC'!Q22="",'800DC'!Q22=""),"ERR","")) &amp; IF(ISERROR(FIND($G$2,Lines!Q22))=TRUE,"",IF('1000'!Q22="","ERR","")) &amp; IF(ISERROR(FIND($H$2,Lines!Q22))=TRUE,"",IF('500DC'!Q22="","ERR","")) &amp; IF(ISERROR(FIND($I$2,Lines!Q22))=TRUE,"",IF('800DC'!Q22="","ERR","")) &amp; IF(ISERROR(FIND($J$2,Lines!Q22))=TRUE,"",IF('1000'!Q22="","ERR",""))</f>
        <v/>
      </c>
      <c r="R22" s="117" t="str">
        <f>IF(ISERROR(FIND($B$2,Lines!R22))=TRUE,"",IF('750'!R22="","ERR","")) &amp; IF(ISERROR(FIND($C$2,Lines!R22))=TRUE,"",IF('500'!R22="","ERR","")) &amp; IF(ISERROR(FIND($D$2,Lines!R22))=TRUE,"",IF('330'!R22="","ERR","")) &amp; IF(ISERROR(FIND($E$2,Lines!R22))=TRUE,"",IF('220'!R22="","ERR",""))&amp; IF(ISERROR(FIND($F$2,Lines!R22))=TRUE,"",IF(AND('500DC'!R22="",'800DC'!R22=""),"ERR","")) &amp; IF(ISERROR(FIND($G$2,Lines!R22))=TRUE,"",IF('1000'!R22="","ERR","")) &amp; IF(ISERROR(FIND($H$2,Lines!R22))=TRUE,"",IF('500DC'!R22="","ERR","")) &amp; IF(ISERROR(FIND($I$2,Lines!R22))=TRUE,"",IF('800DC'!R22="","ERR","")) &amp; IF(ISERROR(FIND($J$2,Lines!R22))=TRUE,"",IF('1000'!R22="","ERR",""))</f>
        <v/>
      </c>
      <c r="S22" s="117" t="str">
        <f>IF(ISERROR(FIND($B$2,Lines!S22))=TRUE,"",IF('750'!S22="","ERR","")) &amp; IF(ISERROR(FIND($C$2,Lines!S22))=TRUE,"",IF('500'!S22="","ERR","")) &amp; IF(ISERROR(FIND($D$2,Lines!S22))=TRUE,"",IF('330'!S22="","ERR","")) &amp; IF(ISERROR(FIND($E$2,Lines!S22))=TRUE,"",IF('220'!S22="","ERR",""))&amp; IF(ISERROR(FIND($F$2,Lines!S22))=TRUE,"",IF(AND('500DC'!S22="",'800DC'!S22=""),"ERR","")) &amp; IF(ISERROR(FIND($G$2,Lines!S22))=TRUE,"",IF('1000'!S22="","ERR","")) &amp; IF(ISERROR(FIND($H$2,Lines!S22))=TRUE,"",IF('500DC'!S22="","ERR","")) &amp; IF(ISERROR(FIND($I$2,Lines!S22))=TRUE,"",IF('800DC'!S22="","ERR","")) &amp; IF(ISERROR(FIND($J$2,Lines!S22))=TRUE,"",IF('1000'!S22="","ERR",""))</f>
        <v/>
      </c>
      <c r="T22" s="116" t="str">
        <f>IF(ISERROR(FIND($B$2,Lines!T22))=TRUE,"",IF('750'!T22="","ERR","")) &amp; IF(ISERROR(FIND($C$2,Lines!T22))=TRUE,"",IF('500'!T22="","ERR","")) &amp; IF(ISERROR(FIND($D$2,Lines!T22))=TRUE,"",IF('330'!T22="","ERR","")) &amp; IF(ISERROR(FIND($E$2,Lines!T22))=TRUE,"",IF('220'!T22="","ERR",""))&amp; IF(ISERROR(FIND($F$2,Lines!T22))=TRUE,"",IF(AND('500DC'!T22="",'800DC'!T22=""),"ERR","")) &amp; IF(ISERROR(FIND($G$2,Lines!T22))=TRUE,"",IF('1000'!T22="","ERR","")) &amp; IF(ISERROR(FIND($H$2,Lines!T22))=TRUE,"",IF('500DC'!T22="","ERR","")) &amp; IF(ISERROR(FIND($I$2,Lines!T22))=TRUE,"",IF('800DC'!T22="","ERR","")) &amp; IF(ISERROR(FIND($J$2,Lines!T22))=TRUE,"",IF('1000'!T22="","ERR",""))</f>
        <v/>
      </c>
      <c r="U22" s="117" t="str">
        <f>IF(ISERROR(FIND($B$2,Lines!U22))=TRUE,"",IF('750'!U22="","ERR","")) &amp; IF(ISERROR(FIND($C$2,Lines!U22))=TRUE,"",IF('500'!U22="","ERR","")) &amp; IF(ISERROR(FIND($D$2,Lines!U22))=TRUE,"",IF('330'!U22="","ERR","")) &amp; IF(ISERROR(FIND($E$2,Lines!U22))=TRUE,"",IF('220'!U22="","ERR",""))&amp; IF(ISERROR(FIND($F$2,Lines!U22))=TRUE,"",IF(AND('500DC'!U22="",'800DC'!U22=""),"ERR","")) &amp; IF(ISERROR(FIND($G$2,Lines!U22))=TRUE,"",IF('1000'!U22="","ERR","")) &amp; IF(ISERROR(FIND($H$2,Lines!U22))=TRUE,"",IF('500DC'!U22="","ERR","")) &amp; IF(ISERROR(FIND($I$2,Lines!U22))=TRUE,"",IF('800DC'!U22="","ERR","")) &amp; IF(ISERROR(FIND($J$2,Lines!U22))=TRUE,"",IF('1000'!U22="","ERR",""))</f>
        <v/>
      </c>
      <c r="V22" s="118" t="str">
        <f>IF(ISERROR(FIND($B$2,Lines!V22))=TRUE,"",IF('750'!V22="","ERR","")) &amp; IF(ISERROR(FIND($C$2,Lines!V22))=TRUE,"",IF('500'!V22="","ERR","")) &amp; IF(ISERROR(FIND($D$2,Lines!V22))=TRUE,"",IF('330'!V22="","ERR","")) &amp; IF(ISERROR(FIND($E$2,Lines!V22))=TRUE,"",IF('220'!V22="","ERR",""))&amp; IF(ISERROR(FIND($F$2,Lines!V22))=TRUE,"",IF(AND('500DC'!V22="",'800DC'!V22=""),"ERR","")) &amp; IF(ISERROR(FIND($G$2,Lines!V22))=TRUE,"",IF('1000'!V22="","ERR","")) &amp; IF(ISERROR(FIND($H$2,Lines!V22))=TRUE,"",IF('500DC'!V22="","ERR","")) &amp; IF(ISERROR(FIND($I$2,Lines!V22))=TRUE,"",IF('800DC'!V22="","ERR","")) &amp; IF(ISERROR(FIND($J$2,Lines!V22))=TRUE,"",IF('1000'!V22="","ERR",""))</f>
        <v/>
      </c>
      <c r="W22" s="109" t="str">
        <f>IF(ISERROR(FIND($B$2,Lines!W22))=TRUE,"",IF('750'!W22="","ERR","")) &amp; IF(ISERROR(FIND($C$2,Lines!W22))=TRUE,"",IF('500'!W22="","ERR","")) &amp; IF(ISERROR(FIND($D$2,Lines!W22))=TRUE,"",IF('330'!W22="","ERR","")) &amp; IF(ISERROR(FIND($E$2,Lines!W22))=TRUE,"",IF('220'!W22="","ERR",""))&amp; IF(ISERROR(FIND($F$2,Lines!W22))=TRUE,"",IF(AND('500DC'!W22="",'800DC'!W22=""),"ERR","")) &amp; IF(ISERROR(FIND($G$2,Lines!W22))=TRUE,"",IF('1000'!W22="","ERR","")) &amp; IF(ISERROR(FIND($H$2,Lines!W22))=TRUE,"",IF('500DC'!W22="","ERR","")) &amp; IF(ISERROR(FIND($I$2,Lines!W22))=TRUE,"",IF('800DC'!W22="","ERR","")) &amp; IF(ISERROR(FIND($J$2,Lines!W22))=TRUE,"",IF('1000'!W22="","ERR",""))</f>
        <v/>
      </c>
      <c r="X22" s="108" t="str">
        <f>IF(ISERROR(FIND($B$2,Lines!X22))=TRUE,"",IF('750'!X22="","ERR","")) &amp; IF(ISERROR(FIND($C$2,Lines!X22))=TRUE,"",IF('500'!X22="","ERR","")) &amp; IF(ISERROR(FIND($D$2,Lines!X22))=TRUE,"",IF('330'!X22="","ERR","")) &amp; IF(ISERROR(FIND($E$2,Lines!X22))=TRUE,"",IF('220'!X22="","ERR",""))&amp; IF(ISERROR(FIND($F$2,Lines!X22))=TRUE,"",IF(AND('500DC'!X22="",'800DC'!X22=""),"ERR","")) &amp; IF(ISERROR(FIND($G$2,Lines!X22))=TRUE,"",IF('1000'!X22="","ERR","")) &amp; IF(ISERROR(FIND($H$2,Lines!X22))=TRUE,"",IF('500DC'!X22="","ERR","")) &amp; IF(ISERROR(FIND($I$2,Lines!X22))=TRUE,"",IF('800DC'!X22="","ERR","")) &amp; IF(ISERROR(FIND($J$2,Lines!X22))=TRUE,"",IF('1000'!X22="","ERR",""))</f>
        <v/>
      </c>
      <c r="Y22" s="108" t="str">
        <f>IF(ISERROR(FIND($B$2,Lines!Y22))=TRUE,"",IF('750'!Y22="","ERR","")) &amp; IF(ISERROR(FIND($C$2,Lines!Y22))=TRUE,"",IF('500'!Y22="","ERR","")) &amp; IF(ISERROR(FIND($D$2,Lines!Y22))=TRUE,"",IF('330'!Y22="","ERR","")) &amp; IF(ISERROR(FIND($E$2,Lines!Y22))=TRUE,"",IF('220'!Y22="","ERR",""))&amp; IF(ISERROR(FIND($F$2,Lines!Y22))=TRUE,"",IF(AND('500DC'!Y22="",'800DC'!Y22=""),"ERR","")) &amp; IF(ISERROR(FIND($G$2,Lines!Y22))=TRUE,"",IF('1000'!Y22="","ERR","")) &amp; IF(ISERROR(FIND($H$2,Lines!Y22))=TRUE,"",IF('500DC'!Y22="","ERR","")) &amp; IF(ISERROR(FIND($I$2,Lines!Y22))=TRUE,"",IF('800DC'!Y22="","ERR","")) &amp; IF(ISERROR(FIND($J$2,Lines!Y22))=TRUE,"",IF('1000'!Y22="","ERR",""))</f>
        <v/>
      </c>
      <c r="Z22" s="108" t="str">
        <f>IF(ISERROR(FIND($B$2,Lines!Z22))=TRUE,"",IF('750'!Z22="","ERR","")) &amp; IF(ISERROR(FIND($C$2,Lines!Z22))=TRUE,"",IF('500'!Z22="","ERR","")) &amp; IF(ISERROR(FIND($D$2,Lines!Z22))=TRUE,"",IF('330'!Z22="","ERR","")) &amp; IF(ISERROR(FIND($E$2,Lines!Z22))=TRUE,"",IF('220'!Z22="","ERR",""))&amp; IF(ISERROR(FIND($F$2,Lines!Z22))=TRUE,"",IF(AND('500DC'!Z22="",'800DC'!Z22=""),"ERR","")) &amp; IF(ISERROR(FIND($G$2,Lines!Z22))=TRUE,"",IF('1000'!Z22="","ERR","")) &amp; IF(ISERROR(FIND($H$2,Lines!Z22))=TRUE,"",IF('500DC'!Z22="","ERR","")) &amp; IF(ISERROR(FIND($I$2,Lines!Z22))=TRUE,"",IF('800DC'!Z22="","ERR","")) &amp; IF(ISERROR(FIND($J$2,Lines!Z22))=TRUE,"",IF('1000'!Z22="","ERR",""))</f>
        <v/>
      </c>
      <c r="AA22" s="108" t="str">
        <f>IF(ISERROR(FIND($B$2,Lines!AA22))=TRUE,"",IF('750'!AA22="","ERR","")) &amp; IF(ISERROR(FIND($C$2,Lines!AA22))=TRUE,"",IF('500'!AA22="","ERR","")) &amp; IF(ISERROR(FIND($D$2,Lines!AA22))=TRUE,"",IF('330'!AA22="","ERR","")) &amp; IF(ISERROR(FIND($E$2,Lines!AA22))=TRUE,"",IF('220'!AA22="","ERR",""))&amp; IF(ISERROR(FIND($F$2,Lines!AA22))=TRUE,"",IF(AND('500DC'!AA22="",'800DC'!AA22=""),"ERR","")) &amp; IF(ISERROR(FIND($G$2,Lines!AA22))=TRUE,"",IF('1000'!AA22="","ERR","")) &amp; IF(ISERROR(FIND($H$2,Lines!AA22))=TRUE,"",IF('500DC'!AA22="","ERR","")) &amp; IF(ISERROR(FIND($I$2,Lines!AA22))=TRUE,"",IF('800DC'!AA22="","ERR","")) &amp; IF(ISERROR(FIND($J$2,Lines!AA22))=TRUE,"",IF('1000'!AA22="","ERR",""))</f>
        <v/>
      </c>
      <c r="AB22" s="108" t="str">
        <f>IF(ISERROR(FIND($B$2,Lines!AB22))=TRUE,"",IF('750'!AB22="","ERR","")) &amp; IF(ISERROR(FIND($C$2,Lines!AB22))=TRUE,"",IF('500'!AB22="","ERR","")) &amp; IF(ISERROR(FIND($D$2,Lines!AB22))=TRUE,"",IF('330'!AB22="","ERR","")) &amp; IF(ISERROR(FIND($E$2,Lines!AB22))=TRUE,"",IF('220'!AB22="","ERR",""))&amp; IF(ISERROR(FIND($F$2,Lines!AB22))=TRUE,"",IF(AND('500DC'!AB22="",'800DC'!AB22=""),"ERR","")) &amp; IF(ISERROR(FIND($G$2,Lines!AB22))=TRUE,"",IF('1000'!AB22="","ERR","")) &amp; IF(ISERROR(FIND($H$2,Lines!AB22))=TRUE,"",IF('500DC'!AB22="","ERR","")) &amp; IF(ISERROR(FIND($I$2,Lines!AB22))=TRUE,"",IF('800DC'!AB22="","ERR","")) &amp; IF(ISERROR(FIND($J$2,Lines!AB22))=TRUE,"",IF('1000'!AB22="","ERR",""))</f>
        <v/>
      </c>
      <c r="AC22" s="108" t="str">
        <f>IF(ISERROR(FIND($B$2,Lines!AC22))=TRUE,"",IF('750'!AC22="","ERR","")) &amp; IF(ISERROR(FIND($C$2,Lines!AC22))=TRUE,"",IF('500'!AC22="","ERR","")) &amp; IF(ISERROR(FIND($D$2,Lines!AC22))=TRUE,"",IF('330'!AC22="","ERR","")) &amp; IF(ISERROR(FIND($E$2,Lines!AC22))=TRUE,"",IF('220'!AC22="","ERR",""))&amp; IF(ISERROR(FIND($F$2,Lines!AC22))=TRUE,"",IF(AND('500DC'!AC22="",'800DC'!AC22=""),"ERR","")) &amp; IF(ISERROR(FIND($G$2,Lines!AC22))=TRUE,"",IF('1000'!AC22="","ERR","")) &amp; IF(ISERROR(FIND($H$2,Lines!AC22))=TRUE,"",IF('500DC'!AC22="","ERR","")) &amp; IF(ISERROR(FIND($I$2,Lines!AC22))=TRUE,"",IF('800DC'!AC22="","ERR","")) &amp; IF(ISERROR(FIND($J$2,Lines!AC22))=TRUE,"",IF('1000'!AC22="","ERR",""))</f>
        <v/>
      </c>
      <c r="AD22" s="108" t="str">
        <f>IF(ISERROR(FIND($B$2,Lines!AD22))=TRUE,"",IF('750'!AD22="","ERR","")) &amp; IF(ISERROR(FIND($C$2,Lines!AD22))=TRUE,"",IF('500'!AD22="","ERR","")) &amp; IF(ISERROR(FIND($D$2,Lines!AD22))=TRUE,"",IF('330'!AD22="","ERR","")) &amp; IF(ISERROR(FIND($E$2,Lines!AD22))=TRUE,"",IF('220'!AD22="","ERR",""))&amp; IF(ISERROR(FIND($F$2,Lines!AD22))=TRUE,"",IF(AND('500DC'!AD22="",'800DC'!AD22=""),"ERR","")) &amp; IF(ISERROR(FIND($G$2,Lines!AD22))=TRUE,"",IF('1000'!AD22="","ERR","")) &amp; IF(ISERROR(FIND($H$2,Lines!AD22))=TRUE,"",IF('500DC'!AD22="","ERR","")) &amp; IF(ISERROR(FIND($I$2,Lines!AD22))=TRUE,"",IF('800DC'!AD22="","ERR","")) &amp; IF(ISERROR(FIND($J$2,Lines!AD22))=TRUE,"",IF('1000'!AD22="","ERR",""))</f>
        <v/>
      </c>
      <c r="AE22" s="108" t="str">
        <f>IF(ISERROR(FIND($B$2,Lines!AE22))=TRUE,"",IF('750'!AE22="","ERR","")) &amp; IF(ISERROR(FIND($C$2,Lines!AE22))=TRUE,"",IF('500'!AE22="","ERR","")) &amp; IF(ISERROR(FIND($D$2,Lines!AE22))=TRUE,"",IF('330'!AE22="","ERR","")) &amp; IF(ISERROR(FIND($E$2,Lines!AE22))=TRUE,"",IF('220'!AE22="","ERR",""))&amp; IF(ISERROR(FIND($F$2,Lines!AE22))=TRUE,"",IF(AND('500DC'!AE22="",'800DC'!AE22=""),"ERR","")) &amp; IF(ISERROR(FIND($G$2,Lines!AE22))=TRUE,"",IF('1000'!AE22="","ERR","")) &amp; IF(ISERROR(FIND($H$2,Lines!AE22))=TRUE,"",IF('500DC'!AE22="","ERR","")) &amp; IF(ISERROR(FIND($I$2,Lines!AE22))=TRUE,"",IF('800DC'!AE22="","ERR","")) &amp; IF(ISERROR(FIND($J$2,Lines!AE22))=TRUE,"",IF('1000'!AE22="","ERR",""))</f>
        <v/>
      </c>
      <c r="AF22" s="108" t="str">
        <f>IF(ISERROR(FIND($B$2,Lines!AF22))=TRUE,"",IF('750'!AF22="","ERR","")) &amp; IF(ISERROR(FIND($C$2,Lines!AF22))=TRUE,"",IF('500'!AF22="","ERR","")) &amp; IF(ISERROR(FIND($D$2,Lines!AF22))=TRUE,"",IF('330'!AF22="","ERR","")) &amp; IF(ISERROR(FIND($E$2,Lines!AF22))=TRUE,"",IF('220'!AF22="","ERR",""))&amp; IF(ISERROR(FIND($F$2,Lines!AF22))=TRUE,"",IF(AND('500DC'!AF22="",'800DC'!AF22=""),"ERR","")) &amp; IF(ISERROR(FIND($G$2,Lines!AF22))=TRUE,"",IF('1000'!AF22="","ERR","")) &amp; IF(ISERROR(FIND($H$2,Lines!AF22))=TRUE,"",IF('500DC'!AF22="","ERR","")) &amp; IF(ISERROR(FIND($I$2,Lines!AF22))=TRUE,"",IF('800DC'!AF22="","ERR","")) &amp; IF(ISERROR(FIND($J$2,Lines!AF22))=TRUE,"",IF('1000'!AF22="","ERR",""))</f>
        <v/>
      </c>
      <c r="AG22" s="108" t="str">
        <f>IF(ISERROR(FIND($B$2,Lines!AG22))=TRUE,"",IF('750'!AG22="","ERR","")) &amp; IF(ISERROR(FIND($C$2,Lines!AG22))=TRUE,"",IF('500'!AG22="","ERR","")) &amp; IF(ISERROR(FIND($D$2,Lines!AG22))=TRUE,"",IF('330'!AG22="","ERR","")) &amp; IF(ISERROR(FIND($E$2,Lines!AG22))=TRUE,"",IF('220'!AG22="","ERR",""))&amp; IF(ISERROR(FIND($F$2,Lines!AG22))=TRUE,"",IF(AND('500DC'!AG22="",'800DC'!AG22=""),"ERR","")) &amp; IF(ISERROR(FIND($G$2,Lines!AG22))=TRUE,"",IF('1000'!AG22="","ERR","")) &amp; IF(ISERROR(FIND($H$2,Lines!AG22))=TRUE,"",IF('500DC'!AG22="","ERR","")) &amp; IF(ISERROR(FIND($I$2,Lines!AG22))=TRUE,"",IF('800DC'!AG22="","ERR","")) &amp; IF(ISERROR(FIND($J$2,Lines!AG22))=TRUE,"",IF('1000'!AG22="","ERR",""))</f>
        <v/>
      </c>
      <c r="AH22" s="108" t="str">
        <f>IF(ISERROR(FIND($B$2,Lines!AH22))=TRUE,"",IF('750'!AH22="","ERR","")) &amp; IF(ISERROR(FIND($C$2,Lines!AH22))=TRUE,"",IF('500'!AH22="","ERR","")) &amp; IF(ISERROR(FIND($D$2,Lines!AH22))=TRUE,"",IF('330'!AH22="","ERR","")) &amp; IF(ISERROR(FIND($E$2,Lines!AH22))=TRUE,"",IF('220'!AH22="","ERR",""))&amp; IF(ISERROR(FIND($F$2,Lines!AH22))=TRUE,"",IF(AND('500DC'!AH22="",'800DC'!AH22=""),"ERR","")) &amp; IF(ISERROR(FIND($G$2,Lines!AH22))=TRUE,"",IF('1000'!AH22="","ERR","")) &amp; IF(ISERROR(FIND($H$2,Lines!AH22))=TRUE,"",IF('500DC'!AH22="","ERR","")) &amp; IF(ISERROR(FIND($I$2,Lines!AH22))=TRUE,"",IF('800DC'!AH22="","ERR","")) &amp; IF(ISERROR(FIND($J$2,Lines!AH22))=TRUE,"",IF('1000'!AH22="","ERR",""))</f>
        <v/>
      </c>
      <c r="AI22" s="108" t="str">
        <f>IF(ISERROR(FIND($B$2,Lines!AI22))=TRUE,"",IF('750'!AI22="","ERR","")) &amp; IF(ISERROR(FIND($C$2,Lines!AI22))=TRUE,"",IF('500'!AI22="","ERR","")) &amp; IF(ISERROR(FIND($D$2,Lines!AI22))=TRUE,"",IF('330'!AI22="","ERR","")) &amp; IF(ISERROR(FIND($E$2,Lines!AI22))=TRUE,"",IF('220'!AI22="","ERR",""))&amp; IF(ISERROR(FIND($F$2,Lines!AI22))=TRUE,"",IF(AND('500DC'!AI22="",'800DC'!AI22=""),"ERR","")) &amp; IF(ISERROR(FIND($G$2,Lines!AI22))=TRUE,"",IF('1000'!AI22="","ERR","")) &amp; IF(ISERROR(FIND($H$2,Lines!AI22))=TRUE,"",IF('500DC'!AI22="","ERR","")) &amp; IF(ISERROR(FIND($I$2,Lines!AI22))=TRUE,"",IF('800DC'!AI22="","ERR","")) &amp; IF(ISERROR(FIND($J$2,Lines!AI22))=TRUE,"",IF('1000'!AI22="","ERR",""))</f>
        <v/>
      </c>
      <c r="AJ22" s="108" t="str">
        <f>IF(ISERROR(FIND($B$2,Lines!AJ22))=TRUE,"",IF('750'!AJ22="","ERR","")) &amp; IF(ISERROR(FIND($C$2,Lines!AJ22))=TRUE,"",IF('500'!AJ22="","ERR","")) &amp; IF(ISERROR(FIND($D$2,Lines!AJ22))=TRUE,"",IF('330'!AJ22="","ERR","")) &amp; IF(ISERROR(FIND($E$2,Lines!AJ22))=TRUE,"",IF('220'!AJ22="","ERR",""))&amp; IF(ISERROR(FIND($F$2,Lines!AJ22))=TRUE,"",IF(AND('500DC'!AJ22="",'800DC'!AJ22=""),"ERR","")) &amp; IF(ISERROR(FIND($G$2,Lines!AJ22))=TRUE,"",IF('1000'!AJ22="","ERR","")) &amp; IF(ISERROR(FIND($H$2,Lines!AJ22))=TRUE,"",IF('500DC'!AJ22="","ERR","")) &amp; IF(ISERROR(FIND($I$2,Lines!AJ22))=TRUE,"",IF('800DC'!AJ22="","ERR","")) &amp; IF(ISERROR(FIND($J$2,Lines!AJ22))=TRUE,"",IF('1000'!AJ22="","ERR",""))</f>
        <v/>
      </c>
      <c r="AK22" s="108" t="str">
        <f>IF(ISERROR(FIND($B$2,Lines!AK22))=TRUE,"",IF('750'!AK22="","ERR","")) &amp; IF(ISERROR(FIND($C$2,Lines!AK22))=TRUE,"",IF('500'!AK22="","ERR","")) &amp; IF(ISERROR(FIND($D$2,Lines!AK22))=TRUE,"",IF('330'!AK22="","ERR","")) &amp; IF(ISERROR(FIND($E$2,Lines!AK22))=TRUE,"",IF('220'!AK22="","ERR",""))&amp; IF(ISERROR(FIND($F$2,Lines!AK22))=TRUE,"",IF(AND('500DC'!AK22="",'800DC'!AK22=""),"ERR","")) &amp; IF(ISERROR(FIND($G$2,Lines!AK22))=TRUE,"",IF('1000'!AK22="","ERR","")) &amp; IF(ISERROR(FIND($H$2,Lines!AK22))=TRUE,"",IF('500DC'!AK22="","ERR","")) &amp; IF(ISERROR(FIND($I$2,Lines!AK22))=TRUE,"",IF('800DC'!AK22="","ERR","")) &amp; IF(ISERROR(FIND($J$2,Lines!AK22))=TRUE,"",IF('1000'!AK22="","ERR",""))</f>
        <v/>
      </c>
      <c r="AL22" s="108" t="str">
        <f>IF(ISERROR(FIND($B$2,Lines!AL22))=TRUE,"",IF('750'!AL22="","ERR","")) &amp; IF(ISERROR(FIND($C$2,Lines!AL22))=TRUE,"",IF('500'!AL22="","ERR","")) &amp; IF(ISERROR(FIND($D$2,Lines!AL22))=TRUE,"",IF('330'!AL22="","ERR","")) &amp; IF(ISERROR(FIND($E$2,Lines!AL22))=TRUE,"",IF('220'!AL22="","ERR",""))&amp; IF(ISERROR(FIND($F$2,Lines!AL22))=TRUE,"",IF(AND('500DC'!AL22="",'800DC'!AL22=""),"ERR","")) &amp; IF(ISERROR(FIND($G$2,Lines!AL22))=TRUE,"",IF('1000'!AL22="","ERR","")) &amp; IF(ISERROR(FIND($H$2,Lines!AL22))=TRUE,"",IF('500DC'!AL22="","ERR","")) &amp; IF(ISERROR(FIND($I$2,Lines!AL22))=TRUE,"",IF('800DC'!AL22="","ERR","")) &amp; IF(ISERROR(FIND($J$2,Lines!AL22))=TRUE,"",IF('1000'!AL22="","ERR",""))</f>
        <v/>
      </c>
      <c r="AM22" s="108" t="str">
        <f>IF(ISERROR(FIND($B$2,Lines!AM22))=TRUE,"",IF('750'!AM22="","ERR","")) &amp; IF(ISERROR(FIND($C$2,Lines!AM22))=TRUE,"",IF('500'!AM22="","ERR","")) &amp; IF(ISERROR(FIND($D$2,Lines!AM22))=TRUE,"",IF('330'!AM22="","ERR","")) &amp; IF(ISERROR(FIND($E$2,Lines!AM22))=TRUE,"",IF('220'!AM22="","ERR",""))&amp; IF(ISERROR(FIND($F$2,Lines!AM22))=TRUE,"",IF(AND('500DC'!AM22="",'800DC'!AM22=""),"ERR","")) &amp; IF(ISERROR(FIND($G$2,Lines!AM22))=TRUE,"",IF('1000'!AM22="","ERR","")) &amp; IF(ISERROR(FIND($H$2,Lines!AM22))=TRUE,"",IF('500DC'!AM22="","ERR","")) &amp; IF(ISERROR(FIND($I$2,Lines!AM22))=TRUE,"",IF('800DC'!AM22="","ERR","")) &amp; IF(ISERROR(FIND($J$2,Lines!AM22))=TRUE,"",IF('1000'!AM22="","ERR",""))</f>
        <v/>
      </c>
      <c r="AN22" s="108" t="str">
        <f>IF(ISERROR(FIND($B$2,Lines!AN22))=TRUE,"",IF('750'!AN22="","ERR","")) &amp; IF(ISERROR(FIND($C$2,Lines!AN22))=TRUE,"",IF('500'!AN22="","ERR","")) &amp; IF(ISERROR(FIND($D$2,Lines!AN22))=TRUE,"",IF('330'!AN22="","ERR","")) &amp; IF(ISERROR(FIND($E$2,Lines!AN22))=TRUE,"",IF('220'!AN22="","ERR",""))&amp; IF(ISERROR(FIND($F$2,Lines!AN22))=TRUE,"",IF(AND('500DC'!AN22="",'800DC'!AN22=""),"ERR","")) &amp; IF(ISERROR(FIND($G$2,Lines!AN22))=TRUE,"",IF('1000'!AN22="","ERR","")) &amp; IF(ISERROR(FIND($H$2,Lines!AN22))=TRUE,"",IF('500DC'!AN22="","ERR","")) &amp; IF(ISERROR(FIND($I$2,Lines!AN22))=TRUE,"",IF('800DC'!AN22="","ERR","")) &amp; IF(ISERROR(FIND($J$2,Lines!AN22))=TRUE,"",IF('1000'!AN22="","ERR",""))</f>
        <v/>
      </c>
      <c r="AO22" s="108" t="str">
        <f>IF(ISERROR(FIND($B$2,Lines!AO22))=TRUE,"",IF('750'!AO22="","ERR","")) &amp; IF(ISERROR(FIND($C$2,Lines!AO22))=TRUE,"",IF('500'!AO22="","ERR","")) &amp; IF(ISERROR(FIND($D$2,Lines!AO22))=TRUE,"",IF('330'!AO22="","ERR","")) &amp; IF(ISERROR(FIND($E$2,Lines!AO22))=TRUE,"",IF('220'!AO22="","ERR",""))&amp; IF(ISERROR(FIND($F$2,Lines!AO22))=TRUE,"",IF(AND('500DC'!AO22="",'800DC'!AO22=""),"ERR","")) &amp; IF(ISERROR(FIND($G$2,Lines!AO22))=TRUE,"",IF('1000'!AO22="","ERR","")) &amp; IF(ISERROR(FIND($H$2,Lines!AO22))=TRUE,"",IF('500DC'!AO22="","ERR","")) &amp; IF(ISERROR(FIND($I$2,Lines!AO22))=TRUE,"",IF('800DC'!AO22="","ERR","")) &amp; IF(ISERROR(FIND($J$2,Lines!AO22))=TRUE,"",IF('1000'!AO22="","ERR",""))</f>
        <v/>
      </c>
      <c r="AP22" s="108" t="str">
        <f>IF(ISERROR(FIND($B$2,Lines!AP22))=TRUE,"",IF('750'!AP22="","ERR","")) &amp; IF(ISERROR(FIND($C$2,Lines!AP22))=TRUE,"",IF('500'!AP22="","ERR","")) &amp; IF(ISERROR(FIND($D$2,Lines!AP22))=TRUE,"",IF('330'!AP22="","ERR","")) &amp; IF(ISERROR(FIND($E$2,Lines!AP22))=TRUE,"",IF('220'!AP22="","ERR",""))&amp; IF(ISERROR(FIND($F$2,Lines!AP22))=TRUE,"",IF(AND('500DC'!AP22="",'800DC'!AP22=""),"ERR","")) &amp; IF(ISERROR(FIND($G$2,Lines!AP22))=TRUE,"",IF('1000'!AP22="","ERR","")) &amp; IF(ISERROR(FIND($H$2,Lines!AP22))=TRUE,"",IF('500DC'!AP22="","ERR","")) &amp; IF(ISERROR(FIND($I$2,Lines!AP22))=TRUE,"",IF('800DC'!AP22="","ERR","")) &amp; IF(ISERROR(FIND($J$2,Lines!AP22))=TRUE,"",IF('1000'!AP22="","ERR",""))</f>
        <v/>
      </c>
      <c r="AQ22" s="108" t="str">
        <f>IF(ISERROR(FIND($B$2,Lines!AQ22))=TRUE,"",IF('750'!AQ22="","ERR","")) &amp; IF(ISERROR(FIND($C$2,Lines!AQ22))=TRUE,"",IF('500'!AQ22="","ERR","")) &amp; IF(ISERROR(FIND($D$2,Lines!AQ22))=TRUE,"",IF('330'!AQ22="","ERR","")) &amp; IF(ISERROR(FIND($E$2,Lines!AQ22))=TRUE,"",IF('220'!AQ22="","ERR",""))&amp; IF(ISERROR(FIND($F$2,Lines!AQ22))=TRUE,"",IF(AND('500DC'!AQ22="",'800DC'!AQ22=""),"ERR","")) &amp; IF(ISERROR(FIND($G$2,Lines!AQ22))=TRUE,"",IF('1000'!AQ22="","ERR","")) &amp; IF(ISERROR(FIND($H$2,Lines!AQ22))=TRUE,"",IF('500DC'!AQ22="","ERR","")) &amp; IF(ISERROR(FIND($I$2,Lines!AQ22))=TRUE,"",IF('800DC'!AQ22="","ERR","")) &amp; IF(ISERROR(FIND($J$2,Lines!AQ22))=TRUE,"",IF('1000'!AQ22="","ERR",""))</f>
        <v/>
      </c>
      <c r="AR22" s="108" t="str">
        <f>IF(ISERROR(FIND($B$2,Lines!AR22))=TRUE,"",IF('750'!AR22="","ERR","")) &amp; IF(ISERROR(FIND($C$2,Lines!AR22))=TRUE,"",IF('500'!AR22="","ERR","")) &amp; IF(ISERROR(FIND($D$2,Lines!AR22))=TRUE,"",IF('330'!AR22="","ERR","")) &amp; IF(ISERROR(FIND($E$2,Lines!AR22))=TRUE,"",IF('220'!AR22="","ERR",""))&amp; IF(ISERROR(FIND($F$2,Lines!AR22))=TRUE,"",IF(AND('500DC'!AR22="",'800DC'!AR22=""),"ERR","")) &amp; IF(ISERROR(FIND($G$2,Lines!AR22))=TRUE,"",IF('1000'!AR22="","ERR","")) &amp; IF(ISERROR(FIND($H$2,Lines!AR22))=TRUE,"",IF('500DC'!AR22="","ERR","")) &amp; IF(ISERROR(FIND($I$2,Lines!AR22))=TRUE,"",IF('800DC'!AR22="","ERR","")) &amp; IF(ISERROR(FIND($J$2,Lines!AR22))=TRUE,"",IF('1000'!AR22="","ERR",""))</f>
        <v/>
      </c>
      <c r="AS22" s="108" t="str">
        <f>IF(ISERROR(FIND($B$2,Lines!AS22))=TRUE,"",IF('750'!AS22="","ERR","")) &amp; IF(ISERROR(FIND($C$2,Lines!AS22))=TRUE,"",IF('500'!AS22="","ERR","")) &amp; IF(ISERROR(FIND($D$2,Lines!AS22))=TRUE,"",IF('330'!AS22="","ERR","")) &amp; IF(ISERROR(FIND($E$2,Lines!AS22))=TRUE,"",IF('220'!AS22="","ERR",""))&amp; IF(ISERROR(FIND($F$2,Lines!AS22))=TRUE,"",IF(AND('500DC'!AS22="",'800DC'!AS22=""),"ERR","")) &amp; IF(ISERROR(FIND($G$2,Lines!AS22))=TRUE,"",IF('1000'!AS22="","ERR","")) &amp; IF(ISERROR(FIND($H$2,Lines!AS22))=TRUE,"",IF('500DC'!AS22="","ERR","")) &amp; IF(ISERROR(FIND($I$2,Lines!AS22))=TRUE,"",IF('800DC'!AS22="","ERR","")) &amp; IF(ISERROR(FIND($J$2,Lines!AS22))=TRUE,"",IF('1000'!AS22="","ERR",""))</f>
        <v/>
      </c>
      <c r="AT22" s="108" t="str">
        <f>IF(ISERROR(FIND($B$2,Lines!AT22))=TRUE,"",IF('750'!AT22="","ERR","")) &amp; IF(ISERROR(FIND($C$2,Lines!AT22))=TRUE,"",IF('500'!AT22="","ERR","")) &amp; IF(ISERROR(FIND($D$2,Lines!AT22))=TRUE,"",IF('330'!AT22="","ERR","")) &amp; IF(ISERROR(FIND($E$2,Lines!AT22))=TRUE,"",IF('220'!AT22="","ERR",""))&amp; IF(ISERROR(FIND($F$2,Lines!AT22))=TRUE,"",IF(AND('500DC'!AT22="",'800DC'!AT22=""),"ERR","")) &amp; IF(ISERROR(FIND($G$2,Lines!AT22))=TRUE,"",IF('1000'!AT22="","ERR","")) &amp; IF(ISERROR(FIND($H$2,Lines!AT22))=TRUE,"",IF('500DC'!AT22="","ERR","")) &amp; IF(ISERROR(FIND($I$2,Lines!AT22))=TRUE,"",IF('800DC'!AT22="","ERR","")) &amp; IF(ISERROR(FIND($J$2,Lines!AT22))=TRUE,"",IF('1000'!AT22="","ERR",""))</f>
        <v/>
      </c>
    </row>
    <row r="23" spans="1:46" ht="20.25" customHeight="1">
      <c r="A23" s="2" t="s">
        <v>71</v>
      </c>
      <c r="B23" s="108" t="str">
        <f>IF(ISERROR(FIND($B$2,Lines!B23))=TRUE,"",IF('750'!B23="","ERR","")) &amp; IF(ISERROR(FIND($C$2,Lines!B23))=TRUE,"",IF('500'!B23="","ERR","")) &amp; IF(ISERROR(FIND($D$2,Lines!B23))=TRUE,"",IF('330'!B23="","ERR","")) &amp; IF(ISERROR(FIND($E$2,Lines!B23))=TRUE,"",IF('220'!B23="","ERR",""))&amp; IF(ISERROR(FIND($F$2,Lines!B23))=TRUE,"",IF(AND('500DC'!B23="",'800DC'!B23=""),"ERR","")) &amp; IF(ISERROR(FIND($G$2,Lines!B23))=TRUE,"",IF('1000'!B23="","ERR","")) &amp; IF(ISERROR(FIND($H$2,Lines!B23))=TRUE,"",IF('500DC'!B23="","ERR","")) &amp; IF(ISERROR(FIND($I$2,Lines!B23))=TRUE,"",IF('800DC'!B23="","ERR","")) &amp; IF(ISERROR(FIND($J$2,Lines!B23))=TRUE,"",IF('1000'!B23="","ERR",""))</f>
        <v/>
      </c>
      <c r="C23" s="108" t="str">
        <f>IF(ISERROR(FIND($B$2,Lines!C23))=TRUE,"",IF('750'!C23="","ERR","")) &amp; IF(ISERROR(FIND($C$2,Lines!C23))=TRUE,"",IF('500'!C23="","ERR","")) &amp; IF(ISERROR(FIND($D$2,Lines!C23))=TRUE,"",IF('330'!C23="","ERR","")) &amp; IF(ISERROR(FIND($E$2,Lines!C23))=TRUE,"",IF('220'!C23="","ERR",""))&amp; IF(ISERROR(FIND($F$2,Lines!C23))=TRUE,"",IF(AND('500DC'!C23="",'800DC'!C23=""),"ERR","")) &amp; IF(ISERROR(FIND($G$2,Lines!C23))=TRUE,"",IF('1000'!C23="","ERR","")) &amp; IF(ISERROR(FIND($H$2,Lines!C23))=TRUE,"",IF('500DC'!C23="","ERR","")) &amp; IF(ISERROR(FIND($I$2,Lines!C23))=TRUE,"",IF('800DC'!C23="","ERR","")) &amp; IF(ISERROR(FIND($J$2,Lines!C23))=TRUE,"",IF('1000'!C23="","ERR",""))</f>
        <v/>
      </c>
      <c r="D23" s="108" t="str">
        <f>IF(ISERROR(FIND($B$2,Lines!D23))=TRUE,"",IF('750'!D23="","ERR","")) &amp; IF(ISERROR(FIND($C$2,Lines!D23))=TRUE,"",IF('500'!D23="","ERR","")) &amp; IF(ISERROR(FIND($D$2,Lines!D23))=TRUE,"",IF('330'!D23="","ERR","")) &amp; IF(ISERROR(FIND($E$2,Lines!D23))=TRUE,"",IF('220'!D23="","ERR",""))&amp; IF(ISERROR(FIND($F$2,Lines!D23))=TRUE,"",IF(AND('500DC'!D23="",'800DC'!D23=""),"ERR","")) &amp; IF(ISERROR(FIND($G$2,Lines!D23))=TRUE,"",IF('1000'!D23="","ERR","")) &amp; IF(ISERROR(FIND($H$2,Lines!D23))=TRUE,"",IF('500DC'!D23="","ERR","")) &amp; IF(ISERROR(FIND($I$2,Lines!D23))=TRUE,"",IF('800DC'!D23="","ERR","")) &amp; IF(ISERROR(FIND($J$2,Lines!D23))=TRUE,"",IF('1000'!D23="","ERR",""))</f>
        <v/>
      </c>
      <c r="E23" s="108" t="str">
        <f>IF(ISERROR(FIND($B$2,Lines!E23))=TRUE,"",IF('750'!E23="","ERR","")) &amp; IF(ISERROR(FIND($C$2,Lines!E23))=TRUE,"",IF('500'!E23="","ERR","")) &amp; IF(ISERROR(FIND($D$2,Lines!E23))=TRUE,"",IF('330'!E23="","ERR","")) &amp; IF(ISERROR(FIND($E$2,Lines!E23))=TRUE,"",IF('220'!E23="","ERR",""))&amp; IF(ISERROR(FIND($F$2,Lines!E23))=TRUE,"",IF(AND('500DC'!E23="",'800DC'!E23=""),"ERR","")) &amp; IF(ISERROR(FIND($G$2,Lines!E23))=TRUE,"",IF('1000'!E23="","ERR","")) &amp; IF(ISERROR(FIND($H$2,Lines!E23))=TRUE,"",IF('500DC'!E23="","ERR","")) &amp; IF(ISERROR(FIND($I$2,Lines!E23))=TRUE,"",IF('800DC'!E23="","ERR","")) &amp; IF(ISERROR(FIND($J$2,Lines!E23))=TRUE,"",IF('1000'!E23="","ERR",""))</f>
        <v/>
      </c>
      <c r="F23" s="108" t="str">
        <f>IF(ISERROR(FIND($B$2,Lines!F23))=TRUE,"",IF('750'!F23="","ERR","")) &amp; IF(ISERROR(FIND($C$2,Lines!F23))=TRUE,"",IF('500'!F23="","ERR","")) &amp; IF(ISERROR(FIND($D$2,Lines!F23))=TRUE,"",IF('330'!F23="","ERR","")) &amp; IF(ISERROR(FIND($E$2,Lines!F23))=TRUE,"",IF('220'!F23="","ERR",""))&amp; IF(ISERROR(FIND($F$2,Lines!F23))=TRUE,"",IF(AND('500DC'!F23="",'800DC'!F23=""),"ERR","")) &amp; IF(ISERROR(FIND($G$2,Lines!F23))=TRUE,"",IF('1000'!F23="","ERR","")) &amp; IF(ISERROR(FIND($H$2,Lines!F23))=TRUE,"",IF('500DC'!F23="","ERR","")) &amp; IF(ISERROR(FIND($I$2,Lines!F23))=TRUE,"",IF('800DC'!F23="","ERR","")) &amp; IF(ISERROR(FIND($J$2,Lines!F23))=TRUE,"",IF('1000'!F23="","ERR",""))</f>
        <v/>
      </c>
      <c r="G23" s="108" t="str">
        <f>IF(ISERROR(FIND($B$2,Lines!G23))=TRUE,"",IF('750'!G23="","ERR","")) &amp; IF(ISERROR(FIND($C$2,Lines!G23))=TRUE,"",IF('500'!G23="","ERR","")) &amp; IF(ISERROR(FIND($D$2,Lines!G23))=TRUE,"",IF('330'!G23="","ERR","")) &amp; IF(ISERROR(FIND($E$2,Lines!G23))=TRUE,"",IF('220'!G23="","ERR",""))&amp; IF(ISERROR(FIND($F$2,Lines!G23))=TRUE,"",IF(AND('500DC'!G23="",'800DC'!G23=""),"ERR","")) &amp; IF(ISERROR(FIND($G$2,Lines!G23))=TRUE,"",IF('1000'!G23="","ERR","")) &amp; IF(ISERROR(FIND($H$2,Lines!G23))=TRUE,"",IF('500DC'!G23="","ERR","")) &amp; IF(ISERROR(FIND($I$2,Lines!G23))=TRUE,"",IF('800DC'!G23="","ERR","")) &amp; IF(ISERROR(FIND($J$2,Lines!G23))=TRUE,"",IF('1000'!G23="","ERR",""))</f>
        <v/>
      </c>
      <c r="H23" s="108" t="str">
        <f>IF(ISERROR(FIND($B$2,Lines!H23))=TRUE,"",IF('750'!H23="","ERR","")) &amp; IF(ISERROR(FIND($C$2,Lines!H23))=TRUE,"",IF('500'!H23="","ERR","")) &amp; IF(ISERROR(FIND($D$2,Lines!H23))=TRUE,"",IF('330'!H23="","ERR","")) &amp; IF(ISERROR(FIND($E$2,Lines!H23))=TRUE,"",IF('220'!H23="","ERR",""))&amp; IF(ISERROR(FIND($F$2,Lines!H23))=TRUE,"",IF(AND('500DC'!H23="",'800DC'!H23=""),"ERR","")) &amp; IF(ISERROR(FIND($G$2,Lines!H23))=TRUE,"",IF('1000'!H23="","ERR","")) &amp; IF(ISERROR(FIND($H$2,Lines!H23))=TRUE,"",IF('500DC'!H23="","ERR","")) &amp; IF(ISERROR(FIND($I$2,Lines!H23))=TRUE,"",IF('800DC'!H23="","ERR","")) &amp; IF(ISERROR(FIND($J$2,Lines!H23))=TRUE,"",IF('1000'!H23="","ERR",""))</f>
        <v/>
      </c>
      <c r="I23" s="108" t="str">
        <f>IF(ISERROR(FIND($B$2,Lines!I23))=TRUE,"",IF('750'!I23="","ERR","")) &amp; IF(ISERROR(FIND($C$2,Lines!I23))=TRUE,"",IF('500'!I23="","ERR","")) &amp; IF(ISERROR(FIND($D$2,Lines!I23))=TRUE,"",IF('330'!I23="","ERR","")) &amp; IF(ISERROR(FIND($E$2,Lines!I23))=TRUE,"",IF('220'!I23="","ERR",""))&amp; IF(ISERROR(FIND($F$2,Lines!I23))=TRUE,"",IF(AND('500DC'!I23="",'800DC'!I23=""),"ERR","")) &amp; IF(ISERROR(FIND($G$2,Lines!I23))=TRUE,"",IF('1000'!I23="","ERR","")) &amp; IF(ISERROR(FIND($H$2,Lines!I23))=TRUE,"",IF('500DC'!I23="","ERR","")) &amp; IF(ISERROR(FIND($I$2,Lines!I23))=TRUE,"",IF('800DC'!I23="","ERR","")) &amp; IF(ISERROR(FIND($J$2,Lines!I23))=TRUE,"",IF('1000'!I23="","ERR",""))</f>
        <v/>
      </c>
      <c r="J23" s="108" t="str">
        <f>IF(ISERROR(FIND($B$2,Lines!J23))=TRUE,"",IF('750'!J23="","ERR","")) &amp; IF(ISERROR(FIND($C$2,Lines!J23))=TRUE,"",IF('500'!J23="","ERR","")) &amp; IF(ISERROR(FIND($D$2,Lines!J23))=TRUE,"",IF('330'!J23="","ERR","")) &amp; IF(ISERROR(FIND($E$2,Lines!J23))=TRUE,"",IF('220'!J23="","ERR",""))&amp; IF(ISERROR(FIND($F$2,Lines!J23))=TRUE,"",IF(AND('500DC'!J23="",'800DC'!J23=""),"ERR","")) &amp; IF(ISERROR(FIND($G$2,Lines!J23))=TRUE,"",IF('1000'!J23="","ERR","")) &amp; IF(ISERROR(FIND($H$2,Lines!J23))=TRUE,"",IF('500DC'!J23="","ERR","")) &amp; IF(ISERROR(FIND($I$2,Lines!J23))=TRUE,"",IF('800DC'!J23="","ERR","")) &amp; IF(ISERROR(FIND($J$2,Lines!J23))=TRUE,"",IF('1000'!J23="","ERR",""))</f>
        <v/>
      </c>
      <c r="K23" s="108" t="str">
        <f>IF(ISERROR(FIND($B$2,Lines!K23))=TRUE,"",IF('750'!K23="","ERR","")) &amp; IF(ISERROR(FIND($C$2,Lines!K23))=TRUE,"",IF('500'!K23="","ERR","")) &amp; IF(ISERROR(FIND($D$2,Lines!K23))=TRUE,"",IF('330'!K23="","ERR","")) &amp; IF(ISERROR(FIND($E$2,Lines!K23))=TRUE,"",IF('220'!K23="","ERR",""))&amp; IF(ISERROR(FIND($F$2,Lines!K23))=TRUE,"",IF(AND('500DC'!K23="",'800DC'!K23=""),"ERR","")) &amp; IF(ISERROR(FIND($G$2,Lines!K23))=TRUE,"",IF('1000'!K23="","ERR","")) &amp; IF(ISERROR(FIND($H$2,Lines!K23))=TRUE,"",IF('500DC'!K23="","ERR","")) &amp; IF(ISERROR(FIND($I$2,Lines!K23))=TRUE,"",IF('800DC'!K23="","ERR","")) &amp; IF(ISERROR(FIND($J$2,Lines!K23))=TRUE,"",IF('1000'!K23="","ERR",""))</f>
        <v/>
      </c>
      <c r="L23" s="108" t="str">
        <f>IF(ISERROR(FIND($B$2,Lines!L23))=TRUE,"",IF('750'!L23="","ERR","")) &amp; IF(ISERROR(FIND($C$2,Lines!L23))=TRUE,"",IF('500'!L23="","ERR","")) &amp; IF(ISERROR(FIND($D$2,Lines!L23))=TRUE,"",IF('330'!L23="","ERR","")) &amp; IF(ISERROR(FIND($E$2,Lines!L23))=TRUE,"",IF('220'!L23="","ERR",""))&amp; IF(ISERROR(FIND($F$2,Lines!L23))=TRUE,"",IF(AND('500DC'!L23="",'800DC'!L23=""),"ERR","")) &amp; IF(ISERROR(FIND($G$2,Lines!L23))=TRUE,"",IF('1000'!L23="","ERR","")) &amp; IF(ISERROR(FIND($H$2,Lines!L23))=TRUE,"",IF('500DC'!L23="","ERR","")) &amp; IF(ISERROR(FIND($I$2,Lines!L23))=TRUE,"",IF('800DC'!L23="","ERR","")) &amp; IF(ISERROR(FIND($J$2,Lines!L23))=TRUE,"",IF('1000'!L23="","ERR",""))</f>
        <v/>
      </c>
      <c r="M23" s="108" t="str">
        <f>IF(ISERROR(FIND($B$2,Lines!M23))=TRUE,"",IF('750'!M23="","ERR","")) &amp; IF(ISERROR(FIND($C$2,Lines!M23))=TRUE,"",IF('500'!M23="","ERR","")) &amp; IF(ISERROR(FIND($D$2,Lines!M23))=TRUE,"",IF('330'!M23="","ERR","")) &amp; IF(ISERROR(FIND($E$2,Lines!M23))=TRUE,"",IF('220'!M23="","ERR",""))&amp; IF(ISERROR(FIND($F$2,Lines!M23))=TRUE,"",IF(AND('500DC'!M23="",'800DC'!M23=""),"ERR","")) &amp; IF(ISERROR(FIND($G$2,Lines!M23))=TRUE,"",IF('1000'!M23="","ERR","")) &amp; IF(ISERROR(FIND($H$2,Lines!M23))=TRUE,"",IF('500DC'!M23="","ERR","")) &amp; IF(ISERROR(FIND($I$2,Lines!M23))=TRUE,"",IF('800DC'!M23="","ERR","")) &amp; IF(ISERROR(FIND($J$2,Lines!M23))=TRUE,"",IF('1000'!M23="","ERR",""))</f>
        <v/>
      </c>
      <c r="N23" s="113" t="str">
        <f>IF(ISERROR(FIND($B$2,Lines!N23))=TRUE,"",IF('750'!N23="","ERR","")) &amp; IF(ISERROR(FIND($C$2,Lines!N23))=TRUE,"",IF('500'!N23="","ERR","")) &amp; IF(ISERROR(FIND($D$2,Lines!N23))=TRUE,"",IF('330'!N23="","ERR","")) &amp; IF(ISERROR(FIND($E$2,Lines!N23))=TRUE,"",IF('220'!N23="","ERR",""))&amp; IF(ISERROR(FIND($F$2,Lines!N23))=TRUE,"",IF(AND('500DC'!N23="",'800DC'!N23=""),"ERR","")) &amp; IF(ISERROR(FIND($G$2,Lines!N23))=TRUE,"",IF('1000'!N23="","ERR","")) &amp; IF(ISERROR(FIND($H$2,Lines!N23))=TRUE,"",IF('500DC'!N23="","ERR","")) &amp; IF(ISERROR(FIND($I$2,Lines!N23))=TRUE,"",IF('800DC'!N23="","ERR","")) &amp; IF(ISERROR(FIND($J$2,Lines!N23))=TRUE,"",IF('1000'!N23="","ERR",""))</f>
        <v/>
      </c>
      <c r="O23" s="117" t="str">
        <f>IF(ISERROR(FIND($B$2,Lines!O23))=TRUE,"",IF('750'!O23="","ERR","")) &amp; IF(ISERROR(FIND($C$2,Lines!O23))=TRUE,"",IF('500'!O23="","ERR","")) &amp; IF(ISERROR(FIND($D$2,Lines!O23))=TRUE,"",IF('330'!O23="","ERR","")) &amp; IF(ISERROR(FIND($E$2,Lines!O23))=TRUE,"",IF('220'!O23="","ERR",""))&amp; IF(ISERROR(FIND($F$2,Lines!O23))=TRUE,"",IF(AND('500DC'!O23="",'800DC'!O23=""),"ERR","")) &amp; IF(ISERROR(FIND($G$2,Lines!O23))=TRUE,"",IF('1000'!O23="","ERR","")) &amp; IF(ISERROR(FIND($H$2,Lines!O23))=TRUE,"",IF('500DC'!O23="","ERR","")) &amp; IF(ISERROR(FIND($I$2,Lines!O23))=TRUE,"",IF('800DC'!O23="","ERR","")) &amp; IF(ISERROR(FIND($J$2,Lines!O23))=TRUE,"",IF('1000'!O23="","ERR",""))</f>
        <v/>
      </c>
      <c r="P23" s="117" t="str">
        <f>IF(ISERROR(FIND($B$2,Lines!P23))=TRUE,"",IF('750'!P23="","ERR","")) &amp; IF(ISERROR(FIND($C$2,Lines!P23))=TRUE,"",IF('500'!P23="","ERR","")) &amp; IF(ISERROR(FIND($D$2,Lines!P23))=TRUE,"",IF('330'!P23="","ERR","")) &amp; IF(ISERROR(FIND($E$2,Lines!P23))=TRUE,"",IF('220'!P23="","ERR",""))&amp; IF(ISERROR(FIND($F$2,Lines!P23))=TRUE,"",IF(AND('500DC'!P23="",'800DC'!P23=""),"ERR","")) &amp; IF(ISERROR(FIND($G$2,Lines!P23))=TRUE,"",IF('1000'!P23="","ERR","")) &amp; IF(ISERROR(FIND($H$2,Lines!P23))=TRUE,"",IF('500DC'!P23="","ERR","")) &amp; IF(ISERROR(FIND($I$2,Lines!P23))=TRUE,"",IF('800DC'!P23="","ERR","")) &amp; IF(ISERROR(FIND($J$2,Lines!P23))=TRUE,"",IF('1000'!P23="","ERR",""))</f>
        <v/>
      </c>
      <c r="Q23" s="117" t="str">
        <f>IF(ISERROR(FIND($B$2,Lines!Q23))=TRUE,"",IF('750'!Q23="","ERR","")) &amp; IF(ISERROR(FIND($C$2,Lines!Q23))=TRUE,"",IF('500'!Q23="","ERR","")) &amp; IF(ISERROR(FIND($D$2,Lines!Q23))=TRUE,"",IF('330'!Q23="","ERR","")) &amp; IF(ISERROR(FIND($E$2,Lines!Q23))=TRUE,"",IF('220'!Q23="","ERR",""))&amp; IF(ISERROR(FIND($F$2,Lines!Q23))=TRUE,"",IF(AND('500DC'!Q23="",'800DC'!Q23=""),"ERR","")) &amp; IF(ISERROR(FIND($G$2,Lines!Q23))=TRUE,"",IF('1000'!Q23="","ERR","")) &amp; IF(ISERROR(FIND($H$2,Lines!Q23))=TRUE,"",IF('500DC'!Q23="","ERR","")) &amp; IF(ISERROR(FIND($I$2,Lines!Q23))=TRUE,"",IF('800DC'!Q23="","ERR","")) &amp; IF(ISERROR(FIND($J$2,Lines!Q23))=TRUE,"",IF('1000'!Q23="","ERR",""))</f>
        <v/>
      </c>
      <c r="R23" s="117" t="str">
        <f>IF(ISERROR(FIND($B$2,Lines!R23))=TRUE,"",IF('750'!R23="","ERR","")) &amp; IF(ISERROR(FIND($C$2,Lines!R23))=TRUE,"",IF('500'!R23="","ERR","")) &amp; IF(ISERROR(FIND($D$2,Lines!R23))=TRUE,"",IF('330'!R23="","ERR","")) &amp; IF(ISERROR(FIND($E$2,Lines!R23))=TRUE,"",IF('220'!R23="","ERR",""))&amp; IF(ISERROR(FIND($F$2,Lines!R23))=TRUE,"",IF(AND('500DC'!R23="",'800DC'!R23=""),"ERR","")) &amp; IF(ISERROR(FIND($G$2,Lines!R23))=TRUE,"",IF('1000'!R23="","ERR","")) &amp; IF(ISERROR(FIND($H$2,Lines!R23))=TRUE,"",IF('500DC'!R23="","ERR","")) &amp; IF(ISERROR(FIND($I$2,Lines!R23))=TRUE,"",IF('800DC'!R23="","ERR","")) &amp; IF(ISERROR(FIND($J$2,Lines!R23))=TRUE,"",IF('1000'!R23="","ERR",""))</f>
        <v/>
      </c>
      <c r="S23" s="117" t="str">
        <f>IF(ISERROR(FIND($B$2,Lines!S23))=TRUE,"",IF('750'!S23="","ERR","")) &amp; IF(ISERROR(FIND($C$2,Lines!S23))=TRUE,"",IF('500'!S23="","ERR","")) &amp; IF(ISERROR(FIND($D$2,Lines!S23))=TRUE,"",IF('330'!S23="","ERR","")) &amp; IF(ISERROR(FIND($E$2,Lines!S23))=TRUE,"",IF('220'!S23="","ERR",""))&amp; IF(ISERROR(FIND($F$2,Lines!S23))=TRUE,"",IF(AND('500DC'!S23="",'800DC'!S23=""),"ERR","")) &amp; IF(ISERROR(FIND($G$2,Lines!S23))=TRUE,"",IF('1000'!S23="","ERR","")) &amp; IF(ISERROR(FIND($H$2,Lines!S23))=TRUE,"",IF('500DC'!S23="","ERR","")) &amp; IF(ISERROR(FIND($I$2,Lines!S23))=TRUE,"",IF('800DC'!S23="","ERR","")) &amp; IF(ISERROR(FIND($J$2,Lines!S23))=TRUE,"",IF('1000'!S23="","ERR",""))</f>
        <v/>
      </c>
      <c r="T23" s="117" t="str">
        <f>IF(ISERROR(FIND($B$2,Lines!T23))=TRUE,"",IF('750'!T23="","ERR","")) &amp; IF(ISERROR(FIND($C$2,Lines!T23))=TRUE,"",IF('500'!T23="","ERR","")) &amp; IF(ISERROR(FIND($D$2,Lines!T23))=TRUE,"",IF('330'!T23="","ERR","")) &amp; IF(ISERROR(FIND($E$2,Lines!T23))=TRUE,"",IF('220'!T23="","ERR",""))&amp; IF(ISERROR(FIND($F$2,Lines!T23))=TRUE,"",IF(AND('500DC'!T23="",'800DC'!T23=""),"ERR","")) &amp; IF(ISERROR(FIND($G$2,Lines!T23))=TRUE,"",IF('1000'!T23="","ERR","")) &amp; IF(ISERROR(FIND($H$2,Lines!T23))=TRUE,"",IF('500DC'!T23="","ERR","")) &amp; IF(ISERROR(FIND($I$2,Lines!T23))=TRUE,"",IF('800DC'!T23="","ERR","")) &amp; IF(ISERROR(FIND($J$2,Lines!T23))=TRUE,"",IF('1000'!T23="","ERR",""))</f>
        <v/>
      </c>
      <c r="U23" s="116" t="str">
        <f>IF(ISERROR(FIND($B$2,Lines!U23))=TRUE,"",IF('750'!U23="","ERR","")) &amp; IF(ISERROR(FIND($C$2,Lines!U23))=TRUE,"",IF('500'!U23="","ERR","")) &amp; IF(ISERROR(FIND($D$2,Lines!U23))=TRUE,"",IF('330'!U23="","ERR","")) &amp; IF(ISERROR(FIND($E$2,Lines!U23))=TRUE,"",IF('220'!U23="","ERR",""))&amp; IF(ISERROR(FIND($F$2,Lines!U23))=TRUE,"",IF(AND('500DC'!U23="",'800DC'!U23=""),"ERR","")) &amp; IF(ISERROR(FIND($G$2,Lines!U23))=TRUE,"",IF('1000'!U23="","ERR","")) &amp; IF(ISERROR(FIND($H$2,Lines!U23))=TRUE,"",IF('500DC'!U23="","ERR","")) &amp; IF(ISERROR(FIND($I$2,Lines!U23))=TRUE,"",IF('800DC'!U23="","ERR","")) &amp; IF(ISERROR(FIND($J$2,Lines!U23))=TRUE,"",IF('1000'!U23="","ERR",""))</f>
        <v/>
      </c>
      <c r="V23" s="118" t="str">
        <f>IF(ISERROR(FIND($B$2,Lines!V23))=TRUE,"",IF('750'!V23="","ERR","")) &amp; IF(ISERROR(FIND($C$2,Lines!V23))=TRUE,"",IF('500'!V23="","ERR","")) &amp; IF(ISERROR(FIND($D$2,Lines!V23))=TRUE,"",IF('330'!V23="","ERR","")) &amp; IF(ISERROR(FIND($E$2,Lines!V23))=TRUE,"",IF('220'!V23="","ERR",""))&amp; IF(ISERROR(FIND($F$2,Lines!V23))=TRUE,"",IF(AND('500DC'!V23="",'800DC'!V23=""),"ERR","")) &amp; IF(ISERROR(FIND($G$2,Lines!V23))=TRUE,"",IF('1000'!V23="","ERR","")) &amp; IF(ISERROR(FIND($H$2,Lines!V23))=TRUE,"",IF('500DC'!V23="","ERR","")) &amp; IF(ISERROR(FIND($I$2,Lines!V23))=TRUE,"",IF('800DC'!V23="","ERR","")) &amp; IF(ISERROR(FIND($J$2,Lines!V23))=TRUE,"",IF('1000'!V23="","ERR",""))</f>
        <v/>
      </c>
      <c r="W23" s="109" t="str">
        <f>IF(ISERROR(FIND($B$2,Lines!W23))=TRUE,"",IF('750'!W23="","ERR","")) &amp; IF(ISERROR(FIND($C$2,Lines!W23))=TRUE,"",IF('500'!W23="","ERR","")) &amp; IF(ISERROR(FIND($D$2,Lines!W23))=TRUE,"",IF('330'!W23="","ERR","")) &amp; IF(ISERROR(FIND($E$2,Lines!W23))=TRUE,"",IF('220'!W23="","ERR",""))&amp; IF(ISERROR(FIND($F$2,Lines!W23))=TRUE,"",IF(AND('500DC'!W23="",'800DC'!W23=""),"ERR","")) &amp; IF(ISERROR(FIND($G$2,Lines!W23))=TRUE,"",IF('1000'!W23="","ERR","")) &amp; IF(ISERROR(FIND($H$2,Lines!W23))=TRUE,"",IF('500DC'!W23="","ERR","")) &amp; IF(ISERROR(FIND($I$2,Lines!W23))=TRUE,"",IF('800DC'!W23="","ERR","")) &amp; IF(ISERROR(FIND($J$2,Lines!W23))=TRUE,"",IF('1000'!W23="","ERR",""))</f>
        <v/>
      </c>
      <c r="X23" s="108" t="str">
        <f>IF(ISERROR(FIND($B$2,Lines!X23))=TRUE,"",IF('750'!X23="","ERR","")) &amp; IF(ISERROR(FIND($C$2,Lines!X23))=TRUE,"",IF('500'!X23="","ERR","")) &amp; IF(ISERROR(FIND($D$2,Lines!X23))=TRUE,"",IF('330'!X23="","ERR","")) &amp; IF(ISERROR(FIND($E$2,Lines!X23))=TRUE,"",IF('220'!X23="","ERR",""))&amp; IF(ISERROR(FIND($F$2,Lines!X23))=TRUE,"",IF(AND('500DC'!X23="",'800DC'!X23=""),"ERR","")) &amp; IF(ISERROR(FIND($G$2,Lines!X23))=TRUE,"",IF('1000'!X23="","ERR","")) &amp; IF(ISERROR(FIND($H$2,Lines!X23))=TRUE,"",IF('500DC'!X23="","ERR","")) &amp; IF(ISERROR(FIND($I$2,Lines!X23))=TRUE,"",IF('800DC'!X23="","ERR","")) &amp; IF(ISERROR(FIND($J$2,Lines!X23))=TRUE,"",IF('1000'!X23="","ERR",""))</f>
        <v/>
      </c>
      <c r="Y23" s="108" t="str">
        <f>IF(ISERROR(FIND($B$2,Lines!Y23))=TRUE,"",IF('750'!Y23="","ERR","")) &amp; IF(ISERROR(FIND($C$2,Lines!Y23))=TRUE,"",IF('500'!Y23="","ERR","")) &amp; IF(ISERROR(FIND($D$2,Lines!Y23))=TRUE,"",IF('330'!Y23="","ERR","")) &amp; IF(ISERROR(FIND($E$2,Lines!Y23))=TRUE,"",IF('220'!Y23="","ERR",""))&amp; IF(ISERROR(FIND($F$2,Lines!Y23))=TRUE,"",IF(AND('500DC'!Y23="",'800DC'!Y23=""),"ERR","")) &amp; IF(ISERROR(FIND($G$2,Lines!Y23))=TRUE,"",IF('1000'!Y23="","ERR","")) &amp; IF(ISERROR(FIND($H$2,Lines!Y23))=TRUE,"",IF('500DC'!Y23="","ERR","")) &amp; IF(ISERROR(FIND($I$2,Lines!Y23))=TRUE,"",IF('800DC'!Y23="","ERR","")) &amp; IF(ISERROR(FIND($J$2,Lines!Y23))=TRUE,"",IF('1000'!Y23="","ERR",""))</f>
        <v/>
      </c>
      <c r="Z23" s="108" t="str">
        <f>IF(ISERROR(FIND($B$2,Lines!Z23))=TRUE,"",IF('750'!Z23="","ERR","")) &amp; IF(ISERROR(FIND($C$2,Lines!Z23))=TRUE,"",IF('500'!Z23="","ERR","")) &amp; IF(ISERROR(FIND($D$2,Lines!Z23))=TRUE,"",IF('330'!Z23="","ERR","")) &amp; IF(ISERROR(FIND($E$2,Lines!Z23))=TRUE,"",IF('220'!Z23="","ERR",""))&amp; IF(ISERROR(FIND($F$2,Lines!Z23))=TRUE,"",IF(AND('500DC'!Z23="",'800DC'!Z23=""),"ERR","")) &amp; IF(ISERROR(FIND($G$2,Lines!Z23))=TRUE,"",IF('1000'!Z23="","ERR","")) &amp; IF(ISERROR(FIND($H$2,Lines!Z23))=TRUE,"",IF('500DC'!Z23="","ERR","")) &amp; IF(ISERROR(FIND($I$2,Lines!Z23))=TRUE,"",IF('800DC'!Z23="","ERR","")) &amp; IF(ISERROR(FIND($J$2,Lines!Z23))=TRUE,"",IF('1000'!Z23="","ERR",""))</f>
        <v/>
      </c>
      <c r="AA23" s="108" t="str">
        <f>IF(ISERROR(FIND($B$2,Lines!AA23))=TRUE,"",IF('750'!AA23="","ERR","")) &amp; IF(ISERROR(FIND($C$2,Lines!AA23))=TRUE,"",IF('500'!AA23="","ERR","")) &amp; IF(ISERROR(FIND($D$2,Lines!AA23))=TRUE,"",IF('330'!AA23="","ERR","")) &amp; IF(ISERROR(FIND($E$2,Lines!AA23))=TRUE,"",IF('220'!AA23="","ERR",""))&amp; IF(ISERROR(FIND($F$2,Lines!AA23))=TRUE,"",IF(AND('500DC'!AA23="",'800DC'!AA23=""),"ERR","")) &amp; IF(ISERROR(FIND($G$2,Lines!AA23))=TRUE,"",IF('1000'!AA23="","ERR","")) &amp; IF(ISERROR(FIND($H$2,Lines!AA23))=TRUE,"",IF('500DC'!AA23="","ERR","")) &amp; IF(ISERROR(FIND($I$2,Lines!AA23))=TRUE,"",IF('800DC'!AA23="","ERR","")) &amp; IF(ISERROR(FIND($J$2,Lines!AA23))=TRUE,"",IF('1000'!AA23="","ERR",""))</f>
        <v/>
      </c>
      <c r="AB23" s="108" t="str">
        <f>IF(ISERROR(FIND($B$2,Lines!AB23))=TRUE,"",IF('750'!AB23="","ERR","")) &amp; IF(ISERROR(FIND($C$2,Lines!AB23))=TRUE,"",IF('500'!AB23="","ERR","")) &amp; IF(ISERROR(FIND($D$2,Lines!AB23))=TRUE,"",IF('330'!AB23="","ERR","")) &amp; IF(ISERROR(FIND($E$2,Lines!AB23))=TRUE,"",IF('220'!AB23="","ERR",""))&amp; IF(ISERROR(FIND($F$2,Lines!AB23))=TRUE,"",IF(AND('500DC'!AB23="",'800DC'!AB23=""),"ERR","")) &amp; IF(ISERROR(FIND($G$2,Lines!AB23))=TRUE,"",IF('1000'!AB23="","ERR","")) &amp; IF(ISERROR(FIND($H$2,Lines!AB23))=TRUE,"",IF('500DC'!AB23="","ERR","")) &amp; IF(ISERROR(FIND($I$2,Lines!AB23))=TRUE,"",IF('800DC'!AB23="","ERR","")) &amp; IF(ISERROR(FIND($J$2,Lines!AB23))=TRUE,"",IF('1000'!AB23="","ERR",""))</f>
        <v/>
      </c>
      <c r="AC23" s="108" t="str">
        <f>IF(ISERROR(FIND($B$2,Lines!AC23))=TRUE,"",IF('750'!AC23="","ERR","")) &amp; IF(ISERROR(FIND($C$2,Lines!AC23))=TRUE,"",IF('500'!AC23="","ERR","")) &amp; IF(ISERROR(FIND($D$2,Lines!AC23))=TRUE,"",IF('330'!AC23="","ERR","")) &amp; IF(ISERROR(FIND($E$2,Lines!AC23))=TRUE,"",IF('220'!AC23="","ERR",""))&amp; IF(ISERROR(FIND($F$2,Lines!AC23))=TRUE,"",IF(AND('500DC'!AC23="",'800DC'!AC23=""),"ERR","")) &amp; IF(ISERROR(FIND($G$2,Lines!AC23))=TRUE,"",IF('1000'!AC23="","ERR","")) &amp; IF(ISERROR(FIND($H$2,Lines!AC23))=TRUE,"",IF('500DC'!AC23="","ERR","")) &amp; IF(ISERROR(FIND($I$2,Lines!AC23))=TRUE,"",IF('800DC'!AC23="","ERR","")) &amp; IF(ISERROR(FIND($J$2,Lines!AC23))=TRUE,"",IF('1000'!AC23="","ERR",""))</f>
        <v/>
      </c>
      <c r="AD23" s="108" t="str">
        <f>IF(ISERROR(FIND($B$2,Lines!AD23))=TRUE,"",IF('750'!AD23="","ERR","")) &amp; IF(ISERROR(FIND($C$2,Lines!AD23))=TRUE,"",IF('500'!AD23="","ERR","")) &amp; IF(ISERROR(FIND($D$2,Lines!AD23))=TRUE,"",IF('330'!AD23="","ERR","")) &amp; IF(ISERROR(FIND($E$2,Lines!AD23))=TRUE,"",IF('220'!AD23="","ERR",""))&amp; IF(ISERROR(FIND($F$2,Lines!AD23))=TRUE,"",IF(AND('500DC'!AD23="",'800DC'!AD23=""),"ERR","")) &amp; IF(ISERROR(FIND($G$2,Lines!AD23))=TRUE,"",IF('1000'!AD23="","ERR","")) &amp; IF(ISERROR(FIND($H$2,Lines!AD23))=TRUE,"",IF('500DC'!AD23="","ERR","")) &amp; IF(ISERROR(FIND($I$2,Lines!AD23))=TRUE,"",IF('800DC'!AD23="","ERR","")) &amp; IF(ISERROR(FIND($J$2,Lines!AD23))=TRUE,"",IF('1000'!AD23="","ERR",""))</f>
        <v/>
      </c>
      <c r="AE23" s="108" t="str">
        <f>IF(ISERROR(FIND($B$2,Lines!AE23))=TRUE,"",IF('750'!AE23="","ERR","")) &amp; IF(ISERROR(FIND($C$2,Lines!AE23))=TRUE,"",IF('500'!AE23="","ERR","")) &amp; IF(ISERROR(FIND($D$2,Lines!AE23))=TRUE,"",IF('330'!AE23="","ERR","")) &amp; IF(ISERROR(FIND($E$2,Lines!AE23))=TRUE,"",IF('220'!AE23="","ERR",""))&amp; IF(ISERROR(FIND($F$2,Lines!AE23))=TRUE,"",IF(AND('500DC'!AE23="",'800DC'!AE23=""),"ERR","")) &amp; IF(ISERROR(FIND($G$2,Lines!AE23))=TRUE,"",IF('1000'!AE23="","ERR","")) &amp; IF(ISERROR(FIND($H$2,Lines!AE23))=TRUE,"",IF('500DC'!AE23="","ERR","")) &amp; IF(ISERROR(FIND($I$2,Lines!AE23))=TRUE,"",IF('800DC'!AE23="","ERR","")) &amp; IF(ISERROR(FIND($J$2,Lines!AE23))=TRUE,"",IF('1000'!AE23="","ERR",""))</f>
        <v/>
      </c>
      <c r="AF23" s="108" t="str">
        <f>IF(ISERROR(FIND($B$2,Lines!AF23))=TRUE,"",IF('750'!AF23="","ERR","")) &amp; IF(ISERROR(FIND($C$2,Lines!AF23))=TRUE,"",IF('500'!AF23="","ERR","")) &amp; IF(ISERROR(FIND($D$2,Lines!AF23))=TRUE,"",IF('330'!AF23="","ERR","")) &amp; IF(ISERROR(FIND($E$2,Lines!AF23))=TRUE,"",IF('220'!AF23="","ERR",""))&amp; IF(ISERROR(FIND($F$2,Lines!AF23))=TRUE,"",IF(AND('500DC'!AF23="",'800DC'!AF23=""),"ERR","")) &amp; IF(ISERROR(FIND($G$2,Lines!AF23))=TRUE,"",IF('1000'!AF23="","ERR","")) &amp; IF(ISERROR(FIND($H$2,Lines!AF23))=TRUE,"",IF('500DC'!AF23="","ERR","")) &amp; IF(ISERROR(FIND($I$2,Lines!AF23))=TRUE,"",IF('800DC'!AF23="","ERR","")) &amp; IF(ISERROR(FIND($J$2,Lines!AF23))=TRUE,"",IF('1000'!AF23="","ERR",""))</f>
        <v/>
      </c>
      <c r="AG23" s="108" t="str">
        <f>IF(ISERROR(FIND($B$2,Lines!AG23))=TRUE,"",IF('750'!AG23="","ERR","")) &amp; IF(ISERROR(FIND($C$2,Lines!AG23))=TRUE,"",IF('500'!AG23="","ERR","")) &amp; IF(ISERROR(FIND($D$2,Lines!AG23))=TRUE,"",IF('330'!AG23="","ERR","")) &amp; IF(ISERROR(FIND($E$2,Lines!AG23))=TRUE,"",IF('220'!AG23="","ERR",""))&amp; IF(ISERROR(FIND($F$2,Lines!AG23))=TRUE,"",IF(AND('500DC'!AG23="",'800DC'!AG23=""),"ERR","")) &amp; IF(ISERROR(FIND($G$2,Lines!AG23))=TRUE,"",IF('1000'!AG23="","ERR","")) &amp; IF(ISERROR(FIND($H$2,Lines!AG23))=TRUE,"",IF('500DC'!AG23="","ERR","")) &amp; IF(ISERROR(FIND($I$2,Lines!AG23))=TRUE,"",IF('800DC'!AG23="","ERR","")) &amp; IF(ISERROR(FIND($J$2,Lines!AG23))=TRUE,"",IF('1000'!AG23="","ERR",""))</f>
        <v/>
      </c>
      <c r="AH23" s="108" t="str">
        <f>IF(ISERROR(FIND($B$2,Lines!AH23))=TRUE,"",IF('750'!AH23="","ERR","")) &amp; IF(ISERROR(FIND($C$2,Lines!AH23))=TRUE,"",IF('500'!AH23="","ERR","")) &amp; IF(ISERROR(FIND($D$2,Lines!AH23))=TRUE,"",IF('330'!AH23="","ERR","")) &amp; IF(ISERROR(FIND($E$2,Lines!AH23))=TRUE,"",IF('220'!AH23="","ERR",""))&amp; IF(ISERROR(FIND($F$2,Lines!AH23))=TRUE,"",IF(AND('500DC'!AH23="",'800DC'!AH23=""),"ERR","")) &amp; IF(ISERROR(FIND($G$2,Lines!AH23))=TRUE,"",IF('1000'!AH23="","ERR","")) &amp; IF(ISERROR(FIND($H$2,Lines!AH23))=TRUE,"",IF('500DC'!AH23="","ERR","")) &amp; IF(ISERROR(FIND($I$2,Lines!AH23))=TRUE,"",IF('800DC'!AH23="","ERR","")) &amp; IF(ISERROR(FIND($J$2,Lines!AH23))=TRUE,"",IF('1000'!AH23="","ERR",""))</f>
        <v/>
      </c>
      <c r="AI23" s="108" t="str">
        <f>IF(ISERROR(FIND($B$2,Lines!AI23))=TRUE,"",IF('750'!AI23="","ERR","")) &amp; IF(ISERROR(FIND($C$2,Lines!AI23))=TRUE,"",IF('500'!AI23="","ERR","")) &amp; IF(ISERROR(FIND($D$2,Lines!AI23))=TRUE,"",IF('330'!AI23="","ERR","")) &amp; IF(ISERROR(FIND($E$2,Lines!AI23))=TRUE,"",IF('220'!AI23="","ERR",""))&amp; IF(ISERROR(FIND($F$2,Lines!AI23))=TRUE,"",IF(AND('500DC'!AI23="",'800DC'!AI23=""),"ERR","")) &amp; IF(ISERROR(FIND($G$2,Lines!AI23))=TRUE,"",IF('1000'!AI23="","ERR","")) &amp; IF(ISERROR(FIND($H$2,Lines!AI23))=TRUE,"",IF('500DC'!AI23="","ERR","")) &amp; IF(ISERROR(FIND($I$2,Lines!AI23))=TRUE,"",IF('800DC'!AI23="","ERR","")) &amp; IF(ISERROR(FIND($J$2,Lines!AI23))=TRUE,"",IF('1000'!AI23="","ERR",""))</f>
        <v/>
      </c>
      <c r="AJ23" s="108" t="str">
        <f>IF(ISERROR(FIND($B$2,Lines!AJ23))=TRUE,"",IF('750'!AJ23="","ERR","")) &amp; IF(ISERROR(FIND($C$2,Lines!AJ23))=TRUE,"",IF('500'!AJ23="","ERR","")) &amp; IF(ISERROR(FIND($D$2,Lines!AJ23))=TRUE,"",IF('330'!AJ23="","ERR","")) &amp; IF(ISERROR(FIND($E$2,Lines!AJ23))=TRUE,"",IF('220'!AJ23="","ERR",""))&amp; IF(ISERROR(FIND($F$2,Lines!AJ23))=TRUE,"",IF(AND('500DC'!AJ23="",'800DC'!AJ23=""),"ERR","")) &amp; IF(ISERROR(FIND($G$2,Lines!AJ23))=TRUE,"",IF('1000'!AJ23="","ERR","")) &amp; IF(ISERROR(FIND($H$2,Lines!AJ23))=TRUE,"",IF('500DC'!AJ23="","ERR","")) &amp; IF(ISERROR(FIND($I$2,Lines!AJ23))=TRUE,"",IF('800DC'!AJ23="","ERR","")) &amp; IF(ISERROR(FIND($J$2,Lines!AJ23))=TRUE,"",IF('1000'!AJ23="","ERR",""))</f>
        <v/>
      </c>
      <c r="AK23" s="108" t="str">
        <f>IF(ISERROR(FIND($B$2,Lines!AK23))=TRUE,"",IF('750'!AK23="","ERR","")) &amp; IF(ISERROR(FIND($C$2,Lines!AK23))=TRUE,"",IF('500'!AK23="","ERR","")) &amp; IF(ISERROR(FIND($D$2,Lines!AK23))=TRUE,"",IF('330'!AK23="","ERR","")) &amp; IF(ISERROR(FIND($E$2,Lines!AK23))=TRUE,"",IF('220'!AK23="","ERR",""))&amp; IF(ISERROR(FIND($F$2,Lines!AK23))=TRUE,"",IF(AND('500DC'!AK23="",'800DC'!AK23=""),"ERR","")) &amp; IF(ISERROR(FIND($G$2,Lines!AK23))=TRUE,"",IF('1000'!AK23="","ERR","")) &amp; IF(ISERROR(FIND($H$2,Lines!AK23))=TRUE,"",IF('500DC'!AK23="","ERR","")) &amp; IF(ISERROR(FIND($I$2,Lines!AK23))=TRUE,"",IF('800DC'!AK23="","ERR","")) &amp; IF(ISERROR(FIND($J$2,Lines!AK23))=TRUE,"",IF('1000'!AK23="","ERR",""))</f>
        <v/>
      </c>
      <c r="AL23" s="108" t="str">
        <f>IF(ISERROR(FIND($B$2,Lines!AL23))=TRUE,"",IF('750'!AL23="","ERR","")) &amp; IF(ISERROR(FIND($C$2,Lines!AL23))=TRUE,"",IF('500'!AL23="","ERR","")) &amp; IF(ISERROR(FIND($D$2,Lines!AL23))=TRUE,"",IF('330'!AL23="","ERR","")) &amp; IF(ISERROR(FIND($E$2,Lines!AL23))=TRUE,"",IF('220'!AL23="","ERR",""))&amp; IF(ISERROR(FIND($F$2,Lines!AL23))=TRUE,"",IF(AND('500DC'!AL23="",'800DC'!AL23=""),"ERR","")) &amp; IF(ISERROR(FIND($G$2,Lines!AL23))=TRUE,"",IF('1000'!AL23="","ERR","")) &amp; IF(ISERROR(FIND($H$2,Lines!AL23))=TRUE,"",IF('500DC'!AL23="","ERR","")) &amp; IF(ISERROR(FIND($I$2,Lines!AL23))=TRUE,"",IF('800DC'!AL23="","ERR","")) &amp; IF(ISERROR(FIND($J$2,Lines!AL23))=TRUE,"",IF('1000'!AL23="","ERR",""))</f>
        <v/>
      </c>
      <c r="AM23" s="108" t="str">
        <f>IF(ISERROR(FIND($B$2,Lines!AM23))=TRUE,"",IF('750'!AM23="","ERR","")) &amp; IF(ISERROR(FIND($C$2,Lines!AM23))=TRUE,"",IF('500'!AM23="","ERR","")) &amp; IF(ISERROR(FIND($D$2,Lines!AM23))=TRUE,"",IF('330'!AM23="","ERR","")) &amp; IF(ISERROR(FIND($E$2,Lines!AM23))=TRUE,"",IF('220'!AM23="","ERR",""))&amp; IF(ISERROR(FIND($F$2,Lines!AM23))=TRUE,"",IF(AND('500DC'!AM23="",'800DC'!AM23=""),"ERR","")) &amp; IF(ISERROR(FIND($G$2,Lines!AM23))=TRUE,"",IF('1000'!AM23="","ERR","")) &amp; IF(ISERROR(FIND($H$2,Lines!AM23))=TRUE,"",IF('500DC'!AM23="","ERR","")) &amp; IF(ISERROR(FIND($I$2,Lines!AM23))=TRUE,"",IF('800DC'!AM23="","ERR","")) &amp; IF(ISERROR(FIND($J$2,Lines!AM23))=TRUE,"",IF('1000'!AM23="","ERR",""))</f>
        <v/>
      </c>
      <c r="AN23" s="108" t="str">
        <f>IF(ISERROR(FIND($B$2,Lines!AN23))=TRUE,"",IF('750'!AN23="","ERR","")) &amp; IF(ISERROR(FIND($C$2,Lines!AN23))=TRUE,"",IF('500'!AN23="","ERR","")) &amp; IF(ISERROR(FIND($D$2,Lines!AN23))=TRUE,"",IF('330'!AN23="","ERR","")) &amp; IF(ISERROR(FIND($E$2,Lines!AN23))=TRUE,"",IF('220'!AN23="","ERR",""))&amp; IF(ISERROR(FIND($F$2,Lines!AN23))=TRUE,"",IF(AND('500DC'!AN23="",'800DC'!AN23=""),"ERR","")) &amp; IF(ISERROR(FIND($G$2,Lines!AN23))=TRUE,"",IF('1000'!AN23="","ERR","")) &amp; IF(ISERROR(FIND($H$2,Lines!AN23))=TRUE,"",IF('500DC'!AN23="","ERR","")) &amp; IF(ISERROR(FIND($I$2,Lines!AN23))=TRUE,"",IF('800DC'!AN23="","ERR","")) &amp; IF(ISERROR(FIND($J$2,Lines!AN23))=TRUE,"",IF('1000'!AN23="","ERR",""))</f>
        <v/>
      </c>
      <c r="AO23" s="108" t="str">
        <f>IF(ISERROR(FIND($B$2,Lines!AO23))=TRUE,"",IF('750'!AO23="","ERR","")) &amp; IF(ISERROR(FIND($C$2,Lines!AO23))=TRUE,"",IF('500'!AO23="","ERR","")) &amp; IF(ISERROR(FIND($D$2,Lines!AO23))=TRUE,"",IF('330'!AO23="","ERR","")) &amp; IF(ISERROR(FIND($E$2,Lines!AO23))=TRUE,"",IF('220'!AO23="","ERR",""))&amp; IF(ISERROR(FIND($F$2,Lines!AO23))=TRUE,"",IF(AND('500DC'!AO23="",'800DC'!AO23=""),"ERR","")) &amp; IF(ISERROR(FIND($G$2,Lines!AO23))=TRUE,"",IF('1000'!AO23="","ERR","")) &amp; IF(ISERROR(FIND($H$2,Lines!AO23))=TRUE,"",IF('500DC'!AO23="","ERR","")) &amp; IF(ISERROR(FIND($I$2,Lines!AO23))=TRUE,"",IF('800DC'!AO23="","ERR","")) &amp; IF(ISERROR(FIND($J$2,Lines!AO23))=TRUE,"",IF('1000'!AO23="","ERR",""))</f>
        <v/>
      </c>
      <c r="AP23" s="108" t="str">
        <f>IF(ISERROR(FIND($B$2,Lines!AP23))=TRUE,"",IF('750'!AP23="","ERR","")) &amp; IF(ISERROR(FIND($C$2,Lines!AP23))=TRUE,"",IF('500'!AP23="","ERR","")) &amp; IF(ISERROR(FIND($D$2,Lines!AP23))=TRUE,"",IF('330'!AP23="","ERR","")) &amp; IF(ISERROR(FIND($E$2,Lines!AP23))=TRUE,"",IF('220'!AP23="","ERR",""))&amp; IF(ISERROR(FIND($F$2,Lines!AP23))=TRUE,"",IF(AND('500DC'!AP23="",'800DC'!AP23=""),"ERR","")) &amp; IF(ISERROR(FIND($G$2,Lines!AP23))=TRUE,"",IF('1000'!AP23="","ERR","")) &amp; IF(ISERROR(FIND($H$2,Lines!AP23))=TRUE,"",IF('500DC'!AP23="","ERR","")) &amp; IF(ISERROR(FIND($I$2,Lines!AP23))=TRUE,"",IF('800DC'!AP23="","ERR","")) &amp; IF(ISERROR(FIND($J$2,Lines!AP23))=TRUE,"",IF('1000'!AP23="","ERR",""))</f>
        <v/>
      </c>
      <c r="AQ23" s="108" t="str">
        <f>IF(ISERROR(FIND($B$2,Lines!AQ23))=TRUE,"",IF('750'!AQ23="","ERR","")) &amp; IF(ISERROR(FIND($C$2,Lines!AQ23))=TRUE,"",IF('500'!AQ23="","ERR","")) &amp; IF(ISERROR(FIND($D$2,Lines!AQ23))=TRUE,"",IF('330'!AQ23="","ERR","")) &amp; IF(ISERROR(FIND($E$2,Lines!AQ23))=TRUE,"",IF('220'!AQ23="","ERR",""))&amp; IF(ISERROR(FIND($F$2,Lines!AQ23))=TRUE,"",IF(AND('500DC'!AQ23="",'800DC'!AQ23=""),"ERR","")) &amp; IF(ISERROR(FIND($G$2,Lines!AQ23))=TRUE,"",IF('1000'!AQ23="","ERR","")) &amp; IF(ISERROR(FIND($H$2,Lines!AQ23))=TRUE,"",IF('500DC'!AQ23="","ERR","")) &amp; IF(ISERROR(FIND($I$2,Lines!AQ23))=TRUE,"",IF('800DC'!AQ23="","ERR","")) &amp; IF(ISERROR(FIND($J$2,Lines!AQ23))=TRUE,"",IF('1000'!AQ23="","ERR",""))</f>
        <v/>
      </c>
      <c r="AR23" s="108" t="str">
        <f>IF(ISERROR(FIND($B$2,Lines!AR23))=TRUE,"",IF('750'!AR23="","ERR","")) &amp; IF(ISERROR(FIND($C$2,Lines!AR23))=TRUE,"",IF('500'!AR23="","ERR","")) &amp; IF(ISERROR(FIND($D$2,Lines!AR23))=TRUE,"",IF('330'!AR23="","ERR","")) &amp; IF(ISERROR(FIND($E$2,Lines!AR23))=TRUE,"",IF('220'!AR23="","ERR",""))&amp; IF(ISERROR(FIND($F$2,Lines!AR23))=TRUE,"",IF(AND('500DC'!AR23="",'800DC'!AR23=""),"ERR","")) &amp; IF(ISERROR(FIND($G$2,Lines!AR23))=TRUE,"",IF('1000'!AR23="","ERR","")) &amp; IF(ISERROR(FIND($H$2,Lines!AR23))=TRUE,"",IF('500DC'!AR23="","ERR","")) &amp; IF(ISERROR(FIND($I$2,Lines!AR23))=TRUE,"",IF('800DC'!AR23="","ERR","")) &amp; IF(ISERROR(FIND($J$2,Lines!AR23))=TRUE,"",IF('1000'!AR23="","ERR",""))</f>
        <v/>
      </c>
      <c r="AS23" s="108" t="str">
        <f>IF(ISERROR(FIND($B$2,Lines!AS23))=TRUE,"",IF('750'!AS23="","ERR","")) &amp; IF(ISERROR(FIND($C$2,Lines!AS23))=TRUE,"",IF('500'!AS23="","ERR","")) &amp; IF(ISERROR(FIND($D$2,Lines!AS23))=TRUE,"",IF('330'!AS23="","ERR","")) &amp; IF(ISERROR(FIND($E$2,Lines!AS23))=TRUE,"",IF('220'!AS23="","ERR",""))&amp; IF(ISERROR(FIND($F$2,Lines!AS23))=TRUE,"",IF(AND('500DC'!AS23="",'800DC'!AS23=""),"ERR","")) &amp; IF(ISERROR(FIND($G$2,Lines!AS23))=TRUE,"",IF('1000'!AS23="","ERR","")) &amp; IF(ISERROR(FIND($H$2,Lines!AS23))=TRUE,"",IF('500DC'!AS23="","ERR","")) &amp; IF(ISERROR(FIND($I$2,Lines!AS23))=TRUE,"",IF('800DC'!AS23="","ERR","")) &amp; IF(ISERROR(FIND($J$2,Lines!AS23))=TRUE,"",IF('1000'!AS23="","ERR",""))</f>
        <v/>
      </c>
      <c r="AT23" s="108" t="str">
        <f>IF(ISERROR(FIND($B$2,Lines!AT23))=TRUE,"",IF('750'!AT23="","ERR","")) &amp; IF(ISERROR(FIND($C$2,Lines!AT23))=TRUE,"",IF('500'!AT23="","ERR","")) &amp; IF(ISERROR(FIND($D$2,Lines!AT23))=TRUE,"",IF('330'!AT23="","ERR","")) &amp; IF(ISERROR(FIND($E$2,Lines!AT23))=TRUE,"",IF('220'!AT23="","ERR",""))&amp; IF(ISERROR(FIND($F$2,Lines!AT23))=TRUE,"",IF(AND('500DC'!AT23="",'800DC'!AT23=""),"ERR","")) &amp; IF(ISERROR(FIND($G$2,Lines!AT23))=TRUE,"",IF('1000'!AT23="","ERR","")) &amp; IF(ISERROR(FIND($H$2,Lines!AT23))=TRUE,"",IF('500DC'!AT23="","ERR","")) &amp; IF(ISERROR(FIND($I$2,Lines!AT23))=TRUE,"",IF('800DC'!AT23="","ERR","")) &amp; IF(ISERROR(FIND($J$2,Lines!AT23))=TRUE,"",IF('1000'!AT23="","ERR",""))</f>
        <v/>
      </c>
    </row>
    <row r="24" spans="1:46" ht="20.25" customHeight="1">
      <c r="A24" s="2" t="s">
        <v>72</v>
      </c>
      <c r="B24" s="108" t="str">
        <f>IF(ISERROR(FIND($B$2,Lines!B24))=TRUE,"",IF('750'!B24="","ERR","")) &amp; IF(ISERROR(FIND($C$2,Lines!B24))=TRUE,"",IF('500'!B24="","ERR","")) &amp; IF(ISERROR(FIND($D$2,Lines!B24))=TRUE,"",IF('330'!B24="","ERR","")) &amp; IF(ISERROR(FIND($E$2,Lines!B24))=TRUE,"",IF('220'!B24="","ERR",""))&amp; IF(ISERROR(FIND($F$2,Lines!B24))=TRUE,"",IF(AND('500DC'!B24="",'800DC'!B24=""),"ERR","")) &amp; IF(ISERROR(FIND($G$2,Lines!B24))=TRUE,"",IF('1000'!B24="","ERR","")) &amp; IF(ISERROR(FIND($H$2,Lines!B24))=TRUE,"",IF('500DC'!B24="","ERR","")) &amp; IF(ISERROR(FIND($I$2,Lines!B24))=TRUE,"",IF('800DC'!B24="","ERR","")) &amp; IF(ISERROR(FIND($J$2,Lines!B24))=TRUE,"",IF('1000'!B24="","ERR",""))</f>
        <v/>
      </c>
      <c r="C24" s="108" t="str">
        <f>IF(ISERROR(FIND($B$2,Lines!C24))=TRUE,"",IF('750'!C24="","ERR","")) &amp; IF(ISERROR(FIND($C$2,Lines!C24))=TRUE,"",IF('500'!C24="","ERR","")) &amp; IF(ISERROR(FIND($D$2,Lines!C24))=TRUE,"",IF('330'!C24="","ERR","")) &amp; IF(ISERROR(FIND($E$2,Lines!C24))=TRUE,"",IF('220'!C24="","ERR",""))&amp; IF(ISERROR(FIND($F$2,Lines!C24))=TRUE,"",IF(AND('500DC'!C24="",'800DC'!C24=""),"ERR","")) &amp; IF(ISERROR(FIND($G$2,Lines!C24))=TRUE,"",IF('1000'!C24="","ERR","")) &amp; IF(ISERROR(FIND($H$2,Lines!C24))=TRUE,"",IF('500DC'!C24="","ERR","")) &amp; IF(ISERROR(FIND($I$2,Lines!C24))=TRUE,"",IF('800DC'!C24="","ERR","")) &amp; IF(ISERROR(FIND($J$2,Lines!C24))=TRUE,"",IF('1000'!C24="","ERR",""))</f>
        <v/>
      </c>
      <c r="D24" s="108" t="str">
        <f>IF(ISERROR(FIND($B$2,Lines!D24))=TRUE,"",IF('750'!D24="","ERR","")) &amp; IF(ISERROR(FIND($C$2,Lines!D24))=TRUE,"",IF('500'!D24="","ERR","")) &amp; IF(ISERROR(FIND($D$2,Lines!D24))=TRUE,"",IF('330'!D24="","ERR","")) &amp; IF(ISERROR(FIND($E$2,Lines!D24))=TRUE,"",IF('220'!D24="","ERR",""))&amp; IF(ISERROR(FIND($F$2,Lines!D24))=TRUE,"",IF(AND('500DC'!D24="",'800DC'!D24=""),"ERR","")) &amp; IF(ISERROR(FIND($G$2,Lines!D24))=TRUE,"",IF('1000'!D24="","ERR","")) &amp; IF(ISERROR(FIND($H$2,Lines!D24))=TRUE,"",IF('500DC'!D24="","ERR","")) &amp; IF(ISERROR(FIND($I$2,Lines!D24))=TRUE,"",IF('800DC'!D24="","ERR","")) &amp; IF(ISERROR(FIND($J$2,Lines!D24))=TRUE,"",IF('1000'!D24="","ERR",""))</f>
        <v/>
      </c>
      <c r="E24" s="108" t="str">
        <f>IF(ISERROR(FIND($B$2,Lines!E24))=TRUE,"",IF('750'!E24="","ERR","")) &amp; IF(ISERROR(FIND($C$2,Lines!E24))=TRUE,"",IF('500'!E24="","ERR","")) &amp; IF(ISERROR(FIND($D$2,Lines!E24))=TRUE,"",IF('330'!E24="","ERR","")) &amp; IF(ISERROR(FIND($E$2,Lines!E24))=TRUE,"",IF('220'!E24="","ERR",""))&amp; IF(ISERROR(FIND($F$2,Lines!E24))=TRUE,"",IF(AND('500DC'!E24="",'800DC'!E24=""),"ERR","")) &amp; IF(ISERROR(FIND($G$2,Lines!E24))=TRUE,"",IF('1000'!E24="","ERR","")) &amp; IF(ISERROR(FIND($H$2,Lines!E24))=TRUE,"",IF('500DC'!E24="","ERR","")) &amp; IF(ISERROR(FIND($I$2,Lines!E24))=TRUE,"",IF('800DC'!E24="","ERR","")) &amp; IF(ISERROR(FIND($J$2,Lines!E24))=TRUE,"",IF('1000'!E24="","ERR",""))</f>
        <v/>
      </c>
      <c r="F24" s="108" t="str">
        <f>IF(ISERROR(FIND($B$2,Lines!F24))=TRUE,"",IF('750'!F24="","ERR","")) &amp; IF(ISERROR(FIND($C$2,Lines!F24))=TRUE,"",IF('500'!F24="","ERR","")) &amp; IF(ISERROR(FIND($D$2,Lines!F24))=TRUE,"",IF('330'!F24="","ERR","")) &amp; IF(ISERROR(FIND($E$2,Lines!F24))=TRUE,"",IF('220'!F24="","ERR",""))&amp; IF(ISERROR(FIND($F$2,Lines!F24))=TRUE,"",IF(AND('500DC'!F24="",'800DC'!F24=""),"ERR","")) &amp; IF(ISERROR(FIND($G$2,Lines!F24))=TRUE,"",IF('1000'!F24="","ERR","")) &amp; IF(ISERROR(FIND($H$2,Lines!F24))=TRUE,"",IF('500DC'!F24="","ERR","")) &amp; IF(ISERROR(FIND($I$2,Lines!F24))=TRUE,"",IF('800DC'!F24="","ERR","")) &amp; IF(ISERROR(FIND($J$2,Lines!F24))=TRUE,"",IF('1000'!F24="","ERR",""))</f>
        <v/>
      </c>
      <c r="G24" s="108" t="str">
        <f>IF(ISERROR(FIND($B$2,Lines!G24))=TRUE,"",IF('750'!G24="","ERR","")) &amp; IF(ISERROR(FIND($C$2,Lines!G24))=TRUE,"",IF('500'!G24="","ERR","")) &amp; IF(ISERROR(FIND($D$2,Lines!G24))=TRUE,"",IF('330'!G24="","ERR","")) &amp; IF(ISERROR(FIND($E$2,Lines!G24))=TRUE,"",IF('220'!G24="","ERR",""))&amp; IF(ISERROR(FIND($F$2,Lines!G24))=TRUE,"",IF(AND('500DC'!G24="",'800DC'!G24=""),"ERR","")) &amp; IF(ISERROR(FIND($G$2,Lines!G24))=TRUE,"",IF('1000'!G24="","ERR","")) &amp; IF(ISERROR(FIND($H$2,Lines!G24))=TRUE,"",IF('500DC'!G24="","ERR","")) &amp; IF(ISERROR(FIND($I$2,Lines!G24))=TRUE,"",IF('800DC'!G24="","ERR","")) &amp; IF(ISERROR(FIND($J$2,Lines!G24))=TRUE,"",IF('1000'!G24="","ERR",""))</f>
        <v/>
      </c>
      <c r="H24" s="108" t="str">
        <f>IF(ISERROR(FIND($B$2,Lines!H24))=TRUE,"",IF('750'!H24="","ERR","")) &amp; IF(ISERROR(FIND($C$2,Lines!H24))=TRUE,"",IF('500'!H24="","ERR","")) &amp; IF(ISERROR(FIND($D$2,Lines!H24))=TRUE,"",IF('330'!H24="","ERR","")) &amp; IF(ISERROR(FIND($E$2,Lines!H24))=TRUE,"",IF('220'!H24="","ERR",""))&amp; IF(ISERROR(FIND($F$2,Lines!H24))=TRUE,"",IF(AND('500DC'!H24="",'800DC'!H24=""),"ERR","")) &amp; IF(ISERROR(FIND($G$2,Lines!H24))=TRUE,"",IF('1000'!H24="","ERR","")) &amp; IF(ISERROR(FIND($H$2,Lines!H24))=TRUE,"",IF('500DC'!H24="","ERR","")) &amp; IF(ISERROR(FIND($I$2,Lines!H24))=TRUE,"",IF('800DC'!H24="","ERR","")) &amp; IF(ISERROR(FIND($J$2,Lines!H24))=TRUE,"",IF('1000'!H24="","ERR",""))</f>
        <v/>
      </c>
      <c r="I24" s="108" t="str">
        <f>IF(ISERROR(FIND($B$2,Lines!I24))=TRUE,"",IF('750'!I24="","ERR","")) &amp; IF(ISERROR(FIND($C$2,Lines!I24))=TRUE,"",IF('500'!I24="","ERR","")) &amp; IF(ISERROR(FIND($D$2,Lines!I24))=TRUE,"",IF('330'!I24="","ERR","")) &amp; IF(ISERROR(FIND($E$2,Lines!I24))=TRUE,"",IF('220'!I24="","ERR",""))&amp; IF(ISERROR(FIND($F$2,Lines!I24))=TRUE,"",IF(AND('500DC'!I24="",'800DC'!I24=""),"ERR","")) &amp; IF(ISERROR(FIND($G$2,Lines!I24))=TRUE,"",IF('1000'!I24="","ERR","")) &amp; IF(ISERROR(FIND($H$2,Lines!I24))=TRUE,"",IF('500DC'!I24="","ERR","")) &amp; IF(ISERROR(FIND($I$2,Lines!I24))=TRUE,"",IF('800DC'!I24="","ERR","")) &amp; IF(ISERROR(FIND($J$2,Lines!I24))=TRUE,"",IF('1000'!I24="","ERR",""))</f>
        <v/>
      </c>
      <c r="J24" s="108" t="str">
        <f>IF(ISERROR(FIND($B$2,Lines!J24))=TRUE,"",IF('750'!J24="","ERR","")) &amp; IF(ISERROR(FIND($C$2,Lines!J24))=TRUE,"",IF('500'!J24="","ERR","")) &amp; IF(ISERROR(FIND($D$2,Lines!J24))=TRUE,"",IF('330'!J24="","ERR","")) &amp; IF(ISERROR(FIND($E$2,Lines!J24))=TRUE,"",IF('220'!J24="","ERR",""))&amp; IF(ISERROR(FIND($F$2,Lines!J24))=TRUE,"",IF(AND('500DC'!J24="",'800DC'!J24=""),"ERR","")) &amp; IF(ISERROR(FIND($G$2,Lines!J24))=TRUE,"",IF('1000'!J24="","ERR","")) &amp; IF(ISERROR(FIND($H$2,Lines!J24))=TRUE,"",IF('500DC'!J24="","ERR","")) &amp; IF(ISERROR(FIND($I$2,Lines!J24))=TRUE,"",IF('800DC'!J24="","ERR","")) &amp; IF(ISERROR(FIND($J$2,Lines!J24))=TRUE,"",IF('1000'!J24="","ERR",""))</f>
        <v/>
      </c>
      <c r="K24" s="108" t="str">
        <f>IF(ISERROR(FIND($B$2,Lines!K24))=TRUE,"",IF('750'!K24="","ERR","")) &amp; IF(ISERROR(FIND($C$2,Lines!K24))=TRUE,"",IF('500'!K24="","ERR","")) &amp; IF(ISERROR(FIND($D$2,Lines!K24))=TRUE,"",IF('330'!K24="","ERR","")) &amp; IF(ISERROR(FIND($E$2,Lines!K24))=TRUE,"",IF('220'!K24="","ERR",""))&amp; IF(ISERROR(FIND($F$2,Lines!K24))=TRUE,"",IF(AND('500DC'!K24="",'800DC'!K24=""),"ERR","")) &amp; IF(ISERROR(FIND($G$2,Lines!K24))=TRUE,"",IF('1000'!K24="","ERR","")) &amp; IF(ISERROR(FIND($H$2,Lines!K24))=TRUE,"",IF('500DC'!K24="","ERR","")) &amp; IF(ISERROR(FIND($I$2,Lines!K24))=TRUE,"",IF('800DC'!K24="","ERR","")) &amp; IF(ISERROR(FIND($J$2,Lines!K24))=TRUE,"",IF('1000'!K24="","ERR",""))</f>
        <v/>
      </c>
      <c r="L24" s="108" t="str">
        <f>IF(ISERROR(FIND($B$2,Lines!L24))=TRUE,"",IF('750'!L24="","ERR","")) &amp; IF(ISERROR(FIND($C$2,Lines!L24))=TRUE,"",IF('500'!L24="","ERR","")) &amp; IF(ISERROR(FIND($D$2,Lines!L24))=TRUE,"",IF('330'!L24="","ERR","")) &amp; IF(ISERROR(FIND($E$2,Lines!L24))=TRUE,"",IF('220'!L24="","ERR",""))&amp; IF(ISERROR(FIND($F$2,Lines!L24))=TRUE,"",IF(AND('500DC'!L24="",'800DC'!L24=""),"ERR","")) &amp; IF(ISERROR(FIND($G$2,Lines!L24))=TRUE,"",IF('1000'!L24="","ERR","")) &amp; IF(ISERROR(FIND($H$2,Lines!L24))=TRUE,"",IF('500DC'!L24="","ERR","")) &amp; IF(ISERROR(FIND($I$2,Lines!L24))=TRUE,"",IF('800DC'!L24="","ERR","")) &amp; IF(ISERROR(FIND($J$2,Lines!L24))=TRUE,"",IF('1000'!L24="","ERR",""))</f>
        <v/>
      </c>
      <c r="M24" s="108" t="str">
        <f>IF(ISERROR(FIND($B$2,Lines!M24))=TRUE,"",IF('750'!M24="","ERR","")) &amp; IF(ISERROR(FIND($C$2,Lines!M24))=TRUE,"",IF('500'!M24="","ERR","")) &amp; IF(ISERROR(FIND($D$2,Lines!M24))=TRUE,"",IF('330'!M24="","ERR","")) &amp; IF(ISERROR(FIND($E$2,Lines!M24))=TRUE,"",IF('220'!M24="","ERR",""))&amp; IF(ISERROR(FIND($F$2,Lines!M24))=TRUE,"",IF(AND('500DC'!M24="",'800DC'!M24=""),"ERR","")) &amp; IF(ISERROR(FIND($G$2,Lines!M24))=TRUE,"",IF('1000'!M24="","ERR","")) &amp; IF(ISERROR(FIND($H$2,Lines!M24))=TRUE,"",IF('500DC'!M24="","ERR","")) &amp; IF(ISERROR(FIND($I$2,Lines!M24))=TRUE,"",IF('800DC'!M24="","ERR","")) &amp; IF(ISERROR(FIND($J$2,Lines!M24))=TRUE,"",IF('1000'!M24="","ERR",""))</f>
        <v/>
      </c>
      <c r="N24" s="119" t="str">
        <f>IF(ISERROR(FIND($B$2,Lines!N24))=TRUE,"",IF('750'!N24="","ERR","")) &amp; IF(ISERROR(FIND($C$2,Lines!N24))=TRUE,"",IF('500'!N24="","ERR","")) &amp; IF(ISERROR(FIND($D$2,Lines!N24))=TRUE,"",IF('330'!N24="","ERR","")) &amp; IF(ISERROR(FIND($E$2,Lines!N24))=TRUE,"",IF('220'!N24="","ERR",""))&amp; IF(ISERROR(FIND($F$2,Lines!N24))=TRUE,"",IF(AND('500DC'!N24="",'800DC'!N24=""),"ERR","")) &amp; IF(ISERROR(FIND($G$2,Lines!N24))=TRUE,"",IF('1000'!N24="","ERR","")) &amp; IF(ISERROR(FIND($H$2,Lines!N24))=TRUE,"",IF('500DC'!N24="","ERR","")) &amp; IF(ISERROR(FIND($I$2,Lines!N24))=TRUE,"",IF('800DC'!N24="","ERR","")) &amp; IF(ISERROR(FIND($J$2,Lines!N24))=TRUE,"",IF('1000'!N24="","ERR",""))</f>
        <v/>
      </c>
      <c r="O24" s="120" t="str">
        <f>IF(ISERROR(FIND($B$2,Lines!O24))=TRUE,"",IF('750'!O24="","ERR","")) &amp; IF(ISERROR(FIND($C$2,Lines!O24))=TRUE,"",IF('500'!O24="","ERR","")) &amp; IF(ISERROR(FIND($D$2,Lines!O24))=TRUE,"",IF('330'!O24="","ERR","")) &amp; IF(ISERROR(FIND($E$2,Lines!O24))=TRUE,"",IF('220'!O24="","ERR",""))&amp; IF(ISERROR(FIND($F$2,Lines!O24))=TRUE,"",IF(AND('500DC'!O24="",'800DC'!O24=""),"ERR","")) &amp; IF(ISERROR(FIND($G$2,Lines!O24))=TRUE,"",IF('1000'!O24="","ERR","")) &amp; IF(ISERROR(FIND($H$2,Lines!O24))=TRUE,"",IF('500DC'!O24="","ERR","")) &amp; IF(ISERROR(FIND($I$2,Lines!O24))=TRUE,"",IF('800DC'!O24="","ERR","")) &amp; IF(ISERROR(FIND($J$2,Lines!O24))=TRUE,"",IF('1000'!O24="","ERR",""))</f>
        <v/>
      </c>
      <c r="P24" s="120" t="str">
        <f>IF(ISERROR(FIND($B$2,Lines!P24))=TRUE,"",IF('750'!P24="","ERR","")) &amp; IF(ISERROR(FIND($C$2,Lines!P24))=TRUE,"",IF('500'!P24="","ERR","")) &amp; IF(ISERROR(FIND($D$2,Lines!P24))=TRUE,"",IF('330'!P24="","ERR","")) &amp; IF(ISERROR(FIND($E$2,Lines!P24))=TRUE,"",IF('220'!P24="","ERR",""))&amp; IF(ISERROR(FIND($F$2,Lines!P24))=TRUE,"",IF(AND('500DC'!P24="",'800DC'!P24=""),"ERR","")) &amp; IF(ISERROR(FIND($G$2,Lines!P24))=TRUE,"",IF('1000'!P24="","ERR","")) &amp; IF(ISERROR(FIND($H$2,Lines!P24))=TRUE,"",IF('500DC'!P24="","ERR","")) &amp; IF(ISERROR(FIND($I$2,Lines!P24))=TRUE,"",IF('800DC'!P24="","ERR","")) &amp; IF(ISERROR(FIND($J$2,Lines!P24))=TRUE,"",IF('1000'!P24="","ERR",""))</f>
        <v/>
      </c>
      <c r="Q24" s="120" t="str">
        <f>IF(ISERROR(FIND($B$2,Lines!Q24))=TRUE,"",IF('750'!Q24="","ERR","")) &amp; IF(ISERROR(FIND($C$2,Lines!Q24))=TRUE,"",IF('500'!Q24="","ERR","")) &amp; IF(ISERROR(FIND($D$2,Lines!Q24))=TRUE,"",IF('330'!Q24="","ERR","")) &amp; IF(ISERROR(FIND($E$2,Lines!Q24))=TRUE,"",IF('220'!Q24="","ERR",""))&amp; IF(ISERROR(FIND($F$2,Lines!Q24))=TRUE,"",IF(AND('500DC'!Q24="",'800DC'!Q24=""),"ERR","")) &amp; IF(ISERROR(FIND($G$2,Lines!Q24))=TRUE,"",IF('1000'!Q24="","ERR","")) &amp; IF(ISERROR(FIND($H$2,Lines!Q24))=TRUE,"",IF('500DC'!Q24="","ERR","")) &amp; IF(ISERROR(FIND($I$2,Lines!Q24))=TRUE,"",IF('800DC'!Q24="","ERR","")) &amp; IF(ISERROR(FIND($J$2,Lines!Q24))=TRUE,"",IF('1000'!Q24="","ERR",""))</f>
        <v/>
      </c>
      <c r="R24" s="120" t="str">
        <f>IF(ISERROR(FIND($B$2,Lines!R24))=TRUE,"",IF('750'!R24="","ERR","")) &amp; IF(ISERROR(FIND($C$2,Lines!R24))=TRUE,"",IF('500'!R24="","ERR","")) &amp; IF(ISERROR(FIND($D$2,Lines!R24))=TRUE,"",IF('330'!R24="","ERR","")) &amp; IF(ISERROR(FIND($E$2,Lines!R24))=TRUE,"",IF('220'!R24="","ERR",""))&amp; IF(ISERROR(FIND($F$2,Lines!R24))=TRUE,"",IF(AND('500DC'!R24="",'800DC'!R24=""),"ERR","")) &amp; IF(ISERROR(FIND($G$2,Lines!R24))=TRUE,"",IF('1000'!R24="","ERR","")) &amp; IF(ISERROR(FIND($H$2,Lines!R24))=TRUE,"",IF('500DC'!R24="","ERR","")) &amp; IF(ISERROR(FIND($I$2,Lines!R24))=TRUE,"",IF('800DC'!R24="","ERR","")) &amp; IF(ISERROR(FIND($J$2,Lines!R24))=TRUE,"",IF('1000'!R24="","ERR",""))</f>
        <v/>
      </c>
      <c r="S24" s="120" t="str">
        <f>IF(ISERROR(FIND($B$2,Lines!S24))=TRUE,"",IF('750'!S24="","ERR","")) &amp; IF(ISERROR(FIND($C$2,Lines!S24))=TRUE,"",IF('500'!S24="","ERR","")) &amp; IF(ISERROR(FIND($D$2,Lines!S24))=TRUE,"",IF('330'!S24="","ERR","")) &amp; IF(ISERROR(FIND($E$2,Lines!S24))=TRUE,"",IF('220'!S24="","ERR",""))&amp; IF(ISERROR(FIND($F$2,Lines!S24))=TRUE,"",IF(AND('500DC'!S24="",'800DC'!S24=""),"ERR","")) &amp; IF(ISERROR(FIND($G$2,Lines!S24))=TRUE,"",IF('1000'!S24="","ERR","")) &amp; IF(ISERROR(FIND($H$2,Lines!S24))=TRUE,"",IF('500DC'!S24="","ERR","")) &amp; IF(ISERROR(FIND($I$2,Lines!S24))=TRUE,"",IF('800DC'!S24="","ERR","")) &amp; IF(ISERROR(FIND($J$2,Lines!S24))=TRUE,"",IF('1000'!S24="","ERR",""))</f>
        <v/>
      </c>
      <c r="T24" s="120" t="str">
        <f>IF(ISERROR(FIND($B$2,Lines!T24))=TRUE,"",IF('750'!T24="","ERR","")) &amp; IF(ISERROR(FIND($C$2,Lines!T24))=TRUE,"",IF('500'!T24="","ERR","")) &amp; IF(ISERROR(FIND($D$2,Lines!T24))=TRUE,"",IF('330'!T24="","ERR","")) &amp; IF(ISERROR(FIND($E$2,Lines!T24))=TRUE,"",IF('220'!T24="","ERR",""))&amp; IF(ISERROR(FIND($F$2,Lines!T24))=TRUE,"",IF(AND('500DC'!T24="",'800DC'!T24=""),"ERR","")) &amp; IF(ISERROR(FIND($G$2,Lines!T24))=TRUE,"",IF('1000'!T24="","ERR","")) &amp; IF(ISERROR(FIND($H$2,Lines!T24))=TRUE,"",IF('500DC'!T24="","ERR","")) &amp; IF(ISERROR(FIND($I$2,Lines!T24))=TRUE,"",IF('800DC'!T24="","ERR","")) &amp; IF(ISERROR(FIND($J$2,Lines!T24))=TRUE,"",IF('1000'!T24="","ERR",""))</f>
        <v/>
      </c>
      <c r="U24" s="120" t="str">
        <f>IF(ISERROR(FIND($B$2,Lines!U24))=TRUE,"",IF('750'!U24="","ERR","")) &amp; IF(ISERROR(FIND($C$2,Lines!U24))=TRUE,"",IF('500'!U24="","ERR","")) &amp; IF(ISERROR(FIND($D$2,Lines!U24))=TRUE,"",IF('330'!U24="","ERR","")) &amp; IF(ISERROR(FIND($E$2,Lines!U24))=TRUE,"",IF('220'!U24="","ERR",""))&amp; IF(ISERROR(FIND($F$2,Lines!U24))=TRUE,"",IF(AND('500DC'!U24="",'800DC'!U24=""),"ERR","")) &amp; IF(ISERROR(FIND($G$2,Lines!U24))=TRUE,"",IF('1000'!U24="","ERR","")) &amp; IF(ISERROR(FIND($H$2,Lines!U24))=TRUE,"",IF('500DC'!U24="","ERR","")) &amp; IF(ISERROR(FIND($I$2,Lines!U24))=TRUE,"",IF('800DC'!U24="","ERR","")) &amp; IF(ISERROR(FIND($J$2,Lines!U24))=TRUE,"",IF('1000'!U24="","ERR",""))</f>
        <v/>
      </c>
      <c r="V24" s="121" t="str">
        <f>IF(ISERROR(FIND($B$2,Lines!V24))=TRUE,"",IF('750'!V24="","ERR","")) &amp; IF(ISERROR(FIND($C$2,Lines!V24))=TRUE,"",IF('500'!V24="","ERR","")) &amp; IF(ISERROR(FIND($D$2,Lines!V24))=TRUE,"",IF('330'!V24="","ERR","")) &amp; IF(ISERROR(FIND($E$2,Lines!V24))=TRUE,"",IF('220'!V24="","ERR",""))&amp; IF(ISERROR(FIND($F$2,Lines!V24))=TRUE,"",IF(AND('500DC'!V24="",'800DC'!V24=""),"ERR","")) &amp; IF(ISERROR(FIND($G$2,Lines!V24))=TRUE,"",IF('1000'!V24="","ERR","")) &amp; IF(ISERROR(FIND($H$2,Lines!V24))=TRUE,"",IF('500DC'!V24="","ERR","")) &amp; IF(ISERROR(FIND($I$2,Lines!V24))=TRUE,"",IF('800DC'!V24="","ERR","")) &amp; IF(ISERROR(FIND($J$2,Lines!V24))=TRUE,"",IF('1000'!V24="","ERR",""))</f>
        <v/>
      </c>
      <c r="W24" s="109" t="str">
        <f>IF(ISERROR(FIND($B$2,Lines!W24))=TRUE,"",IF('750'!W24="","ERR","")) &amp; IF(ISERROR(FIND($C$2,Lines!W24))=TRUE,"",IF('500'!W24="","ERR","")) &amp; IF(ISERROR(FIND($D$2,Lines!W24))=TRUE,"",IF('330'!W24="","ERR","")) &amp; IF(ISERROR(FIND($E$2,Lines!W24))=TRUE,"",IF('220'!W24="","ERR",""))&amp; IF(ISERROR(FIND($F$2,Lines!W24))=TRUE,"",IF(AND('500DC'!W24="",'800DC'!W24=""),"ERR","")) &amp; IF(ISERROR(FIND($G$2,Lines!W24))=TRUE,"",IF('1000'!W24="","ERR","")) &amp; IF(ISERROR(FIND($H$2,Lines!W24))=TRUE,"",IF('500DC'!W24="","ERR","")) &amp; IF(ISERROR(FIND($I$2,Lines!W24))=TRUE,"",IF('800DC'!W24="","ERR","")) &amp; IF(ISERROR(FIND($J$2,Lines!W24))=TRUE,"",IF('1000'!W24="","ERR",""))</f>
        <v/>
      </c>
      <c r="X24" s="108" t="str">
        <f>IF(ISERROR(FIND($B$2,Lines!X24))=TRUE,"",IF('750'!X24="","ERR","")) &amp; IF(ISERROR(FIND($C$2,Lines!X24))=TRUE,"",IF('500'!X24="","ERR","")) &amp; IF(ISERROR(FIND($D$2,Lines!X24))=TRUE,"",IF('330'!X24="","ERR","")) &amp; IF(ISERROR(FIND($E$2,Lines!X24))=TRUE,"",IF('220'!X24="","ERR",""))&amp; IF(ISERROR(FIND($F$2,Lines!X24))=TRUE,"",IF(AND('500DC'!X24="",'800DC'!X24=""),"ERR","")) &amp; IF(ISERROR(FIND($G$2,Lines!X24))=TRUE,"",IF('1000'!X24="","ERR","")) &amp; IF(ISERROR(FIND($H$2,Lines!X24))=TRUE,"",IF('500DC'!X24="","ERR","")) &amp; IF(ISERROR(FIND($I$2,Lines!X24))=TRUE,"",IF('800DC'!X24="","ERR","")) &amp; IF(ISERROR(FIND($J$2,Lines!X24))=TRUE,"",IF('1000'!X24="","ERR",""))</f>
        <v/>
      </c>
      <c r="Y24" s="108" t="str">
        <f>IF(ISERROR(FIND($B$2,Lines!Y24))=TRUE,"",IF('750'!Y24="","ERR","")) &amp; IF(ISERROR(FIND($C$2,Lines!Y24))=TRUE,"",IF('500'!Y24="","ERR","")) &amp; IF(ISERROR(FIND($D$2,Lines!Y24))=TRUE,"",IF('330'!Y24="","ERR","")) &amp; IF(ISERROR(FIND($E$2,Lines!Y24))=TRUE,"",IF('220'!Y24="","ERR",""))&amp; IF(ISERROR(FIND($F$2,Lines!Y24))=TRUE,"",IF(AND('500DC'!Y24="",'800DC'!Y24=""),"ERR","")) &amp; IF(ISERROR(FIND($G$2,Lines!Y24))=TRUE,"",IF('1000'!Y24="","ERR","")) &amp; IF(ISERROR(FIND($H$2,Lines!Y24))=TRUE,"",IF('500DC'!Y24="","ERR","")) &amp; IF(ISERROR(FIND($I$2,Lines!Y24))=TRUE,"",IF('800DC'!Y24="","ERR","")) &amp; IF(ISERROR(FIND($J$2,Lines!Y24))=TRUE,"",IF('1000'!Y24="","ERR",""))</f>
        <v/>
      </c>
      <c r="Z24" s="108" t="str">
        <f>IF(ISERROR(FIND($B$2,Lines!Z24))=TRUE,"",IF('750'!Z24="","ERR","")) &amp; IF(ISERROR(FIND($C$2,Lines!Z24))=TRUE,"",IF('500'!Z24="","ERR","")) &amp; IF(ISERROR(FIND($D$2,Lines!Z24))=TRUE,"",IF('330'!Z24="","ERR","")) &amp; IF(ISERROR(FIND($E$2,Lines!Z24))=TRUE,"",IF('220'!Z24="","ERR",""))&amp; IF(ISERROR(FIND($F$2,Lines!Z24))=TRUE,"",IF(AND('500DC'!Z24="",'800DC'!Z24=""),"ERR","")) &amp; IF(ISERROR(FIND($G$2,Lines!Z24))=TRUE,"",IF('1000'!Z24="","ERR","")) &amp; IF(ISERROR(FIND($H$2,Lines!Z24))=TRUE,"",IF('500DC'!Z24="","ERR","")) &amp; IF(ISERROR(FIND($I$2,Lines!Z24))=TRUE,"",IF('800DC'!Z24="","ERR","")) &amp; IF(ISERROR(FIND($J$2,Lines!Z24))=TRUE,"",IF('1000'!Z24="","ERR",""))</f>
        <v/>
      </c>
      <c r="AA24" s="108" t="str">
        <f>IF(ISERROR(FIND($B$2,Lines!AA24))=TRUE,"",IF('750'!AA24="","ERR","")) &amp; IF(ISERROR(FIND($C$2,Lines!AA24))=TRUE,"",IF('500'!AA24="","ERR","")) &amp; IF(ISERROR(FIND($D$2,Lines!AA24))=TRUE,"",IF('330'!AA24="","ERR","")) &amp; IF(ISERROR(FIND($E$2,Lines!AA24))=TRUE,"",IF('220'!AA24="","ERR",""))&amp; IF(ISERROR(FIND($F$2,Lines!AA24))=TRUE,"",IF(AND('500DC'!AA24="",'800DC'!AA24=""),"ERR","")) &amp; IF(ISERROR(FIND($G$2,Lines!AA24))=TRUE,"",IF('1000'!AA24="","ERR","")) &amp; IF(ISERROR(FIND($H$2,Lines!AA24))=TRUE,"",IF('500DC'!AA24="","ERR","")) &amp; IF(ISERROR(FIND($I$2,Lines!AA24))=TRUE,"",IF('800DC'!AA24="","ERR","")) &amp; IF(ISERROR(FIND($J$2,Lines!AA24))=TRUE,"",IF('1000'!AA24="","ERR",""))</f>
        <v/>
      </c>
      <c r="AB24" s="108" t="str">
        <f>IF(ISERROR(FIND($B$2,Lines!AB24))=TRUE,"",IF('750'!AB24="","ERR","")) &amp; IF(ISERROR(FIND($C$2,Lines!AB24))=TRUE,"",IF('500'!AB24="","ERR","")) &amp; IF(ISERROR(FIND($D$2,Lines!AB24))=TRUE,"",IF('330'!AB24="","ERR","")) &amp; IF(ISERROR(FIND($E$2,Lines!AB24))=TRUE,"",IF('220'!AB24="","ERR",""))&amp; IF(ISERROR(FIND($F$2,Lines!AB24))=TRUE,"",IF(AND('500DC'!AB24="",'800DC'!AB24=""),"ERR","")) &amp; IF(ISERROR(FIND($G$2,Lines!AB24))=TRUE,"",IF('1000'!AB24="","ERR","")) &amp; IF(ISERROR(FIND($H$2,Lines!AB24))=TRUE,"",IF('500DC'!AB24="","ERR","")) &amp; IF(ISERROR(FIND($I$2,Lines!AB24))=TRUE,"",IF('800DC'!AB24="","ERR","")) &amp; IF(ISERROR(FIND($J$2,Lines!AB24))=TRUE,"",IF('1000'!AB24="","ERR",""))</f>
        <v/>
      </c>
      <c r="AC24" s="108" t="str">
        <f>IF(ISERROR(FIND($B$2,Lines!AC24))=TRUE,"",IF('750'!AC24="","ERR","")) &amp; IF(ISERROR(FIND($C$2,Lines!AC24))=TRUE,"",IF('500'!AC24="","ERR","")) &amp; IF(ISERROR(FIND($D$2,Lines!AC24))=TRUE,"",IF('330'!AC24="","ERR","")) &amp; IF(ISERROR(FIND($E$2,Lines!AC24))=TRUE,"",IF('220'!AC24="","ERR",""))&amp; IF(ISERROR(FIND($F$2,Lines!AC24))=TRUE,"",IF(AND('500DC'!AC24="",'800DC'!AC24=""),"ERR","")) &amp; IF(ISERROR(FIND($G$2,Lines!AC24))=TRUE,"",IF('1000'!AC24="","ERR","")) &amp; IF(ISERROR(FIND($H$2,Lines!AC24))=TRUE,"",IF('500DC'!AC24="","ERR","")) &amp; IF(ISERROR(FIND($I$2,Lines!AC24))=TRUE,"",IF('800DC'!AC24="","ERR","")) &amp; IF(ISERROR(FIND($J$2,Lines!AC24))=TRUE,"",IF('1000'!AC24="","ERR",""))</f>
        <v/>
      </c>
      <c r="AD24" s="108" t="str">
        <f>IF(ISERROR(FIND($B$2,Lines!AD24))=TRUE,"",IF('750'!AD24="","ERR","")) &amp; IF(ISERROR(FIND($C$2,Lines!AD24))=TRUE,"",IF('500'!AD24="","ERR","")) &amp; IF(ISERROR(FIND($D$2,Lines!AD24))=TRUE,"",IF('330'!AD24="","ERR","")) &amp; IF(ISERROR(FIND($E$2,Lines!AD24))=TRUE,"",IF('220'!AD24="","ERR",""))&amp; IF(ISERROR(FIND($F$2,Lines!AD24))=TRUE,"",IF(AND('500DC'!AD24="",'800DC'!AD24=""),"ERR","")) &amp; IF(ISERROR(FIND($G$2,Lines!AD24))=TRUE,"",IF('1000'!AD24="","ERR","")) &amp; IF(ISERROR(FIND($H$2,Lines!AD24))=TRUE,"",IF('500DC'!AD24="","ERR","")) &amp; IF(ISERROR(FIND($I$2,Lines!AD24))=TRUE,"",IF('800DC'!AD24="","ERR","")) &amp; IF(ISERROR(FIND($J$2,Lines!AD24))=TRUE,"",IF('1000'!AD24="","ERR",""))</f>
        <v/>
      </c>
      <c r="AE24" s="108" t="str">
        <f>IF(ISERROR(FIND($B$2,Lines!AE24))=TRUE,"",IF('750'!AE24="","ERR","")) &amp; IF(ISERROR(FIND($C$2,Lines!AE24))=TRUE,"",IF('500'!AE24="","ERR","")) &amp; IF(ISERROR(FIND($D$2,Lines!AE24))=TRUE,"",IF('330'!AE24="","ERR","")) &amp; IF(ISERROR(FIND($E$2,Lines!AE24))=TRUE,"",IF('220'!AE24="","ERR",""))&amp; IF(ISERROR(FIND($F$2,Lines!AE24))=TRUE,"",IF(AND('500DC'!AE24="",'800DC'!AE24=""),"ERR","")) &amp; IF(ISERROR(FIND($G$2,Lines!AE24))=TRUE,"",IF('1000'!AE24="","ERR","")) &amp; IF(ISERROR(FIND($H$2,Lines!AE24))=TRUE,"",IF('500DC'!AE24="","ERR","")) &amp; IF(ISERROR(FIND($I$2,Lines!AE24))=TRUE,"",IF('800DC'!AE24="","ERR","")) &amp; IF(ISERROR(FIND($J$2,Lines!AE24))=TRUE,"",IF('1000'!AE24="","ERR",""))</f>
        <v/>
      </c>
      <c r="AF24" s="108" t="str">
        <f>IF(ISERROR(FIND($B$2,Lines!AF24))=TRUE,"",IF('750'!AF24="","ERR","")) &amp; IF(ISERROR(FIND($C$2,Lines!AF24))=TRUE,"",IF('500'!AF24="","ERR","")) &amp; IF(ISERROR(FIND($D$2,Lines!AF24))=TRUE,"",IF('330'!AF24="","ERR","")) &amp; IF(ISERROR(FIND($E$2,Lines!AF24))=TRUE,"",IF('220'!AF24="","ERR",""))&amp; IF(ISERROR(FIND($F$2,Lines!AF24))=TRUE,"",IF(AND('500DC'!AF24="",'800DC'!AF24=""),"ERR","")) &amp; IF(ISERROR(FIND($G$2,Lines!AF24))=TRUE,"",IF('1000'!AF24="","ERR","")) &amp; IF(ISERROR(FIND($H$2,Lines!AF24))=TRUE,"",IF('500DC'!AF24="","ERR","")) &amp; IF(ISERROR(FIND($I$2,Lines!AF24))=TRUE,"",IF('800DC'!AF24="","ERR","")) &amp; IF(ISERROR(FIND($J$2,Lines!AF24))=TRUE,"",IF('1000'!AF24="","ERR",""))</f>
        <v/>
      </c>
      <c r="AG24" s="108" t="str">
        <f>IF(ISERROR(FIND($B$2,Lines!AG24))=TRUE,"",IF('750'!AG24="","ERR","")) &amp; IF(ISERROR(FIND($C$2,Lines!AG24))=TRUE,"",IF('500'!AG24="","ERR","")) &amp; IF(ISERROR(FIND($D$2,Lines!AG24))=TRUE,"",IF('330'!AG24="","ERR","")) &amp; IF(ISERROR(FIND($E$2,Lines!AG24))=TRUE,"",IF('220'!AG24="","ERR",""))&amp; IF(ISERROR(FIND($F$2,Lines!AG24))=TRUE,"",IF(AND('500DC'!AG24="",'800DC'!AG24=""),"ERR","")) &amp; IF(ISERROR(FIND($G$2,Lines!AG24))=TRUE,"",IF('1000'!AG24="","ERR","")) &amp; IF(ISERROR(FIND($H$2,Lines!AG24))=TRUE,"",IF('500DC'!AG24="","ERR","")) &amp; IF(ISERROR(FIND($I$2,Lines!AG24))=TRUE,"",IF('800DC'!AG24="","ERR","")) &amp; IF(ISERROR(FIND($J$2,Lines!AG24))=TRUE,"",IF('1000'!AG24="","ERR",""))</f>
        <v/>
      </c>
      <c r="AH24" s="108" t="str">
        <f>IF(ISERROR(FIND($B$2,Lines!AH24))=TRUE,"",IF('750'!AH24="","ERR","")) &amp; IF(ISERROR(FIND($C$2,Lines!AH24))=TRUE,"",IF('500'!AH24="","ERR","")) &amp; IF(ISERROR(FIND($D$2,Lines!AH24))=TRUE,"",IF('330'!AH24="","ERR","")) &amp; IF(ISERROR(FIND($E$2,Lines!AH24))=TRUE,"",IF('220'!AH24="","ERR",""))&amp; IF(ISERROR(FIND($F$2,Lines!AH24))=TRUE,"",IF(AND('500DC'!AH24="",'800DC'!AH24=""),"ERR","")) &amp; IF(ISERROR(FIND($G$2,Lines!AH24))=TRUE,"",IF('1000'!AH24="","ERR","")) &amp; IF(ISERROR(FIND($H$2,Lines!AH24))=TRUE,"",IF('500DC'!AH24="","ERR","")) &amp; IF(ISERROR(FIND($I$2,Lines!AH24))=TRUE,"",IF('800DC'!AH24="","ERR","")) &amp; IF(ISERROR(FIND($J$2,Lines!AH24))=TRUE,"",IF('1000'!AH24="","ERR",""))</f>
        <v/>
      </c>
      <c r="AI24" s="108" t="str">
        <f>IF(ISERROR(FIND($B$2,Lines!AI24))=TRUE,"",IF('750'!AI24="","ERR","")) &amp; IF(ISERROR(FIND($C$2,Lines!AI24))=TRUE,"",IF('500'!AI24="","ERR","")) &amp; IF(ISERROR(FIND($D$2,Lines!AI24))=TRUE,"",IF('330'!AI24="","ERR","")) &amp; IF(ISERROR(FIND($E$2,Lines!AI24))=TRUE,"",IF('220'!AI24="","ERR",""))&amp; IF(ISERROR(FIND($F$2,Lines!AI24))=TRUE,"",IF(AND('500DC'!AI24="",'800DC'!AI24=""),"ERR","")) &amp; IF(ISERROR(FIND($G$2,Lines!AI24))=TRUE,"",IF('1000'!AI24="","ERR","")) &amp; IF(ISERROR(FIND($H$2,Lines!AI24))=TRUE,"",IF('500DC'!AI24="","ERR","")) &amp; IF(ISERROR(FIND($I$2,Lines!AI24))=TRUE,"",IF('800DC'!AI24="","ERR","")) &amp; IF(ISERROR(FIND($J$2,Lines!AI24))=TRUE,"",IF('1000'!AI24="","ERR",""))</f>
        <v/>
      </c>
      <c r="AJ24" s="108" t="str">
        <f>IF(ISERROR(FIND($B$2,Lines!AJ24))=TRUE,"",IF('750'!AJ24="","ERR","")) &amp; IF(ISERROR(FIND($C$2,Lines!AJ24))=TRUE,"",IF('500'!AJ24="","ERR","")) &amp; IF(ISERROR(FIND($D$2,Lines!AJ24))=TRUE,"",IF('330'!AJ24="","ERR","")) &amp; IF(ISERROR(FIND($E$2,Lines!AJ24))=TRUE,"",IF('220'!AJ24="","ERR",""))&amp; IF(ISERROR(FIND($F$2,Lines!AJ24))=TRUE,"",IF(AND('500DC'!AJ24="",'800DC'!AJ24=""),"ERR","")) &amp; IF(ISERROR(FIND($G$2,Lines!AJ24))=TRUE,"",IF('1000'!AJ24="","ERR","")) &amp; IF(ISERROR(FIND($H$2,Lines!AJ24))=TRUE,"",IF('500DC'!AJ24="","ERR","")) &amp; IF(ISERROR(FIND($I$2,Lines!AJ24))=TRUE,"",IF('800DC'!AJ24="","ERR","")) &amp; IF(ISERROR(FIND($J$2,Lines!AJ24))=TRUE,"",IF('1000'!AJ24="","ERR",""))</f>
        <v/>
      </c>
      <c r="AK24" s="108" t="str">
        <f>IF(ISERROR(FIND($B$2,Lines!AK24))=TRUE,"",IF('750'!AK24="","ERR","")) &amp; IF(ISERROR(FIND($C$2,Lines!AK24))=TRUE,"",IF('500'!AK24="","ERR","")) &amp; IF(ISERROR(FIND($D$2,Lines!AK24))=TRUE,"",IF('330'!AK24="","ERR","")) &amp; IF(ISERROR(FIND($E$2,Lines!AK24))=TRUE,"",IF('220'!AK24="","ERR",""))&amp; IF(ISERROR(FIND($F$2,Lines!AK24))=TRUE,"",IF(AND('500DC'!AK24="",'800DC'!AK24=""),"ERR","")) &amp; IF(ISERROR(FIND($G$2,Lines!AK24))=TRUE,"",IF('1000'!AK24="","ERR","")) &amp; IF(ISERROR(FIND($H$2,Lines!AK24))=TRUE,"",IF('500DC'!AK24="","ERR","")) &amp; IF(ISERROR(FIND($I$2,Lines!AK24))=TRUE,"",IF('800DC'!AK24="","ERR","")) &amp; IF(ISERROR(FIND($J$2,Lines!AK24))=TRUE,"",IF('1000'!AK24="","ERR",""))</f>
        <v/>
      </c>
      <c r="AL24" s="108" t="str">
        <f>IF(ISERROR(FIND($B$2,Lines!AL24))=TRUE,"",IF('750'!AL24="","ERR","")) &amp; IF(ISERROR(FIND($C$2,Lines!AL24))=TRUE,"",IF('500'!AL24="","ERR","")) &amp; IF(ISERROR(FIND($D$2,Lines!AL24))=TRUE,"",IF('330'!AL24="","ERR","")) &amp; IF(ISERROR(FIND($E$2,Lines!AL24))=TRUE,"",IF('220'!AL24="","ERR",""))&amp; IF(ISERROR(FIND($F$2,Lines!AL24))=TRUE,"",IF(AND('500DC'!AL24="",'800DC'!AL24=""),"ERR","")) &amp; IF(ISERROR(FIND($G$2,Lines!AL24))=TRUE,"",IF('1000'!AL24="","ERR","")) &amp; IF(ISERROR(FIND($H$2,Lines!AL24))=TRUE,"",IF('500DC'!AL24="","ERR","")) &amp; IF(ISERROR(FIND($I$2,Lines!AL24))=TRUE,"",IF('800DC'!AL24="","ERR","")) &amp; IF(ISERROR(FIND($J$2,Lines!AL24))=TRUE,"",IF('1000'!AL24="","ERR",""))</f>
        <v/>
      </c>
      <c r="AM24" s="108" t="str">
        <f>IF(ISERROR(FIND($B$2,Lines!AM24))=TRUE,"",IF('750'!AM24="","ERR","")) &amp; IF(ISERROR(FIND($C$2,Lines!AM24))=TRUE,"",IF('500'!AM24="","ERR","")) &amp; IF(ISERROR(FIND($D$2,Lines!AM24))=TRUE,"",IF('330'!AM24="","ERR","")) &amp; IF(ISERROR(FIND($E$2,Lines!AM24))=TRUE,"",IF('220'!AM24="","ERR",""))&amp; IF(ISERROR(FIND($F$2,Lines!AM24))=TRUE,"",IF(AND('500DC'!AM24="",'800DC'!AM24=""),"ERR","")) &amp; IF(ISERROR(FIND($G$2,Lines!AM24))=TRUE,"",IF('1000'!AM24="","ERR","")) &amp; IF(ISERROR(FIND($H$2,Lines!AM24))=TRUE,"",IF('500DC'!AM24="","ERR","")) &amp; IF(ISERROR(FIND($I$2,Lines!AM24))=TRUE,"",IF('800DC'!AM24="","ERR","")) &amp; IF(ISERROR(FIND($J$2,Lines!AM24))=TRUE,"",IF('1000'!AM24="","ERR",""))</f>
        <v/>
      </c>
      <c r="AN24" s="108" t="str">
        <f>IF(ISERROR(FIND($B$2,Lines!AN24))=TRUE,"",IF('750'!AN24="","ERR","")) &amp; IF(ISERROR(FIND($C$2,Lines!AN24))=TRUE,"",IF('500'!AN24="","ERR","")) &amp; IF(ISERROR(FIND($D$2,Lines!AN24))=TRUE,"",IF('330'!AN24="","ERR","")) &amp; IF(ISERROR(FIND($E$2,Lines!AN24))=TRUE,"",IF('220'!AN24="","ERR",""))&amp; IF(ISERROR(FIND($F$2,Lines!AN24))=TRUE,"",IF(AND('500DC'!AN24="",'800DC'!AN24=""),"ERR","")) &amp; IF(ISERROR(FIND($G$2,Lines!AN24))=TRUE,"",IF('1000'!AN24="","ERR","")) &amp; IF(ISERROR(FIND($H$2,Lines!AN24))=TRUE,"",IF('500DC'!AN24="","ERR","")) &amp; IF(ISERROR(FIND($I$2,Lines!AN24))=TRUE,"",IF('800DC'!AN24="","ERR","")) &amp; IF(ISERROR(FIND($J$2,Lines!AN24))=TRUE,"",IF('1000'!AN24="","ERR",""))</f>
        <v/>
      </c>
      <c r="AO24" s="108" t="str">
        <f>IF(ISERROR(FIND($B$2,Lines!AO24))=TRUE,"",IF('750'!AO24="","ERR","")) &amp; IF(ISERROR(FIND($C$2,Lines!AO24))=TRUE,"",IF('500'!AO24="","ERR","")) &amp; IF(ISERROR(FIND($D$2,Lines!AO24))=TRUE,"",IF('330'!AO24="","ERR","")) &amp; IF(ISERROR(FIND($E$2,Lines!AO24))=TRUE,"",IF('220'!AO24="","ERR",""))&amp; IF(ISERROR(FIND($F$2,Lines!AO24))=TRUE,"",IF(AND('500DC'!AO24="",'800DC'!AO24=""),"ERR","")) &amp; IF(ISERROR(FIND($G$2,Lines!AO24))=TRUE,"",IF('1000'!AO24="","ERR","")) &amp; IF(ISERROR(FIND($H$2,Lines!AO24))=TRUE,"",IF('500DC'!AO24="","ERR","")) &amp; IF(ISERROR(FIND($I$2,Lines!AO24))=TRUE,"",IF('800DC'!AO24="","ERR","")) &amp; IF(ISERROR(FIND($J$2,Lines!AO24))=TRUE,"",IF('1000'!AO24="","ERR",""))</f>
        <v/>
      </c>
      <c r="AP24" s="108" t="str">
        <f>IF(ISERROR(FIND($B$2,Lines!AP24))=TRUE,"",IF('750'!AP24="","ERR","")) &amp; IF(ISERROR(FIND($C$2,Lines!AP24))=TRUE,"",IF('500'!AP24="","ERR","")) &amp; IF(ISERROR(FIND($D$2,Lines!AP24))=TRUE,"",IF('330'!AP24="","ERR","")) &amp; IF(ISERROR(FIND($E$2,Lines!AP24))=TRUE,"",IF('220'!AP24="","ERR",""))&amp; IF(ISERROR(FIND($F$2,Lines!AP24))=TRUE,"",IF(AND('500DC'!AP24="",'800DC'!AP24=""),"ERR","")) &amp; IF(ISERROR(FIND($G$2,Lines!AP24))=TRUE,"",IF('1000'!AP24="","ERR","")) &amp; IF(ISERROR(FIND($H$2,Lines!AP24))=TRUE,"",IF('500DC'!AP24="","ERR","")) &amp; IF(ISERROR(FIND($I$2,Lines!AP24))=TRUE,"",IF('800DC'!AP24="","ERR","")) &amp; IF(ISERROR(FIND($J$2,Lines!AP24))=TRUE,"",IF('1000'!AP24="","ERR",""))</f>
        <v/>
      </c>
      <c r="AQ24" s="108" t="str">
        <f>IF(ISERROR(FIND($B$2,Lines!AQ24))=TRUE,"",IF('750'!AQ24="","ERR","")) &amp; IF(ISERROR(FIND($C$2,Lines!AQ24))=TRUE,"",IF('500'!AQ24="","ERR","")) &amp; IF(ISERROR(FIND($D$2,Lines!AQ24))=TRUE,"",IF('330'!AQ24="","ERR","")) &amp; IF(ISERROR(FIND($E$2,Lines!AQ24))=TRUE,"",IF('220'!AQ24="","ERR",""))&amp; IF(ISERROR(FIND($F$2,Lines!AQ24))=TRUE,"",IF(AND('500DC'!AQ24="",'800DC'!AQ24=""),"ERR","")) &amp; IF(ISERROR(FIND($G$2,Lines!AQ24))=TRUE,"",IF('1000'!AQ24="","ERR","")) &amp; IF(ISERROR(FIND($H$2,Lines!AQ24))=TRUE,"",IF('500DC'!AQ24="","ERR","")) &amp; IF(ISERROR(FIND($I$2,Lines!AQ24))=TRUE,"",IF('800DC'!AQ24="","ERR","")) &amp; IF(ISERROR(FIND($J$2,Lines!AQ24))=TRUE,"",IF('1000'!AQ24="","ERR",""))</f>
        <v/>
      </c>
      <c r="AR24" s="108" t="str">
        <f>IF(ISERROR(FIND($B$2,Lines!AR24))=TRUE,"",IF('750'!AR24="","ERR","")) &amp; IF(ISERROR(FIND($C$2,Lines!AR24))=TRUE,"",IF('500'!AR24="","ERR","")) &amp; IF(ISERROR(FIND($D$2,Lines!AR24))=TRUE,"",IF('330'!AR24="","ERR","")) &amp; IF(ISERROR(FIND($E$2,Lines!AR24))=TRUE,"",IF('220'!AR24="","ERR",""))&amp; IF(ISERROR(FIND($F$2,Lines!AR24))=TRUE,"",IF(AND('500DC'!AR24="",'800DC'!AR24=""),"ERR","")) &amp; IF(ISERROR(FIND($G$2,Lines!AR24))=TRUE,"",IF('1000'!AR24="","ERR","")) &amp; IF(ISERROR(FIND($H$2,Lines!AR24))=TRUE,"",IF('500DC'!AR24="","ERR","")) &amp; IF(ISERROR(FIND($I$2,Lines!AR24))=TRUE,"",IF('800DC'!AR24="","ERR","")) &amp; IF(ISERROR(FIND($J$2,Lines!AR24))=TRUE,"",IF('1000'!AR24="","ERR",""))</f>
        <v/>
      </c>
      <c r="AS24" s="108" t="str">
        <f>IF(ISERROR(FIND($B$2,Lines!AS24))=TRUE,"",IF('750'!AS24="","ERR","")) &amp; IF(ISERROR(FIND($C$2,Lines!AS24))=TRUE,"",IF('500'!AS24="","ERR","")) &amp; IF(ISERROR(FIND($D$2,Lines!AS24))=TRUE,"",IF('330'!AS24="","ERR","")) &amp; IF(ISERROR(FIND($E$2,Lines!AS24))=TRUE,"",IF('220'!AS24="","ERR",""))&amp; IF(ISERROR(FIND($F$2,Lines!AS24))=TRUE,"",IF(AND('500DC'!AS24="",'800DC'!AS24=""),"ERR","")) &amp; IF(ISERROR(FIND($G$2,Lines!AS24))=TRUE,"",IF('1000'!AS24="","ERR","")) &amp; IF(ISERROR(FIND($H$2,Lines!AS24))=TRUE,"",IF('500DC'!AS24="","ERR","")) &amp; IF(ISERROR(FIND($I$2,Lines!AS24))=TRUE,"",IF('800DC'!AS24="","ERR","")) &amp; IF(ISERROR(FIND($J$2,Lines!AS24))=TRUE,"",IF('1000'!AS24="","ERR",""))</f>
        <v/>
      </c>
      <c r="AT24" s="108" t="str">
        <f>IF(ISERROR(FIND($B$2,Lines!AT24))=TRUE,"",IF('750'!AT24="","ERR","")) &amp; IF(ISERROR(FIND($C$2,Lines!AT24))=TRUE,"",IF('500'!AT24="","ERR","")) &amp; IF(ISERROR(FIND($D$2,Lines!AT24))=TRUE,"",IF('330'!AT24="","ERR","")) &amp; IF(ISERROR(FIND($E$2,Lines!AT24))=TRUE,"",IF('220'!AT24="","ERR",""))&amp; IF(ISERROR(FIND($F$2,Lines!AT24))=TRUE,"",IF(AND('500DC'!AT24="",'800DC'!AT24=""),"ERR","")) &amp; IF(ISERROR(FIND($G$2,Lines!AT24))=TRUE,"",IF('1000'!AT24="","ERR","")) &amp; IF(ISERROR(FIND($H$2,Lines!AT24))=TRUE,"",IF('500DC'!AT24="","ERR","")) &amp; IF(ISERROR(FIND($I$2,Lines!AT24))=TRUE,"",IF('800DC'!AT24="","ERR","")) &amp; IF(ISERROR(FIND($J$2,Lines!AT24))=TRUE,"",IF('1000'!AT24="","ERR",""))</f>
        <v/>
      </c>
    </row>
    <row r="25" spans="1:46" ht="20.25" customHeight="1">
      <c r="A25" s="2" t="s">
        <v>73</v>
      </c>
      <c r="B25" s="109" t="str">
        <f>IF(ISERROR(FIND($B$2,Lines!B25))=TRUE,"",IF('750'!B25="","ERR","")) &amp; IF(ISERROR(FIND($C$2,Lines!B25))=TRUE,"",IF('500'!B25="","ERR","")) &amp; IF(ISERROR(FIND($D$2,Lines!B25))=TRUE,"",IF('330'!B25="","ERR","")) &amp; IF(ISERROR(FIND($E$2,Lines!B25))=TRUE,"",IF('220'!B25="","ERR",""))&amp; IF(ISERROR(FIND($F$2,Lines!B25))=TRUE,"",IF(AND('500DC'!B25="",'800DC'!B25=""),"ERR","")) &amp; IF(ISERROR(FIND($G$2,Lines!B25))=TRUE,"",IF('1000'!B25="","ERR","")) &amp; IF(ISERROR(FIND($H$2,Lines!B25))=TRUE,"",IF('500DC'!B25="","ERR","")) &amp; IF(ISERROR(FIND($I$2,Lines!B25))=TRUE,"",IF('800DC'!B25="","ERR","")) &amp; IF(ISERROR(FIND($J$2,Lines!B25))=TRUE,"",IF('1000'!B25="","ERR",""))</f>
        <v/>
      </c>
      <c r="C25" s="109" t="str">
        <f>IF(ISERROR(FIND($B$2,Lines!C25))=TRUE,"",IF('750'!C25="","ERR","")) &amp; IF(ISERROR(FIND($C$2,Lines!C25))=TRUE,"",IF('500'!C25="","ERR","")) &amp; IF(ISERROR(FIND($D$2,Lines!C25))=TRUE,"",IF('330'!C25="","ERR","")) &amp; IF(ISERROR(FIND($E$2,Lines!C25))=TRUE,"",IF('220'!C25="","ERR",""))&amp; IF(ISERROR(FIND($F$2,Lines!C25))=TRUE,"",IF(AND('500DC'!C25="",'800DC'!C25=""),"ERR","")) &amp; IF(ISERROR(FIND($G$2,Lines!C25))=TRUE,"",IF('1000'!C25="","ERR","")) &amp; IF(ISERROR(FIND($H$2,Lines!C25))=TRUE,"",IF('500DC'!C25="","ERR","")) &amp; IF(ISERROR(FIND($I$2,Lines!C25))=TRUE,"",IF('800DC'!C25="","ERR","")) &amp; IF(ISERROR(FIND($J$2,Lines!C25))=TRUE,"",IF('1000'!C25="","ERR",""))</f>
        <v/>
      </c>
      <c r="D25" s="109" t="str">
        <f>IF(ISERROR(FIND($B$2,Lines!D25))=TRUE,"",IF('750'!D25="","ERR","")) &amp; IF(ISERROR(FIND($C$2,Lines!D25))=TRUE,"",IF('500'!D25="","ERR","")) &amp; IF(ISERROR(FIND($D$2,Lines!D25))=TRUE,"",IF('330'!D25="","ERR","")) &amp; IF(ISERROR(FIND($E$2,Lines!D25))=TRUE,"",IF('220'!D25="","ERR",""))&amp; IF(ISERROR(FIND($F$2,Lines!D25))=TRUE,"",IF(AND('500DC'!D25="",'800DC'!D25=""),"ERR","")) &amp; IF(ISERROR(FIND($G$2,Lines!D25))=TRUE,"",IF('1000'!D25="","ERR","")) &amp; IF(ISERROR(FIND($H$2,Lines!D25))=TRUE,"",IF('500DC'!D25="","ERR","")) &amp; IF(ISERROR(FIND($I$2,Lines!D25))=TRUE,"",IF('800DC'!D25="","ERR","")) &amp; IF(ISERROR(FIND($J$2,Lines!D25))=TRUE,"",IF('1000'!D25="","ERR",""))</f>
        <v/>
      </c>
      <c r="E25" s="109" t="str">
        <f>IF(ISERROR(FIND($B$2,Lines!E25))=TRUE,"",IF('750'!E25="","ERR","")) &amp; IF(ISERROR(FIND($C$2,Lines!E25))=TRUE,"",IF('500'!E25="","ERR","")) &amp; IF(ISERROR(FIND($D$2,Lines!E25))=TRUE,"",IF('330'!E25="","ERR","")) &amp; IF(ISERROR(FIND($E$2,Lines!E25))=TRUE,"",IF('220'!E25="","ERR",""))&amp; IF(ISERROR(FIND($F$2,Lines!E25))=TRUE,"",IF(AND('500DC'!E25="",'800DC'!E25=""),"ERR","")) &amp; IF(ISERROR(FIND($G$2,Lines!E25))=TRUE,"",IF('1000'!E25="","ERR","")) &amp; IF(ISERROR(FIND($H$2,Lines!E25))=TRUE,"",IF('500DC'!E25="","ERR","")) &amp; IF(ISERROR(FIND($I$2,Lines!E25))=TRUE,"",IF('800DC'!E25="","ERR","")) &amp; IF(ISERROR(FIND($J$2,Lines!E25))=TRUE,"",IF('1000'!E25="","ERR",""))</f>
        <v/>
      </c>
      <c r="F25" s="109" t="str">
        <f>IF(ISERROR(FIND($B$2,Lines!F25))=TRUE,"",IF('750'!F25="","ERR","")) &amp; IF(ISERROR(FIND($C$2,Lines!F25))=TRUE,"",IF('500'!F25="","ERR","")) &amp; IF(ISERROR(FIND($D$2,Lines!F25))=TRUE,"",IF('330'!F25="","ERR","")) &amp; IF(ISERROR(FIND($E$2,Lines!F25))=TRUE,"",IF('220'!F25="","ERR",""))&amp; IF(ISERROR(FIND($F$2,Lines!F25))=TRUE,"",IF(AND('500DC'!F25="",'800DC'!F25=""),"ERR","")) &amp; IF(ISERROR(FIND($G$2,Lines!F25))=TRUE,"",IF('1000'!F25="","ERR","")) &amp; IF(ISERROR(FIND($H$2,Lines!F25))=TRUE,"",IF('500DC'!F25="","ERR","")) &amp; IF(ISERROR(FIND($I$2,Lines!F25))=TRUE,"",IF('800DC'!F25="","ERR","")) &amp; IF(ISERROR(FIND($J$2,Lines!F25))=TRUE,"",IF('1000'!F25="","ERR",""))</f>
        <v/>
      </c>
      <c r="G25" s="109" t="str">
        <f>IF(ISERROR(FIND($B$2,Lines!G25))=TRUE,"",IF('750'!G25="","ERR","")) &amp; IF(ISERROR(FIND($C$2,Lines!G25))=TRUE,"",IF('500'!G25="","ERR","")) &amp; IF(ISERROR(FIND($D$2,Lines!G25))=TRUE,"",IF('330'!G25="","ERR","")) &amp; IF(ISERROR(FIND($E$2,Lines!G25))=TRUE,"",IF('220'!G25="","ERR",""))&amp; IF(ISERROR(FIND($F$2,Lines!G25))=TRUE,"",IF(AND('500DC'!G25="",'800DC'!G25=""),"ERR","")) &amp; IF(ISERROR(FIND($G$2,Lines!G25))=TRUE,"",IF('1000'!G25="","ERR","")) &amp; IF(ISERROR(FIND($H$2,Lines!G25))=TRUE,"",IF('500DC'!G25="","ERR","")) &amp; IF(ISERROR(FIND($I$2,Lines!G25))=TRUE,"",IF('800DC'!G25="","ERR","")) &amp; IF(ISERROR(FIND($J$2,Lines!G25))=TRUE,"",IF('1000'!G25="","ERR",""))</f>
        <v/>
      </c>
      <c r="H25" s="109" t="str">
        <f>IF(ISERROR(FIND($B$2,Lines!H25))=TRUE,"",IF('750'!H25="","ERR","")) &amp; IF(ISERROR(FIND($C$2,Lines!H25))=TRUE,"",IF('500'!H25="","ERR","")) &amp; IF(ISERROR(FIND($D$2,Lines!H25))=TRUE,"",IF('330'!H25="","ERR","")) &amp; IF(ISERROR(FIND($E$2,Lines!H25))=TRUE,"",IF('220'!H25="","ERR",""))&amp; IF(ISERROR(FIND($F$2,Lines!H25))=TRUE,"",IF(AND('500DC'!H25="",'800DC'!H25=""),"ERR","")) &amp; IF(ISERROR(FIND($G$2,Lines!H25))=TRUE,"",IF('1000'!H25="","ERR","")) &amp; IF(ISERROR(FIND($H$2,Lines!H25))=TRUE,"",IF('500DC'!H25="","ERR","")) &amp; IF(ISERROR(FIND($I$2,Lines!H25))=TRUE,"",IF('800DC'!H25="","ERR","")) &amp; IF(ISERROR(FIND($J$2,Lines!H25))=TRUE,"",IF('1000'!H25="","ERR",""))</f>
        <v/>
      </c>
      <c r="I25" s="109" t="str">
        <f>IF(ISERROR(FIND($B$2,Lines!I25))=TRUE,"",IF('750'!I25="","ERR","")) &amp; IF(ISERROR(FIND($C$2,Lines!I25))=TRUE,"",IF('500'!I25="","ERR","")) &amp; IF(ISERROR(FIND($D$2,Lines!I25))=TRUE,"",IF('330'!I25="","ERR","")) &amp; IF(ISERROR(FIND($E$2,Lines!I25))=TRUE,"",IF('220'!I25="","ERR",""))&amp; IF(ISERROR(FIND($F$2,Lines!I25))=TRUE,"",IF(AND('500DC'!I25="",'800DC'!I25=""),"ERR","")) &amp; IF(ISERROR(FIND($G$2,Lines!I25))=TRUE,"",IF('1000'!I25="","ERR","")) &amp; IF(ISERROR(FIND($H$2,Lines!I25))=TRUE,"",IF('500DC'!I25="","ERR","")) &amp; IF(ISERROR(FIND($I$2,Lines!I25))=TRUE,"",IF('800DC'!I25="","ERR","")) &amp; IF(ISERROR(FIND($J$2,Lines!I25))=TRUE,"",IF('1000'!I25="","ERR",""))</f>
        <v/>
      </c>
      <c r="J25" s="109" t="str">
        <f>IF(ISERROR(FIND($B$2,Lines!J25))=TRUE,"",IF('750'!J25="","ERR","")) &amp; IF(ISERROR(FIND($C$2,Lines!J25))=TRUE,"",IF('500'!J25="","ERR","")) &amp; IF(ISERROR(FIND($D$2,Lines!J25))=TRUE,"",IF('330'!J25="","ERR","")) &amp; IF(ISERROR(FIND($E$2,Lines!J25))=TRUE,"",IF('220'!J25="","ERR",""))&amp; IF(ISERROR(FIND($F$2,Lines!J25))=TRUE,"",IF(AND('500DC'!J25="",'800DC'!J25=""),"ERR","")) &amp; IF(ISERROR(FIND($G$2,Lines!J25))=TRUE,"",IF('1000'!J25="","ERR","")) &amp; IF(ISERROR(FIND($H$2,Lines!J25))=TRUE,"",IF('500DC'!J25="","ERR","")) &amp; IF(ISERROR(FIND($I$2,Lines!J25))=TRUE,"",IF('800DC'!J25="","ERR","")) &amp; IF(ISERROR(FIND($J$2,Lines!J25))=TRUE,"",IF('1000'!J25="","ERR",""))</f>
        <v/>
      </c>
      <c r="K25" s="109" t="str">
        <f>IF(ISERROR(FIND($B$2,Lines!K25))=TRUE,"",IF('750'!K25="","ERR","")) &amp; IF(ISERROR(FIND($C$2,Lines!K25))=TRUE,"",IF('500'!K25="","ERR","")) &amp; IF(ISERROR(FIND($D$2,Lines!K25))=TRUE,"",IF('330'!K25="","ERR","")) &amp; IF(ISERROR(FIND($E$2,Lines!K25))=TRUE,"",IF('220'!K25="","ERR",""))&amp; IF(ISERROR(FIND($F$2,Lines!K25))=TRUE,"",IF(AND('500DC'!K25="",'800DC'!K25=""),"ERR","")) &amp; IF(ISERROR(FIND($G$2,Lines!K25))=TRUE,"",IF('1000'!K25="","ERR","")) &amp; IF(ISERROR(FIND($H$2,Lines!K25))=TRUE,"",IF('500DC'!K25="","ERR","")) &amp; IF(ISERROR(FIND($I$2,Lines!K25))=TRUE,"",IF('800DC'!K25="","ERR","")) &amp; IF(ISERROR(FIND($J$2,Lines!K25))=TRUE,"",IF('1000'!K25="","ERR",""))</f>
        <v/>
      </c>
      <c r="L25" s="109" t="str">
        <f>IF(ISERROR(FIND($B$2,Lines!L25))=TRUE,"",IF('750'!L25="","ERR","")) &amp; IF(ISERROR(FIND($C$2,Lines!L25))=TRUE,"",IF('500'!L25="","ERR","")) &amp; IF(ISERROR(FIND($D$2,Lines!L25))=TRUE,"",IF('330'!L25="","ERR","")) &amp; IF(ISERROR(FIND($E$2,Lines!L25))=TRUE,"",IF('220'!L25="","ERR",""))&amp; IF(ISERROR(FIND($F$2,Lines!L25))=TRUE,"",IF(AND('500DC'!L25="",'800DC'!L25=""),"ERR","")) &amp; IF(ISERROR(FIND($G$2,Lines!L25))=TRUE,"",IF('1000'!L25="","ERR","")) &amp; IF(ISERROR(FIND($H$2,Lines!L25))=TRUE,"",IF('500DC'!L25="","ERR","")) &amp; IF(ISERROR(FIND($I$2,Lines!L25))=TRUE,"",IF('800DC'!L25="","ERR","")) &amp; IF(ISERROR(FIND($J$2,Lines!L25))=TRUE,"",IF('1000'!L25="","ERR",""))</f>
        <v/>
      </c>
      <c r="M25" s="109" t="str">
        <f>IF(ISERROR(FIND($B$2,Lines!M25))=TRUE,"",IF('750'!M25="","ERR","")) &amp; IF(ISERROR(FIND($C$2,Lines!M25))=TRUE,"",IF('500'!M25="","ERR","")) &amp; IF(ISERROR(FIND($D$2,Lines!M25))=TRUE,"",IF('330'!M25="","ERR","")) &amp; IF(ISERROR(FIND($E$2,Lines!M25))=TRUE,"",IF('220'!M25="","ERR",""))&amp; IF(ISERROR(FIND($F$2,Lines!M25))=TRUE,"",IF(AND('500DC'!M25="",'800DC'!M25=""),"ERR","")) &amp; IF(ISERROR(FIND($G$2,Lines!M25))=TRUE,"",IF('1000'!M25="","ERR","")) &amp; IF(ISERROR(FIND($H$2,Lines!M25))=TRUE,"",IF('500DC'!M25="","ERR","")) &amp; IF(ISERROR(FIND($I$2,Lines!M25))=TRUE,"",IF('800DC'!M25="","ERR","")) &amp; IF(ISERROR(FIND($J$2,Lines!M25))=TRUE,"",IF('1000'!M25="","ERR",""))</f>
        <v/>
      </c>
      <c r="N25" s="109" t="str">
        <f>IF(ISERROR(FIND($B$2,Lines!N25))=TRUE,"",IF('750'!N25="","ERR","")) &amp; IF(ISERROR(FIND($C$2,Lines!N25))=TRUE,"",IF('500'!N25="","ERR","")) &amp; IF(ISERROR(FIND($D$2,Lines!N25))=TRUE,"",IF('330'!N25="","ERR","")) &amp; IF(ISERROR(FIND($E$2,Lines!N25))=TRUE,"",IF('220'!N25="","ERR",""))&amp; IF(ISERROR(FIND($F$2,Lines!N25))=TRUE,"",IF(AND('500DC'!N25="",'800DC'!N25=""),"ERR","")) &amp; IF(ISERROR(FIND($G$2,Lines!N25))=TRUE,"",IF('1000'!N25="","ERR","")) &amp; IF(ISERROR(FIND($H$2,Lines!N25))=TRUE,"",IF('500DC'!N25="","ERR","")) &amp; IF(ISERROR(FIND($I$2,Lines!N25))=TRUE,"",IF('800DC'!N25="","ERR","")) &amp; IF(ISERROR(FIND($J$2,Lines!N25))=TRUE,"",IF('1000'!N25="","ERR",""))</f>
        <v/>
      </c>
      <c r="O25" s="109" t="str">
        <f>IF(ISERROR(FIND($B$2,Lines!O25))=TRUE,"",IF('750'!O25="","ERR","")) &amp; IF(ISERROR(FIND($C$2,Lines!O25))=TRUE,"",IF('500'!O25="","ERR","")) &amp; IF(ISERROR(FIND($D$2,Lines!O25))=TRUE,"",IF('330'!O25="","ERR","")) &amp; IF(ISERROR(FIND($E$2,Lines!O25))=TRUE,"",IF('220'!O25="","ERR",""))&amp; IF(ISERROR(FIND($F$2,Lines!O25))=TRUE,"",IF(AND('500DC'!O25="",'800DC'!O25=""),"ERR","")) &amp; IF(ISERROR(FIND($G$2,Lines!O25))=TRUE,"",IF('1000'!O25="","ERR","")) &amp; IF(ISERROR(FIND($H$2,Lines!O25))=TRUE,"",IF('500DC'!O25="","ERR","")) &amp; IF(ISERROR(FIND($I$2,Lines!O25))=TRUE,"",IF('800DC'!O25="","ERR","")) &amp; IF(ISERROR(FIND($J$2,Lines!O25))=TRUE,"",IF('1000'!O25="","ERR",""))</f>
        <v/>
      </c>
      <c r="P25" s="109" t="str">
        <f>IF(ISERROR(FIND($B$2,Lines!P25))=TRUE,"",IF('750'!P25="","ERR","")) &amp; IF(ISERROR(FIND($C$2,Lines!P25))=TRUE,"",IF('500'!P25="","ERR","")) &amp; IF(ISERROR(FIND($D$2,Lines!P25))=TRUE,"",IF('330'!P25="","ERR","")) &amp; IF(ISERROR(FIND($E$2,Lines!P25))=TRUE,"",IF('220'!P25="","ERR",""))&amp; IF(ISERROR(FIND($F$2,Lines!P25))=TRUE,"",IF(AND('500DC'!P25="",'800DC'!P25=""),"ERR","")) &amp; IF(ISERROR(FIND($G$2,Lines!P25))=TRUE,"",IF('1000'!P25="","ERR","")) &amp; IF(ISERROR(FIND($H$2,Lines!P25))=TRUE,"",IF('500DC'!P25="","ERR","")) &amp; IF(ISERROR(FIND($I$2,Lines!P25))=TRUE,"",IF('800DC'!P25="","ERR","")) &amp; IF(ISERROR(FIND($J$2,Lines!P25))=TRUE,"",IF('1000'!P25="","ERR",""))</f>
        <v/>
      </c>
      <c r="Q25" s="109" t="str">
        <f>IF(ISERROR(FIND($B$2,Lines!Q25))=TRUE,"",IF('750'!Q25="","ERR","")) &amp; IF(ISERROR(FIND($C$2,Lines!Q25))=TRUE,"",IF('500'!Q25="","ERR","")) &amp; IF(ISERROR(FIND($D$2,Lines!Q25))=TRUE,"",IF('330'!Q25="","ERR","")) &amp; IF(ISERROR(FIND($E$2,Lines!Q25))=TRUE,"",IF('220'!Q25="","ERR",""))&amp; IF(ISERROR(FIND($F$2,Lines!Q25))=TRUE,"",IF(AND('500DC'!Q25="",'800DC'!Q25=""),"ERR","")) &amp; IF(ISERROR(FIND($G$2,Lines!Q25))=TRUE,"",IF('1000'!Q25="","ERR","")) &amp; IF(ISERROR(FIND($H$2,Lines!Q25))=TRUE,"",IF('500DC'!Q25="","ERR","")) &amp; IF(ISERROR(FIND($I$2,Lines!Q25))=TRUE,"",IF('800DC'!Q25="","ERR","")) &amp; IF(ISERROR(FIND($J$2,Lines!Q25))=TRUE,"",IF('1000'!Q25="","ERR",""))</f>
        <v/>
      </c>
      <c r="R25" s="109" t="str">
        <f>IF(ISERROR(FIND($B$2,Lines!R25))=TRUE,"",IF('750'!R25="","ERR","")) &amp; IF(ISERROR(FIND($C$2,Lines!R25))=TRUE,"",IF('500'!R25="","ERR","")) &amp; IF(ISERROR(FIND($D$2,Lines!R25))=TRUE,"",IF('330'!R25="","ERR","")) &amp; IF(ISERROR(FIND($E$2,Lines!R25))=TRUE,"",IF('220'!R25="","ERR",""))&amp; IF(ISERROR(FIND($F$2,Lines!R25))=TRUE,"",IF(AND('500DC'!R25="",'800DC'!R25=""),"ERR","")) &amp; IF(ISERROR(FIND($G$2,Lines!R25))=TRUE,"",IF('1000'!R25="","ERR","")) &amp; IF(ISERROR(FIND($H$2,Lines!R25))=TRUE,"",IF('500DC'!R25="","ERR","")) &amp; IF(ISERROR(FIND($I$2,Lines!R25))=TRUE,"",IF('800DC'!R25="","ERR","")) &amp; IF(ISERROR(FIND($J$2,Lines!R25))=TRUE,"",IF('1000'!R25="","ERR",""))</f>
        <v/>
      </c>
      <c r="S25" s="109" t="str">
        <f>IF(ISERROR(FIND($B$2,Lines!S25))=TRUE,"",IF('750'!S25="","ERR","")) &amp; IF(ISERROR(FIND($C$2,Lines!S25))=TRUE,"",IF('500'!S25="","ERR","")) &amp; IF(ISERROR(FIND($D$2,Lines!S25))=TRUE,"",IF('330'!S25="","ERR","")) &amp; IF(ISERROR(FIND($E$2,Lines!S25))=TRUE,"",IF('220'!S25="","ERR",""))&amp; IF(ISERROR(FIND($F$2,Lines!S25))=TRUE,"",IF(AND('500DC'!S25="",'800DC'!S25=""),"ERR","")) &amp; IF(ISERROR(FIND($G$2,Lines!S25))=TRUE,"",IF('1000'!S25="","ERR","")) &amp; IF(ISERROR(FIND($H$2,Lines!S25))=TRUE,"",IF('500DC'!S25="","ERR","")) &amp; IF(ISERROR(FIND($I$2,Lines!S25))=TRUE,"",IF('800DC'!S25="","ERR","")) &amp; IF(ISERROR(FIND($J$2,Lines!S25))=TRUE,"",IF('1000'!S25="","ERR",""))</f>
        <v/>
      </c>
      <c r="T25" s="109" t="str">
        <f>IF(ISERROR(FIND($B$2,Lines!T25))=TRUE,"",IF('750'!T25="","ERR","")) &amp; IF(ISERROR(FIND($C$2,Lines!T25))=TRUE,"",IF('500'!T25="","ERR","")) &amp; IF(ISERROR(FIND($D$2,Lines!T25))=TRUE,"",IF('330'!T25="","ERR","")) &amp; IF(ISERROR(FIND($E$2,Lines!T25))=TRUE,"",IF('220'!T25="","ERR",""))&amp; IF(ISERROR(FIND($F$2,Lines!T25))=TRUE,"",IF(AND('500DC'!T25="",'800DC'!T25=""),"ERR","")) &amp; IF(ISERROR(FIND($G$2,Lines!T25))=TRUE,"",IF('1000'!T25="","ERR","")) &amp; IF(ISERROR(FIND($H$2,Lines!T25))=TRUE,"",IF('500DC'!T25="","ERR","")) &amp; IF(ISERROR(FIND($I$2,Lines!T25))=TRUE,"",IF('800DC'!T25="","ERR","")) &amp; IF(ISERROR(FIND($J$2,Lines!T25))=TRUE,"",IF('1000'!T25="","ERR",""))</f>
        <v/>
      </c>
      <c r="U25" s="109" t="str">
        <f>IF(ISERROR(FIND($B$2,Lines!U25))=TRUE,"",IF('750'!U25="","ERR","")) &amp; IF(ISERROR(FIND($C$2,Lines!U25))=TRUE,"",IF('500'!U25="","ERR","")) &amp; IF(ISERROR(FIND($D$2,Lines!U25))=TRUE,"",IF('330'!U25="","ERR","")) &amp; IF(ISERROR(FIND($E$2,Lines!U25))=TRUE,"",IF('220'!U25="","ERR",""))&amp; IF(ISERROR(FIND($F$2,Lines!U25))=TRUE,"",IF(AND('500DC'!U25="",'800DC'!U25=""),"ERR","")) &amp; IF(ISERROR(FIND($G$2,Lines!U25))=TRUE,"",IF('1000'!U25="","ERR","")) &amp; IF(ISERROR(FIND($H$2,Lines!U25))=TRUE,"",IF('500DC'!U25="","ERR","")) &amp; IF(ISERROR(FIND($I$2,Lines!U25))=TRUE,"",IF('800DC'!U25="","ERR","")) &amp; IF(ISERROR(FIND($J$2,Lines!U25))=TRUE,"",IF('1000'!U25="","ERR",""))</f>
        <v/>
      </c>
      <c r="V25" s="109" t="str">
        <f>IF(ISERROR(FIND($B$2,Lines!V25))=TRUE,"",IF('750'!V25="","ERR","")) &amp; IF(ISERROR(FIND($C$2,Lines!V25))=TRUE,"",IF('500'!V25="","ERR","")) &amp; IF(ISERROR(FIND($D$2,Lines!V25))=TRUE,"",IF('330'!V25="","ERR","")) &amp; IF(ISERROR(FIND($E$2,Lines!V25))=TRUE,"",IF('220'!V25="","ERR",""))&amp; IF(ISERROR(FIND($F$2,Lines!V25))=TRUE,"",IF(AND('500DC'!V25="",'800DC'!V25=""),"ERR","")) &amp; IF(ISERROR(FIND($G$2,Lines!V25))=TRUE,"",IF('1000'!V25="","ERR","")) &amp; IF(ISERROR(FIND($H$2,Lines!V25))=TRUE,"",IF('500DC'!V25="","ERR","")) &amp; IF(ISERROR(FIND($I$2,Lines!V25))=TRUE,"",IF('800DC'!V25="","ERR","")) &amp; IF(ISERROR(FIND($J$2,Lines!V25))=TRUE,"",IF('1000'!V25="","ERR",""))</f>
        <v/>
      </c>
      <c r="W25" s="109" t="str">
        <f>IF(ISERROR(FIND($B$2,Lines!W25))=TRUE,"",IF('750'!W25="","ERR","")) &amp; IF(ISERROR(FIND($C$2,Lines!W25))=TRUE,"",IF('500'!W25="","ERR","")) &amp; IF(ISERROR(FIND($D$2,Lines!W25))=TRUE,"",IF('330'!W25="","ERR","")) &amp; IF(ISERROR(FIND($E$2,Lines!W25))=TRUE,"",IF('220'!W25="","ERR",""))&amp; IF(ISERROR(FIND($F$2,Lines!W25))=TRUE,"",IF(AND('500DC'!W25="",'800DC'!W25=""),"ERR","")) &amp; IF(ISERROR(FIND($G$2,Lines!W25))=TRUE,"",IF('1000'!W25="","ERR","")) &amp; IF(ISERROR(FIND($H$2,Lines!W25))=TRUE,"",IF('500DC'!W25="","ERR","")) &amp; IF(ISERROR(FIND($I$2,Lines!W25))=TRUE,"",IF('800DC'!W25="","ERR","")) &amp; IF(ISERROR(FIND($J$2,Lines!W25))=TRUE,"",IF('1000'!W25="","ERR",""))</f>
        <v/>
      </c>
      <c r="X25" s="109" t="str">
        <f>IF(ISERROR(FIND($B$2,Lines!X25))=TRUE,"",IF('750'!X25="","ERR","")) &amp; IF(ISERROR(FIND($C$2,Lines!X25))=TRUE,"",IF('500'!X25="","ERR","")) &amp; IF(ISERROR(FIND($D$2,Lines!X25))=TRUE,"",IF('330'!X25="","ERR","")) &amp; IF(ISERROR(FIND($E$2,Lines!X25))=TRUE,"",IF('220'!X25="","ERR",""))&amp; IF(ISERROR(FIND($F$2,Lines!X25))=TRUE,"",IF(AND('500DC'!X25="",'800DC'!X25=""),"ERR","")) &amp; IF(ISERROR(FIND($G$2,Lines!X25))=TRUE,"",IF('1000'!X25="","ERR","")) &amp; IF(ISERROR(FIND($H$2,Lines!X25))=TRUE,"",IF('500DC'!X25="","ERR","")) &amp; IF(ISERROR(FIND($I$2,Lines!X25))=TRUE,"",IF('800DC'!X25="","ERR","")) &amp; IF(ISERROR(FIND($J$2,Lines!X25))=TRUE,"",IF('1000'!X25="","ERR",""))</f>
        <v/>
      </c>
      <c r="Y25" s="109" t="str">
        <f>IF(ISERROR(FIND($B$2,Lines!Y25))=TRUE,"",IF('750'!Y25="","ERR","")) &amp; IF(ISERROR(FIND($C$2,Lines!Y25))=TRUE,"",IF('500'!Y25="","ERR","")) &amp; IF(ISERROR(FIND($D$2,Lines!Y25))=TRUE,"",IF('330'!Y25="","ERR","")) &amp; IF(ISERROR(FIND($E$2,Lines!Y25))=TRUE,"",IF('220'!Y25="","ERR",""))&amp; IF(ISERROR(FIND($F$2,Lines!Y25))=TRUE,"",IF(AND('500DC'!Y25="",'800DC'!Y25=""),"ERR","")) &amp; IF(ISERROR(FIND($G$2,Lines!Y25))=TRUE,"",IF('1000'!Y25="","ERR","")) &amp; IF(ISERROR(FIND($H$2,Lines!Y25))=TRUE,"",IF('500DC'!Y25="","ERR","")) &amp; IF(ISERROR(FIND($I$2,Lines!Y25))=TRUE,"",IF('800DC'!Y25="","ERR","")) &amp; IF(ISERROR(FIND($J$2,Lines!Y25))=TRUE,"",IF('1000'!Y25="","ERR",""))</f>
        <v/>
      </c>
      <c r="Z25" s="109" t="str">
        <f>IF(ISERROR(FIND($B$2,Lines!Z25))=TRUE,"",IF('750'!Z25="","ERR","")) &amp; IF(ISERROR(FIND($C$2,Lines!Z25))=TRUE,"",IF('500'!Z25="","ERR","")) &amp; IF(ISERROR(FIND($D$2,Lines!Z25))=TRUE,"",IF('330'!Z25="","ERR","")) &amp; IF(ISERROR(FIND($E$2,Lines!Z25))=TRUE,"",IF('220'!Z25="","ERR",""))&amp; IF(ISERROR(FIND($F$2,Lines!Z25))=TRUE,"",IF(AND('500DC'!Z25="",'800DC'!Z25=""),"ERR","")) &amp; IF(ISERROR(FIND($G$2,Lines!Z25))=TRUE,"",IF('1000'!Z25="","ERR","")) &amp; IF(ISERROR(FIND($H$2,Lines!Z25))=TRUE,"",IF('500DC'!Z25="","ERR","")) &amp; IF(ISERROR(FIND($I$2,Lines!Z25))=TRUE,"",IF('800DC'!Z25="","ERR","")) &amp; IF(ISERROR(FIND($J$2,Lines!Z25))=TRUE,"",IF('1000'!Z25="","ERR",""))</f>
        <v/>
      </c>
      <c r="AA25" s="109" t="str">
        <f>IF(ISERROR(FIND($B$2,Lines!AA25))=TRUE,"",IF('750'!AA25="","ERR","")) &amp; IF(ISERROR(FIND($C$2,Lines!AA25))=TRUE,"",IF('500'!AA25="","ERR","")) &amp; IF(ISERROR(FIND($D$2,Lines!AA25))=TRUE,"",IF('330'!AA25="","ERR","")) &amp; IF(ISERROR(FIND($E$2,Lines!AA25))=TRUE,"",IF('220'!AA25="","ERR",""))&amp; IF(ISERROR(FIND($F$2,Lines!AA25))=TRUE,"",IF(AND('500DC'!AA25="",'800DC'!AA25=""),"ERR","")) &amp; IF(ISERROR(FIND($G$2,Lines!AA25))=TRUE,"",IF('1000'!AA25="","ERR","")) &amp; IF(ISERROR(FIND($H$2,Lines!AA25))=TRUE,"",IF('500DC'!AA25="","ERR","")) &amp; IF(ISERROR(FIND($I$2,Lines!AA25))=TRUE,"",IF('800DC'!AA25="","ERR","")) &amp; IF(ISERROR(FIND($J$2,Lines!AA25))=TRUE,"",IF('1000'!AA25="","ERR",""))</f>
        <v/>
      </c>
      <c r="AB25" s="109" t="str">
        <f>IF(ISERROR(FIND($B$2,Lines!AB25))=TRUE,"",IF('750'!AB25="","ERR","")) &amp; IF(ISERROR(FIND($C$2,Lines!AB25))=TRUE,"",IF('500'!AB25="","ERR","")) &amp; IF(ISERROR(FIND($D$2,Lines!AB25))=TRUE,"",IF('330'!AB25="","ERR","")) &amp; IF(ISERROR(FIND($E$2,Lines!AB25))=TRUE,"",IF('220'!AB25="","ERR",""))&amp; IF(ISERROR(FIND($F$2,Lines!AB25))=TRUE,"",IF(AND('500DC'!AB25="",'800DC'!AB25=""),"ERR","")) &amp; IF(ISERROR(FIND($G$2,Lines!AB25))=TRUE,"",IF('1000'!AB25="","ERR","")) &amp; IF(ISERROR(FIND($H$2,Lines!AB25))=TRUE,"",IF('500DC'!AB25="","ERR","")) &amp; IF(ISERROR(FIND($I$2,Lines!AB25))=TRUE,"",IF('800DC'!AB25="","ERR","")) &amp; IF(ISERROR(FIND($J$2,Lines!AB25))=TRUE,"",IF('1000'!AB25="","ERR",""))</f>
        <v/>
      </c>
      <c r="AC25" s="109" t="str">
        <f>IF(ISERROR(FIND($B$2,Lines!AC25))=TRUE,"",IF('750'!AC25="","ERR","")) &amp; IF(ISERROR(FIND($C$2,Lines!AC25))=TRUE,"",IF('500'!AC25="","ERR","")) &amp; IF(ISERROR(FIND($D$2,Lines!AC25))=TRUE,"",IF('330'!AC25="","ERR","")) &amp; IF(ISERROR(FIND($E$2,Lines!AC25))=TRUE,"",IF('220'!AC25="","ERR",""))&amp; IF(ISERROR(FIND($F$2,Lines!AC25))=TRUE,"",IF(AND('500DC'!AC25="",'800DC'!AC25=""),"ERR","")) &amp; IF(ISERROR(FIND($G$2,Lines!AC25))=TRUE,"",IF('1000'!AC25="","ERR","")) &amp; IF(ISERROR(FIND($H$2,Lines!AC25))=TRUE,"",IF('500DC'!AC25="","ERR","")) &amp; IF(ISERROR(FIND($I$2,Lines!AC25))=TRUE,"",IF('800DC'!AC25="","ERR","")) &amp; IF(ISERROR(FIND($J$2,Lines!AC25))=TRUE,"",IF('1000'!AC25="","ERR",""))</f>
        <v/>
      </c>
      <c r="AD25" s="109" t="str">
        <f>IF(ISERROR(FIND($B$2,Lines!AD25))=TRUE,"",IF('750'!AD25="","ERR","")) &amp; IF(ISERROR(FIND($C$2,Lines!AD25))=TRUE,"",IF('500'!AD25="","ERR","")) &amp; IF(ISERROR(FIND($D$2,Lines!AD25))=TRUE,"",IF('330'!AD25="","ERR","")) &amp; IF(ISERROR(FIND($E$2,Lines!AD25))=TRUE,"",IF('220'!AD25="","ERR",""))&amp; IF(ISERROR(FIND($F$2,Lines!AD25))=TRUE,"",IF(AND('500DC'!AD25="",'800DC'!AD25=""),"ERR","")) &amp; IF(ISERROR(FIND($G$2,Lines!AD25))=TRUE,"",IF('1000'!AD25="","ERR","")) &amp; IF(ISERROR(FIND($H$2,Lines!AD25))=TRUE,"",IF('500DC'!AD25="","ERR","")) &amp; IF(ISERROR(FIND($I$2,Lines!AD25))=TRUE,"",IF('800DC'!AD25="","ERR","")) &amp; IF(ISERROR(FIND($J$2,Lines!AD25))=TRUE,"",IF('1000'!AD25="","ERR",""))</f>
        <v/>
      </c>
      <c r="AE25" s="109" t="str">
        <f>IF(ISERROR(FIND($B$2,Lines!AE25))=TRUE,"",IF('750'!AE25="","ERR","")) &amp; IF(ISERROR(FIND($C$2,Lines!AE25))=TRUE,"",IF('500'!AE25="","ERR","")) &amp; IF(ISERROR(FIND($D$2,Lines!AE25))=TRUE,"",IF('330'!AE25="","ERR","")) &amp; IF(ISERROR(FIND($E$2,Lines!AE25))=TRUE,"",IF('220'!AE25="","ERR",""))&amp; IF(ISERROR(FIND($F$2,Lines!AE25))=TRUE,"",IF(AND('500DC'!AE25="",'800DC'!AE25=""),"ERR","")) &amp; IF(ISERROR(FIND($G$2,Lines!AE25))=TRUE,"",IF('1000'!AE25="","ERR","")) &amp; IF(ISERROR(FIND($H$2,Lines!AE25))=TRUE,"",IF('500DC'!AE25="","ERR","")) &amp; IF(ISERROR(FIND($I$2,Lines!AE25))=TRUE,"",IF('800DC'!AE25="","ERR","")) &amp; IF(ISERROR(FIND($J$2,Lines!AE25))=TRUE,"",IF('1000'!AE25="","ERR",""))</f>
        <v/>
      </c>
      <c r="AF25" s="109" t="str">
        <f>IF(ISERROR(FIND($B$2,Lines!AF25))=TRUE,"",IF('750'!AF25="","ERR","")) &amp; IF(ISERROR(FIND($C$2,Lines!AF25))=TRUE,"",IF('500'!AF25="","ERR","")) &amp; IF(ISERROR(FIND($D$2,Lines!AF25))=TRUE,"",IF('330'!AF25="","ERR","")) &amp; IF(ISERROR(FIND($E$2,Lines!AF25))=TRUE,"",IF('220'!AF25="","ERR",""))&amp; IF(ISERROR(FIND($F$2,Lines!AF25))=TRUE,"",IF(AND('500DC'!AF25="",'800DC'!AF25=""),"ERR","")) &amp; IF(ISERROR(FIND($G$2,Lines!AF25))=TRUE,"",IF('1000'!AF25="","ERR","")) &amp; IF(ISERROR(FIND($H$2,Lines!AF25))=TRUE,"",IF('500DC'!AF25="","ERR","")) &amp; IF(ISERROR(FIND($I$2,Lines!AF25))=TRUE,"",IF('800DC'!AF25="","ERR","")) &amp; IF(ISERROR(FIND($J$2,Lines!AF25))=TRUE,"",IF('1000'!AF25="","ERR",""))</f>
        <v/>
      </c>
      <c r="AG25" s="109" t="str">
        <f>IF(ISERROR(FIND($B$2,Lines!AG25))=TRUE,"",IF('750'!AG25="","ERR","")) &amp; IF(ISERROR(FIND($C$2,Lines!AG25))=TRUE,"",IF('500'!AG25="","ERR","")) &amp; IF(ISERROR(FIND($D$2,Lines!AG25))=TRUE,"",IF('330'!AG25="","ERR","")) &amp; IF(ISERROR(FIND($E$2,Lines!AG25))=TRUE,"",IF('220'!AG25="","ERR",""))&amp; IF(ISERROR(FIND($F$2,Lines!AG25))=TRUE,"",IF(AND('500DC'!AG25="",'800DC'!AG25=""),"ERR","")) &amp; IF(ISERROR(FIND($G$2,Lines!AG25))=TRUE,"",IF('1000'!AG25="","ERR","")) &amp; IF(ISERROR(FIND($H$2,Lines!AG25))=TRUE,"",IF('500DC'!AG25="","ERR","")) &amp; IF(ISERROR(FIND($I$2,Lines!AG25))=TRUE,"",IF('800DC'!AG25="","ERR","")) &amp; IF(ISERROR(FIND($J$2,Lines!AG25))=TRUE,"",IF('1000'!AG25="","ERR",""))</f>
        <v/>
      </c>
      <c r="AH25" s="109" t="str">
        <f>IF(ISERROR(FIND($B$2,Lines!AH25))=TRUE,"",IF('750'!AH25="","ERR","")) &amp; IF(ISERROR(FIND($C$2,Lines!AH25))=TRUE,"",IF('500'!AH25="","ERR","")) &amp; IF(ISERROR(FIND($D$2,Lines!AH25))=TRUE,"",IF('330'!AH25="","ERR","")) &amp; IF(ISERROR(FIND($E$2,Lines!AH25))=TRUE,"",IF('220'!AH25="","ERR",""))&amp; IF(ISERROR(FIND($F$2,Lines!AH25))=TRUE,"",IF(AND('500DC'!AH25="",'800DC'!AH25=""),"ERR","")) &amp; IF(ISERROR(FIND($G$2,Lines!AH25))=TRUE,"",IF('1000'!AH25="","ERR","")) &amp; IF(ISERROR(FIND($H$2,Lines!AH25))=TRUE,"",IF('500DC'!AH25="","ERR","")) &amp; IF(ISERROR(FIND($I$2,Lines!AH25))=TRUE,"",IF('800DC'!AH25="","ERR","")) &amp; IF(ISERROR(FIND($J$2,Lines!AH25))=TRUE,"",IF('1000'!AH25="","ERR",""))</f>
        <v/>
      </c>
      <c r="AI25" s="109" t="str">
        <f>IF(ISERROR(FIND($B$2,Lines!AI25))=TRUE,"",IF('750'!AI25="","ERR","")) &amp; IF(ISERROR(FIND($C$2,Lines!AI25))=TRUE,"",IF('500'!AI25="","ERR","")) &amp; IF(ISERROR(FIND($D$2,Lines!AI25))=TRUE,"",IF('330'!AI25="","ERR","")) &amp; IF(ISERROR(FIND($E$2,Lines!AI25))=TRUE,"",IF('220'!AI25="","ERR",""))&amp; IF(ISERROR(FIND($F$2,Lines!AI25))=TRUE,"",IF(AND('500DC'!AI25="",'800DC'!AI25=""),"ERR","")) &amp; IF(ISERROR(FIND($G$2,Lines!AI25))=TRUE,"",IF('1000'!AI25="","ERR","")) &amp; IF(ISERROR(FIND($H$2,Lines!AI25))=TRUE,"",IF('500DC'!AI25="","ERR","")) &amp; IF(ISERROR(FIND($I$2,Lines!AI25))=TRUE,"",IF('800DC'!AI25="","ERR","")) &amp; IF(ISERROR(FIND($J$2,Lines!AI25))=TRUE,"",IF('1000'!AI25="","ERR",""))</f>
        <v/>
      </c>
      <c r="AJ25" s="109" t="str">
        <f>IF(ISERROR(FIND($B$2,Lines!AJ25))=TRUE,"",IF('750'!AJ25="","ERR","")) &amp; IF(ISERROR(FIND($C$2,Lines!AJ25))=TRUE,"",IF('500'!AJ25="","ERR","")) &amp; IF(ISERROR(FIND($D$2,Lines!AJ25))=TRUE,"",IF('330'!AJ25="","ERR","")) &amp; IF(ISERROR(FIND($E$2,Lines!AJ25))=TRUE,"",IF('220'!AJ25="","ERR",""))&amp; IF(ISERROR(FIND($F$2,Lines!AJ25))=TRUE,"",IF(AND('500DC'!AJ25="",'800DC'!AJ25=""),"ERR","")) &amp; IF(ISERROR(FIND($G$2,Lines!AJ25))=TRUE,"",IF('1000'!AJ25="","ERR","")) &amp; IF(ISERROR(FIND($H$2,Lines!AJ25))=TRUE,"",IF('500DC'!AJ25="","ERR","")) &amp; IF(ISERROR(FIND($I$2,Lines!AJ25))=TRUE,"",IF('800DC'!AJ25="","ERR","")) &amp; IF(ISERROR(FIND($J$2,Lines!AJ25))=TRUE,"",IF('1000'!AJ25="","ERR",""))</f>
        <v/>
      </c>
      <c r="AK25" s="109" t="str">
        <f>IF(ISERROR(FIND($B$2,Lines!AK25))=TRUE,"",IF('750'!AK25="","ERR","")) &amp; IF(ISERROR(FIND($C$2,Lines!AK25))=TRUE,"",IF('500'!AK25="","ERR","")) &amp; IF(ISERROR(FIND($D$2,Lines!AK25))=TRUE,"",IF('330'!AK25="","ERR","")) &amp; IF(ISERROR(FIND($E$2,Lines!AK25))=TRUE,"",IF('220'!AK25="","ERR",""))&amp; IF(ISERROR(FIND($F$2,Lines!AK25))=TRUE,"",IF(AND('500DC'!AK25="",'800DC'!AK25=""),"ERR","")) &amp; IF(ISERROR(FIND($G$2,Lines!AK25))=TRUE,"",IF('1000'!AK25="","ERR","")) &amp; IF(ISERROR(FIND($H$2,Lines!AK25))=TRUE,"",IF('500DC'!AK25="","ERR","")) &amp; IF(ISERROR(FIND($I$2,Lines!AK25))=TRUE,"",IF('800DC'!AK25="","ERR","")) &amp; IF(ISERROR(FIND($J$2,Lines!AK25))=TRUE,"",IF('1000'!AK25="","ERR",""))</f>
        <v/>
      </c>
      <c r="AL25" s="109" t="str">
        <f>IF(ISERROR(FIND($B$2,Lines!AL25))=TRUE,"",IF('750'!AL25="","ERR","")) &amp; IF(ISERROR(FIND($C$2,Lines!AL25))=TRUE,"",IF('500'!AL25="","ERR","")) &amp; IF(ISERROR(FIND($D$2,Lines!AL25))=TRUE,"",IF('330'!AL25="","ERR","")) &amp; IF(ISERROR(FIND($E$2,Lines!AL25))=TRUE,"",IF('220'!AL25="","ERR",""))&amp; IF(ISERROR(FIND($F$2,Lines!AL25))=TRUE,"",IF(AND('500DC'!AL25="",'800DC'!AL25=""),"ERR","")) &amp; IF(ISERROR(FIND($G$2,Lines!AL25))=TRUE,"",IF('1000'!AL25="","ERR","")) &amp; IF(ISERROR(FIND($H$2,Lines!AL25))=TRUE,"",IF('500DC'!AL25="","ERR","")) &amp; IF(ISERROR(FIND($I$2,Lines!AL25))=TRUE,"",IF('800DC'!AL25="","ERR","")) &amp; IF(ISERROR(FIND($J$2,Lines!AL25))=TRUE,"",IF('1000'!AL25="","ERR",""))</f>
        <v/>
      </c>
      <c r="AM25" s="109" t="str">
        <f>IF(ISERROR(FIND($B$2,Lines!AM25))=TRUE,"",IF('750'!AM25="","ERR","")) &amp; IF(ISERROR(FIND($C$2,Lines!AM25))=TRUE,"",IF('500'!AM25="","ERR","")) &amp; IF(ISERROR(FIND($D$2,Lines!AM25))=TRUE,"",IF('330'!AM25="","ERR","")) &amp; IF(ISERROR(FIND($E$2,Lines!AM25))=TRUE,"",IF('220'!AM25="","ERR",""))&amp; IF(ISERROR(FIND($F$2,Lines!AM25))=TRUE,"",IF(AND('500DC'!AM25="",'800DC'!AM25=""),"ERR","")) &amp; IF(ISERROR(FIND($G$2,Lines!AM25))=TRUE,"",IF('1000'!AM25="","ERR","")) &amp; IF(ISERROR(FIND($H$2,Lines!AM25))=TRUE,"",IF('500DC'!AM25="","ERR","")) &amp; IF(ISERROR(FIND($I$2,Lines!AM25))=TRUE,"",IF('800DC'!AM25="","ERR","")) &amp; IF(ISERROR(FIND($J$2,Lines!AM25))=TRUE,"",IF('1000'!AM25="","ERR",""))</f>
        <v/>
      </c>
      <c r="AN25" s="109" t="str">
        <f>IF(ISERROR(FIND($B$2,Lines!AN25))=TRUE,"",IF('750'!AN25="","ERR","")) &amp; IF(ISERROR(FIND($C$2,Lines!AN25))=TRUE,"",IF('500'!AN25="","ERR","")) &amp; IF(ISERROR(FIND($D$2,Lines!AN25))=TRUE,"",IF('330'!AN25="","ERR","")) &amp; IF(ISERROR(FIND($E$2,Lines!AN25))=TRUE,"",IF('220'!AN25="","ERR",""))&amp; IF(ISERROR(FIND($F$2,Lines!AN25))=TRUE,"",IF(AND('500DC'!AN25="",'800DC'!AN25=""),"ERR","")) &amp; IF(ISERROR(FIND($G$2,Lines!AN25))=TRUE,"",IF('1000'!AN25="","ERR","")) &amp; IF(ISERROR(FIND($H$2,Lines!AN25))=TRUE,"",IF('500DC'!AN25="","ERR","")) &amp; IF(ISERROR(FIND($I$2,Lines!AN25))=TRUE,"",IF('800DC'!AN25="","ERR","")) &amp; IF(ISERROR(FIND($J$2,Lines!AN25))=TRUE,"",IF('1000'!AN25="","ERR",""))</f>
        <v/>
      </c>
      <c r="AO25" s="109" t="str">
        <f>IF(ISERROR(FIND($B$2,Lines!AO25))=TRUE,"",IF('750'!AO25="","ERR","")) &amp; IF(ISERROR(FIND($C$2,Lines!AO25))=TRUE,"",IF('500'!AO25="","ERR","")) &amp; IF(ISERROR(FIND($D$2,Lines!AO25))=TRUE,"",IF('330'!AO25="","ERR","")) &amp; IF(ISERROR(FIND($E$2,Lines!AO25))=TRUE,"",IF('220'!AO25="","ERR",""))&amp; IF(ISERROR(FIND($F$2,Lines!AO25))=TRUE,"",IF(AND('500DC'!AO25="",'800DC'!AO25=""),"ERR","")) &amp; IF(ISERROR(FIND($G$2,Lines!AO25))=TRUE,"",IF('1000'!AO25="","ERR","")) &amp; IF(ISERROR(FIND($H$2,Lines!AO25))=TRUE,"",IF('500DC'!AO25="","ERR","")) &amp; IF(ISERROR(FIND($I$2,Lines!AO25))=TRUE,"",IF('800DC'!AO25="","ERR","")) &amp; IF(ISERROR(FIND($J$2,Lines!AO25))=TRUE,"",IF('1000'!AO25="","ERR",""))</f>
        <v/>
      </c>
      <c r="AP25" s="109" t="str">
        <f>IF(ISERROR(FIND($B$2,Lines!AP25))=TRUE,"",IF('750'!AP25="","ERR","")) &amp; IF(ISERROR(FIND($C$2,Lines!AP25))=TRUE,"",IF('500'!AP25="","ERR","")) &amp; IF(ISERROR(FIND($D$2,Lines!AP25))=TRUE,"",IF('330'!AP25="","ERR","")) &amp; IF(ISERROR(FIND($E$2,Lines!AP25))=TRUE,"",IF('220'!AP25="","ERR",""))&amp; IF(ISERROR(FIND($F$2,Lines!AP25))=TRUE,"",IF(AND('500DC'!AP25="",'800DC'!AP25=""),"ERR","")) &amp; IF(ISERROR(FIND($G$2,Lines!AP25))=TRUE,"",IF('1000'!AP25="","ERR","")) &amp; IF(ISERROR(FIND($H$2,Lines!AP25))=TRUE,"",IF('500DC'!AP25="","ERR","")) &amp; IF(ISERROR(FIND($I$2,Lines!AP25))=TRUE,"",IF('800DC'!AP25="","ERR","")) &amp; IF(ISERROR(FIND($J$2,Lines!AP25))=TRUE,"",IF('1000'!AP25="","ERR",""))</f>
        <v/>
      </c>
      <c r="AQ25" s="109" t="str">
        <f>IF(ISERROR(FIND($B$2,Lines!AQ25))=TRUE,"",IF('750'!AQ25="","ERR","")) &amp; IF(ISERROR(FIND($C$2,Lines!AQ25))=TRUE,"",IF('500'!AQ25="","ERR","")) &amp; IF(ISERROR(FIND($D$2,Lines!AQ25))=TRUE,"",IF('330'!AQ25="","ERR","")) &amp; IF(ISERROR(FIND($E$2,Lines!AQ25))=TRUE,"",IF('220'!AQ25="","ERR",""))&amp; IF(ISERROR(FIND($F$2,Lines!AQ25))=TRUE,"",IF(AND('500DC'!AQ25="",'800DC'!AQ25=""),"ERR","")) &amp; IF(ISERROR(FIND($G$2,Lines!AQ25))=TRUE,"",IF('1000'!AQ25="","ERR","")) &amp; IF(ISERROR(FIND($H$2,Lines!AQ25))=TRUE,"",IF('500DC'!AQ25="","ERR","")) &amp; IF(ISERROR(FIND($I$2,Lines!AQ25))=TRUE,"",IF('800DC'!AQ25="","ERR","")) &amp; IF(ISERROR(FIND($J$2,Lines!AQ25))=TRUE,"",IF('1000'!AQ25="","ERR",""))</f>
        <v/>
      </c>
      <c r="AR25" s="109" t="str">
        <f>IF(ISERROR(FIND($B$2,Lines!AR25))=TRUE,"",IF('750'!AR25="","ERR","")) &amp; IF(ISERROR(FIND($C$2,Lines!AR25))=TRUE,"",IF('500'!AR25="","ERR","")) &amp; IF(ISERROR(FIND($D$2,Lines!AR25))=TRUE,"",IF('330'!AR25="","ERR","")) &amp; IF(ISERROR(FIND($E$2,Lines!AR25))=TRUE,"",IF('220'!AR25="","ERR",""))&amp; IF(ISERROR(FIND($F$2,Lines!AR25))=TRUE,"",IF(AND('500DC'!AR25="",'800DC'!AR25=""),"ERR","")) &amp; IF(ISERROR(FIND($G$2,Lines!AR25))=TRUE,"",IF('1000'!AR25="","ERR","")) &amp; IF(ISERROR(FIND($H$2,Lines!AR25))=TRUE,"",IF('500DC'!AR25="","ERR","")) &amp; IF(ISERROR(FIND($I$2,Lines!AR25))=TRUE,"",IF('800DC'!AR25="","ERR","")) &amp; IF(ISERROR(FIND($J$2,Lines!AR25))=TRUE,"",IF('1000'!AR25="","ERR",""))</f>
        <v/>
      </c>
      <c r="AS25" s="109" t="str">
        <f>IF(ISERROR(FIND($B$2,Lines!AS25))=TRUE,"",IF('750'!AS25="","ERR","")) &amp; IF(ISERROR(FIND($C$2,Lines!AS25))=TRUE,"",IF('500'!AS25="","ERR","")) &amp; IF(ISERROR(FIND($D$2,Lines!AS25))=TRUE,"",IF('330'!AS25="","ERR","")) &amp; IF(ISERROR(FIND($E$2,Lines!AS25))=TRUE,"",IF('220'!AS25="","ERR",""))&amp; IF(ISERROR(FIND($F$2,Lines!AS25))=TRUE,"",IF(AND('500DC'!AS25="",'800DC'!AS25=""),"ERR","")) &amp; IF(ISERROR(FIND($G$2,Lines!AS25))=TRUE,"",IF('1000'!AS25="","ERR","")) &amp; IF(ISERROR(FIND($H$2,Lines!AS25))=TRUE,"",IF('500DC'!AS25="","ERR","")) &amp; IF(ISERROR(FIND($I$2,Lines!AS25))=TRUE,"",IF('800DC'!AS25="","ERR","")) &amp; IF(ISERROR(FIND($J$2,Lines!AS25))=TRUE,"",IF('1000'!AS25="","ERR",""))</f>
        <v/>
      </c>
      <c r="AT25" s="109" t="str">
        <f>IF(ISERROR(FIND($B$2,Lines!AT25))=TRUE,"",IF('750'!AT25="","ERR","")) &amp; IF(ISERROR(FIND($C$2,Lines!AT25))=TRUE,"",IF('500'!AT25="","ERR","")) &amp; IF(ISERROR(FIND($D$2,Lines!AT25))=TRUE,"",IF('330'!AT25="","ERR","")) &amp; IF(ISERROR(FIND($E$2,Lines!AT25))=TRUE,"",IF('220'!AT25="","ERR",""))&amp; IF(ISERROR(FIND($F$2,Lines!AT25))=TRUE,"",IF(AND('500DC'!AT25="",'800DC'!AT25=""),"ERR","")) &amp; IF(ISERROR(FIND($G$2,Lines!AT25))=TRUE,"",IF('1000'!AT25="","ERR","")) &amp; IF(ISERROR(FIND($H$2,Lines!AT25))=TRUE,"",IF('500DC'!AT25="","ERR","")) &amp; IF(ISERROR(FIND($I$2,Lines!AT25))=TRUE,"",IF('800DC'!AT25="","ERR","")) &amp; IF(ISERROR(FIND($J$2,Lines!AT25))=TRUE,"",IF('1000'!AT25="","ERR",""))</f>
        <v/>
      </c>
    </row>
    <row r="26" spans="1:46" ht="20.25" customHeight="1">
      <c r="A26" s="2" t="s">
        <v>74</v>
      </c>
      <c r="B26" s="108" t="str">
        <f>IF(ISERROR(FIND($B$2,Lines!B26))=TRUE,"",IF('750'!B26="","ERR","")) &amp; IF(ISERROR(FIND($C$2,Lines!B26))=TRUE,"",IF('500'!B26="","ERR","")) &amp; IF(ISERROR(FIND($D$2,Lines!B26))=TRUE,"",IF('330'!B26="","ERR","")) &amp; IF(ISERROR(FIND($E$2,Lines!B26))=TRUE,"",IF('220'!B26="","ERR",""))&amp; IF(ISERROR(FIND($F$2,Lines!B26))=TRUE,"",IF(AND('500DC'!B26="",'800DC'!B26=""),"ERR","")) &amp; IF(ISERROR(FIND($G$2,Lines!B26))=TRUE,"",IF('1000'!B26="","ERR","")) &amp; IF(ISERROR(FIND($H$2,Lines!B26))=TRUE,"",IF('500DC'!B26="","ERR","")) &amp; IF(ISERROR(FIND($I$2,Lines!B26))=TRUE,"",IF('800DC'!B26="","ERR","")) &amp; IF(ISERROR(FIND($J$2,Lines!B26))=TRUE,"",IF('1000'!B26="","ERR",""))</f>
        <v/>
      </c>
      <c r="C26" s="108" t="str">
        <f>IF(ISERROR(FIND($B$2,Lines!C26))=TRUE,"",IF('750'!C26="","ERR","")) &amp; IF(ISERROR(FIND($C$2,Lines!C26))=TRUE,"",IF('500'!C26="","ERR","")) &amp; IF(ISERROR(FIND($D$2,Lines!C26))=TRUE,"",IF('330'!C26="","ERR","")) &amp; IF(ISERROR(FIND($E$2,Lines!C26))=TRUE,"",IF('220'!C26="","ERR",""))&amp; IF(ISERROR(FIND($F$2,Lines!C26))=TRUE,"",IF(AND('500DC'!C26="",'800DC'!C26=""),"ERR","")) &amp; IF(ISERROR(FIND($G$2,Lines!C26))=TRUE,"",IF('1000'!C26="","ERR","")) &amp; IF(ISERROR(FIND($H$2,Lines!C26))=TRUE,"",IF('500DC'!C26="","ERR","")) &amp; IF(ISERROR(FIND($I$2,Lines!C26))=TRUE,"",IF('800DC'!C26="","ERR","")) &amp; IF(ISERROR(FIND($J$2,Lines!C26))=TRUE,"",IF('1000'!C26="","ERR",""))</f>
        <v/>
      </c>
      <c r="D26" s="108" t="str">
        <f>IF(ISERROR(FIND($B$2,Lines!D26))=TRUE,"",IF('750'!D26="","ERR","")) &amp; IF(ISERROR(FIND($C$2,Lines!D26))=TRUE,"",IF('500'!D26="","ERR","")) &amp; IF(ISERROR(FIND($D$2,Lines!D26))=TRUE,"",IF('330'!D26="","ERR","")) &amp; IF(ISERROR(FIND($E$2,Lines!D26))=TRUE,"",IF('220'!D26="","ERR",""))&amp; IF(ISERROR(FIND($F$2,Lines!D26))=TRUE,"",IF(AND('500DC'!D26="",'800DC'!D26=""),"ERR","")) &amp; IF(ISERROR(FIND($G$2,Lines!D26))=TRUE,"",IF('1000'!D26="","ERR","")) &amp; IF(ISERROR(FIND($H$2,Lines!D26))=TRUE,"",IF('500DC'!D26="","ERR","")) &amp; IF(ISERROR(FIND($I$2,Lines!D26))=TRUE,"",IF('800DC'!D26="","ERR","")) &amp; IF(ISERROR(FIND($J$2,Lines!D26))=TRUE,"",IF('1000'!D26="","ERR",""))</f>
        <v/>
      </c>
      <c r="E26" s="108" t="str">
        <f>IF(ISERROR(FIND($B$2,Lines!E26))=TRUE,"",IF('750'!E26="","ERR","")) &amp; IF(ISERROR(FIND($C$2,Lines!E26))=TRUE,"",IF('500'!E26="","ERR","")) &amp; IF(ISERROR(FIND($D$2,Lines!E26))=TRUE,"",IF('330'!E26="","ERR","")) &amp; IF(ISERROR(FIND($E$2,Lines!E26))=TRUE,"",IF('220'!E26="","ERR",""))&amp; IF(ISERROR(FIND($F$2,Lines!E26))=TRUE,"",IF(AND('500DC'!E26="",'800DC'!E26=""),"ERR","")) &amp; IF(ISERROR(FIND($G$2,Lines!E26))=TRUE,"",IF('1000'!E26="","ERR","")) &amp; IF(ISERROR(FIND($H$2,Lines!E26))=TRUE,"",IF('500DC'!E26="","ERR","")) &amp; IF(ISERROR(FIND($I$2,Lines!E26))=TRUE,"",IF('800DC'!E26="","ERR","")) &amp; IF(ISERROR(FIND($J$2,Lines!E26))=TRUE,"",IF('1000'!E26="","ERR",""))</f>
        <v/>
      </c>
      <c r="F26" s="108" t="str">
        <f>IF(ISERROR(FIND($B$2,Lines!F26))=TRUE,"",IF('750'!F26="","ERR","")) &amp; IF(ISERROR(FIND($C$2,Lines!F26))=TRUE,"",IF('500'!F26="","ERR","")) &amp; IF(ISERROR(FIND($D$2,Lines!F26))=TRUE,"",IF('330'!F26="","ERR","")) &amp; IF(ISERROR(FIND($E$2,Lines!F26))=TRUE,"",IF('220'!F26="","ERR",""))&amp; IF(ISERROR(FIND($F$2,Lines!F26))=TRUE,"",IF(AND('500DC'!F26="",'800DC'!F26=""),"ERR","")) &amp; IF(ISERROR(FIND($G$2,Lines!F26))=TRUE,"",IF('1000'!F26="","ERR","")) &amp; IF(ISERROR(FIND($H$2,Lines!F26))=TRUE,"",IF('500DC'!F26="","ERR","")) &amp; IF(ISERROR(FIND($I$2,Lines!F26))=TRUE,"",IF('800DC'!F26="","ERR","")) &amp; IF(ISERROR(FIND($J$2,Lines!F26))=TRUE,"",IF('1000'!F26="","ERR",""))</f>
        <v/>
      </c>
      <c r="G26" s="108" t="str">
        <f>IF(ISERROR(FIND($B$2,Lines!G26))=TRUE,"",IF('750'!G26="","ERR","")) &amp; IF(ISERROR(FIND($C$2,Lines!G26))=TRUE,"",IF('500'!G26="","ERR","")) &amp; IF(ISERROR(FIND($D$2,Lines!G26))=TRUE,"",IF('330'!G26="","ERR","")) &amp; IF(ISERROR(FIND($E$2,Lines!G26))=TRUE,"",IF('220'!G26="","ERR",""))&amp; IF(ISERROR(FIND($F$2,Lines!G26))=TRUE,"",IF(AND('500DC'!G26="",'800DC'!G26=""),"ERR","")) &amp; IF(ISERROR(FIND($G$2,Lines!G26))=TRUE,"",IF('1000'!G26="","ERR","")) &amp; IF(ISERROR(FIND($H$2,Lines!G26))=TRUE,"",IF('500DC'!G26="","ERR","")) &amp; IF(ISERROR(FIND($I$2,Lines!G26))=TRUE,"",IF('800DC'!G26="","ERR","")) &amp; IF(ISERROR(FIND($J$2,Lines!G26))=TRUE,"",IF('1000'!G26="","ERR",""))</f>
        <v/>
      </c>
      <c r="H26" s="108" t="str">
        <f>IF(ISERROR(FIND($B$2,Lines!H26))=TRUE,"",IF('750'!H26="","ERR","")) &amp; IF(ISERROR(FIND($C$2,Lines!H26))=TRUE,"",IF('500'!H26="","ERR","")) &amp; IF(ISERROR(FIND($D$2,Lines!H26))=TRUE,"",IF('330'!H26="","ERR","")) &amp; IF(ISERROR(FIND($E$2,Lines!H26))=TRUE,"",IF('220'!H26="","ERR",""))&amp; IF(ISERROR(FIND($F$2,Lines!H26))=TRUE,"",IF(AND('500DC'!H26="",'800DC'!H26=""),"ERR","")) &amp; IF(ISERROR(FIND($G$2,Lines!H26))=TRUE,"",IF('1000'!H26="","ERR","")) &amp; IF(ISERROR(FIND($H$2,Lines!H26))=TRUE,"",IF('500DC'!H26="","ERR","")) &amp; IF(ISERROR(FIND($I$2,Lines!H26))=TRUE,"",IF('800DC'!H26="","ERR","")) &amp; IF(ISERROR(FIND($J$2,Lines!H26))=TRUE,"",IF('1000'!H26="","ERR",""))</f>
        <v/>
      </c>
      <c r="I26" s="108" t="str">
        <f>IF(ISERROR(FIND($B$2,Lines!I26))=TRUE,"",IF('750'!I26="","ERR","")) &amp; IF(ISERROR(FIND($C$2,Lines!I26))=TRUE,"",IF('500'!I26="","ERR","")) &amp; IF(ISERROR(FIND($D$2,Lines!I26))=TRUE,"",IF('330'!I26="","ERR","")) &amp; IF(ISERROR(FIND($E$2,Lines!I26))=TRUE,"",IF('220'!I26="","ERR",""))&amp; IF(ISERROR(FIND($F$2,Lines!I26))=TRUE,"",IF(AND('500DC'!I26="",'800DC'!I26=""),"ERR","")) &amp; IF(ISERROR(FIND($G$2,Lines!I26))=TRUE,"",IF('1000'!I26="","ERR","")) &amp; IF(ISERROR(FIND($H$2,Lines!I26))=TRUE,"",IF('500DC'!I26="","ERR","")) &amp; IF(ISERROR(FIND($I$2,Lines!I26))=TRUE,"",IF('800DC'!I26="","ERR","")) &amp; IF(ISERROR(FIND($J$2,Lines!I26))=TRUE,"",IF('1000'!I26="","ERR",""))</f>
        <v/>
      </c>
      <c r="J26" s="108" t="str">
        <f>IF(ISERROR(FIND($B$2,Lines!J26))=TRUE,"",IF('750'!J26="","ERR","")) &amp; IF(ISERROR(FIND($C$2,Lines!J26))=TRUE,"",IF('500'!J26="","ERR","")) &amp; IF(ISERROR(FIND($D$2,Lines!J26))=TRUE,"",IF('330'!J26="","ERR","")) &amp; IF(ISERROR(FIND($E$2,Lines!J26))=TRUE,"",IF('220'!J26="","ERR",""))&amp; IF(ISERROR(FIND($F$2,Lines!J26))=TRUE,"",IF(AND('500DC'!J26="",'800DC'!J26=""),"ERR","")) &amp; IF(ISERROR(FIND($G$2,Lines!J26))=TRUE,"",IF('1000'!J26="","ERR","")) &amp; IF(ISERROR(FIND($H$2,Lines!J26))=TRUE,"",IF('500DC'!J26="","ERR","")) &amp; IF(ISERROR(FIND($I$2,Lines!J26))=TRUE,"",IF('800DC'!J26="","ERR","")) &amp; IF(ISERROR(FIND($J$2,Lines!J26))=TRUE,"",IF('1000'!J26="","ERR",""))</f>
        <v/>
      </c>
      <c r="K26" s="108" t="str">
        <f>IF(ISERROR(FIND($B$2,Lines!K26))=TRUE,"",IF('750'!K26="","ERR","")) &amp; IF(ISERROR(FIND($C$2,Lines!K26))=TRUE,"",IF('500'!K26="","ERR","")) &amp; IF(ISERROR(FIND($D$2,Lines!K26))=TRUE,"",IF('330'!K26="","ERR","")) &amp; IF(ISERROR(FIND($E$2,Lines!K26))=TRUE,"",IF('220'!K26="","ERR",""))&amp; IF(ISERROR(FIND($F$2,Lines!K26))=TRUE,"",IF(AND('500DC'!K26="",'800DC'!K26=""),"ERR","")) &amp; IF(ISERROR(FIND($G$2,Lines!K26))=TRUE,"",IF('1000'!K26="","ERR","")) &amp; IF(ISERROR(FIND($H$2,Lines!K26))=TRUE,"",IF('500DC'!K26="","ERR","")) &amp; IF(ISERROR(FIND($I$2,Lines!K26))=TRUE,"",IF('800DC'!K26="","ERR","")) &amp; IF(ISERROR(FIND($J$2,Lines!K26))=TRUE,"",IF('1000'!K26="","ERR",""))</f>
        <v/>
      </c>
      <c r="L26" s="108" t="str">
        <f>IF(ISERROR(FIND($B$2,Lines!L26))=TRUE,"",IF('750'!L26="","ERR","")) &amp; IF(ISERROR(FIND($C$2,Lines!L26))=TRUE,"",IF('500'!L26="","ERR","")) &amp; IF(ISERROR(FIND($D$2,Lines!L26))=TRUE,"",IF('330'!L26="","ERR","")) &amp; IF(ISERROR(FIND($E$2,Lines!L26))=TRUE,"",IF('220'!L26="","ERR",""))&amp; IF(ISERROR(FIND($F$2,Lines!L26))=TRUE,"",IF(AND('500DC'!L26="",'800DC'!L26=""),"ERR","")) &amp; IF(ISERROR(FIND($G$2,Lines!L26))=TRUE,"",IF('1000'!L26="","ERR","")) &amp; IF(ISERROR(FIND($H$2,Lines!L26))=TRUE,"",IF('500DC'!L26="","ERR","")) &amp; IF(ISERROR(FIND($I$2,Lines!L26))=TRUE,"",IF('800DC'!L26="","ERR","")) &amp; IF(ISERROR(FIND($J$2,Lines!L26))=TRUE,"",IF('1000'!L26="","ERR",""))</f>
        <v/>
      </c>
      <c r="M26" s="108" t="str">
        <f>IF(ISERROR(FIND($B$2,Lines!M26))=TRUE,"",IF('750'!M26="","ERR","")) &amp; IF(ISERROR(FIND($C$2,Lines!M26))=TRUE,"",IF('500'!M26="","ERR","")) &amp; IF(ISERROR(FIND($D$2,Lines!M26))=TRUE,"",IF('330'!M26="","ERR","")) &amp; IF(ISERROR(FIND($E$2,Lines!M26))=TRUE,"",IF('220'!M26="","ERR",""))&amp; IF(ISERROR(FIND($F$2,Lines!M26))=TRUE,"",IF(AND('500DC'!M26="",'800DC'!M26=""),"ERR","")) &amp; IF(ISERROR(FIND($G$2,Lines!M26))=TRUE,"",IF('1000'!M26="","ERR","")) &amp; IF(ISERROR(FIND($H$2,Lines!M26))=TRUE,"",IF('500DC'!M26="","ERR","")) &amp; IF(ISERROR(FIND($I$2,Lines!M26))=TRUE,"",IF('800DC'!M26="","ERR","")) &amp; IF(ISERROR(FIND($J$2,Lines!M26))=TRUE,"",IF('1000'!M26="","ERR",""))</f>
        <v/>
      </c>
      <c r="N26" s="108" t="str">
        <f>IF(ISERROR(FIND($B$2,Lines!N26))=TRUE,"",IF('750'!N26="","ERR","")) &amp; IF(ISERROR(FIND($C$2,Lines!N26))=TRUE,"",IF('500'!N26="","ERR","")) &amp; IF(ISERROR(FIND($D$2,Lines!N26))=TRUE,"",IF('330'!N26="","ERR","")) &amp; IF(ISERROR(FIND($E$2,Lines!N26))=TRUE,"",IF('220'!N26="","ERR",""))&amp; IF(ISERROR(FIND($F$2,Lines!N26))=TRUE,"",IF(AND('500DC'!N26="",'800DC'!N26=""),"ERR","")) &amp; IF(ISERROR(FIND($G$2,Lines!N26))=TRUE,"",IF('1000'!N26="","ERR","")) &amp; IF(ISERROR(FIND($H$2,Lines!N26))=TRUE,"",IF('500DC'!N26="","ERR","")) &amp; IF(ISERROR(FIND($I$2,Lines!N26))=TRUE,"",IF('800DC'!N26="","ERR","")) &amp; IF(ISERROR(FIND($J$2,Lines!N26))=TRUE,"",IF('1000'!N26="","ERR",""))</f>
        <v/>
      </c>
      <c r="O26" s="108" t="str">
        <f>IF(ISERROR(FIND($B$2,Lines!O26))=TRUE,"",IF('750'!O26="","ERR","")) &amp; IF(ISERROR(FIND($C$2,Lines!O26))=TRUE,"",IF('500'!O26="","ERR","")) &amp; IF(ISERROR(FIND($D$2,Lines!O26))=TRUE,"",IF('330'!O26="","ERR","")) &amp; IF(ISERROR(FIND($E$2,Lines!O26))=TRUE,"",IF('220'!O26="","ERR",""))&amp; IF(ISERROR(FIND($F$2,Lines!O26))=TRUE,"",IF(AND('500DC'!O26="",'800DC'!O26=""),"ERR","")) &amp; IF(ISERROR(FIND($G$2,Lines!O26))=TRUE,"",IF('1000'!O26="","ERR","")) &amp; IF(ISERROR(FIND($H$2,Lines!O26))=TRUE,"",IF('500DC'!O26="","ERR","")) &amp; IF(ISERROR(FIND($I$2,Lines!O26))=TRUE,"",IF('800DC'!O26="","ERR","")) &amp; IF(ISERROR(FIND($J$2,Lines!O26))=TRUE,"",IF('1000'!O26="","ERR",""))</f>
        <v/>
      </c>
      <c r="P26" s="108" t="str">
        <f>IF(ISERROR(FIND($B$2,Lines!P26))=TRUE,"",IF('750'!P26="","ERR","")) &amp; IF(ISERROR(FIND($C$2,Lines!P26))=TRUE,"",IF('500'!P26="","ERR","")) &amp; IF(ISERROR(FIND($D$2,Lines!P26))=TRUE,"",IF('330'!P26="","ERR","")) &amp; IF(ISERROR(FIND($E$2,Lines!P26))=TRUE,"",IF('220'!P26="","ERR",""))&amp; IF(ISERROR(FIND($F$2,Lines!P26))=TRUE,"",IF(AND('500DC'!P26="",'800DC'!P26=""),"ERR","")) &amp; IF(ISERROR(FIND($G$2,Lines!P26))=TRUE,"",IF('1000'!P26="","ERR","")) &amp; IF(ISERROR(FIND($H$2,Lines!P26))=TRUE,"",IF('500DC'!P26="","ERR","")) &amp; IF(ISERROR(FIND($I$2,Lines!P26))=TRUE,"",IF('800DC'!P26="","ERR","")) &amp; IF(ISERROR(FIND($J$2,Lines!P26))=TRUE,"",IF('1000'!P26="","ERR",""))</f>
        <v/>
      </c>
      <c r="Q26" s="108" t="str">
        <f>IF(ISERROR(FIND($B$2,Lines!Q26))=TRUE,"",IF('750'!Q26="","ERR","")) &amp; IF(ISERROR(FIND($C$2,Lines!Q26))=TRUE,"",IF('500'!Q26="","ERR","")) &amp; IF(ISERROR(FIND($D$2,Lines!Q26))=TRUE,"",IF('330'!Q26="","ERR","")) &amp; IF(ISERROR(FIND($E$2,Lines!Q26))=TRUE,"",IF('220'!Q26="","ERR",""))&amp; IF(ISERROR(FIND($F$2,Lines!Q26))=TRUE,"",IF(AND('500DC'!Q26="",'800DC'!Q26=""),"ERR","")) &amp; IF(ISERROR(FIND($G$2,Lines!Q26))=TRUE,"",IF('1000'!Q26="","ERR","")) &amp; IF(ISERROR(FIND($H$2,Lines!Q26))=TRUE,"",IF('500DC'!Q26="","ERR","")) &amp; IF(ISERROR(FIND($I$2,Lines!Q26))=TRUE,"",IF('800DC'!Q26="","ERR","")) &amp; IF(ISERROR(FIND($J$2,Lines!Q26))=TRUE,"",IF('1000'!Q26="","ERR",""))</f>
        <v/>
      </c>
      <c r="R26" s="108" t="str">
        <f>IF(ISERROR(FIND($B$2,Lines!R26))=TRUE,"",IF('750'!R26="","ERR","")) &amp; IF(ISERROR(FIND($C$2,Lines!R26))=TRUE,"",IF('500'!R26="","ERR","")) &amp; IF(ISERROR(FIND($D$2,Lines!R26))=TRUE,"",IF('330'!R26="","ERR","")) &amp; IF(ISERROR(FIND($E$2,Lines!R26))=TRUE,"",IF('220'!R26="","ERR",""))&amp; IF(ISERROR(FIND($F$2,Lines!R26))=TRUE,"",IF(AND('500DC'!R26="",'800DC'!R26=""),"ERR","")) &amp; IF(ISERROR(FIND($G$2,Lines!R26))=TRUE,"",IF('1000'!R26="","ERR","")) &amp; IF(ISERROR(FIND($H$2,Lines!R26))=TRUE,"",IF('500DC'!R26="","ERR","")) &amp; IF(ISERROR(FIND($I$2,Lines!R26))=TRUE,"",IF('800DC'!R26="","ERR","")) &amp; IF(ISERROR(FIND($J$2,Lines!R26))=TRUE,"",IF('1000'!R26="","ERR",""))</f>
        <v/>
      </c>
      <c r="S26" s="108" t="str">
        <f>IF(ISERROR(FIND($B$2,Lines!S26))=TRUE,"",IF('750'!S26="","ERR","")) &amp; IF(ISERROR(FIND($C$2,Lines!S26))=TRUE,"",IF('500'!S26="","ERR","")) &amp; IF(ISERROR(FIND($D$2,Lines!S26))=TRUE,"",IF('330'!S26="","ERR","")) &amp; IF(ISERROR(FIND($E$2,Lines!S26))=TRUE,"",IF('220'!S26="","ERR",""))&amp; IF(ISERROR(FIND($F$2,Lines!S26))=TRUE,"",IF(AND('500DC'!S26="",'800DC'!S26=""),"ERR","")) &amp; IF(ISERROR(FIND($G$2,Lines!S26))=TRUE,"",IF('1000'!S26="","ERR","")) &amp; IF(ISERROR(FIND($H$2,Lines!S26))=TRUE,"",IF('500DC'!S26="","ERR","")) &amp; IF(ISERROR(FIND($I$2,Lines!S26))=TRUE,"",IF('800DC'!S26="","ERR","")) &amp; IF(ISERROR(FIND($J$2,Lines!S26))=TRUE,"",IF('1000'!S26="","ERR",""))</f>
        <v/>
      </c>
      <c r="T26" s="108" t="str">
        <f>IF(ISERROR(FIND($B$2,Lines!T26))=TRUE,"",IF('750'!T26="","ERR","")) &amp; IF(ISERROR(FIND($C$2,Lines!T26))=TRUE,"",IF('500'!T26="","ERR","")) &amp; IF(ISERROR(FIND($D$2,Lines!T26))=TRUE,"",IF('330'!T26="","ERR","")) &amp; IF(ISERROR(FIND($E$2,Lines!T26))=TRUE,"",IF('220'!T26="","ERR",""))&amp; IF(ISERROR(FIND($F$2,Lines!T26))=TRUE,"",IF(AND('500DC'!T26="",'800DC'!T26=""),"ERR","")) &amp; IF(ISERROR(FIND($G$2,Lines!T26))=TRUE,"",IF('1000'!T26="","ERR","")) &amp; IF(ISERROR(FIND($H$2,Lines!T26))=TRUE,"",IF('500DC'!T26="","ERR","")) &amp; IF(ISERROR(FIND($I$2,Lines!T26))=TRUE,"",IF('800DC'!T26="","ERR","")) &amp; IF(ISERROR(FIND($J$2,Lines!T26))=TRUE,"",IF('1000'!T26="","ERR",""))</f>
        <v/>
      </c>
      <c r="U26" s="108" t="str">
        <f>IF(ISERROR(FIND($B$2,Lines!U26))=TRUE,"",IF('750'!U26="","ERR","")) &amp; IF(ISERROR(FIND($C$2,Lines!U26))=TRUE,"",IF('500'!U26="","ERR","")) &amp; IF(ISERROR(FIND($D$2,Lines!U26))=TRUE,"",IF('330'!U26="","ERR","")) &amp; IF(ISERROR(FIND($E$2,Lines!U26))=TRUE,"",IF('220'!U26="","ERR",""))&amp; IF(ISERROR(FIND($F$2,Lines!U26))=TRUE,"",IF(AND('500DC'!U26="",'800DC'!U26=""),"ERR","")) &amp; IF(ISERROR(FIND($G$2,Lines!U26))=TRUE,"",IF('1000'!U26="","ERR","")) &amp; IF(ISERROR(FIND($H$2,Lines!U26))=TRUE,"",IF('500DC'!U26="","ERR","")) &amp; IF(ISERROR(FIND($I$2,Lines!U26))=TRUE,"",IF('800DC'!U26="","ERR","")) &amp; IF(ISERROR(FIND($J$2,Lines!U26))=TRUE,"",IF('1000'!U26="","ERR",""))</f>
        <v/>
      </c>
      <c r="V26" s="108" t="str">
        <f>IF(ISERROR(FIND($B$2,Lines!V26))=TRUE,"",IF('750'!V26="","ERR","")) &amp; IF(ISERROR(FIND($C$2,Lines!V26))=TRUE,"",IF('500'!V26="","ERR","")) &amp; IF(ISERROR(FIND($D$2,Lines!V26))=TRUE,"",IF('330'!V26="","ERR","")) &amp; IF(ISERROR(FIND($E$2,Lines!V26))=TRUE,"",IF('220'!V26="","ERR",""))&amp; IF(ISERROR(FIND($F$2,Lines!V26))=TRUE,"",IF(AND('500DC'!V26="",'800DC'!V26=""),"ERR","")) &amp; IF(ISERROR(FIND($G$2,Lines!V26))=TRUE,"",IF('1000'!V26="","ERR","")) &amp; IF(ISERROR(FIND($H$2,Lines!V26))=TRUE,"",IF('500DC'!V26="","ERR","")) &amp; IF(ISERROR(FIND($I$2,Lines!V26))=TRUE,"",IF('800DC'!V26="","ERR","")) &amp; IF(ISERROR(FIND($J$2,Lines!V26))=TRUE,"",IF('1000'!V26="","ERR",""))</f>
        <v/>
      </c>
      <c r="W26" s="109" t="str">
        <f>IF(ISERROR(FIND($B$2,Lines!W26))=TRUE,"",IF('750'!W26="","ERR","")) &amp; IF(ISERROR(FIND($C$2,Lines!W26))=TRUE,"",IF('500'!W26="","ERR","")) &amp; IF(ISERROR(FIND($D$2,Lines!W26))=TRUE,"",IF('330'!W26="","ERR","")) &amp; IF(ISERROR(FIND($E$2,Lines!W26))=TRUE,"",IF('220'!W26="","ERR",""))&amp; IF(ISERROR(FIND($F$2,Lines!W26))=TRUE,"",IF(AND('500DC'!W26="",'800DC'!W26=""),"ERR","")) &amp; IF(ISERROR(FIND($G$2,Lines!W26))=TRUE,"",IF('1000'!W26="","ERR","")) &amp; IF(ISERROR(FIND($H$2,Lines!W26))=TRUE,"",IF('500DC'!W26="","ERR","")) &amp; IF(ISERROR(FIND($I$2,Lines!W26))=TRUE,"",IF('800DC'!W26="","ERR","")) &amp; IF(ISERROR(FIND($J$2,Lines!W26))=TRUE,"",IF('1000'!W26="","ERR",""))</f>
        <v/>
      </c>
      <c r="X26" s="112" t="str">
        <f>IF(ISERROR(FIND($B$2,Lines!X26))=TRUE,"",IF('750'!X26="","ERR","")) &amp; IF(ISERROR(FIND($C$2,Lines!X26))=TRUE,"",IF('500'!X26="","ERR","")) &amp; IF(ISERROR(FIND($D$2,Lines!X26))=TRUE,"",IF('330'!X26="","ERR","")) &amp; IF(ISERROR(FIND($E$2,Lines!X26))=TRUE,"",IF('220'!X26="","ERR",""))&amp; IF(ISERROR(FIND($F$2,Lines!X26))=TRUE,"",IF(AND('500DC'!X26="",'800DC'!X26=""),"ERR","")) &amp; IF(ISERROR(FIND($G$2,Lines!X26))=TRUE,"",IF('1000'!X26="","ERR","")) &amp; IF(ISERROR(FIND($H$2,Lines!X26))=TRUE,"",IF('500DC'!X26="","ERR","")) &amp; IF(ISERROR(FIND($I$2,Lines!X26))=TRUE,"",IF('800DC'!X26="","ERR","")) &amp; IF(ISERROR(FIND($J$2,Lines!X26))=TRUE,"",IF('1000'!X26="","ERR",""))</f>
        <v/>
      </c>
      <c r="Y26" s="122" t="str">
        <f>IF(ISERROR(FIND($B$2,Lines!Y26))=TRUE,"",IF('750'!Y26="","ERR","")) &amp; IF(ISERROR(FIND($C$2,Lines!Y26))=TRUE,"",IF('500'!Y26="","ERR","")) &amp; IF(ISERROR(FIND($D$2,Lines!Y26))=TRUE,"",IF('330'!Y26="","ERR","")) &amp; IF(ISERROR(FIND($E$2,Lines!Y26))=TRUE,"",IF('220'!Y26="","ERR",""))&amp; IF(ISERROR(FIND($F$2,Lines!Y26))=TRUE,"",IF(AND('500DC'!Y26="",'800DC'!Y26=""),"ERR","")) &amp; IF(ISERROR(FIND($G$2,Lines!Y26))=TRUE,"",IF('1000'!Y26="","ERR","")) &amp; IF(ISERROR(FIND($H$2,Lines!Y26))=TRUE,"",IF('500DC'!Y26="","ERR","")) &amp; IF(ISERROR(FIND($I$2,Lines!Y26))=TRUE,"",IF('800DC'!Y26="","ERR","")) &amp; IF(ISERROR(FIND($J$2,Lines!Y26))=TRUE,"",IF('1000'!Y26="","ERR",""))</f>
        <v/>
      </c>
      <c r="Z26" s="122" t="str">
        <f>IF(ISERROR(FIND($B$2,Lines!Z26))=TRUE,"",IF('750'!Z26="","ERR","")) &amp; IF(ISERROR(FIND($C$2,Lines!Z26))=TRUE,"",IF('500'!Z26="","ERR","")) &amp; IF(ISERROR(FIND($D$2,Lines!Z26))=TRUE,"",IF('330'!Z26="","ERR","")) &amp; IF(ISERROR(FIND($E$2,Lines!Z26))=TRUE,"",IF('220'!Z26="","ERR",""))&amp; IF(ISERROR(FIND($F$2,Lines!Z26))=TRUE,"",IF(AND('500DC'!Z26="",'800DC'!Z26=""),"ERR","")) &amp; IF(ISERROR(FIND($G$2,Lines!Z26))=TRUE,"",IF('1000'!Z26="","ERR","")) &amp; IF(ISERROR(FIND($H$2,Lines!Z26))=TRUE,"",IF('500DC'!Z26="","ERR","")) &amp; IF(ISERROR(FIND($I$2,Lines!Z26))=TRUE,"",IF('800DC'!Z26="","ERR","")) &amp; IF(ISERROR(FIND($J$2,Lines!Z26))=TRUE,"",IF('1000'!Z26="","ERR",""))</f>
        <v/>
      </c>
      <c r="AA26" s="122" t="str">
        <f>IF(ISERROR(FIND($B$2,Lines!AA26))=TRUE,"",IF('750'!AA26="","ERR","")) &amp; IF(ISERROR(FIND($C$2,Lines!AA26))=TRUE,"",IF('500'!AA26="","ERR","")) &amp; IF(ISERROR(FIND($D$2,Lines!AA26))=TRUE,"",IF('330'!AA26="","ERR","")) &amp; IF(ISERROR(FIND($E$2,Lines!AA26))=TRUE,"",IF('220'!AA26="","ERR",""))&amp; IF(ISERROR(FIND($F$2,Lines!AA26))=TRUE,"",IF(AND('500DC'!AA26="",'800DC'!AA26=""),"ERR","")) &amp; IF(ISERROR(FIND($G$2,Lines!AA26))=TRUE,"",IF('1000'!AA26="","ERR","")) &amp; IF(ISERROR(FIND($H$2,Lines!AA26))=TRUE,"",IF('500DC'!AA26="","ERR","")) &amp; IF(ISERROR(FIND($I$2,Lines!AA26))=TRUE,"",IF('800DC'!AA26="","ERR","")) &amp; IF(ISERROR(FIND($J$2,Lines!AA26))=TRUE,"",IF('1000'!AA26="","ERR",""))</f>
        <v/>
      </c>
      <c r="AB26" s="122" t="str">
        <f>IF(ISERROR(FIND($B$2,Lines!AB26))=TRUE,"",IF('750'!AB26="","ERR","")) &amp; IF(ISERROR(FIND($C$2,Lines!AB26))=TRUE,"",IF('500'!AB26="","ERR","")) &amp; IF(ISERROR(FIND($D$2,Lines!AB26))=TRUE,"",IF('330'!AB26="","ERR","")) &amp; IF(ISERROR(FIND($E$2,Lines!AB26))=TRUE,"",IF('220'!AB26="","ERR",""))&amp; IF(ISERROR(FIND($F$2,Lines!AB26))=TRUE,"",IF(AND('500DC'!AB26="",'800DC'!AB26=""),"ERR","")) &amp; IF(ISERROR(FIND($G$2,Lines!AB26))=TRUE,"",IF('1000'!AB26="","ERR","")) &amp; IF(ISERROR(FIND($H$2,Lines!AB26))=TRUE,"",IF('500DC'!AB26="","ERR","")) &amp; IF(ISERROR(FIND($I$2,Lines!AB26))=TRUE,"",IF('800DC'!AB26="","ERR","")) &amp; IF(ISERROR(FIND($J$2,Lines!AB26))=TRUE,"",IF('1000'!AB26="","ERR",""))</f>
        <v/>
      </c>
      <c r="AC26" s="122" t="str">
        <f>IF(ISERROR(FIND($B$2,Lines!AC26))=TRUE,"",IF('750'!AC26="","ERR","")) &amp; IF(ISERROR(FIND($C$2,Lines!AC26))=TRUE,"",IF('500'!AC26="","ERR","")) &amp; IF(ISERROR(FIND($D$2,Lines!AC26))=TRUE,"",IF('330'!AC26="","ERR","")) &amp; IF(ISERROR(FIND($E$2,Lines!AC26))=TRUE,"",IF('220'!AC26="","ERR",""))&amp; IF(ISERROR(FIND($F$2,Lines!AC26))=TRUE,"",IF(AND('500DC'!AC26="",'800DC'!AC26=""),"ERR","")) &amp; IF(ISERROR(FIND($G$2,Lines!AC26))=TRUE,"",IF('1000'!AC26="","ERR","")) &amp; IF(ISERROR(FIND($H$2,Lines!AC26))=TRUE,"",IF('500DC'!AC26="","ERR","")) &amp; IF(ISERROR(FIND($I$2,Lines!AC26))=TRUE,"",IF('800DC'!AC26="","ERR","")) &amp; IF(ISERROR(FIND($J$2,Lines!AC26))=TRUE,"",IF('1000'!AC26="","ERR",""))</f>
        <v/>
      </c>
      <c r="AD26" s="123" t="str">
        <f>IF(ISERROR(FIND($B$2,Lines!AD26))=TRUE,"",IF('750'!AD26="","ERR","")) &amp; IF(ISERROR(FIND($C$2,Lines!AD26))=TRUE,"",IF('500'!AD26="","ERR","")) &amp; IF(ISERROR(FIND($D$2,Lines!AD26))=TRUE,"",IF('330'!AD26="","ERR","")) &amp; IF(ISERROR(FIND($E$2,Lines!AD26))=TRUE,"",IF('220'!AD26="","ERR",""))&amp; IF(ISERROR(FIND($F$2,Lines!AD26))=TRUE,"",IF(AND('500DC'!AD26="",'800DC'!AD26=""),"ERR","")) &amp; IF(ISERROR(FIND($G$2,Lines!AD26))=TRUE,"",IF('1000'!AD26="","ERR","")) &amp; IF(ISERROR(FIND($H$2,Lines!AD26))=TRUE,"",IF('500DC'!AD26="","ERR","")) &amp; IF(ISERROR(FIND($I$2,Lines!AD26))=TRUE,"",IF('800DC'!AD26="","ERR","")) &amp; IF(ISERROR(FIND($J$2,Lines!AD26))=TRUE,"",IF('1000'!AD26="","ERR",""))</f>
        <v/>
      </c>
      <c r="AE26" s="108" t="str">
        <f>IF(ISERROR(FIND($B$2,Lines!AE26))=TRUE,"",IF('750'!AE26="","ERR","")) &amp; IF(ISERROR(FIND($C$2,Lines!AE26))=TRUE,"",IF('500'!AE26="","ERR","")) &amp; IF(ISERROR(FIND($D$2,Lines!AE26))=TRUE,"",IF('330'!AE26="","ERR","")) &amp; IF(ISERROR(FIND($E$2,Lines!AE26))=TRUE,"",IF('220'!AE26="","ERR",""))&amp; IF(ISERROR(FIND($F$2,Lines!AE26))=TRUE,"",IF(AND('500DC'!AE26="",'800DC'!AE26=""),"ERR","")) &amp; IF(ISERROR(FIND($G$2,Lines!AE26))=TRUE,"",IF('1000'!AE26="","ERR","")) &amp; IF(ISERROR(FIND($H$2,Lines!AE26))=TRUE,"",IF('500DC'!AE26="","ERR","")) &amp; IF(ISERROR(FIND($I$2,Lines!AE26))=TRUE,"",IF('800DC'!AE26="","ERR","")) &amp; IF(ISERROR(FIND($J$2,Lines!AE26))=TRUE,"",IF('1000'!AE26="","ERR",""))</f>
        <v/>
      </c>
      <c r="AF26" s="108" t="str">
        <f>IF(ISERROR(FIND($B$2,Lines!AF26))=TRUE,"",IF('750'!AF26="","ERR","")) &amp; IF(ISERROR(FIND($C$2,Lines!AF26))=TRUE,"",IF('500'!AF26="","ERR","")) &amp; IF(ISERROR(FIND($D$2,Lines!AF26))=TRUE,"",IF('330'!AF26="","ERR","")) &amp; IF(ISERROR(FIND($E$2,Lines!AF26))=TRUE,"",IF('220'!AF26="","ERR",""))&amp; IF(ISERROR(FIND($F$2,Lines!AF26))=TRUE,"",IF(AND('500DC'!AF26="",'800DC'!AF26=""),"ERR","")) &amp; IF(ISERROR(FIND($G$2,Lines!AF26))=TRUE,"",IF('1000'!AF26="","ERR","")) &amp; IF(ISERROR(FIND($H$2,Lines!AF26))=TRUE,"",IF('500DC'!AF26="","ERR","")) &amp; IF(ISERROR(FIND($I$2,Lines!AF26))=TRUE,"",IF('800DC'!AF26="","ERR","")) &amp; IF(ISERROR(FIND($J$2,Lines!AF26))=TRUE,"",IF('1000'!AF26="","ERR",""))</f>
        <v/>
      </c>
      <c r="AG26" s="108" t="str">
        <f>IF(ISERROR(FIND($B$2,Lines!AG26))=TRUE,"",IF('750'!AG26="","ERR","")) &amp; IF(ISERROR(FIND($C$2,Lines!AG26))=TRUE,"",IF('500'!AG26="","ERR","")) &amp; IF(ISERROR(FIND($D$2,Lines!AG26))=TRUE,"",IF('330'!AG26="","ERR","")) &amp; IF(ISERROR(FIND($E$2,Lines!AG26))=TRUE,"",IF('220'!AG26="","ERR",""))&amp; IF(ISERROR(FIND($F$2,Lines!AG26))=TRUE,"",IF(AND('500DC'!AG26="",'800DC'!AG26=""),"ERR","")) &amp; IF(ISERROR(FIND($G$2,Lines!AG26))=TRUE,"",IF('1000'!AG26="","ERR","")) &amp; IF(ISERROR(FIND($H$2,Lines!AG26))=TRUE,"",IF('500DC'!AG26="","ERR","")) &amp; IF(ISERROR(FIND($I$2,Lines!AG26))=TRUE,"",IF('800DC'!AG26="","ERR","")) &amp; IF(ISERROR(FIND($J$2,Lines!AG26))=TRUE,"",IF('1000'!AG26="","ERR",""))</f>
        <v/>
      </c>
      <c r="AH26" s="108" t="str">
        <f>IF(ISERROR(FIND($B$2,Lines!AH26))=TRUE,"",IF('750'!AH26="","ERR","")) &amp; IF(ISERROR(FIND($C$2,Lines!AH26))=TRUE,"",IF('500'!AH26="","ERR","")) &amp; IF(ISERROR(FIND($D$2,Lines!AH26))=TRUE,"",IF('330'!AH26="","ERR","")) &amp; IF(ISERROR(FIND($E$2,Lines!AH26))=TRUE,"",IF('220'!AH26="","ERR",""))&amp; IF(ISERROR(FIND($F$2,Lines!AH26))=TRUE,"",IF(AND('500DC'!AH26="",'800DC'!AH26=""),"ERR","")) &amp; IF(ISERROR(FIND($G$2,Lines!AH26))=TRUE,"",IF('1000'!AH26="","ERR","")) &amp; IF(ISERROR(FIND($H$2,Lines!AH26))=TRUE,"",IF('500DC'!AH26="","ERR","")) &amp; IF(ISERROR(FIND($I$2,Lines!AH26))=TRUE,"",IF('800DC'!AH26="","ERR","")) &amp; IF(ISERROR(FIND($J$2,Lines!AH26))=TRUE,"",IF('1000'!AH26="","ERR",""))</f>
        <v/>
      </c>
      <c r="AI26" s="108" t="str">
        <f>IF(ISERROR(FIND($B$2,Lines!AI26))=TRUE,"",IF('750'!AI26="","ERR","")) &amp; IF(ISERROR(FIND($C$2,Lines!AI26))=TRUE,"",IF('500'!AI26="","ERR","")) &amp; IF(ISERROR(FIND($D$2,Lines!AI26))=TRUE,"",IF('330'!AI26="","ERR","")) &amp; IF(ISERROR(FIND($E$2,Lines!AI26))=TRUE,"",IF('220'!AI26="","ERR",""))&amp; IF(ISERROR(FIND($F$2,Lines!AI26))=TRUE,"",IF(AND('500DC'!AI26="",'800DC'!AI26=""),"ERR","")) &amp; IF(ISERROR(FIND($G$2,Lines!AI26))=TRUE,"",IF('1000'!AI26="","ERR","")) &amp; IF(ISERROR(FIND($H$2,Lines!AI26))=TRUE,"",IF('500DC'!AI26="","ERR","")) &amp; IF(ISERROR(FIND($I$2,Lines!AI26))=TRUE,"",IF('800DC'!AI26="","ERR","")) &amp; IF(ISERROR(FIND($J$2,Lines!AI26))=TRUE,"",IF('1000'!AI26="","ERR",""))</f>
        <v/>
      </c>
      <c r="AJ26" s="108" t="str">
        <f>IF(ISERROR(FIND($B$2,Lines!AJ26))=TRUE,"",IF('750'!AJ26="","ERR","")) &amp; IF(ISERROR(FIND($C$2,Lines!AJ26))=TRUE,"",IF('500'!AJ26="","ERR","")) &amp; IF(ISERROR(FIND($D$2,Lines!AJ26))=TRUE,"",IF('330'!AJ26="","ERR","")) &amp; IF(ISERROR(FIND($E$2,Lines!AJ26))=TRUE,"",IF('220'!AJ26="","ERR",""))&amp; IF(ISERROR(FIND($F$2,Lines!AJ26))=TRUE,"",IF(AND('500DC'!AJ26="",'800DC'!AJ26=""),"ERR","")) &amp; IF(ISERROR(FIND($G$2,Lines!AJ26))=TRUE,"",IF('1000'!AJ26="","ERR","")) &amp; IF(ISERROR(FIND($H$2,Lines!AJ26))=TRUE,"",IF('500DC'!AJ26="","ERR","")) &amp; IF(ISERROR(FIND($I$2,Lines!AJ26))=TRUE,"",IF('800DC'!AJ26="","ERR","")) &amp; IF(ISERROR(FIND($J$2,Lines!AJ26))=TRUE,"",IF('1000'!AJ26="","ERR",""))</f>
        <v/>
      </c>
      <c r="AK26" s="108" t="str">
        <f>IF(ISERROR(FIND($B$2,Lines!AK26))=TRUE,"",IF('750'!AK26="","ERR","")) &amp; IF(ISERROR(FIND($C$2,Lines!AK26))=TRUE,"",IF('500'!AK26="","ERR","")) &amp; IF(ISERROR(FIND($D$2,Lines!AK26))=TRUE,"",IF('330'!AK26="","ERR","")) &amp; IF(ISERROR(FIND($E$2,Lines!AK26))=TRUE,"",IF('220'!AK26="","ERR",""))&amp; IF(ISERROR(FIND($F$2,Lines!AK26))=TRUE,"",IF(AND('500DC'!AK26="",'800DC'!AK26=""),"ERR","")) &amp; IF(ISERROR(FIND($G$2,Lines!AK26))=TRUE,"",IF('1000'!AK26="","ERR","")) &amp; IF(ISERROR(FIND($H$2,Lines!AK26))=TRUE,"",IF('500DC'!AK26="","ERR","")) &amp; IF(ISERROR(FIND($I$2,Lines!AK26))=TRUE,"",IF('800DC'!AK26="","ERR","")) &amp; IF(ISERROR(FIND($J$2,Lines!AK26))=TRUE,"",IF('1000'!AK26="","ERR",""))</f>
        <v/>
      </c>
      <c r="AL26" s="108" t="str">
        <f>IF(ISERROR(FIND($B$2,Lines!AL26))=TRUE,"",IF('750'!AL26="","ERR","")) &amp; IF(ISERROR(FIND($C$2,Lines!AL26))=TRUE,"",IF('500'!AL26="","ERR","")) &amp; IF(ISERROR(FIND($D$2,Lines!AL26))=TRUE,"",IF('330'!AL26="","ERR","")) &amp; IF(ISERROR(FIND($E$2,Lines!AL26))=TRUE,"",IF('220'!AL26="","ERR",""))&amp; IF(ISERROR(FIND($F$2,Lines!AL26))=TRUE,"",IF(AND('500DC'!AL26="",'800DC'!AL26=""),"ERR","")) &amp; IF(ISERROR(FIND($G$2,Lines!AL26))=TRUE,"",IF('1000'!AL26="","ERR","")) &amp; IF(ISERROR(FIND($H$2,Lines!AL26))=TRUE,"",IF('500DC'!AL26="","ERR","")) &amp; IF(ISERROR(FIND($I$2,Lines!AL26))=TRUE,"",IF('800DC'!AL26="","ERR","")) &amp; IF(ISERROR(FIND($J$2,Lines!AL26))=TRUE,"",IF('1000'!AL26="","ERR",""))</f>
        <v/>
      </c>
      <c r="AM26" s="108" t="str">
        <f>IF(ISERROR(FIND($B$2,Lines!AM26))=TRUE,"",IF('750'!AM26="","ERR","")) &amp; IF(ISERROR(FIND($C$2,Lines!AM26))=TRUE,"",IF('500'!AM26="","ERR","")) &amp; IF(ISERROR(FIND($D$2,Lines!AM26))=TRUE,"",IF('330'!AM26="","ERR","")) &amp; IF(ISERROR(FIND($E$2,Lines!AM26))=TRUE,"",IF('220'!AM26="","ERR",""))&amp; IF(ISERROR(FIND($F$2,Lines!AM26))=TRUE,"",IF(AND('500DC'!AM26="",'800DC'!AM26=""),"ERR","")) &amp; IF(ISERROR(FIND($G$2,Lines!AM26))=TRUE,"",IF('1000'!AM26="","ERR","")) &amp; IF(ISERROR(FIND($H$2,Lines!AM26))=TRUE,"",IF('500DC'!AM26="","ERR","")) &amp; IF(ISERROR(FIND($I$2,Lines!AM26))=TRUE,"",IF('800DC'!AM26="","ERR","")) &amp; IF(ISERROR(FIND($J$2,Lines!AM26))=TRUE,"",IF('1000'!AM26="","ERR",""))</f>
        <v/>
      </c>
      <c r="AN26" s="108" t="str">
        <f>IF(ISERROR(FIND($B$2,Lines!AN26))=TRUE,"",IF('750'!AN26="","ERR","")) &amp; IF(ISERROR(FIND($C$2,Lines!AN26))=TRUE,"",IF('500'!AN26="","ERR","")) &amp; IF(ISERROR(FIND($D$2,Lines!AN26))=TRUE,"",IF('330'!AN26="","ERR","")) &amp; IF(ISERROR(FIND($E$2,Lines!AN26))=TRUE,"",IF('220'!AN26="","ERR",""))&amp; IF(ISERROR(FIND($F$2,Lines!AN26))=TRUE,"",IF(AND('500DC'!AN26="",'800DC'!AN26=""),"ERR","")) &amp; IF(ISERROR(FIND($G$2,Lines!AN26))=TRUE,"",IF('1000'!AN26="","ERR","")) &amp; IF(ISERROR(FIND($H$2,Lines!AN26))=TRUE,"",IF('500DC'!AN26="","ERR","")) &amp; IF(ISERROR(FIND($I$2,Lines!AN26))=TRUE,"",IF('800DC'!AN26="","ERR","")) &amp; IF(ISERROR(FIND($J$2,Lines!AN26))=TRUE,"",IF('1000'!AN26="","ERR",""))</f>
        <v/>
      </c>
      <c r="AO26" s="108" t="str">
        <f>IF(ISERROR(FIND($B$2,Lines!AO26))=TRUE,"",IF('750'!AO26="","ERR","")) &amp; IF(ISERROR(FIND($C$2,Lines!AO26))=TRUE,"",IF('500'!AO26="","ERR","")) &amp; IF(ISERROR(FIND($D$2,Lines!AO26))=TRUE,"",IF('330'!AO26="","ERR","")) &amp; IF(ISERROR(FIND($E$2,Lines!AO26))=TRUE,"",IF('220'!AO26="","ERR",""))&amp; IF(ISERROR(FIND($F$2,Lines!AO26))=TRUE,"",IF(AND('500DC'!AO26="",'800DC'!AO26=""),"ERR","")) &amp; IF(ISERROR(FIND($G$2,Lines!AO26))=TRUE,"",IF('1000'!AO26="","ERR","")) &amp; IF(ISERROR(FIND($H$2,Lines!AO26))=TRUE,"",IF('500DC'!AO26="","ERR","")) &amp; IF(ISERROR(FIND($I$2,Lines!AO26))=TRUE,"",IF('800DC'!AO26="","ERR","")) &amp; IF(ISERROR(FIND($J$2,Lines!AO26))=TRUE,"",IF('1000'!AO26="","ERR",""))</f>
        <v/>
      </c>
      <c r="AP26" s="108" t="str">
        <f>IF(ISERROR(FIND($B$2,Lines!AP26))=TRUE,"",IF('750'!AP26="","ERR","")) &amp; IF(ISERROR(FIND($C$2,Lines!AP26))=TRUE,"",IF('500'!AP26="","ERR","")) &amp; IF(ISERROR(FIND($D$2,Lines!AP26))=TRUE,"",IF('330'!AP26="","ERR","")) &amp; IF(ISERROR(FIND($E$2,Lines!AP26))=TRUE,"",IF('220'!AP26="","ERR",""))&amp; IF(ISERROR(FIND($F$2,Lines!AP26))=TRUE,"",IF(AND('500DC'!AP26="",'800DC'!AP26=""),"ERR","")) &amp; IF(ISERROR(FIND($G$2,Lines!AP26))=TRUE,"",IF('1000'!AP26="","ERR","")) &amp; IF(ISERROR(FIND($H$2,Lines!AP26))=TRUE,"",IF('500DC'!AP26="","ERR","")) &amp; IF(ISERROR(FIND($I$2,Lines!AP26))=TRUE,"",IF('800DC'!AP26="","ERR","")) &amp; IF(ISERROR(FIND($J$2,Lines!AP26))=TRUE,"",IF('1000'!AP26="","ERR",""))</f>
        <v/>
      </c>
      <c r="AQ26" s="108" t="str">
        <f>IF(ISERROR(FIND($B$2,Lines!AQ26))=TRUE,"",IF('750'!AQ26="","ERR","")) &amp; IF(ISERROR(FIND($C$2,Lines!AQ26))=TRUE,"",IF('500'!AQ26="","ERR","")) &amp; IF(ISERROR(FIND($D$2,Lines!AQ26))=TRUE,"",IF('330'!AQ26="","ERR","")) &amp; IF(ISERROR(FIND($E$2,Lines!AQ26))=TRUE,"",IF('220'!AQ26="","ERR",""))&amp; IF(ISERROR(FIND($F$2,Lines!AQ26))=TRUE,"",IF(AND('500DC'!AQ26="",'800DC'!AQ26=""),"ERR","")) &amp; IF(ISERROR(FIND($G$2,Lines!AQ26))=TRUE,"",IF('1000'!AQ26="","ERR","")) &amp; IF(ISERROR(FIND($H$2,Lines!AQ26))=TRUE,"",IF('500DC'!AQ26="","ERR","")) &amp; IF(ISERROR(FIND($I$2,Lines!AQ26))=TRUE,"",IF('800DC'!AQ26="","ERR","")) &amp; IF(ISERROR(FIND($J$2,Lines!AQ26))=TRUE,"",IF('1000'!AQ26="","ERR",""))</f>
        <v/>
      </c>
      <c r="AR26" s="108" t="str">
        <f>IF(ISERROR(FIND($B$2,Lines!AR26))=TRUE,"",IF('750'!AR26="","ERR","")) &amp; IF(ISERROR(FIND($C$2,Lines!AR26))=TRUE,"",IF('500'!AR26="","ERR","")) &amp; IF(ISERROR(FIND($D$2,Lines!AR26))=TRUE,"",IF('330'!AR26="","ERR","")) &amp; IF(ISERROR(FIND($E$2,Lines!AR26))=TRUE,"",IF('220'!AR26="","ERR",""))&amp; IF(ISERROR(FIND($F$2,Lines!AR26))=TRUE,"",IF(AND('500DC'!AR26="",'800DC'!AR26=""),"ERR","")) &amp; IF(ISERROR(FIND($G$2,Lines!AR26))=TRUE,"",IF('1000'!AR26="","ERR","")) &amp; IF(ISERROR(FIND($H$2,Lines!AR26))=TRUE,"",IF('500DC'!AR26="","ERR","")) &amp; IF(ISERROR(FIND($I$2,Lines!AR26))=TRUE,"",IF('800DC'!AR26="","ERR","")) &amp; IF(ISERROR(FIND($J$2,Lines!AR26))=TRUE,"",IF('1000'!AR26="","ERR",""))</f>
        <v/>
      </c>
      <c r="AS26" s="108" t="str">
        <f>IF(ISERROR(FIND($B$2,Lines!AS26))=TRUE,"",IF('750'!AS26="","ERR","")) &amp; IF(ISERROR(FIND($C$2,Lines!AS26))=TRUE,"",IF('500'!AS26="","ERR","")) &amp; IF(ISERROR(FIND($D$2,Lines!AS26))=TRUE,"",IF('330'!AS26="","ERR","")) &amp; IF(ISERROR(FIND($E$2,Lines!AS26))=TRUE,"",IF('220'!AS26="","ERR",""))&amp; IF(ISERROR(FIND($F$2,Lines!AS26))=TRUE,"",IF(AND('500DC'!AS26="",'800DC'!AS26=""),"ERR","")) &amp; IF(ISERROR(FIND($G$2,Lines!AS26))=TRUE,"",IF('1000'!AS26="","ERR","")) &amp; IF(ISERROR(FIND($H$2,Lines!AS26))=TRUE,"",IF('500DC'!AS26="","ERR","")) &amp; IF(ISERROR(FIND($I$2,Lines!AS26))=TRUE,"",IF('800DC'!AS26="","ERR","")) &amp; IF(ISERROR(FIND($J$2,Lines!AS26))=TRUE,"",IF('1000'!AS26="","ERR",""))</f>
        <v/>
      </c>
      <c r="AT26" s="108" t="str">
        <f>IF(ISERROR(FIND($B$2,Lines!AT26))=TRUE,"",IF('750'!AT26="","ERR","")) &amp; IF(ISERROR(FIND($C$2,Lines!AT26))=TRUE,"",IF('500'!AT26="","ERR","")) &amp; IF(ISERROR(FIND($D$2,Lines!AT26))=TRUE,"",IF('330'!AT26="","ERR","")) &amp; IF(ISERROR(FIND($E$2,Lines!AT26))=TRUE,"",IF('220'!AT26="","ERR",""))&amp; IF(ISERROR(FIND($F$2,Lines!AT26))=TRUE,"",IF(AND('500DC'!AT26="",'800DC'!AT26=""),"ERR","")) &amp; IF(ISERROR(FIND($G$2,Lines!AT26))=TRUE,"",IF('1000'!AT26="","ERR","")) &amp; IF(ISERROR(FIND($H$2,Lines!AT26))=TRUE,"",IF('500DC'!AT26="","ERR","")) &amp; IF(ISERROR(FIND($I$2,Lines!AT26))=TRUE,"",IF('800DC'!AT26="","ERR","")) &amp; IF(ISERROR(FIND($J$2,Lines!AT26))=TRUE,"",IF('1000'!AT26="","ERR",""))</f>
        <v/>
      </c>
    </row>
    <row r="27" spans="1:46" ht="20.25" customHeight="1">
      <c r="A27" s="2" t="s">
        <v>75</v>
      </c>
      <c r="B27" s="108" t="str">
        <f>IF(ISERROR(FIND($B$2,Lines!B27))=TRUE,"",IF('750'!B27="","ERR","")) &amp; IF(ISERROR(FIND($C$2,Lines!B27))=TRUE,"",IF('500'!B27="","ERR","")) &amp; IF(ISERROR(FIND($D$2,Lines!B27))=TRUE,"",IF('330'!B27="","ERR","")) &amp; IF(ISERROR(FIND($E$2,Lines!B27))=TRUE,"",IF('220'!B27="","ERR",""))&amp; IF(ISERROR(FIND($F$2,Lines!B27))=TRUE,"",IF(AND('500DC'!B27="",'800DC'!B27=""),"ERR","")) &amp; IF(ISERROR(FIND($G$2,Lines!B27))=TRUE,"",IF('1000'!B27="","ERR","")) &amp; IF(ISERROR(FIND($H$2,Lines!B27))=TRUE,"",IF('500DC'!B27="","ERR","")) &amp; IF(ISERROR(FIND($I$2,Lines!B27))=TRUE,"",IF('800DC'!B27="","ERR","")) &amp; IF(ISERROR(FIND($J$2,Lines!B27))=TRUE,"",IF('1000'!B27="","ERR",""))</f>
        <v/>
      </c>
      <c r="C27" s="108" t="str">
        <f>IF(ISERROR(FIND($B$2,Lines!C27))=TRUE,"",IF('750'!C27="","ERR","")) &amp; IF(ISERROR(FIND($C$2,Lines!C27))=TRUE,"",IF('500'!C27="","ERR","")) &amp; IF(ISERROR(FIND($D$2,Lines!C27))=TRUE,"",IF('330'!C27="","ERR","")) &amp; IF(ISERROR(FIND($E$2,Lines!C27))=TRUE,"",IF('220'!C27="","ERR",""))&amp; IF(ISERROR(FIND($F$2,Lines!C27))=TRUE,"",IF(AND('500DC'!C27="",'800DC'!C27=""),"ERR","")) &amp; IF(ISERROR(FIND($G$2,Lines!C27))=TRUE,"",IF('1000'!C27="","ERR","")) &amp; IF(ISERROR(FIND($H$2,Lines!C27))=TRUE,"",IF('500DC'!C27="","ERR","")) &amp; IF(ISERROR(FIND($I$2,Lines!C27))=TRUE,"",IF('800DC'!C27="","ERR","")) &amp; IF(ISERROR(FIND($J$2,Lines!C27))=TRUE,"",IF('1000'!C27="","ERR",""))</f>
        <v/>
      </c>
      <c r="D27" s="108" t="str">
        <f>IF(ISERROR(FIND($B$2,Lines!D27))=TRUE,"",IF('750'!D27="","ERR","")) &amp; IF(ISERROR(FIND($C$2,Lines!D27))=TRUE,"",IF('500'!D27="","ERR","")) &amp; IF(ISERROR(FIND($D$2,Lines!D27))=TRUE,"",IF('330'!D27="","ERR","")) &amp; IF(ISERROR(FIND($E$2,Lines!D27))=TRUE,"",IF('220'!D27="","ERR",""))&amp; IF(ISERROR(FIND($F$2,Lines!D27))=TRUE,"",IF(AND('500DC'!D27="",'800DC'!D27=""),"ERR","")) &amp; IF(ISERROR(FIND($G$2,Lines!D27))=TRUE,"",IF('1000'!D27="","ERR","")) &amp; IF(ISERROR(FIND($H$2,Lines!D27))=TRUE,"",IF('500DC'!D27="","ERR","")) &amp; IF(ISERROR(FIND($I$2,Lines!D27))=TRUE,"",IF('800DC'!D27="","ERR","")) &amp; IF(ISERROR(FIND($J$2,Lines!D27))=TRUE,"",IF('1000'!D27="","ERR",""))</f>
        <v/>
      </c>
      <c r="E27" s="108" t="str">
        <f>IF(ISERROR(FIND($B$2,Lines!E27))=TRUE,"",IF('750'!E27="","ERR","")) &amp; IF(ISERROR(FIND($C$2,Lines!E27))=TRUE,"",IF('500'!E27="","ERR","")) &amp; IF(ISERROR(FIND($D$2,Lines!E27))=TRUE,"",IF('330'!E27="","ERR","")) &amp; IF(ISERROR(FIND($E$2,Lines!E27))=TRUE,"",IF('220'!E27="","ERR",""))&amp; IF(ISERROR(FIND($F$2,Lines!E27))=TRUE,"",IF(AND('500DC'!E27="",'800DC'!E27=""),"ERR","")) &amp; IF(ISERROR(FIND($G$2,Lines!E27))=TRUE,"",IF('1000'!E27="","ERR","")) &amp; IF(ISERROR(FIND($H$2,Lines!E27))=TRUE,"",IF('500DC'!E27="","ERR","")) &amp; IF(ISERROR(FIND($I$2,Lines!E27))=TRUE,"",IF('800DC'!E27="","ERR","")) &amp; IF(ISERROR(FIND($J$2,Lines!E27))=TRUE,"",IF('1000'!E27="","ERR",""))</f>
        <v/>
      </c>
      <c r="F27" s="108" t="str">
        <f>IF(ISERROR(FIND($B$2,Lines!F27))=TRUE,"",IF('750'!F27="","ERR","")) &amp; IF(ISERROR(FIND($C$2,Lines!F27))=TRUE,"",IF('500'!F27="","ERR","")) &amp; IF(ISERROR(FIND($D$2,Lines!F27))=TRUE,"",IF('330'!F27="","ERR","")) &amp; IF(ISERROR(FIND($E$2,Lines!F27))=TRUE,"",IF('220'!F27="","ERR",""))&amp; IF(ISERROR(FIND($F$2,Lines!F27))=TRUE,"",IF(AND('500DC'!F27="",'800DC'!F27=""),"ERR","")) &amp; IF(ISERROR(FIND($G$2,Lines!F27))=TRUE,"",IF('1000'!F27="","ERR","")) &amp; IF(ISERROR(FIND($H$2,Lines!F27))=TRUE,"",IF('500DC'!F27="","ERR","")) &amp; IF(ISERROR(FIND($I$2,Lines!F27))=TRUE,"",IF('800DC'!F27="","ERR","")) &amp; IF(ISERROR(FIND($J$2,Lines!F27))=TRUE,"",IF('1000'!F27="","ERR",""))</f>
        <v/>
      </c>
      <c r="G27" s="108" t="str">
        <f>IF(ISERROR(FIND($B$2,Lines!G27))=TRUE,"",IF('750'!G27="","ERR","")) &amp; IF(ISERROR(FIND($C$2,Lines!G27))=TRUE,"",IF('500'!G27="","ERR","")) &amp; IF(ISERROR(FIND($D$2,Lines!G27))=TRUE,"",IF('330'!G27="","ERR","")) &amp; IF(ISERROR(FIND($E$2,Lines!G27))=TRUE,"",IF('220'!G27="","ERR",""))&amp; IF(ISERROR(FIND($F$2,Lines!G27))=TRUE,"",IF(AND('500DC'!G27="",'800DC'!G27=""),"ERR","")) &amp; IF(ISERROR(FIND($G$2,Lines!G27))=TRUE,"",IF('1000'!G27="","ERR","")) &amp; IF(ISERROR(FIND($H$2,Lines!G27))=TRUE,"",IF('500DC'!G27="","ERR","")) &amp; IF(ISERROR(FIND($I$2,Lines!G27))=TRUE,"",IF('800DC'!G27="","ERR","")) &amp; IF(ISERROR(FIND($J$2,Lines!G27))=TRUE,"",IF('1000'!G27="","ERR",""))</f>
        <v/>
      </c>
      <c r="H27" s="108" t="str">
        <f>IF(ISERROR(FIND($B$2,Lines!H27))=TRUE,"",IF('750'!H27="","ERR","")) &amp; IF(ISERROR(FIND($C$2,Lines!H27))=TRUE,"",IF('500'!H27="","ERR","")) &amp; IF(ISERROR(FIND($D$2,Lines!H27))=TRUE,"",IF('330'!H27="","ERR","")) &amp; IF(ISERROR(FIND($E$2,Lines!H27))=TRUE,"",IF('220'!H27="","ERR",""))&amp; IF(ISERROR(FIND($F$2,Lines!H27))=TRUE,"",IF(AND('500DC'!H27="",'800DC'!H27=""),"ERR","")) &amp; IF(ISERROR(FIND($G$2,Lines!H27))=TRUE,"",IF('1000'!H27="","ERR","")) &amp; IF(ISERROR(FIND($H$2,Lines!H27))=TRUE,"",IF('500DC'!H27="","ERR","")) &amp; IF(ISERROR(FIND($I$2,Lines!H27))=TRUE,"",IF('800DC'!H27="","ERR","")) &amp; IF(ISERROR(FIND($J$2,Lines!H27))=TRUE,"",IF('1000'!H27="","ERR",""))</f>
        <v/>
      </c>
      <c r="I27" s="108" t="str">
        <f>IF(ISERROR(FIND($B$2,Lines!I27))=TRUE,"",IF('750'!I27="","ERR","")) &amp; IF(ISERROR(FIND($C$2,Lines!I27))=TRUE,"",IF('500'!I27="","ERR","")) &amp; IF(ISERROR(FIND($D$2,Lines!I27))=TRUE,"",IF('330'!I27="","ERR","")) &amp; IF(ISERROR(FIND($E$2,Lines!I27))=TRUE,"",IF('220'!I27="","ERR",""))&amp; IF(ISERROR(FIND($F$2,Lines!I27))=TRUE,"",IF(AND('500DC'!I27="",'800DC'!I27=""),"ERR","")) &amp; IF(ISERROR(FIND($G$2,Lines!I27))=TRUE,"",IF('1000'!I27="","ERR","")) &amp; IF(ISERROR(FIND($H$2,Lines!I27))=TRUE,"",IF('500DC'!I27="","ERR","")) &amp; IF(ISERROR(FIND($I$2,Lines!I27))=TRUE,"",IF('800DC'!I27="","ERR","")) &amp; IF(ISERROR(FIND($J$2,Lines!I27))=TRUE,"",IF('1000'!I27="","ERR",""))</f>
        <v/>
      </c>
      <c r="J27" s="108" t="str">
        <f>IF(ISERROR(FIND($B$2,Lines!J27))=TRUE,"",IF('750'!J27="","ERR","")) &amp; IF(ISERROR(FIND($C$2,Lines!J27))=TRUE,"",IF('500'!J27="","ERR","")) &amp; IF(ISERROR(FIND($D$2,Lines!J27))=TRUE,"",IF('330'!J27="","ERR","")) &amp; IF(ISERROR(FIND($E$2,Lines!J27))=TRUE,"",IF('220'!J27="","ERR",""))&amp; IF(ISERROR(FIND($F$2,Lines!J27))=TRUE,"",IF(AND('500DC'!J27="",'800DC'!J27=""),"ERR","")) &amp; IF(ISERROR(FIND($G$2,Lines!J27))=TRUE,"",IF('1000'!J27="","ERR","")) &amp; IF(ISERROR(FIND($H$2,Lines!J27))=TRUE,"",IF('500DC'!J27="","ERR","")) &amp; IF(ISERROR(FIND($I$2,Lines!J27))=TRUE,"",IF('800DC'!J27="","ERR","")) &amp; IF(ISERROR(FIND($J$2,Lines!J27))=TRUE,"",IF('1000'!J27="","ERR",""))</f>
        <v/>
      </c>
      <c r="K27" s="108" t="str">
        <f>IF(ISERROR(FIND($B$2,Lines!K27))=TRUE,"",IF('750'!K27="","ERR","")) &amp; IF(ISERROR(FIND($C$2,Lines!K27))=TRUE,"",IF('500'!K27="","ERR","")) &amp; IF(ISERROR(FIND($D$2,Lines!K27))=TRUE,"",IF('330'!K27="","ERR","")) &amp; IF(ISERROR(FIND($E$2,Lines!K27))=TRUE,"",IF('220'!K27="","ERR",""))&amp; IF(ISERROR(FIND($F$2,Lines!K27))=TRUE,"",IF(AND('500DC'!K27="",'800DC'!K27=""),"ERR","")) &amp; IF(ISERROR(FIND($G$2,Lines!K27))=TRUE,"",IF('1000'!K27="","ERR","")) &amp; IF(ISERROR(FIND($H$2,Lines!K27))=TRUE,"",IF('500DC'!K27="","ERR","")) &amp; IF(ISERROR(FIND($I$2,Lines!K27))=TRUE,"",IF('800DC'!K27="","ERR","")) &amp; IF(ISERROR(FIND($J$2,Lines!K27))=TRUE,"",IF('1000'!K27="","ERR",""))</f>
        <v/>
      </c>
      <c r="L27" s="108" t="str">
        <f>IF(ISERROR(FIND($B$2,Lines!L27))=TRUE,"",IF('750'!L27="","ERR","")) &amp; IF(ISERROR(FIND($C$2,Lines!L27))=TRUE,"",IF('500'!L27="","ERR","")) &amp; IF(ISERROR(FIND($D$2,Lines!L27))=TRUE,"",IF('330'!L27="","ERR","")) &amp; IF(ISERROR(FIND($E$2,Lines!L27))=TRUE,"",IF('220'!L27="","ERR",""))&amp; IF(ISERROR(FIND($F$2,Lines!L27))=TRUE,"",IF(AND('500DC'!L27="",'800DC'!L27=""),"ERR","")) &amp; IF(ISERROR(FIND($G$2,Lines!L27))=TRUE,"",IF('1000'!L27="","ERR","")) &amp; IF(ISERROR(FIND($H$2,Lines!L27))=TRUE,"",IF('500DC'!L27="","ERR","")) &amp; IF(ISERROR(FIND($I$2,Lines!L27))=TRUE,"",IF('800DC'!L27="","ERR","")) &amp; IF(ISERROR(FIND($J$2,Lines!L27))=TRUE,"",IF('1000'!L27="","ERR",""))</f>
        <v/>
      </c>
      <c r="M27" s="108" t="str">
        <f>IF(ISERROR(FIND($B$2,Lines!M27))=TRUE,"",IF('750'!M27="","ERR","")) &amp; IF(ISERROR(FIND($C$2,Lines!M27))=TRUE,"",IF('500'!M27="","ERR","")) &amp; IF(ISERROR(FIND($D$2,Lines!M27))=TRUE,"",IF('330'!M27="","ERR","")) &amp; IF(ISERROR(FIND($E$2,Lines!M27))=TRUE,"",IF('220'!M27="","ERR",""))&amp; IF(ISERROR(FIND($F$2,Lines!M27))=TRUE,"",IF(AND('500DC'!M27="",'800DC'!M27=""),"ERR","")) &amp; IF(ISERROR(FIND($G$2,Lines!M27))=TRUE,"",IF('1000'!M27="","ERR","")) &amp; IF(ISERROR(FIND($H$2,Lines!M27))=TRUE,"",IF('500DC'!M27="","ERR","")) &amp; IF(ISERROR(FIND($I$2,Lines!M27))=TRUE,"",IF('800DC'!M27="","ERR","")) &amp; IF(ISERROR(FIND($J$2,Lines!M27))=TRUE,"",IF('1000'!M27="","ERR",""))</f>
        <v/>
      </c>
      <c r="N27" s="108" t="str">
        <f>IF(ISERROR(FIND($B$2,Lines!N27))=TRUE,"",IF('750'!N27="","ERR","")) &amp; IF(ISERROR(FIND($C$2,Lines!N27))=TRUE,"",IF('500'!N27="","ERR","")) &amp; IF(ISERROR(FIND($D$2,Lines!N27))=TRUE,"",IF('330'!N27="","ERR","")) &amp; IF(ISERROR(FIND($E$2,Lines!N27))=TRUE,"",IF('220'!N27="","ERR",""))&amp; IF(ISERROR(FIND($F$2,Lines!N27))=TRUE,"",IF(AND('500DC'!N27="",'800DC'!N27=""),"ERR","")) &amp; IF(ISERROR(FIND($G$2,Lines!N27))=TRUE,"",IF('1000'!N27="","ERR","")) &amp; IF(ISERROR(FIND($H$2,Lines!N27))=TRUE,"",IF('500DC'!N27="","ERR","")) &amp; IF(ISERROR(FIND($I$2,Lines!N27))=TRUE,"",IF('800DC'!N27="","ERR","")) &amp; IF(ISERROR(FIND($J$2,Lines!N27))=TRUE,"",IF('1000'!N27="","ERR",""))</f>
        <v/>
      </c>
      <c r="O27" s="108" t="str">
        <f>IF(ISERROR(FIND($B$2,Lines!O27))=TRUE,"",IF('750'!O27="","ERR","")) &amp; IF(ISERROR(FIND($C$2,Lines!O27))=TRUE,"",IF('500'!O27="","ERR","")) &amp; IF(ISERROR(FIND($D$2,Lines!O27))=TRUE,"",IF('330'!O27="","ERR","")) &amp; IF(ISERROR(FIND($E$2,Lines!O27))=TRUE,"",IF('220'!O27="","ERR",""))&amp; IF(ISERROR(FIND($F$2,Lines!O27))=TRUE,"",IF(AND('500DC'!O27="",'800DC'!O27=""),"ERR","")) &amp; IF(ISERROR(FIND($G$2,Lines!O27))=TRUE,"",IF('1000'!O27="","ERR","")) &amp; IF(ISERROR(FIND($H$2,Lines!O27))=TRUE,"",IF('500DC'!O27="","ERR","")) &amp; IF(ISERROR(FIND($I$2,Lines!O27))=TRUE,"",IF('800DC'!O27="","ERR","")) &amp; IF(ISERROR(FIND($J$2,Lines!O27))=TRUE,"",IF('1000'!O27="","ERR",""))</f>
        <v/>
      </c>
      <c r="P27" s="108" t="str">
        <f>IF(ISERROR(FIND($B$2,Lines!P27))=TRUE,"",IF('750'!P27="","ERR","")) &amp; IF(ISERROR(FIND($C$2,Lines!P27))=TRUE,"",IF('500'!P27="","ERR","")) &amp; IF(ISERROR(FIND($D$2,Lines!P27))=TRUE,"",IF('330'!P27="","ERR","")) &amp; IF(ISERROR(FIND($E$2,Lines!P27))=TRUE,"",IF('220'!P27="","ERR",""))&amp; IF(ISERROR(FIND($F$2,Lines!P27))=TRUE,"",IF(AND('500DC'!P27="",'800DC'!P27=""),"ERR","")) &amp; IF(ISERROR(FIND($G$2,Lines!P27))=TRUE,"",IF('1000'!P27="","ERR","")) &amp; IF(ISERROR(FIND($H$2,Lines!P27))=TRUE,"",IF('500DC'!P27="","ERR","")) &amp; IF(ISERROR(FIND($I$2,Lines!P27))=TRUE,"",IF('800DC'!P27="","ERR","")) &amp; IF(ISERROR(FIND($J$2,Lines!P27))=TRUE,"",IF('1000'!P27="","ERR",""))</f>
        <v/>
      </c>
      <c r="Q27" s="108" t="str">
        <f>IF(ISERROR(FIND($B$2,Lines!Q27))=TRUE,"",IF('750'!Q27="","ERR","")) &amp; IF(ISERROR(FIND($C$2,Lines!Q27))=TRUE,"",IF('500'!Q27="","ERR","")) &amp; IF(ISERROR(FIND($D$2,Lines!Q27))=TRUE,"",IF('330'!Q27="","ERR","")) &amp; IF(ISERROR(FIND($E$2,Lines!Q27))=TRUE,"",IF('220'!Q27="","ERR",""))&amp; IF(ISERROR(FIND($F$2,Lines!Q27))=TRUE,"",IF(AND('500DC'!Q27="",'800DC'!Q27=""),"ERR","")) &amp; IF(ISERROR(FIND($G$2,Lines!Q27))=TRUE,"",IF('1000'!Q27="","ERR","")) &amp; IF(ISERROR(FIND($H$2,Lines!Q27))=TRUE,"",IF('500DC'!Q27="","ERR","")) &amp; IF(ISERROR(FIND($I$2,Lines!Q27))=TRUE,"",IF('800DC'!Q27="","ERR","")) &amp; IF(ISERROR(FIND($J$2,Lines!Q27))=TRUE,"",IF('1000'!Q27="","ERR",""))</f>
        <v/>
      </c>
      <c r="R27" s="108" t="str">
        <f>IF(ISERROR(FIND($B$2,Lines!R27))=TRUE,"",IF('750'!R27="","ERR","")) &amp; IF(ISERROR(FIND($C$2,Lines!R27))=TRUE,"",IF('500'!R27="","ERR","")) &amp; IF(ISERROR(FIND($D$2,Lines!R27))=TRUE,"",IF('330'!R27="","ERR","")) &amp; IF(ISERROR(FIND($E$2,Lines!R27))=TRUE,"",IF('220'!R27="","ERR",""))&amp; IF(ISERROR(FIND($F$2,Lines!R27))=TRUE,"",IF(AND('500DC'!R27="",'800DC'!R27=""),"ERR","")) &amp; IF(ISERROR(FIND($G$2,Lines!R27))=TRUE,"",IF('1000'!R27="","ERR","")) &amp; IF(ISERROR(FIND($H$2,Lines!R27))=TRUE,"",IF('500DC'!R27="","ERR","")) &amp; IF(ISERROR(FIND($I$2,Lines!R27))=TRUE,"",IF('800DC'!R27="","ERR","")) &amp; IF(ISERROR(FIND($J$2,Lines!R27))=TRUE,"",IF('1000'!R27="","ERR",""))</f>
        <v/>
      </c>
      <c r="S27" s="108" t="str">
        <f>IF(ISERROR(FIND($B$2,Lines!S27))=TRUE,"",IF('750'!S27="","ERR","")) &amp; IF(ISERROR(FIND($C$2,Lines!S27))=TRUE,"",IF('500'!S27="","ERR","")) &amp; IF(ISERROR(FIND($D$2,Lines!S27))=TRUE,"",IF('330'!S27="","ERR","")) &amp; IF(ISERROR(FIND($E$2,Lines!S27))=TRUE,"",IF('220'!S27="","ERR",""))&amp; IF(ISERROR(FIND($F$2,Lines!S27))=TRUE,"",IF(AND('500DC'!S27="",'800DC'!S27=""),"ERR","")) &amp; IF(ISERROR(FIND($G$2,Lines!S27))=TRUE,"",IF('1000'!S27="","ERR","")) &amp; IF(ISERROR(FIND($H$2,Lines!S27))=TRUE,"",IF('500DC'!S27="","ERR","")) &amp; IF(ISERROR(FIND($I$2,Lines!S27))=TRUE,"",IF('800DC'!S27="","ERR","")) &amp; IF(ISERROR(FIND($J$2,Lines!S27))=TRUE,"",IF('1000'!S27="","ERR",""))</f>
        <v/>
      </c>
      <c r="T27" s="108" t="str">
        <f>IF(ISERROR(FIND($B$2,Lines!T27))=TRUE,"",IF('750'!T27="","ERR","")) &amp; IF(ISERROR(FIND($C$2,Lines!T27))=TRUE,"",IF('500'!T27="","ERR","")) &amp; IF(ISERROR(FIND($D$2,Lines!T27))=TRUE,"",IF('330'!T27="","ERR","")) &amp; IF(ISERROR(FIND($E$2,Lines!T27))=TRUE,"",IF('220'!T27="","ERR",""))&amp; IF(ISERROR(FIND($F$2,Lines!T27))=TRUE,"",IF(AND('500DC'!T27="",'800DC'!T27=""),"ERR","")) &amp; IF(ISERROR(FIND($G$2,Lines!T27))=TRUE,"",IF('1000'!T27="","ERR","")) &amp; IF(ISERROR(FIND($H$2,Lines!T27))=TRUE,"",IF('500DC'!T27="","ERR","")) &amp; IF(ISERROR(FIND($I$2,Lines!T27))=TRUE,"",IF('800DC'!T27="","ERR","")) &amp; IF(ISERROR(FIND($J$2,Lines!T27))=TRUE,"",IF('1000'!T27="","ERR",""))</f>
        <v/>
      </c>
      <c r="U27" s="108" t="str">
        <f>IF(ISERROR(FIND($B$2,Lines!U27))=TRUE,"",IF('750'!U27="","ERR","")) &amp; IF(ISERROR(FIND($C$2,Lines!U27))=TRUE,"",IF('500'!U27="","ERR","")) &amp; IF(ISERROR(FIND($D$2,Lines!U27))=TRUE,"",IF('330'!U27="","ERR","")) &amp; IF(ISERROR(FIND($E$2,Lines!U27))=TRUE,"",IF('220'!U27="","ERR",""))&amp; IF(ISERROR(FIND($F$2,Lines!U27))=TRUE,"",IF(AND('500DC'!U27="",'800DC'!U27=""),"ERR","")) &amp; IF(ISERROR(FIND($G$2,Lines!U27))=TRUE,"",IF('1000'!U27="","ERR","")) &amp; IF(ISERROR(FIND($H$2,Lines!U27))=TRUE,"",IF('500DC'!U27="","ERR","")) &amp; IF(ISERROR(FIND($I$2,Lines!U27))=TRUE,"",IF('800DC'!U27="","ERR","")) &amp; IF(ISERROR(FIND($J$2,Lines!U27))=TRUE,"",IF('1000'!U27="","ERR",""))</f>
        <v/>
      </c>
      <c r="V27" s="108" t="str">
        <f>IF(ISERROR(FIND($B$2,Lines!V27))=TRUE,"",IF('750'!V27="","ERR","")) &amp; IF(ISERROR(FIND($C$2,Lines!V27))=TRUE,"",IF('500'!V27="","ERR","")) &amp; IF(ISERROR(FIND($D$2,Lines!V27))=TRUE,"",IF('330'!V27="","ERR","")) &amp; IF(ISERROR(FIND($E$2,Lines!V27))=TRUE,"",IF('220'!V27="","ERR",""))&amp; IF(ISERROR(FIND($F$2,Lines!V27))=TRUE,"",IF(AND('500DC'!V27="",'800DC'!V27=""),"ERR","")) &amp; IF(ISERROR(FIND($G$2,Lines!V27))=TRUE,"",IF('1000'!V27="","ERR","")) &amp; IF(ISERROR(FIND($H$2,Lines!V27))=TRUE,"",IF('500DC'!V27="","ERR","")) &amp; IF(ISERROR(FIND($I$2,Lines!V27))=TRUE,"",IF('800DC'!V27="","ERR","")) &amp; IF(ISERROR(FIND($J$2,Lines!V27))=TRUE,"",IF('1000'!V27="","ERR",""))</f>
        <v/>
      </c>
      <c r="W27" s="109" t="str">
        <f>IF(ISERROR(FIND($B$2,Lines!W27))=TRUE,"",IF('750'!W27="","ERR","")) &amp; IF(ISERROR(FIND($C$2,Lines!W27))=TRUE,"",IF('500'!W27="","ERR","")) &amp; IF(ISERROR(FIND($D$2,Lines!W27))=TRUE,"",IF('330'!W27="","ERR","")) &amp; IF(ISERROR(FIND($E$2,Lines!W27))=TRUE,"",IF('220'!W27="","ERR",""))&amp; IF(ISERROR(FIND($F$2,Lines!W27))=TRUE,"",IF(AND('500DC'!W27="",'800DC'!W27=""),"ERR","")) &amp; IF(ISERROR(FIND($G$2,Lines!W27))=TRUE,"",IF('1000'!W27="","ERR","")) &amp; IF(ISERROR(FIND($H$2,Lines!W27))=TRUE,"",IF('500DC'!W27="","ERR","")) &amp; IF(ISERROR(FIND($I$2,Lines!W27))=TRUE,"",IF('800DC'!W27="","ERR","")) &amp; IF(ISERROR(FIND($J$2,Lines!W27))=TRUE,"",IF('1000'!W27="","ERR",""))</f>
        <v/>
      </c>
      <c r="X27" s="124" t="str">
        <f>IF(ISERROR(FIND($B$2,Lines!X27))=TRUE,"",IF('750'!X27="","ERR","")) &amp; IF(ISERROR(FIND($C$2,Lines!X27))=TRUE,"",IF('500'!X27="","ERR","")) &amp; IF(ISERROR(FIND($D$2,Lines!X27))=TRUE,"",IF('330'!X27="","ERR","")) &amp; IF(ISERROR(FIND($E$2,Lines!X27))=TRUE,"",IF('220'!X27="","ERR",""))&amp; IF(ISERROR(FIND($F$2,Lines!X27))=TRUE,"",IF(AND('500DC'!X27="",'800DC'!X27=""),"ERR","")) &amp; IF(ISERROR(FIND($G$2,Lines!X27))=TRUE,"",IF('1000'!X27="","ERR","")) &amp; IF(ISERROR(FIND($H$2,Lines!X27))=TRUE,"",IF('500DC'!X27="","ERR","")) &amp; IF(ISERROR(FIND($I$2,Lines!X27))=TRUE,"",IF('800DC'!X27="","ERR","")) &amp; IF(ISERROR(FIND($J$2,Lines!X27))=TRUE,"",IF('1000'!X27="","ERR",""))</f>
        <v/>
      </c>
      <c r="Y27" s="116" t="str">
        <f>IF(ISERROR(FIND($B$2,Lines!Y27))=TRUE,"",IF('750'!Y27="","ERR","")) &amp; IF(ISERROR(FIND($C$2,Lines!Y27))=TRUE,"",IF('500'!Y27="","ERR","")) &amp; IF(ISERROR(FIND($D$2,Lines!Y27))=TRUE,"",IF('330'!Y27="","ERR","")) &amp; IF(ISERROR(FIND($E$2,Lines!Y27))=TRUE,"",IF('220'!Y27="","ERR",""))&amp; IF(ISERROR(FIND($F$2,Lines!Y27))=TRUE,"",IF(AND('500DC'!Y27="",'800DC'!Y27=""),"ERR","")) &amp; IF(ISERROR(FIND($G$2,Lines!Y27))=TRUE,"",IF('1000'!Y27="","ERR","")) &amp; IF(ISERROR(FIND($H$2,Lines!Y27))=TRUE,"",IF('500DC'!Y27="","ERR","")) &amp; IF(ISERROR(FIND($I$2,Lines!Y27))=TRUE,"",IF('800DC'!Y27="","ERR","")) &amp; IF(ISERROR(FIND($J$2,Lines!Y27))=TRUE,"",IF('1000'!Y27="","ERR",""))</f>
        <v/>
      </c>
      <c r="Z27" s="125" t="str">
        <f>IF(ISERROR(FIND($B$2,Lines!Z27))=TRUE,"",IF('750'!Z27="","ERR","")) &amp; IF(ISERROR(FIND($C$2,Lines!Z27))=TRUE,"",IF('500'!Z27="","ERR","")) &amp; IF(ISERROR(FIND($D$2,Lines!Z27))=TRUE,"",IF('330'!Z27="","ERR","")) &amp; IF(ISERROR(FIND($E$2,Lines!Z27))=TRUE,"",IF('220'!Z27="","ERR",""))&amp; IF(ISERROR(FIND($F$2,Lines!Z27))=TRUE,"",IF(AND('500DC'!Z27="",'800DC'!Z27=""),"ERR","")) &amp; IF(ISERROR(FIND($G$2,Lines!Z27))=TRUE,"",IF('1000'!Z27="","ERR","")) &amp; IF(ISERROR(FIND($H$2,Lines!Z27))=TRUE,"",IF('500DC'!Z27="","ERR","")) &amp; IF(ISERROR(FIND($I$2,Lines!Z27))=TRUE,"",IF('800DC'!Z27="","ERR","")) &amp; IF(ISERROR(FIND($J$2,Lines!Z27))=TRUE,"",IF('1000'!Z27="","ERR",""))</f>
        <v/>
      </c>
      <c r="AA27" s="125" t="str">
        <f>IF(ISERROR(FIND($B$2,Lines!AA27))=TRUE,"",IF('750'!AA27="","ERR","")) &amp; IF(ISERROR(FIND($C$2,Lines!AA27))=TRUE,"",IF('500'!AA27="","ERR","")) &amp; IF(ISERROR(FIND($D$2,Lines!AA27))=TRUE,"",IF('330'!AA27="","ERR","")) &amp; IF(ISERROR(FIND($E$2,Lines!AA27))=TRUE,"",IF('220'!AA27="","ERR",""))&amp; IF(ISERROR(FIND($F$2,Lines!AA27))=TRUE,"",IF(AND('500DC'!AA27="",'800DC'!AA27=""),"ERR","")) &amp; IF(ISERROR(FIND($G$2,Lines!AA27))=TRUE,"",IF('1000'!AA27="","ERR","")) &amp; IF(ISERROR(FIND($H$2,Lines!AA27))=TRUE,"",IF('500DC'!AA27="","ERR","")) &amp; IF(ISERROR(FIND($I$2,Lines!AA27))=TRUE,"",IF('800DC'!AA27="","ERR","")) &amp; IF(ISERROR(FIND($J$2,Lines!AA27))=TRUE,"",IF('1000'!AA27="","ERR",""))</f>
        <v/>
      </c>
      <c r="AB27" s="125" t="str">
        <f>IF(ISERROR(FIND($B$2,Lines!AB27))=TRUE,"",IF('750'!AB27="","ERR","")) &amp; IF(ISERROR(FIND($C$2,Lines!AB27))=TRUE,"",IF('500'!AB27="","ERR","")) &amp; IF(ISERROR(FIND($D$2,Lines!AB27))=TRUE,"",IF('330'!AB27="","ERR","")) &amp; IF(ISERROR(FIND($E$2,Lines!AB27))=TRUE,"",IF('220'!AB27="","ERR",""))&amp; IF(ISERROR(FIND($F$2,Lines!AB27))=TRUE,"",IF(AND('500DC'!AB27="",'800DC'!AB27=""),"ERR","")) &amp; IF(ISERROR(FIND($G$2,Lines!AB27))=TRUE,"",IF('1000'!AB27="","ERR","")) &amp; IF(ISERROR(FIND($H$2,Lines!AB27))=TRUE,"",IF('500DC'!AB27="","ERR","")) &amp; IF(ISERROR(FIND($I$2,Lines!AB27))=TRUE,"",IF('800DC'!AB27="","ERR","")) &amp; IF(ISERROR(FIND($J$2,Lines!AB27))=TRUE,"",IF('1000'!AB27="","ERR",""))</f>
        <v/>
      </c>
      <c r="AC27" s="125" t="str">
        <f>IF(ISERROR(FIND($B$2,Lines!AC27))=TRUE,"",IF('750'!AC27="","ERR","")) &amp; IF(ISERROR(FIND($C$2,Lines!AC27))=TRUE,"",IF('500'!AC27="","ERR","")) &amp; IF(ISERROR(FIND($D$2,Lines!AC27))=TRUE,"",IF('330'!AC27="","ERR","")) &amp; IF(ISERROR(FIND($E$2,Lines!AC27))=TRUE,"",IF('220'!AC27="","ERR",""))&amp; IF(ISERROR(FIND($F$2,Lines!AC27))=TRUE,"",IF(AND('500DC'!AC27="",'800DC'!AC27=""),"ERR","")) &amp; IF(ISERROR(FIND($G$2,Lines!AC27))=TRUE,"",IF('1000'!AC27="","ERR","")) &amp; IF(ISERROR(FIND($H$2,Lines!AC27))=TRUE,"",IF('500DC'!AC27="","ERR","")) &amp; IF(ISERROR(FIND($I$2,Lines!AC27))=TRUE,"",IF('800DC'!AC27="","ERR","")) &amp; IF(ISERROR(FIND($J$2,Lines!AC27))=TRUE,"",IF('1000'!AC27="","ERR",""))</f>
        <v/>
      </c>
      <c r="AD27" s="126" t="str">
        <f>IF(ISERROR(FIND($B$2,Lines!AD27))=TRUE,"",IF('750'!AD27="","ERR","")) &amp; IF(ISERROR(FIND($C$2,Lines!AD27))=TRUE,"",IF('500'!AD27="","ERR","")) &amp; IF(ISERROR(FIND($D$2,Lines!AD27))=TRUE,"",IF('330'!AD27="","ERR","")) &amp; IF(ISERROR(FIND($E$2,Lines!AD27))=TRUE,"",IF('220'!AD27="","ERR",""))&amp; IF(ISERROR(FIND($F$2,Lines!AD27))=TRUE,"",IF(AND('500DC'!AD27="",'800DC'!AD27=""),"ERR","")) &amp; IF(ISERROR(FIND($G$2,Lines!AD27))=TRUE,"",IF('1000'!AD27="","ERR","")) &amp; IF(ISERROR(FIND($H$2,Lines!AD27))=TRUE,"",IF('500DC'!AD27="","ERR","")) &amp; IF(ISERROR(FIND($I$2,Lines!AD27))=TRUE,"",IF('800DC'!AD27="","ERR","")) &amp; IF(ISERROR(FIND($J$2,Lines!AD27))=TRUE,"",IF('1000'!AD27="","ERR",""))</f>
        <v/>
      </c>
      <c r="AE27" s="108" t="str">
        <f>IF(ISERROR(FIND($B$2,Lines!AE27))=TRUE,"",IF('750'!AE27="","ERR","")) &amp; IF(ISERROR(FIND($C$2,Lines!AE27))=TRUE,"",IF('500'!AE27="","ERR","")) &amp; IF(ISERROR(FIND($D$2,Lines!AE27))=TRUE,"",IF('330'!AE27="","ERR","")) &amp; IF(ISERROR(FIND($E$2,Lines!AE27))=TRUE,"",IF('220'!AE27="","ERR",""))&amp; IF(ISERROR(FIND($F$2,Lines!AE27))=TRUE,"",IF(AND('500DC'!AE27="",'800DC'!AE27=""),"ERR","")) &amp; IF(ISERROR(FIND($G$2,Lines!AE27))=TRUE,"",IF('1000'!AE27="","ERR","")) &amp; IF(ISERROR(FIND($H$2,Lines!AE27))=TRUE,"",IF('500DC'!AE27="","ERR","")) &amp; IF(ISERROR(FIND($I$2,Lines!AE27))=TRUE,"",IF('800DC'!AE27="","ERR","")) &amp; IF(ISERROR(FIND($J$2,Lines!AE27))=TRUE,"",IF('1000'!AE27="","ERR",""))</f>
        <v/>
      </c>
      <c r="AF27" s="108" t="str">
        <f>IF(ISERROR(FIND($B$2,Lines!AF27))=TRUE,"",IF('750'!AF27="","ERR","")) &amp; IF(ISERROR(FIND($C$2,Lines!AF27))=TRUE,"",IF('500'!AF27="","ERR","")) &amp; IF(ISERROR(FIND($D$2,Lines!AF27))=TRUE,"",IF('330'!AF27="","ERR","")) &amp; IF(ISERROR(FIND($E$2,Lines!AF27))=TRUE,"",IF('220'!AF27="","ERR",""))&amp; IF(ISERROR(FIND($F$2,Lines!AF27))=TRUE,"",IF(AND('500DC'!AF27="",'800DC'!AF27=""),"ERR","")) &amp; IF(ISERROR(FIND($G$2,Lines!AF27))=TRUE,"",IF('1000'!AF27="","ERR","")) &amp; IF(ISERROR(FIND($H$2,Lines!AF27))=TRUE,"",IF('500DC'!AF27="","ERR","")) &amp; IF(ISERROR(FIND($I$2,Lines!AF27))=TRUE,"",IF('800DC'!AF27="","ERR","")) &amp; IF(ISERROR(FIND($J$2,Lines!AF27))=TRUE,"",IF('1000'!AF27="","ERR",""))</f>
        <v/>
      </c>
      <c r="AG27" s="108" t="str">
        <f>IF(ISERROR(FIND($B$2,Lines!AG27))=TRUE,"",IF('750'!AG27="","ERR","")) &amp; IF(ISERROR(FIND($C$2,Lines!AG27))=TRUE,"",IF('500'!AG27="","ERR","")) &amp; IF(ISERROR(FIND($D$2,Lines!AG27))=TRUE,"",IF('330'!AG27="","ERR","")) &amp; IF(ISERROR(FIND($E$2,Lines!AG27))=TRUE,"",IF('220'!AG27="","ERR",""))&amp; IF(ISERROR(FIND($F$2,Lines!AG27))=TRUE,"",IF(AND('500DC'!AG27="",'800DC'!AG27=""),"ERR","")) &amp; IF(ISERROR(FIND($G$2,Lines!AG27))=TRUE,"",IF('1000'!AG27="","ERR","")) &amp; IF(ISERROR(FIND($H$2,Lines!AG27))=TRUE,"",IF('500DC'!AG27="","ERR","")) &amp; IF(ISERROR(FIND($I$2,Lines!AG27))=TRUE,"",IF('800DC'!AG27="","ERR","")) &amp; IF(ISERROR(FIND($J$2,Lines!AG27))=TRUE,"",IF('1000'!AG27="","ERR",""))</f>
        <v/>
      </c>
      <c r="AH27" s="108" t="str">
        <f>IF(ISERROR(FIND($B$2,Lines!AH27))=TRUE,"",IF('750'!AH27="","ERR","")) &amp; IF(ISERROR(FIND($C$2,Lines!AH27))=TRUE,"",IF('500'!AH27="","ERR","")) &amp; IF(ISERROR(FIND($D$2,Lines!AH27))=TRUE,"",IF('330'!AH27="","ERR","")) &amp; IF(ISERROR(FIND($E$2,Lines!AH27))=TRUE,"",IF('220'!AH27="","ERR",""))&amp; IF(ISERROR(FIND($F$2,Lines!AH27))=TRUE,"",IF(AND('500DC'!AH27="",'800DC'!AH27=""),"ERR","")) &amp; IF(ISERROR(FIND($G$2,Lines!AH27))=TRUE,"",IF('1000'!AH27="","ERR","")) &amp; IF(ISERROR(FIND($H$2,Lines!AH27))=TRUE,"",IF('500DC'!AH27="","ERR","")) &amp; IF(ISERROR(FIND($I$2,Lines!AH27))=TRUE,"",IF('800DC'!AH27="","ERR","")) &amp; IF(ISERROR(FIND($J$2,Lines!AH27))=TRUE,"",IF('1000'!AH27="","ERR",""))</f>
        <v/>
      </c>
      <c r="AI27" s="108" t="str">
        <f>IF(ISERROR(FIND($B$2,Lines!AI27))=TRUE,"",IF('750'!AI27="","ERR","")) &amp; IF(ISERROR(FIND($C$2,Lines!AI27))=TRUE,"",IF('500'!AI27="","ERR","")) &amp; IF(ISERROR(FIND($D$2,Lines!AI27))=TRUE,"",IF('330'!AI27="","ERR","")) &amp; IF(ISERROR(FIND($E$2,Lines!AI27))=TRUE,"",IF('220'!AI27="","ERR",""))&amp; IF(ISERROR(FIND($F$2,Lines!AI27))=TRUE,"",IF(AND('500DC'!AI27="",'800DC'!AI27=""),"ERR","")) &amp; IF(ISERROR(FIND($G$2,Lines!AI27))=TRUE,"",IF('1000'!AI27="","ERR","")) &amp; IF(ISERROR(FIND($H$2,Lines!AI27))=TRUE,"",IF('500DC'!AI27="","ERR","")) &amp; IF(ISERROR(FIND($I$2,Lines!AI27))=TRUE,"",IF('800DC'!AI27="","ERR","")) &amp; IF(ISERROR(FIND($J$2,Lines!AI27))=TRUE,"",IF('1000'!AI27="","ERR",""))</f>
        <v/>
      </c>
      <c r="AJ27" s="108" t="str">
        <f>IF(ISERROR(FIND($B$2,Lines!AJ27))=TRUE,"",IF('750'!AJ27="","ERR","")) &amp; IF(ISERROR(FIND($C$2,Lines!AJ27))=TRUE,"",IF('500'!AJ27="","ERR","")) &amp; IF(ISERROR(FIND($D$2,Lines!AJ27))=TRUE,"",IF('330'!AJ27="","ERR","")) &amp; IF(ISERROR(FIND($E$2,Lines!AJ27))=TRUE,"",IF('220'!AJ27="","ERR",""))&amp; IF(ISERROR(FIND($F$2,Lines!AJ27))=TRUE,"",IF(AND('500DC'!AJ27="",'800DC'!AJ27=""),"ERR","")) &amp; IF(ISERROR(FIND($G$2,Lines!AJ27))=TRUE,"",IF('1000'!AJ27="","ERR","")) &amp; IF(ISERROR(FIND($H$2,Lines!AJ27))=TRUE,"",IF('500DC'!AJ27="","ERR","")) &amp; IF(ISERROR(FIND($I$2,Lines!AJ27))=TRUE,"",IF('800DC'!AJ27="","ERR","")) &amp; IF(ISERROR(FIND($J$2,Lines!AJ27))=TRUE,"",IF('1000'!AJ27="","ERR",""))</f>
        <v/>
      </c>
      <c r="AK27" s="108" t="str">
        <f>IF(ISERROR(FIND($B$2,Lines!AK27))=TRUE,"",IF('750'!AK27="","ERR","")) &amp; IF(ISERROR(FIND($C$2,Lines!AK27))=TRUE,"",IF('500'!AK27="","ERR","")) &amp; IF(ISERROR(FIND($D$2,Lines!AK27))=TRUE,"",IF('330'!AK27="","ERR","")) &amp; IF(ISERROR(FIND($E$2,Lines!AK27))=TRUE,"",IF('220'!AK27="","ERR",""))&amp; IF(ISERROR(FIND($F$2,Lines!AK27))=TRUE,"",IF(AND('500DC'!AK27="",'800DC'!AK27=""),"ERR","")) &amp; IF(ISERROR(FIND($G$2,Lines!AK27))=TRUE,"",IF('1000'!AK27="","ERR","")) &amp; IF(ISERROR(FIND($H$2,Lines!AK27))=TRUE,"",IF('500DC'!AK27="","ERR","")) &amp; IF(ISERROR(FIND($I$2,Lines!AK27))=TRUE,"",IF('800DC'!AK27="","ERR","")) &amp; IF(ISERROR(FIND($J$2,Lines!AK27))=TRUE,"",IF('1000'!AK27="","ERR",""))</f>
        <v/>
      </c>
      <c r="AL27" s="108" t="str">
        <f>IF(ISERROR(FIND($B$2,Lines!AL27))=TRUE,"",IF('750'!AL27="","ERR","")) &amp; IF(ISERROR(FIND($C$2,Lines!AL27))=TRUE,"",IF('500'!AL27="","ERR","")) &amp; IF(ISERROR(FIND($D$2,Lines!AL27))=TRUE,"",IF('330'!AL27="","ERR","")) &amp; IF(ISERROR(FIND($E$2,Lines!AL27))=TRUE,"",IF('220'!AL27="","ERR",""))&amp; IF(ISERROR(FIND($F$2,Lines!AL27))=TRUE,"",IF(AND('500DC'!AL27="",'800DC'!AL27=""),"ERR","")) &amp; IF(ISERROR(FIND($G$2,Lines!AL27))=TRUE,"",IF('1000'!AL27="","ERR","")) &amp; IF(ISERROR(FIND($H$2,Lines!AL27))=TRUE,"",IF('500DC'!AL27="","ERR","")) &amp; IF(ISERROR(FIND($I$2,Lines!AL27))=TRUE,"",IF('800DC'!AL27="","ERR","")) &amp; IF(ISERROR(FIND($J$2,Lines!AL27))=TRUE,"",IF('1000'!AL27="","ERR",""))</f>
        <v/>
      </c>
      <c r="AM27" s="108" t="str">
        <f>IF(ISERROR(FIND($B$2,Lines!AM27))=TRUE,"",IF('750'!AM27="","ERR","")) &amp; IF(ISERROR(FIND($C$2,Lines!AM27))=TRUE,"",IF('500'!AM27="","ERR","")) &amp; IF(ISERROR(FIND($D$2,Lines!AM27))=TRUE,"",IF('330'!AM27="","ERR","")) &amp; IF(ISERROR(FIND($E$2,Lines!AM27))=TRUE,"",IF('220'!AM27="","ERR",""))&amp; IF(ISERROR(FIND($F$2,Lines!AM27))=TRUE,"",IF(AND('500DC'!AM27="",'800DC'!AM27=""),"ERR","")) &amp; IF(ISERROR(FIND($G$2,Lines!AM27))=TRUE,"",IF('1000'!AM27="","ERR","")) &amp; IF(ISERROR(FIND($H$2,Lines!AM27))=TRUE,"",IF('500DC'!AM27="","ERR","")) &amp; IF(ISERROR(FIND($I$2,Lines!AM27))=TRUE,"",IF('800DC'!AM27="","ERR","")) &amp; IF(ISERROR(FIND($J$2,Lines!AM27))=TRUE,"",IF('1000'!AM27="","ERR",""))</f>
        <v/>
      </c>
      <c r="AN27" s="108" t="str">
        <f>IF(ISERROR(FIND($B$2,Lines!AN27))=TRUE,"",IF('750'!AN27="","ERR","")) &amp; IF(ISERROR(FIND($C$2,Lines!AN27))=TRUE,"",IF('500'!AN27="","ERR","")) &amp; IF(ISERROR(FIND($D$2,Lines!AN27))=TRUE,"",IF('330'!AN27="","ERR","")) &amp; IF(ISERROR(FIND($E$2,Lines!AN27))=TRUE,"",IF('220'!AN27="","ERR",""))&amp; IF(ISERROR(FIND($F$2,Lines!AN27))=TRUE,"",IF(AND('500DC'!AN27="",'800DC'!AN27=""),"ERR","")) &amp; IF(ISERROR(FIND($G$2,Lines!AN27))=TRUE,"",IF('1000'!AN27="","ERR","")) &amp; IF(ISERROR(FIND($H$2,Lines!AN27))=TRUE,"",IF('500DC'!AN27="","ERR","")) &amp; IF(ISERROR(FIND($I$2,Lines!AN27))=TRUE,"",IF('800DC'!AN27="","ERR","")) &amp; IF(ISERROR(FIND($J$2,Lines!AN27))=TRUE,"",IF('1000'!AN27="","ERR",""))</f>
        <v/>
      </c>
      <c r="AO27" s="108" t="str">
        <f>IF(ISERROR(FIND($B$2,Lines!AO27))=TRUE,"",IF('750'!AO27="","ERR","")) &amp; IF(ISERROR(FIND($C$2,Lines!AO27))=TRUE,"",IF('500'!AO27="","ERR","")) &amp; IF(ISERROR(FIND($D$2,Lines!AO27))=TRUE,"",IF('330'!AO27="","ERR","")) &amp; IF(ISERROR(FIND($E$2,Lines!AO27))=TRUE,"",IF('220'!AO27="","ERR",""))&amp; IF(ISERROR(FIND($F$2,Lines!AO27))=TRUE,"",IF(AND('500DC'!AO27="",'800DC'!AO27=""),"ERR","")) &amp; IF(ISERROR(FIND($G$2,Lines!AO27))=TRUE,"",IF('1000'!AO27="","ERR","")) &amp; IF(ISERROR(FIND($H$2,Lines!AO27))=TRUE,"",IF('500DC'!AO27="","ERR","")) &amp; IF(ISERROR(FIND($I$2,Lines!AO27))=TRUE,"",IF('800DC'!AO27="","ERR","")) &amp; IF(ISERROR(FIND($J$2,Lines!AO27))=TRUE,"",IF('1000'!AO27="","ERR",""))</f>
        <v/>
      </c>
      <c r="AP27" s="108" t="str">
        <f>IF(ISERROR(FIND($B$2,Lines!AP27))=TRUE,"",IF('750'!AP27="","ERR","")) &amp; IF(ISERROR(FIND($C$2,Lines!AP27))=TRUE,"",IF('500'!AP27="","ERR","")) &amp; IF(ISERROR(FIND($D$2,Lines!AP27))=TRUE,"",IF('330'!AP27="","ERR","")) &amp; IF(ISERROR(FIND($E$2,Lines!AP27))=TRUE,"",IF('220'!AP27="","ERR",""))&amp; IF(ISERROR(FIND($F$2,Lines!AP27))=TRUE,"",IF(AND('500DC'!AP27="",'800DC'!AP27=""),"ERR","")) &amp; IF(ISERROR(FIND($G$2,Lines!AP27))=TRUE,"",IF('1000'!AP27="","ERR","")) &amp; IF(ISERROR(FIND($H$2,Lines!AP27))=TRUE,"",IF('500DC'!AP27="","ERR","")) &amp; IF(ISERROR(FIND($I$2,Lines!AP27))=TRUE,"",IF('800DC'!AP27="","ERR","")) &amp; IF(ISERROR(FIND($J$2,Lines!AP27))=TRUE,"",IF('1000'!AP27="","ERR",""))</f>
        <v/>
      </c>
      <c r="AQ27" s="108" t="str">
        <f>IF(ISERROR(FIND($B$2,Lines!AQ27))=TRUE,"",IF('750'!AQ27="","ERR","")) &amp; IF(ISERROR(FIND($C$2,Lines!AQ27))=TRUE,"",IF('500'!AQ27="","ERR","")) &amp; IF(ISERROR(FIND($D$2,Lines!AQ27))=TRUE,"",IF('330'!AQ27="","ERR","")) &amp; IF(ISERROR(FIND($E$2,Lines!AQ27))=TRUE,"",IF('220'!AQ27="","ERR",""))&amp; IF(ISERROR(FIND($F$2,Lines!AQ27))=TRUE,"",IF(AND('500DC'!AQ27="",'800DC'!AQ27=""),"ERR","")) &amp; IF(ISERROR(FIND($G$2,Lines!AQ27))=TRUE,"",IF('1000'!AQ27="","ERR","")) &amp; IF(ISERROR(FIND($H$2,Lines!AQ27))=TRUE,"",IF('500DC'!AQ27="","ERR","")) &amp; IF(ISERROR(FIND($I$2,Lines!AQ27))=TRUE,"",IF('800DC'!AQ27="","ERR","")) &amp; IF(ISERROR(FIND($J$2,Lines!AQ27))=TRUE,"",IF('1000'!AQ27="","ERR",""))</f>
        <v/>
      </c>
      <c r="AR27" s="108" t="str">
        <f>IF(ISERROR(FIND($B$2,Lines!AR27))=TRUE,"",IF('750'!AR27="","ERR","")) &amp; IF(ISERROR(FIND($C$2,Lines!AR27))=TRUE,"",IF('500'!AR27="","ERR","")) &amp; IF(ISERROR(FIND($D$2,Lines!AR27))=TRUE,"",IF('330'!AR27="","ERR","")) &amp; IF(ISERROR(FIND($E$2,Lines!AR27))=TRUE,"",IF('220'!AR27="","ERR",""))&amp; IF(ISERROR(FIND($F$2,Lines!AR27))=TRUE,"",IF(AND('500DC'!AR27="",'800DC'!AR27=""),"ERR","")) &amp; IF(ISERROR(FIND($G$2,Lines!AR27))=TRUE,"",IF('1000'!AR27="","ERR","")) &amp; IF(ISERROR(FIND($H$2,Lines!AR27))=TRUE,"",IF('500DC'!AR27="","ERR","")) &amp; IF(ISERROR(FIND($I$2,Lines!AR27))=TRUE,"",IF('800DC'!AR27="","ERR","")) &amp; IF(ISERROR(FIND($J$2,Lines!AR27))=TRUE,"",IF('1000'!AR27="","ERR",""))</f>
        <v/>
      </c>
      <c r="AS27" s="108" t="str">
        <f>IF(ISERROR(FIND($B$2,Lines!AS27))=TRUE,"",IF('750'!AS27="","ERR","")) &amp; IF(ISERROR(FIND($C$2,Lines!AS27))=TRUE,"",IF('500'!AS27="","ERR","")) &amp; IF(ISERROR(FIND($D$2,Lines!AS27))=TRUE,"",IF('330'!AS27="","ERR","")) &amp; IF(ISERROR(FIND($E$2,Lines!AS27))=TRUE,"",IF('220'!AS27="","ERR",""))&amp; IF(ISERROR(FIND($F$2,Lines!AS27))=TRUE,"",IF(AND('500DC'!AS27="",'800DC'!AS27=""),"ERR","")) &amp; IF(ISERROR(FIND($G$2,Lines!AS27))=TRUE,"",IF('1000'!AS27="","ERR","")) &amp; IF(ISERROR(FIND($H$2,Lines!AS27))=TRUE,"",IF('500DC'!AS27="","ERR","")) &amp; IF(ISERROR(FIND($I$2,Lines!AS27))=TRUE,"",IF('800DC'!AS27="","ERR","")) &amp; IF(ISERROR(FIND($J$2,Lines!AS27))=TRUE,"",IF('1000'!AS27="","ERR",""))</f>
        <v/>
      </c>
      <c r="AT27" s="108" t="str">
        <f>IF(ISERROR(FIND($B$2,Lines!AT27))=TRUE,"",IF('750'!AT27="","ERR","")) &amp; IF(ISERROR(FIND($C$2,Lines!AT27))=TRUE,"",IF('500'!AT27="","ERR","")) &amp; IF(ISERROR(FIND($D$2,Lines!AT27))=TRUE,"",IF('330'!AT27="","ERR","")) &amp; IF(ISERROR(FIND($E$2,Lines!AT27))=TRUE,"",IF('220'!AT27="","ERR",""))&amp; IF(ISERROR(FIND($F$2,Lines!AT27))=TRUE,"",IF(AND('500DC'!AT27="",'800DC'!AT27=""),"ERR","")) &amp; IF(ISERROR(FIND($G$2,Lines!AT27))=TRUE,"",IF('1000'!AT27="","ERR","")) &amp; IF(ISERROR(FIND($H$2,Lines!AT27))=TRUE,"",IF('500DC'!AT27="","ERR","")) &amp; IF(ISERROR(FIND($I$2,Lines!AT27))=TRUE,"",IF('800DC'!AT27="","ERR","")) &amp; IF(ISERROR(FIND($J$2,Lines!AT27))=TRUE,"",IF('1000'!AT27="","ERR",""))</f>
        <v/>
      </c>
    </row>
    <row r="28" spans="1:46" ht="20.25" customHeight="1">
      <c r="A28" s="2" t="s">
        <v>76</v>
      </c>
      <c r="B28" s="108" t="str">
        <f>IF(ISERROR(FIND($B$2,Lines!B28))=TRUE,"",IF('750'!B28="","ERR","")) &amp; IF(ISERROR(FIND($C$2,Lines!B28))=TRUE,"",IF('500'!B28="","ERR","")) &amp; IF(ISERROR(FIND($D$2,Lines!B28))=TRUE,"",IF('330'!B28="","ERR","")) &amp; IF(ISERROR(FIND($E$2,Lines!B28))=TRUE,"",IF('220'!B28="","ERR",""))&amp; IF(ISERROR(FIND($F$2,Lines!B28))=TRUE,"",IF(AND('500DC'!B28="",'800DC'!B28=""),"ERR","")) &amp; IF(ISERROR(FIND($G$2,Lines!B28))=TRUE,"",IF('1000'!B28="","ERR","")) &amp; IF(ISERROR(FIND($H$2,Lines!B28))=TRUE,"",IF('500DC'!B28="","ERR","")) &amp; IF(ISERROR(FIND($I$2,Lines!B28))=TRUE,"",IF('800DC'!B28="","ERR","")) &amp; IF(ISERROR(FIND($J$2,Lines!B28))=TRUE,"",IF('1000'!B28="","ERR",""))</f>
        <v/>
      </c>
      <c r="C28" s="108" t="str">
        <f>IF(ISERROR(FIND($B$2,Lines!C28))=TRUE,"",IF('750'!C28="","ERR","")) &amp; IF(ISERROR(FIND($C$2,Lines!C28))=TRUE,"",IF('500'!C28="","ERR","")) &amp; IF(ISERROR(FIND($D$2,Lines!C28))=TRUE,"",IF('330'!C28="","ERR","")) &amp; IF(ISERROR(FIND($E$2,Lines!C28))=TRUE,"",IF('220'!C28="","ERR",""))&amp; IF(ISERROR(FIND($F$2,Lines!C28))=TRUE,"",IF(AND('500DC'!C28="",'800DC'!C28=""),"ERR","")) &amp; IF(ISERROR(FIND($G$2,Lines!C28))=TRUE,"",IF('1000'!C28="","ERR","")) &amp; IF(ISERROR(FIND($H$2,Lines!C28))=TRUE,"",IF('500DC'!C28="","ERR","")) &amp; IF(ISERROR(FIND($I$2,Lines!C28))=TRUE,"",IF('800DC'!C28="","ERR","")) &amp; IF(ISERROR(FIND($J$2,Lines!C28))=TRUE,"",IF('1000'!C28="","ERR",""))</f>
        <v/>
      </c>
      <c r="D28" s="108" t="str">
        <f>IF(ISERROR(FIND($B$2,Lines!D28))=TRUE,"",IF('750'!D28="","ERR","")) &amp; IF(ISERROR(FIND($C$2,Lines!D28))=TRUE,"",IF('500'!D28="","ERR","")) &amp; IF(ISERROR(FIND($D$2,Lines!D28))=TRUE,"",IF('330'!D28="","ERR","")) &amp; IF(ISERROR(FIND($E$2,Lines!D28))=TRUE,"",IF('220'!D28="","ERR",""))&amp; IF(ISERROR(FIND($F$2,Lines!D28))=TRUE,"",IF(AND('500DC'!D28="",'800DC'!D28=""),"ERR","")) &amp; IF(ISERROR(FIND($G$2,Lines!D28))=TRUE,"",IF('1000'!D28="","ERR","")) &amp; IF(ISERROR(FIND($H$2,Lines!D28))=TRUE,"",IF('500DC'!D28="","ERR","")) &amp; IF(ISERROR(FIND($I$2,Lines!D28))=TRUE,"",IF('800DC'!D28="","ERR","")) &amp; IF(ISERROR(FIND($J$2,Lines!D28))=TRUE,"",IF('1000'!D28="","ERR",""))</f>
        <v/>
      </c>
      <c r="E28" s="108" t="str">
        <f>IF(ISERROR(FIND($B$2,Lines!E28))=TRUE,"",IF('750'!E28="","ERR","")) &amp; IF(ISERROR(FIND($C$2,Lines!E28))=TRUE,"",IF('500'!E28="","ERR","")) &amp; IF(ISERROR(FIND($D$2,Lines!E28))=TRUE,"",IF('330'!E28="","ERR","")) &amp; IF(ISERROR(FIND($E$2,Lines!E28))=TRUE,"",IF('220'!E28="","ERR",""))&amp; IF(ISERROR(FIND($F$2,Lines!E28))=TRUE,"",IF(AND('500DC'!E28="",'800DC'!E28=""),"ERR","")) &amp; IF(ISERROR(FIND($G$2,Lines!E28))=TRUE,"",IF('1000'!E28="","ERR","")) &amp; IF(ISERROR(FIND($H$2,Lines!E28))=TRUE,"",IF('500DC'!E28="","ERR","")) &amp; IF(ISERROR(FIND($I$2,Lines!E28))=TRUE,"",IF('800DC'!E28="","ERR","")) &amp; IF(ISERROR(FIND($J$2,Lines!E28))=TRUE,"",IF('1000'!E28="","ERR",""))</f>
        <v/>
      </c>
      <c r="F28" s="108" t="str">
        <f>IF(ISERROR(FIND($B$2,Lines!F28))=TRUE,"",IF('750'!F28="","ERR","")) &amp; IF(ISERROR(FIND($C$2,Lines!F28))=TRUE,"",IF('500'!F28="","ERR","")) &amp; IF(ISERROR(FIND($D$2,Lines!F28))=TRUE,"",IF('330'!F28="","ERR","")) &amp; IF(ISERROR(FIND($E$2,Lines!F28))=TRUE,"",IF('220'!F28="","ERR",""))&amp; IF(ISERROR(FIND($F$2,Lines!F28))=TRUE,"",IF(AND('500DC'!F28="",'800DC'!F28=""),"ERR","")) &amp; IF(ISERROR(FIND($G$2,Lines!F28))=TRUE,"",IF('1000'!F28="","ERR","")) &amp; IF(ISERROR(FIND($H$2,Lines!F28))=TRUE,"",IF('500DC'!F28="","ERR","")) &amp; IF(ISERROR(FIND($I$2,Lines!F28))=TRUE,"",IF('800DC'!F28="","ERR","")) &amp; IF(ISERROR(FIND($J$2,Lines!F28))=TRUE,"",IF('1000'!F28="","ERR",""))</f>
        <v/>
      </c>
      <c r="G28" s="108" t="str">
        <f>IF(ISERROR(FIND($B$2,Lines!G28))=TRUE,"",IF('750'!G28="","ERR","")) &amp; IF(ISERROR(FIND($C$2,Lines!G28))=TRUE,"",IF('500'!G28="","ERR","")) &amp; IF(ISERROR(FIND($D$2,Lines!G28))=TRUE,"",IF('330'!G28="","ERR","")) &amp; IF(ISERROR(FIND($E$2,Lines!G28))=TRUE,"",IF('220'!G28="","ERR",""))&amp; IF(ISERROR(FIND($F$2,Lines!G28))=TRUE,"",IF(AND('500DC'!G28="",'800DC'!G28=""),"ERR","")) &amp; IF(ISERROR(FIND($G$2,Lines!G28))=TRUE,"",IF('1000'!G28="","ERR","")) &amp; IF(ISERROR(FIND($H$2,Lines!G28))=TRUE,"",IF('500DC'!G28="","ERR","")) &amp; IF(ISERROR(FIND($I$2,Lines!G28))=TRUE,"",IF('800DC'!G28="","ERR","")) &amp; IF(ISERROR(FIND($J$2,Lines!G28))=TRUE,"",IF('1000'!G28="","ERR",""))</f>
        <v/>
      </c>
      <c r="H28" s="108" t="str">
        <f>IF(ISERROR(FIND($B$2,Lines!H28))=TRUE,"",IF('750'!H28="","ERR","")) &amp; IF(ISERROR(FIND($C$2,Lines!H28))=TRUE,"",IF('500'!H28="","ERR","")) &amp; IF(ISERROR(FIND($D$2,Lines!H28))=TRUE,"",IF('330'!H28="","ERR","")) &amp; IF(ISERROR(FIND($E$2,Lines!H28))=TRUE,"",IF('220'!H28="","ERR",""))&amp; IF(ISERROR(FIND($F$2,Lines!H28))=TRUE,"",IF(AND('500DC'!H28="",'800DC'!H28=""),"ERR","")) &amp; IF(ISERROR(FIND($G$2,Lines!H28))=TRUE,"",IF('1000'!H28="","ERR","")) &amp; IF(ISERROR(FIND($H$2,Lines!H28))=TRUE,"",IF('500DC'!H28="","ERR","")) &amp; IF(ISERROR(FIND($I$2,Lines!H28))=TRUE,"",IF('800DC'!H28="","ERR","")) &amp; IF(ISERROR(FIND($J$2,Lines!H28))=TRUE,"",IF('1000'!H28="","ERR",""))</f>
        <v/>
      </c>
      <c r="I28" s="108" t="str">
        <f>IF(ISERROR(FIND($B$2,Lines!I28))=TRUE,"",IF('750'!I28="","ERR","")) &amp; IF(ISERROR(FIND($C$2,Lines!I28))=TRUE,"",IF('500'!I28="","ERR","")) &amp; IF(ISERROR(FIND($D$2,Lines!I28))=TRUE,"",IF('330'!I28="","ERR","")) &amp; IF(ISERROR(FIND($E$2,Lines!I28))=TRUE,"",IF('220'!I28="","ERR",""))&amp; IF(ISERROR(FIND($F$2,Lines!I28))=TRUE,"",IF(AND('500DC'!I28="",'800DC'!I28=""),"ERR","")) &amp; IF(ISERROR(FIND($G$2,Lines!I28))=TRUE,"",IF('1000'!I28="","ERR","")) &amp; IF(ISERROR(FIND($H$2,Lines!I28))=TRUE,"",IF('500DC'!I28="","ERR","")) &amp; IF(ISERROR(FIND($I$2,Lines!I28))=TRUE,"",IF('800DC'!I28="","ERR","")) &amp; IF(ISERROR(FIND($J$2,Lines!I28))=TRUE,"",IF('1000'!I28="","ERR",""))</f>
        <v/>
      </c>
      <c r="J28" s="108" t="str">
        <f>IF(ISERROR(FIND($B$2,Lines!J28))=TRUE,"",IF('750'!J28="","ERR","")) &amp; IF(ISERROR(FIND($C$2,Lines!J28))=TRUE,"",IF('500'!J28="","ERR","")) &amp; IF(ISERROR(FIND($D$2,Lines!J28))=TRUE,"",IF('330'!J28="","ERR","")) &amp; IF(ISERROR(FIND($E$2,Lines!J28))=TRUE,"",IF('220'!J28="","ERR",""))&amp; IF(ISERROR(FIND($F$2,Lines!J28))=TRUE,"",IF(AND('500DC'!J28="",'800DC'!J28=""),"ERR","")) &amp; IF(ISERROR(FIND($G$2,Lines!J28))=TRUE,"",IF('1000'!J28="","ERR","")) &amp; IF(ISERROR(FIND($H$2,Lines!J28))=TRUE,"",IF('500DC'!J28="","ERR","")) &amp; IF(ISERROR(FIND($I$2,Lines!J28))=TRUE,"",IF('800DC'!J28="","ERR","")) &amp; IF(ISERROR(FIND($J$2,Lines!J28))=TRUE,"",IF('1000'!J28="","ERR",""))</f>
        <v/>
      </c>
      <c r="K28" s="108" t="str">
        <f>IF(ISERROR(FIND($B$2,Lines!K28))=TRUE,"",IF('750'!K28="","ERR","")) &amp; IF(ISERROR(FIND($C$2,Lines!K28))=TRUE,"",IF('500'!K28="","ERR","")) &amp; IF(ISERROR(FIND($D$2,Lines!K28))=TRUE,"",IF('330'!K28="","ERR","")) &amp; IF(ISERROR(FIND($E$2,Lines!K28))=TRUE,"",IF('220'!K28="","ERR",""))&amp; IF(ISERROR(FIND($F$2,Lines!K28))=TRUE,"",IF(AND('500DC'!K28="",'800DC'!K28=""),"ERR","")) &amp; IF(ISERROR(FIND($G$2,Lines!K28))=TRUE,"",IF('1000'!K28="","ERR","")) &amp; IF(ISERROR(FIND($H$2,Lines!K28))=TRUE,"",IF('500DC'!K28="","ERR","")) &amp; IF(ISERROR(FIND($I$2,Lines!K28))=TRUE,"",IF('800DC'!K28="","ERR","")) &amp; IF(ISERROR(FIND($J$2,Lines!K28))=TRUE,"",IF('1000'!K28="","ERR",""))</f>
        <v/>
      </c>
      <c r="L28" s="108" t="str">
        <f>IF(ISERROR(FIND($B$2,Lines!L28))=TRUE,"",IF('750'!L28="","ERR","")) &amp; IF(ISERROR(FIND($C$2,Lines!L28))=TRUE,"",IF('500'!L28="","ERR","")) &amp; IF(ISERROR(FIND($D$2,Lines!L28))=TRUE,"",IF('330'!L28="","ERR","")) &amp; IF(ISERROR(FIND($E$2,Lines!L28))=TRUE,"",IF('220'!L28="","ERR",""))&amp; IF(ISERROR(FIND($F$2,Lines!L28))=TRUE,"",IF(AND('500DC'!L28="",'800DC'!L28=""),"ERR","")) &amp; IF(ISERROR(FIND($G$2,Lines!L28))=TRUE,"",IF('1000'!L28="","ERR","")) &amp; IF(ISERROR(FIND($H$2,Lines!L28))=TRUE,"",IF('500DC'!L28="","ERR","")) &amp; IF(ISERROR(FIND($I$2,Lines!L28))=TRUE,"",IF('800DC'!L28="","ERR","")) &amp; IF(ISERROR(FIND($J$2,Lines!L28))=TRUE,"",IF('1000'!L28="","ERR",""))</f>
        <v/>
      </c>
      <c r="M28" s="108" t="str">
        <f>IF(ISERROR(FIND($B$2,Lines!M28))=TRUE,"",IF('750'!M28="","ERR","")) &amp; IF(ISERROR(FIND($C$2,Lines!M28))=TRUE,"",IF('500'!M28="","ERR","")) &amp; IF(ISERROR(FIND($D$2,Lines!M28))=TRUE,"",IF('330'!M28="","ERR","")) &amp; IF(ISERROR(FIND($E$2,Lines!M28))=TRUE,"",IF('220'!M28="","ERR",""))&amp; IF(ISERROR(FIND($F$2,Lines!M28))=TRUE,"",IF(AND('500DC'!M28="",'800DC'!M28=""),"ERR","")) &amp; IF(ISERROR(FIND($G$2,Lines!M28))=TRUE,"",IF('1000'!M28="","ERR","")) &amp; IF(ISERROR(FIND($H$2,Lines!M28))=TRUE,"",IF('500DC'!M28="","ERR","")) &amp; IF(ISERROR(FIND($I$2,Lines!M28))=TRUE,"",IF('800DC'!M28="","ERR","")) &amp; IF(ISERROR(FIND($J$2,Lines!M28))=TRUE,"",IF('1000'!M28="","ERR",""))</f>
        <v/>
      </c>
      <c r="N28" s="108" t="str">
        <f>IF(ISERROR(FIND($B$2,Lines!N28))=TRUE,"",IF('750'!N28="","ERR","")) &amp; IF(ISERROR(FIND($C$2,Lines!N28))=TRUE,"",IF('500'!N28="","ERR","")) &amp; IF(ISERROR(FIND($D$2,Lines!N28))=TRUE,"",IF('330'!N28="","ERR","")) &amp; IF(ISERROR(FIND($E$2,Lines!N28))=TRUE,"",IF('220'!N28="","ERR",""))&amp; IF(ISERROR(FIND($F$2,Lines!N28))=TRUE,"",IF(AND('500DC'!N28="",'800DC'!N28=""),"ERR","")) &amp; IF(ISERROR(FIND($G$2,Lines!N28))=TRUE,"",IF('1000'!N28="","ERR","")) &amp; IF(ISERROR(FIND($H$2,Lines!N28))=TRUE,"",IF('500DC'!N28="","ERR","")) &amp; IF(ISERROR(FIND($I$2,Lines!N28))=TRUE,"",IF('800DC'!N28="","ERR","")) &amp; IF(ISERROR(FIND($J$2,Lines!N28))=TRUE,"",IF('1000'!N28="","ERR",""))</f>
        <v/>
      </c>
      <c r="O28" s="108" t="str">
        <f>IF(ISERROR(FIND($B$2,Lines!O28))=TRUE,"",IF('750'!O28="","ERR","")) &amp; IF(ISERROR(FIND($C$2,Lines!O28))=TRUE,"",IF('500'!O28="","ERR","")) &amp; IF(ISERROR(FIND($D$2,Lines!O28))=TRUE,"",IF('330'!O28="","ERR","")) &amp; IF(ISERROR(FIND($E$2,Lines!O28))=TRUE,"",IF('220'!O28="","ERR",""))&amp; IF(ISERROR(FIND($F$2,Lines!O28))=TRUE,"",IF(AND('500DC'!O28="",'800DC'!O28=""),"ERR","")) &amp; IF(ISERROR(FIND($G$2,Lines!O28))=TRUE,"",IF('1000'!O28="","ERR","")) &amp; IF(ISERROR(FIND($H$2,Lines!O28))=TRUE,"",IF('500DC'!O28="","ERR","")) &amp; IF(ISERROR(FIND($I$2,Lines!O28))=TRUE,"",IF('800DC'!O28="","ERR","")) &amp; IF(ISERROR(FIND($J$2,Lines!O28))=TRUE,"",IF('1000'!O28="","ERR",""))</f>
        <v/>
      </c>
      <c r="P28" s="108" t="str">
        <f>IF(ISERROR(FIND($B$2,Lines!P28))=TRUE,"",IF('750'!P28="","ERR","")) &amp; IF(ISERROR(FIND($C$2,Lines!P28))=TRUE,"",IF('500'!P28="","ERR","")) &amp; IF(ISERROR(FIND($D$2,Lines!P28))=TRUE,"",IF('330'!P28="","ERR","")) &amp; IF(ISERROR(FIND($E$2,Lines!P28))=TRUE,"",IF('220'!P28="","ERR",""))&amp; IF(ISERROR(FIND($F$2,Lines!P28))=TRUE,"",IF(AND('500DC'!P28="",'800DC'!P28=""),"ERR","")) &amp; IF(ISERROR(FIND($G$2,Lines!P28))=TRUE,"",IF('1000'!P28="","ERR","")) &amp; IF(ISERROR(FIND($H$2,Lines!P28))=TRUE,"",IF('500DC'!P28="","ERR","")) &amp; IF(ISERROR(FIND($I$2,Lines!P28))=TRUE,"",IF('800DC'!P28="","ERR","")) &amp; IF(ISERROR(FIND($J$2,Lines!P28))=TRUE,"",IF('1000'!P28="","ERR",""))</f>
        <v/>
      </c>
      <c r="Q28" s="108" t="str">
        <f>IF(ISERROR(FIND($B$2,Lines!Q28))=TRUE,"",IF('750'!Q28="","ERR","")) &amp; IF(ISERROR(FIND($C$2,Lines!Q28))=TRUE,"",IF('500'!Q28="","ERR","")) &amp; IF(ISERROR(FIND($D$2,Lines!Q28))=TRUE,"",IF('330'!Q28="","ERR","")) &amp; IF(ISERROR(FIND($E$2,Lines!Q28))=TRUE,"",IF('220'!Q28="","ERR",""))&amp; IF(ISERROR(FIND($F$2,Lines!Q28))=TRUE,"",IF(AND('500DC'!Q28="",'800DC'!Q28=""),"ERR","")) &amp; IF(ISERROR(FIND($G$2,Lines!Q28))=TRUE,"",IF('1000'!Q28="","ERR","")) &amp; IF(ISERROR(FIND($H$2,Lines!Q28))=TRUE,"",IF('500DC'!Q28="","ERR","")) &amp; IF(ISERROR(FIND($I$2,Lines!Q28))=TRUE,"",IF('800DC'!Q28="","ERR","")) &amp; IF(ISERROR(FIND($J$2,Lines!Q28))=TRUE,"",IF('1000'!Q28="","ERR",""))</f>
        <v/>
      </c>
      <c r="R28" s="108" t="str">
        <f>IF(ISERROR(FIND($B$2,Lines!R28))=TRUE,"",IF('750'!R28="","ERR","")) &amp; IF(ISERROR(FIND($C$2,Lines!R28))=TRUE,"",IF('500'!R28="","ERR","")) &amp; IF(ISERROR(FIND($D$2,Lines!R28))=TRUE,"",IF('330'!R28="","ERR","")) &amp; IF(ISERROR(FIND($E$2,Lines!R28))=TRUE,"",IF('220'!R28="","ERR",""))&amp; IF(ISERROR(FIND($F$2,Lines!R28))=TRUE,"",IF(AND('500DC'!R28="",'800DC'!R28=""),"ERR","")) &amp; IF(ISERROR(FIND($G$2,Lines!R28))=TRUE,"",IF('1000'!R28="","ERR","")) &amp; IF(ISERROR(FIND($H$2,Lines!R28))=TRUE,"",IF('500DC'!R28="","ERR","")) &amp; IF(ISERROR(FIND($I$2,Lines!R28))=TRUE,"",IF('800DC'!R28="","ERR","")) &amp; IF(ISERROR(FIND($J$2,Lines!R28))=TRUE,"",IF('1000'!R28="","ERR",""))</f>
        <v/>
      </c>
      <c r="S28" s="108" t="str">
        <f>IF(ISERROR(FIND($B$2,Lines!S28))=TRUE,"",IF('750'!S28="","ERR","")) &amp; IF(ISERROR(FIND($C$2,Lines!S28))=TRUE,"",IF('500'!S28="","ERR","")) &amp; IF(ISERROR(FIND($D$2,Lines!S28))=TRUE,"",IF('330'!S28="","ERR","")) &amp; IF(ISERROR(FIND($E$2,Lines!S28))=TRUE,"",IF('220'!S28="","ERR",""))&amp; IF(ISERROR(FIND($F$2,Lines!S28))=TRUE,"",IF(AND('500DC'!S28="",'800DC'!S28=""),"ERR","")) &amp; IF(ISERROR(FIND($G$2,Lines!S28))=TRUE,"",IF('1000'!S28="","ERR","")) &amp; IF(ISERROR(FIND($H$2,Lines!S28))=TRUE,"",IF('500DC'!S28="","ERR","")) &amp; IF(ISERROR(FIND($I$2,Lines!S28))=TRUE,"",IF('800DC'!S28="","ERR","")) &amp; IF(ISERROR(FIND($J$2,Lines!S28))=TRUE,"",IF('1000'!S28="","ERR",""))</f>
        <v/>
      </c>
      <c r="T28" s="108" t="str">
        <f>IF(ISERROR(FIND($B$2,Lines!T28))=TRUE,"",IF('750'!T28="","ERR","")) &amp; IF(ISERROR(FIND($C$2,Lines!T28))=TRUE,"",IF('500'!T28="","ERR","")) &amp; IF(ISERROR(FIND($D$2,Lines!T28))=TRUE,"",IF('330'!T28="","ERR","")) &amp; IF(ISERROR(FIND($E$2,Lines!T28))=TRUE,"",IF('220'!T28="","ERR",""))&amp; IF(ISERROR(FIND($F$2,Lines!T28))=TRUE,"",IF(AND('500DC'!T28="",'800DC'!T28=""),"ERR","")) &amp; IF(ISERROR(FIND($G$2,Lines!T28))=TRUE,"",IF('1000'!T28="","ERR","")) &amp; IF(ISERROR(FIND($H$2,Lines!T28))=TRUE,"",IF('500DC'!T28="","ERR","")) &amp; IF(ISERROR(FIND($I$2,Lines!T28))=TRUE,"",IF('800DC'!T28="","ERR","")) &amp; IF(ISERROR(FIND($J$2,Lines!T28))=TRUE,"",IF('1000'!T28="","ERR",""))</f>
        <v/>
      </c>
      <c r="U28" s="108" t="str">
        <f>IF(ISERROR(FIND($B$2,Lines!U28))=TRUE,"",IF('750'!U28="","ERR","")) &amp; IF(ISERROR(FIND($C$2,Lines!U28))=TRUE,"",IF('500'!U28="","ERR","")) &amp; IF(ISERROR(FIND($D$2,Lines!U28))=TRUE,"",IF('330'!U28="","ERR","")) &amp; IF(ISERROR(FIND($E$2,Lines!U28))=TRUE,"",IF('220'!U28="","ERR",""))&amp; IF(ISERROR(FIND($F$2,Lines!U28))=TRUE,"",IF(AND('500DC'!U28="",'800DC'!U28=""),"ERR","")) &amp; IF(ISERROR(FIND($G$2,Lines!U28))=TRUE,"",IF('1000'!U28="","ERR","")) &amp; IF(ISERROR(FIND($H$2,Lines!U28))=TRUE,"",IF('500DC'!U28="","ERR","")) &amp; IF(ISERROR(FIND($I$2,Lines!U28))=TRUE,"",IF('800DC'!U28="","ERR","")) &amp; IF(ISERROR(FIND($J$2,Lines!U28))=TRUE,"",IF('1000'!U28="","ERR",""))</f>
        <v/>
      </c>
      <c r="V28" s="108" t="str">
        <f>IF(ISERROR(FIND($B$2,Lines!V28))=TRUE,"",IF('750'!V28="","ERR","")) &amp; IF(ISERROR(FIND($C$2,Lines!V28))=TRUE,"",IF('500'!V28="","ERR","")) &amp; IF(ISERROR(FIND($D$2,Lines!V28))=TRUE,"",IF('330'!V28="","ERR","")) &amp; IF(ISERROR(FIND($E$2,Lines!V28))=TRUE,"",IF('220'!V28="","ERR",""))&amp; IF(ISERROR(FIND($F$2,Lines!V28))=TRUE,"",IF(AND('500DC'!V28="",'800DC'!V28=""),"ERR","")) &amp; IF(ISERROR(FIND($G$2,Lines!V28))=TRUE,"",IF('1000'!V28="","ERR","")) &amp; IF(ISERROR(FIND($H$2,Lines!V28))=TRUE,"",IF('500DC'!V28="","ERR","")) &amp; IF(ISERROR(FIND($I$2,Lines!V28))=TRUE,"",IF('800DC'!V28="","ERR","")) &amp; IF(ISERROR(FIND($J$2,Lines!V28))=TRUE,"",IF('1000'!V28="","ERR",""))</f>
        <v/>
      </c>
      <c r="W28" s="109" t="str">
        <f>IF(ISERROR(FIND($B$2,Lines!W28))=TRUE,"",IF('750'!W28="","ERR","")) &amp; IF(ISERROR(FIND($C$2,Lines!W28))=TRUE,"",IF('500'!W28="","ERR","")) &amp; IF(ISERROR(FIND($D$2,Lines!W28))=TRUE,"",IF('330'!W28="","ERR","")) &amp; IF(ISERROR(FIND($E$2,Lines!W28))=TRUE,"",IF('220'!W28="","ERR",""))&amp; IF(ISERROR(FIND($F$2,Lines!W28))=TRUE,"",IF(AND('500DC'!W28="",'800DC'!W28=""),"ERR","")) &amp; IF(ISERROR(FIND($G$2,Lines!W28))=TRUE,"",IF('1000'!W28="","ERR","")) &amp; IF(ISERROR(FIND($H$2,Lines!W28))=TRUE,"",IF('500DC'!W28="","ERR","")) &amp; IF(ISERROR(FIND($I$2,Lines!W28))=TRUE,"",IF('800DC'!W28="","ERR","")) &amp; IF(ISERROR(FIND($J$2,Lines!W28))=TRUE,"",IF('1000'!W28="","ERR",""))</f>
        <v/>
      </c>
      <c r="X28" s="124" t="str">
        <f>IF(ISERROR(FIND($B$2,Lines!X28))=TRUE,"",IF('750'!X28="","ERR","")) &amp; IF(ISERROR(FIND($C$2,Lines!X28))=TRUE,"",IF('500'!X28="","ERR","")) &amp; IF(ISERROR(FIND($D$2,Lines!X28))=TRUE,"",IF('330'!X28="","ERR","")) &amp; IF(ISERROR(FIND($E$2,Lines!X28))=TRUE,"",IF('220'!X28="","ERR",""))&amp; IF(ISERROR(FIND($F$2,Lines!X28))=TRUE,"",IF(AND('500DC'!X28="",'800DC'!X28=""),"ERR","")) &amp; IF(ISERROR(FIND($G$2,Lines!X28))=TRUE,"",IF('1000'!X28="","ERR","")) &amp; IF(ISERROR(FIND($H$2,Lines!X28))=TRUE,"",IF('500DC'!X28="","ERR","")) &amp; IF(ISERROR(FIND($I$2,Lines!X28))=TRUE,"",IF('800DC'!X28="","ERR","")) &amp; IF(ISERROR(FIND($J$2,Lines!X28))=TRUE,"",IF('1000'!X28="","ERR",""))</f>
        <v/>
      </c>
      <c r="Y28" s="125" t="str">
        <f>IF(ISERROR(FIND($B$2,Lines!Y28))=TRUE,"",IF('750'!Y28="","ERR","")) &amp; IF(ISERROR(FIND($C$2,Lines!Y28))=TRUE,"",IF('500'!Y28="","ERR","")) &amp; IF(ISERROR(FIND($D$2,Lines!Y28))=TRUE,"",IF('330'!Y28="","ERR","")) &amp; IF(ISERROR(FIND($E$2,Lines!Y28))=TRUE,"",IF('220'!Y28="","ERR",""))&amp; IF(ISERROR(FIND($F$2,Lines!Y28))=TRUE,"",IF(AND('500DC'!Y28="",'800DC'!Y28=""),"ERR","")) &amp; IF(ISERROR(FIND($G$2,Lines!Y28))=TRUE,"",IF('1000'!Y28="","ERR","")) &amp; IF(ISERROR(FIND($H$2,Lines!Y28))=TRUE,"",IF('500DC'!Y28="","ERR","")) &amp; IF(ISERROR(FIND($I$2,Lines!Y28))=TRUE,"",IF('800DC'!Y28="","ERR","")) &amp; IF(ISERROR(FIND($J$2,Lines!Y28))=TRUE,"",IF('1000'!Y28="","ERR",""))</f>
        <v/>
      </c>
      <c r="Z28" s="116" t="str">
        <f>IF(ISERROR(FIND($B$2,Lines!Z28))=TRUE,"",IF('750'!Z28="","ERR","")) &amp; IF(ISERROR(FIND($C$2,Lines!Z28))=TRUE,"",IF('500'!Z28="","ERR","")) &amp; IF(ISERROR(FIND($D$2,Lines!Z28))=TRUE,"",IF('330'!Z28="","ERR","")) &amp; IF(ISERROR(FIND($E$2,Lines!Z28))=TRUE,"",IF('220'!Z28="","ERR",""))&amp; IF(ISERROR(FIND($F$2,Lines!Z28))=TRUE,"",IF(AND('500DC'!Z28="",'800DC'!Z28=""),"ERR","")) &amp; IF(ISERROR(FIND($G$2,Lines!Z28))=TRUE,"",IF('1000'!Z28="","ERR","")) &amp; IF(ISERROR(FIND($H$2,Lines!Z28))=TRUE,"",IF('500DC'!Z28="","ERR","")) &amp; IF(ISERROR(FIND($I$2,Lines!Z28))=TRUE,"",IF('800DC'!Z28="","ERR","")) &amp; IF(ISERROR(FIND($J$2,Lines!Z28))=TRUE,"",IF('1000'!Z28="","ERR",""))</f>
        <v/>
      </c>
      <c r="AA28" s="125" t="str">
        <f>IF(ISERROR(FIND($B$2,Lines!AA28))=TRUE,"",IF('750'!AA28="","ERR","")) &amp; IF(ISERROR(FIND($C$2,Lines!AA28))=TRUE,"",IF('500'!AA28="","ERR","")) &amp; IF(ISERROR(FIND($D$2,Lines!AA28))=TRUE,"",IF('330'!AA28="","ERR","")) &amp; IF(ISERROR(FIND($E$2,Lines!AA28))=TRUE,"",IF('220'!AA28="","ERR",""))&amp; IF(ISERROR(FIND($F$2,Lines!AA28))=TRUE,"",IF(AND('500DC'!AA28="",'800DC'!AA28=""),"ERR","")) &amp; IF(ISERROR(FIND($G$2,Lines!AA28))=TRUE,"",IF('1000'!AA28="","ERR","")) &amp; IF(ISERROR(FIND($H$2,Lines!AA28))=TRUE,"",IF('500DC'!AA28="","ERR","")) &amp; IF(ISERROR(FIND($I$2,Lines!AA28))=TRUE,"",IF('800DC'!AA28="","ERR","")) &amp; IF(ISERROR(FIND($J$2,Lines!AA28))=TRUE,"",IF('1000'!AA28="","ERR",""))</f>
        <v/>
      </c>
      <c r="AB28" s="125" t="str">
        <f>IF(ISERROR(FIND($B$2,Lines!AB28))=TRUE,"",IF('750'!AB28="","ERR","")) &amp; IF(ISERROR(FIND($C$2,Lines!AB28))=TRUE,"",IF('500'!AB28="","ERR","")) &amp; IF(ISERROR(FIND($D$2,Lines!AB28))=TRUE,"",IF('330'!AB28="","ERR","")) &amp; IF(ISERROR(FIND($E$2,Lines!AB28))=TRUE,"",IF('220'!AB28="","ERR",""))&amp; IF(ISERROR(FIND($F$2,Lines!AB28))=TRUE,"",IF(AND('500DC'!AB28="",'800DC'!AB28=""),"ERR","")) &amp; IF(ISERROR(FIND($G$2,Lines!AB28))=TRUE,"",IF('1000'!AB28="","ERR","")) &amp; IF(ISERROR(FIND($H$2,Lines!AB28))=TRUE,"",IF('500DC'!AB28="","ERR","")) &amp; IF(ISERROR(FIND($I$2,Lines!AB28))=TRUE,"",IF('800DC'!AB28="","ERR","")) &amp; IF(ISERROR(FIND($J$2,Lines!AB28))=TRUE,"",IF('1000'!AB28="","ERR",""))</f>
        <v/>
      </c>
      <c r="AC28" s="125" t="str">
        <f>IF(ISERROR(FIND($B$2,Lines!AC28))=TRUE,"",IF('750'!AC28="","ERR","")) &amp; IF(ISERROR(FIND($C$2,Lines!AC28))=TRUE,"",IF('500'!AC28="","ERR","")) &amp; IF(ISERROR(FIND($D$2,Lines!AC28))=TRUE,"",IF('330'!AC28="","ERR","")) &amp; IF(ISERROR(FIND($E$2,Lines!AC28))=TRUE,"",IF('220'!AC28="","ERR",""))&amp; IF(ISERROR(FIND($F$2,Lines!AC28))=TRUE,"",IF(AND('500DC'!AC28="",'800DC'!AC28=""),"ERR","")) &amp; IF(ISERROR(FIND($G$2,Lines!AC28))=TRUE,"",IF('1000'!AC28="","ERR","")) &amp; IF(ISERROR(FIND($H$2,Lines!AC28))=TRUE,"",IF('500DC'!AC28="","ERR","")) &amp; IF(ISERROR(FIND($I$2,Lines!AC28))=TRUE,"",IF('800DC'!AC28="","ERR","")) &amp; IF(ISERROR(FIND($J$2,Lines!AC28))=TRUE,"",IF('1000'!AC28="","ERR",""))</f>
        <v/>
      </c>
      <c r="AD28" s="126" t="str">
        <f>IF(ISERROR(FIND($B$2,Lines!AD28))=TRUE,"",IF('750'!AD28="","ERR","")) &amp; IF(ISERROR(FIND($C$2,Lines!AD28))=TRUE,"",IF('500'!AD28="","ERR","")) &amp; IF(ISERROR(FIND($D$2,Lines!AD28))=TRUE,"",IF('330'!AD28="","ERR","")) &amp; IF(ISERROR(FIND($E$2,Lines!AD28))=TRUE,"",IF('220'!AD28="","ERR",""))&amp; IF(ISERROR(FIND($F$2,Lines!AD28))=TRUE,"",IF(AND('500DC'!AD28="",'800DC'!AD28=""),"ERR","")) &amp; IF(ISERROR(FIND($G$2,Lines!AD28))=TRUE,"",IF('1000'!AD28="","ERR","")) &amp; IF(ISERROR(FIND($H$2,Lines!AD28))=TRUE,"",IF('500DC'!AD28="","ERR","")) &amp; IF(ISERROR(FIND($I$2,Lines!AD28))=TRUE,"",IF('800DC'!AD28="","ERR","")) &amp; IF(ISERROR(FIND($J$2,Lines!AD28))=TRUE,"",IF('1000'!AD28="","ERR",""))</f>
        <v/>
      </c>
      <c r="AE28" s="108" t="str">
        <f>IF(ISERROR(FIND($B$2,Lines!AE28))=TRUE,"",IF('750'!AE28="","ERR","")) &amp; IF(ISERROR(FIND($C$2,Lines!AE28))=TRUE,"",IF('500'!AE28="","ERR","")) &amp; IF(ISERROR(FIND($D$2,Lines!AE28))=TRUE,"",IF('330'!AE28="","ERR","")) &amp; IF(ISERROR(FIND($E$2,Lines!AE28))=TRUE,"",IF('220'!AE28="","ERR",""))&amp; IF(ISERROR(FIND($F$2,Lines!AE28))=TRUE,"",IF(AND('500DC'!AE28="",'800DC'!AE28=""),"ERR","")) &amp; IF(ISERROR(FIND($G$2,Lines!AE28))=TRUE,"",IF('1000'!AE28="","ERR","")) &amp; IF(ISERROR(FIND($H$2,Lines!AE28))=TRUE,"",IF('500DC'!AE28="","ERR","")) &amp; IF(ISERROR(FIND($I$2,Lines!AE28))=TRUE,"",IF('800DC'!AE28="","ERR","")) &amp; IF(ISERROR(FIND($J$2,Lines!AE28))=TRUE,"",IF('1000'!AE28="","ERR",""))</f>
        <v/>
      </c>
      <c r="AF28" s="108" t="str">
        <f>IF(ISERROR(FIND($B$2,Lines!AF28))=TRUE,"",IF('750'!AF28="","ERR","")) &amp; IF(ISERROR(FIND($C$2,Lines!AF28))=TRUE,"",IF('500'!AF28="","ERR","")) &amp; IF(ISERROR(FIND($D$2,Lines!AF28))=TRUE,"",IF('330'!AF28="","ERR","")) &amp; IF(ISERROR(FIND($E$2,Lines!AF28))=TRUE,"",IF('220'!AF28="","ERR",""))&amp; IF(ISERROR(FIND($F$2,Lines!AF28))=TRUE,"",IF(AND('500DC'!AF28="",'800DC'!AF28=""),"ERR","")) &amp; IF(ISERROR(FIND($G$2,Lines!AF28))=TRUE,"",IF('1000'!AF28="","ERR","")) &amp; IF(ISERROR(FIND($H$2,Lines!AF28))=TRUE,"",IF('500DC'!AF28="","ERR","")) &amp; IF(ISERROR(FIND($I$2,Lines!AF28))=TRUE,"",IF('800DC'!AF28="","ERR","")) &amp; IF(ISERROR(FIND($J$2,Lines!AF28))=TRUE,"",IF('1000'!AF28="","ERR",""))</f>
        <v/>
      </c>
      <c r="AG28" s="108" t="str">
        <f>IF(ISERROR(FIND($B$2,Lines!AG28))=TRUE,"",IF('750'!AG28="","ERR","")) &amp; IF(ISERROR(FIND($C$2,Lines!AG28))=TRUE,"",IF('500'!AG28="","ERR","")) &amp; IF(ISERROR(FIND($D$2,Lines!AG28))=TRUE,"",IF('330'!AG28="","ERR","")) &amp; IF(ISERROR(FIND($E$2,Lines!AG28))=TRUE,"",IF('220'!AG28="","ERR",""))&amp; IF(ISERROR(FIND($F$2,Lines!AG28))=TRUE,"",IF(AND('500DC'!AG28="",'800DC'!AG28=""),"ERR","")) &amp; IF(ISERROR(FIND($G$2,Lines!AG28))=TRUE,"",IF('1000'!AG28="","ERR","")) &amp; IF(ISERROR(FIND($H$2,Lines!AG28))=TRUE,"",IF('500DC'!AG28="","ERR","")) &amp; IF(ISERROR(FIND($I$2,Lines!AG28))=TRUE,"",IF('800DC'!AG28="","ERR","")) &amp; IF(ISERROR(FIND($J$2,Lines!AG28))=TRUE,"",IF('1000'!AG28="","ERR",""))</f>
        <v/>
      </c>
      <c r="AH28" s="108" t="str">
        <f>IF(ISERROR(FIND($B$2,Lines!AH28))=TRUE,"",IF('750'!AH28="","ERR","")) &amp; IF(ISERROR(FIND($C$2,Lines!AH28))=TRUE,"",IF('500'!AH28="","ERR","")) &amp; IF(ISERROR(FIND($D$2,Lines!AH28))=TRUE,"",IF('330'!AH28="","ERR","")) &amp; IF(ISERROR(FIND($E$2,Lines!AH28))=TRUE,"",IF('220'!AH28="","ERR",""))&amp; IF(ISERROR(FIND($F$2,Lines!AH28))=TRUE,"",IF(AND('500DC'!AH28="",'800DC'!AH28=""),"ERR","")) &amp; IF(ISERROR(FIND($G$2,Lines!AH28))=TRUE,"",IF('1000'!AH28="","ERR","")) &amp; IF(ISERROR(FIND($H$2,Lines!AH28))=TRUE,"",IF('500DC'!AH28="","ERR","")) &amp; IF(ISERROR(FIND($I$2,Lines!AH28))=TRUE,"",IF('800DC'!AH28="","ERR","")) &amp; IF(ISERROR(FIND($J$2,Lines!AH28))=TRUE,"",IF('1000'!AH28="","ERR",""))</f>
        <v/>
      </c>
      <c r="AI28" s="108" t="str">
        <f>IF(ISERROR(FIND($B$2,Lines!AI28))=TRUE,"",IF('750'!AI28="","ERR","")) &amp; IF(ISERROR(FIND($C$2,Lines!AI28))=TRUE,"",IF('500'!AI28="","ERR","")) &amp; IF(ISERROR(FIND($D$2,Lines!AI28))=TRUE,"",IF('330'!AI28="","ERR","")) &amp; IF(ISERROR(FIND($E$2,Lines!AI28))=TRUE,"",IF('220'!AI28="","ERR",""))&amp; IF(ISERROR(FIND($F$2,Lines!AI28))=TRUE,"",IF(AND('500DC'!AI28="",'800DC'!AI28=""),"ERR","")) &amp; IF(ISERROR(FIND($G$2,Lines!AI28))=TRUE,"",IF('1000'!AI28="","ERR","")) &amp; IF(ISERROR(FIND($H$2,Lines!AI28))=TRUE,"",IF('500DC'!AI28="","ERR","")) &amp; IF(ISERROR(FIND($I$2,Lines!AI28))=TRUE,"",IF('800DC'!AI28="","ERR","")) &amp; IF(ISERROR(FIND($J$2,Lines!AI28))=TRUE,"",IF('1000'!AI28="","ERR",""))</f>
        <v/>
      </c>
      <c r="AJ28" s="108" t="str">
        <f>IF(ISERROR(FIND($B$2,Lines!AJ28))=TRUE,"",IF('750'!AJ28="","ERR","")) &amp; IF(ISERROR(FIND($C$2,Lines!AJ28))=TRUE,"",IF('500'!AJ28="","ERR","")) &amp; IF(ISERROR(FIND($D$2,Lines!AJ28))=TRUE,"",IF('330'!AJ28="","ERR","")) &amp; IF(ISERROR(FIND($E$2,Lines!AJ28))=TRUE,"",IF('220'!AJ28="","ERR",""))&amp; IF(ISERROR(FIND($F$2,Lines!AJ28))=TRUE,"",IF(AND('500DC'!AJ28="",'800DC'!AJ28=""),"ERR","")) &amp; IF(ISERROR(FIND($G$2,Lines!AJ28))=TRUE,"",IF('1000'!AJ28="","ERR","")) &amp; IF(ISERROR(FIND($H$2,Lines!AJ28))=TRUE,"",IF('500DC'!AJ28="","ERR","")) &amp; IF(ISERROR(FIND($I$2,Lines!AJ28))=TRUE,"",IF('800DC'!AJ28="","ERR","")) &amp; IF(ISERROR(FIND($J$2,Lines!AJ28))=TRUE,"",IF('1000'!AJ28="","ERR",""))</f>
        <v/>
      </c>
      <c r="AK28" s="108" t="str">
        <f>IF(ISERROR(FIND($B$2,Lines!AK28))=TRUE,"",IF('750'!AK28="","ERR","")) &amp; IF(ISERROR(FIND($C$2,Lines!AK28))=TRUE,"",IF('500'!AK28="","ERR","")) &amp; IF(ISERROR(FIND($D$2,Lines!AK28))=TRUE,"",IF('330'!AK28="","ERR","")) &amp; IF(ISERROR(FIND($E$2,Lines!AK28))=TRUE,"",IF('220'!AK28="","ERR",""))&amp; IF(ISERROR(FIND($F$2,Lines!AK28))=TRUE,"",IF(AND('500DC'!AK28="",'800DC'!AK28=""),"ERR","")) &amp; IF(ISERROR(FIND($G$2,Lines!AK28))=TRUE,"",IF('1000'!AK28="","ERR","")) &amp; IF(ISERROR(FIND($H$2,Lines!AK28))=TRUE,"",IF('500DC'!AK28="","ERR","")) &amp; IF(ISERROR(FIND($I$2,Lines!AK28))=TRUE,"",IF('800DC'!AK28="","ERR","")) &amp; IF(ISERROR(FIND($J$2,Lines!AK28))=TRUE,"",IF('1000'!AK28="","ERR",""))</f>
        <v/>
      </c>
      <c r="AL28" s="108" t="str">
        <f>IF(ISERROR(FIND($B$2,Lines!AL28))=TRUE,"",IF('750'!AL28="","ERR","")) &amp; IF(ISERROR(FIND($C$2,Lines!AL28))=TRUE,"",IF('500'!AL28="","ERR","")) &amp; IF(ISERROR(FIND($D$2,Lines!AL28))=TRUE,"",IF('330'!AL28="","ERR","")) &amp; IF(ISERROR(FIND($E$2,Lines!AL28))=TRUE,"",IF('220'!AL28="","ERR",""))&amp; IF(ISERROR(FIND($F$2,Lines!AL28))=TRUE,"",IF(AND('500DC'!AL28="",'800DC'!AL28=""),"ERR","")) &amp; IF(ISERROR(FIND($G$2,Lines!AL28))=TRUE,"",IF('1000'!AL28="","ERR","")) &amp; IF(ISERROR(FIND($H$2,Lines!AL28))=TRUE,"",IF('500DC'!AL28="","ERR","")) &amp; IF(ISERROR(FIND($I$2,Lines!AL28))=TRUE,"",IF('800DC'!AL28="","ERR","")) &amp; IF(ISERROR(FIND($J$2,Lines!AL28))=TRUE,"",IF('1000'!AL28="","ERR",""))</f>
        <v/>
      </c>
      <c r="AM28" s="108" t="str">
        <f>IF(ISERROR(FIND($B$2,Lines!AM28))=TRUE,"",IF('750'!AM28="","ERR","")) &amp; IF(ISERROR(FIND($C$2,Lines!AM28))=TRUE,"",IF('500'!AM28="","ERR","")) &amp; IF(ISERROR(FIND($D$2,Lines!AM28))=TRUE,"",IF('330'!AM28="","ERR","")) &amp; IF(ISERROR(FIND($E$2,Lines!AM28))=TRUE,"",IF('220'!AM28="","ERR",""))&amp; IF(ISERROR(FIND($F$2,Lines!AM28))=TRUE,"",IF(AND('500DC'!AM28="",'800DC'!AM28=""),"ERR","")) &amp; IF(ISERROR(FIND($G$2,Lines!AM28))=TRUE,"",IF('1000'!AM28="","ERR","")) &amp; IF(ISERROR(FIND($H$2,Lines!AM28))=TRUE,"",IF('500DC'!AM28="","ERR","")) &amp; IF(ISERROR(FIND($I$2,Lines!AM28))=TRUE,"",IF('800DC'!AM28="","ERR","")) &amp; IF(ISERROR(FIND($J$2,Lines!AM28))=TRUE,"",IF('1000'!AM28="","ERR",""))</f>
        <v/>
      </c>
      <c r="AN28" s="108" t="str">
        <f>IF(ISERROR(FIND($B$2,Lines!AN28))=TRUE,"",IF('750'!AN28="","ERR","")) &amp; IF(ISERROR(FIND($C$2,Lines!AN28))=TRUE,"",IF('500'!AN28="","ERR","")) &amp; IF(ISERROR(FIND($D$2,Lines!AN28))=TRUE,"",IF('330'!AN28="","ERR","")) &amp; IF(ISERROR(FIND($E$2,Lines!AN28))=TRUE,"",IF('220'!AN28="","ERR",""))&amp; IF(ISERROR(FIND($F$2,Lines!AN28))=TRUE,"",IF(AND('500DC'!AN28="",'800DC'!AN28=""),"ERR","")) &amp; IF(ISERROR(FIND($G$2,Lines!AN28))=TRUE,"",IF('1000'!AN28="","ERR","")) &amp; IF(ISERROR(FIND($H$2,Lines!AN28))=TRUE,"",IF('500DC'!AN28="","ERR","")) &amp; IF(ISERROR(FIND($I$2,Lines!AN28))=TRUE,"",IF('800DC'!AN28="","ERR","")) &amp; IF(ISERROR(FIND($J$2,Lines!AN28))=TRUE,"",IF('1000'!AN28="","ERR",""))</f>
        <v/>
      </c>
      <c r="AO28" s="108" t="str">
        <f>IF(ISERROR(FIND($B$2,Lines!AO28))=TRUE,"",IF('750'!AO28="","ERR","")) &amp; IF(ISERROR(FIND($C$2,Lines!AO28))=TRUE,"",IF('500'!AO28="","ERR","")) &amp; IF(ISERROR(FIND($D$2,Lines!AO28))=TRUE,"",IF('330'!AO28="","ERR","")) &amp; IF(ISERROR(FIND($E$2,Lines!AO28))=TRUE,"",IF('220'!AO28="","ERR",""))&amp; IF(ISERROR(FIND($F$2,Lines!AO28))=TRUE,"",IF(AND('500DC'!AO28="",'800DC'!AO28=""),"ERR","")) &amp; IF(ISERROR(FIND($G$2,Lines!AO28))=TRUE,"",IF('1000'!AO28="","ERR","")) &amp; IF(ISERROR(FIND($H$2,Lines!AO28))=TRUE,"",IF('500DC'!AO28="","ERR","")) &amp; IF(ISERROR(FIND($I$2,Lines!AO28))=TRUE,"",IF('800DC'!AO28="","ERR","")) &amp; IF(ISERROR(FIND($J$2,Lines!AO28))=TRUE,"",IF('1000'!AO28="","ERR",""))</f>
        <v/>
      </c>
      <c r="AP28" s="108" t="str">
        <f>IF(ISERROR(FIND($B$2,Lines!AP28))=TRUE,"",IF('750'!AP28="","ERR","")) &amp; IF(ISERROR(FIND($C$2,Lines!AP28))=TRUE,"",IF('500'!AP28="","ERR","")) &amp; IF(ISERROR(FIND($D$2,Lines!AP28))=TRUE,"",IF('330'!AP28="","ERR","")) &amp; IF(ISERROR(FIND($E$2,Lines!AP28))=TRUE,"",IF('220'!AP28="","ERR",""))&amp; IF(ISERROR(FIND($F$2,Lines!AP28))=TRUE,"",IF(AND('500DC'!AP28="",'800DC'!AP28=""),"ERR","")) &amp; IF(ISERROR(FIND($G$2,Lines!AP28))=TRUE,"",IF('1000'!AP28="","ERR","")) &amp; IF(ISERROR(FIND($H$2,Lines!AP28))=TRUE,"",IF('500DC'!AP28="","ERR","")) &amp; IF(ISERROR(FIND($I$2,Lines!AP28))=TRUE,"",IF('800DC'!AP28="","ERR","")) &amp; IF(ISERROR(FIND($J$2,Lines!AP28))=TRUE,"",IF('1000'!AP28="","ERR",""))</f>
        <v/>
      </c>
      <c r="AQ28" s="108" t="str">
        <f>IF(ISERROR(FIND($B$2,Lines!AQ28))=TRUE,"",IF('750'!AQ28="","ERR","")) &amp; IF(ISERROR(FIND($C$2,Lines!AQ28))=TRUE,"",IF('500'!AQ28="","ERR","")) &amp; IF(ISERROR(FIND($D$2,Lines!AQ28))=TRUE,"",IF('330'!AQ28="","ERR","")) &amp; IF(ISERROR(FIND($E$2,Lines!AQ28))=TRUE,"",IF('220'!AQ28="","ERR",""))&amp; IF(ISERROR(FIND($F$2,Lines!AQ28))=TRUE,"",IF(AND('500DC'!AQ28="",'800DC'!AQ28=""),"ERR","")) &amp; IF(ISERROR(FIND($G$2,Lines!AQ28))=TRUE,"",IF('1000'!AQ28="","ERR","")) &amp; IF(ISERROR(FIND($H$2,Lines!AQ28))=TRUE,"",IF('500DC'!AQ28="","ERR","")) &amp; IF(ISERROR(FIND($I$2,Lines!AQ28))=TRUE,"",IF('800DC'!AQ28="","ERR","")) &amp; IF(ISERROR(FIND($J$2,Lines!AQ28))=TRUE,"",IF('1000'!AQ28="","ERR",""))</f>
        <v/>
      </c>
      <c r="AR28" s="108" t="str">
        <f>IF(ISERROR(FIND($B$2,Lines!AR28))=TRUE,"",IF('750'!AR28="","ERR","")) &amp; IF(ISERROR(FIND($C$2,Lines!AR28))=TRUE,"",IF('500'!AR28="","ERR","")) &amp; IF(ISERROR(FIND($D$2,Lines!AR28))=TRUE,"",IF('330'!AR28="","ERR","")) &amp; IF(ISERROR(FIND($E$2,Lines!AR28))=TRUE,"",IF('220'!AR28="","ERR",""))&amp; IF(ISERROR(FIND($F$2,Lines!AR28))=TRUE,"",IF(AND('500DC'!AR28="",'800DC'!AR28=""),"ERR","")) &amp; IF(ISERROR(FIND($G$2,Lines!AR28))=TRUE,"",IF('1000'!AR28="","ERR","")) &amp; IF(ISERROR(FIND($H$2,Lines!AR28))=TRUE,"",IF('500DC'!AR28="","ERR","")) &amp; IF(ISERROR(FIND($I$2,Lines!AR28))=TRUE,"",IF('800DC'!AR28="","ERR","")) &amp; IF(ISERROR(FIND($J$2,Lines!AR28))=TRUE,"",IF('1000'!AR28="","ERR",""))</f>
        <v/>
      </c>
      <c r="AS28" s="108" t="str">
        <f>IF(ISERROR(FIND($B$2,Lines!AS28))=TRUE,"",IF('750'!AS28="","ERR","")) &amp; IF(ISERROR(FIND($C$2,Lines!AS28))=TRUE,"",IF('500'!AS28="","ERR","")) &amp; IF(ISERROR(FIND($D$2,Lines!AS28))=TRUE,"",IF('330'!AS28="","ERR","")) &amp; IF(ISERROR(FIND($E$2,Lines!AS28))=TRUE,"",IF('220'!AS28="","ERR",""))&amp; IF(ISERROR(FIND($F$2,Lines!AS28))=TRUE,"",IF(AND('500DC'!AS28="",'800DC'!AS28=""),"ERR","")) &amp; IF(ISERROR(FIND($G$2,Lines!AS28))=TRUE,"",IF('1000'!AS28="","ERR","")) &amp; IF(ISERROR(FIND($H$2,Lines!AS28))=TRUE,"",IF('500DC'!AS28="","ERR","")) &amp; IF(ISERROR(FIND($I$2,Lines!AS28))=TRUE,"",IF('800DC'!AS28="","ERR","")) &amp; IF(ISERROR(FIND($J$2,Lines!AS28))=TRUE,"",IF('1000'!AS28="","ERR",""))</f>
        <v/>
      </c>
      <c r="AT28" s="108" t="str">
        <f>IF(ISERROR(FIND($B$2,Lines!AT28))=TRUE,"",IF('750'!AT28="","ERR","")) &amp; IF(ISERROR(FIND($C$2,Lines!AT28))=TRUE,"",IF('500'!AT28="","ERR","")) &amp; IF(ISERROR(FIND($D$2,Lines!AT28))=TRUE,"",IF('330'!AT28="","ERR","")) &amp; IF(ISERROR(FIND($E$2,Lines!AT28))=TRUE,"",IF('220'!AT28="","ERR",""))&amp; IF(ISERROR(FIND($F$2,Lines!AT28))=TRUE,"",IF(AND('500DC'!AT28="",'800DC'!AT28=""),"ERR","")) &amp; IF(ISERROR(FIND($G$2,Lines!AT28))=TRUE,"",IF('1000'!AT28="","ERR","")) &amp; IF(ISERROR(FIND($H$2,Lines!AT28))=TRUE,"",IF('500DC'!AT28="","ERR","")) &amp; IF(ISERROR(FIND($I$2,Lines!AT28))=TRUE,"",IF('800DC'!AT28="","ERR","")) &amp; IF(ISERROR(FIND($J$2,Lines!AT28))=TRUE,"",IF('1000'!AT28="","ERR",""))</f>
        <v/>
      </c>
    </row>
    <row r="29" spans="1:46" ht="20.25" customHeight="1">
      <c r="A29" s="2" t="s">
        <v>77</v>
      </c>
      <c r="B29" s="108" t="str">
        <f>IF(ISERROR(FIND($B$2,Lines!B29))=TRUE,"",IF('750'!B29="","ERR","")) &amp; IF(ISERROR(FIND($C$2,Lines!B29))=TRUE,"",IF('500'!B29="","ERR","")) &amp; IF(ISERROR(FIND($D$2,Lines!B29))=TRUE,"",IF('330'!B29="","ERR","")) &amp; IF(ISERROR(FIND($E$2,Lines!B29))=TRUE,"",IF('220'!B29="","ERR",""))&amp; IF(ISERROR(FIND($F$2,Lines!B29))=TRUE,"",IF(AND('500DC'!B29="",'800DC'!B29=""),"ERR","")) &amp; IF(ISERROR(FIND($G$2,Lines!B29))=TRUE,"",IF('1000'!B29="","ERR","")) &amp; IF(ISERROR(FIND($H$2,Lines!B29))=TRUE,"",IF('500DC'!B29="","ERR","")) &amp; IF(ISERROR(FIND($I$2,Lines!B29))=TRUE,"",IF('800DC'!B29="","ERR","")) &amp; IF(ISERROR(FIND($J$2,Lines!B29))=TRUE,"",IF('1000'!B29="","ERR",""))</f>
        <v/>
      </c>
      <c r="C29" s="108" t="str">
        <f>IF(ISERROR(FIND($B$2,Lines!C29))=TRUE,"",IF('750'!C29="","ERR","")) &amp; IF(ISERROR(FIND($C$2,Lines!C29))=TRUE,"",IF('500'!C29="","ERR","")) &amp; IF(ISERROR(FIND($D$2,Lines!C29))=TRUE,"",IF('330'!C29="","ERR","")) &amp; IF(ISERROR(FIND($E$2,Lines!C29))=TRUE,"",IF('220'!C29="","ERR",""))&amp; IF(ISERROR(FIND($F$2,Lines!C29))=TRUE,"",IF(AND('500DC'!C29="",'800DC'!C29=""),"ERR","")) &amp; IF(ISERROR(FIND($G$2,Lines!C29))=TRUE,"",IF('1000'!C29="","ERR","")) &amp; IF(ISERROR(FIND($H$2,Lines!C29))=TRUE,"",IF('500DC'!C29="","ERR","")) &amp; IF(ISERROR(FIND($I$2,Lines!C29))=TRUE,"",IF('800DC'!C29="","ERR","")) &amp; IF(ISERROR(FIND($J$2,Lines!C29))=TRUE,"",IF('1000'!C29="","ERR",""))</f>
        <v/>
      </c>
      <c r="D29" s="108" t="str">
        <f>IF(ISERROR(FIND($B$2,Lines!D29))=TRUE,"",IF('750'!D29="","ERR","")) &amp; IF(ISERROR(FIND($C$2,Lines!D29))=TRUE,"",IF('500'!D29="","ERR","")) &amp; IF(ISERROR(FIND($D$2,Lines!D29))=TRUE,"",IF('330'!D29="","ERR","")) &amp; IF(ISERROR(FIND($E$2,Lines!D29))=TRUE,"",IF('220'!D29="","ERR",""))&amp; IF(ISERROR(FIND($F$2,Lines!D29))=TRUE,"",IF(AND('500DC'!D29="",'800DC'!D29=""),"ERR","")) &amp; IF(ISERROR(FIND($G$2,Lines!D29))=TRUE,"",IF('1000'!D29="","ERR","")) &amp; IF(ISERROR(FIND($H$2,Lines!D29))=TRUE,"",IF('500DC'!D29="","ERR","")) &amp; IF(ISERROR(FIND($I$2,Lines!D29))=TRUE,"",IF('800DC'!D29="","ERR","")) &amp; IF(ISERROR(FIND($J$2,Lines!D29))=TRUE,"",IF('1000'!D29="","ERR",""))</f>
        <v/>
      </c>
      <c r="E29" s="108" t="str">
        <f>IF(ISERROR(FIND($B$2,Lines!E29))=TRUE,"",IF('750'!E29="","ERR","")) &amp; IF(ISERROR(FIND($C$2,Lines!E29))=TRUE,"",IF('500'!E29="","ERR","")) &amp; IF(ISERROR(FIND($D$2,Lines!E29))=TRUE,"",IF('330'!E29="","ERR","")) &amp; IF(ISERROR(FIND($E$2,Lines!E29))=TRUE,"",IF('220'!E29="","ERR",""))&amp; IF(ISERROR(FIND($F$2,Lines!E29))=TRUE,"",IF(AND('500DC'!E29="",'800DC'!E29=""),"ERR","")) &amp; IF(ISERROR(FIND($G$2,Lines!E29))=TRUE,"",IF('1000'!E29="","ERR","")) &amp; IF(ISERROR(FIND($H$2,Lines!E29))=TRUE,"",IF('500DC'!E29="","ERR","")) &amp; IF(ISERROR(FIND($I$2,Lines!E29))=TRUE,"",IF('800DC'!E29="","ERR","")) &amp; IF(ISERROR(FIND($J$2,Lines!E29))=TRUE,"",IF('1000'!E29="","ERR",""))</f>
        <v/>
      </c>
      <c r="F29" s="108" t="str">
        <f>IF(ISERROR(FIND($B$2,Lines!F29))=TRUE,"",IF('750'!F29="","ERR","")) &amp; IF(ISERROR(FIND($C$2,Lines!F29))=TRUE,"",IF('500'!F29="","ERR","")) &amp; IF(ISERROR(FIND($D$2,Lines!F29))=TRUE,"",IF('330'!F29="","ERR","")) &amp; IF(ISERROR(FIND($E$2,Lines!F29))=TRUE,"",IF('220'!F29="","ERR",""))&amp; IF(ISERROR(FIND($F$2,Lines!F29))=TRUE,"",IF(AND('500DC'!F29="",'800DC'!F29=""),"ERR","")) &amp; IF(ISERROR(FIND($G$2,Lines!F29))=TRUE,"",IF('1000'!F29="","ERR","")) &amp; IF(ISERROR(FIND($H$2,Lines!F29))=TRUE,"",IF('500DC'!F29="","ERR","")) &amp; IF(ISERROR(FIND($I$2,Lines!F29))=TRUE,"",IF('800DC'!F29="","ERR","")) &amp; IF(ISERROR(FIND($J$2,Lines!F29))=TRUE,"",IF('1000'!F29="","ERR",""))</f>
        <v/>
      </c>
      <c r="G29" s="108" t="str">
        <f>IF(ISERROR(FIND($B$2,Lines!G29))=TRUE,"",IF('750'!G29="","ERR","")) &amp; IF(ISERROR(FIND($C$2,Lines!G29))=TRUE,"",IF('500'!G29="","ERR","")) &amp; IF(ISERROR(FIND($D$2,Lines!G29))=TRUE,"",IF('330'!G29="","ERR","")) &amp; IF(ISERROR(FIND($E$2,Lines!G29))=TRUE,"",IF('220'!G29="","ERR",""))&amp; IF(ISERROR(FIND($F$2,Lines!G29))=TRUE,"",IF(AND('500DC'!G29="",'800DC'!G29=""),"ERR","")) &amp; IF(ISERROR(FIND($G$2,Lines!G29))=TRUE,"",IF('1000'!G29="","ERR","")) &amp; IF(ISERROR(FIND($H$2,Lines!G29))=TRUE,"",IF('500DC'!G29="","ERR","")) &amp; IF(ISERROR(FIND($I$2,Lines!G29))=TRUE,"",IF('800DC'!G29="","ERR","")) &amp; IF(ISERROR(FIND($J$2,Lines!G29))=TRUE,"",IF('1000'!G29="","ERR",""))</f>
        <v/>
      </c>
      <c r="H29" s="108" t="str">
        <f>IF(ISERROR(FIND($B$2,Lines!H29))=TRUE,"",IF('750'!H29="","ERR","")) &amp; IF(ISERROR(FIND($C$2,Lines!H29))=TRUE,"",IF('500'!H29="","ERR","")) &amp; IF(ISERROR(FIND($D$2,Lines!H29))=TRUE,"",IF('330'!H29="","ERR","")) &amp; IF(ISERROR(FIND($E$2,Lines!H29))=TRUE,"",IF('220'!H29="","ERR",""))&amp; IF(ISERROR(FIND($F$2,Lines!H29))=TRUE,"",IF(AND('500DC'!H29="",'800DC'!H29=""),"ERR","")) &amp; IF(ISERROR(FIND($G$2,Lines!H29))=TRUE,"",IF('1000'!H29="","ERR","")) &amp; IF(ISERROR(FIND($H$2,Lines!H29))=TRUE,"",IF('500DC'!H29="","ERR","")) &amp; IF(ISERROR(FIND($I$2,Lines!H29))=TRUE,"",IF('800DC'!H29="","ERR","")) &amp; IF(ISERROR(FIND($J$2,Lines!H29))=TRUE,"",IF('1000'!H29="","ERR",""))</f>
        <v/>
      </c>
      <c r="I29" s="108" t="str">
        <f>IF(ISERROR(FIND($B$2,Lines!I29))=TRUE,"",IF('750'!I29="","ERR","")) &amp; IF(ISERROR(FIND($C$2,Lines!I29))=TRUE,"",IF('500'!I29="","ERR","")) &amp; IF(ISERROR(FIND($D$2,Lines!I29))=TRUE,"",IF('330'!I29="","ERR","")) &amp; IF(ISERROR(FIND($E$2,Lines!I29))=TRUE,"",IF('220'!I29="","ERR",""))&amp; IF(ISERROR(FIND($F$2,Lines!I29))=TRUE,"",IF(AND('500DC'!I29="",'800DC'!I29=""),"ERR","")) &amp; IF(ISERROR(FIND($G$2,Lines!I29))=TRUE,"",IF('1000'!I29="","ERR","")) &amp; IF(ISERROR(FIND($H$2,Lines!I29))=TRUE,"",IF('500DC'!I29="","ERR","")) &amp; IF(ISERROR(FIND($I$2,Lines!I29))=TRUE,"",IF('800DC'!I29="","ERR","")) &amp; IF(ISERROR(FIND($J$2,Lines!I29))=TRUE,"",IF('1000'!I29="","ERR",""))</f>
        <v/>
      </c>
      <c r="J29" s="108" t="str">
        <f>IF(ISERROR(FIND($B$2,Lines!J29))=TRUE,"",IF('750'!J29="","ERR","")) &amp; IF(ISERROR(FIND($C$2,Lines!J29))=TRUE,"",IF('500'!J29="","ERR","")) &amp; IF(ISERROR(FIND($D$2,Lines!J29))=TRUE,"",IF('330'!J29="","ERR","")) &amp; IF(ISERROR(FIND($E$2,Lines!J29))=TRUE,"",IF('220'!J29="","ERR",""))&amp; IF(ISERROR(FIND($F$2,Lines!J29))=TRUE,"",IF(AND('500DC'!J29="",'800DC'!J29=""),"ERR","")) &amp; IF(ISERROR(FIND($G$2,Lines!J29))=TRUE,"",IF('1000'!J29="","ERR","")) &amp; IF(ISERROR(FIND($H$2,Lines!J29))=TRUE,"",IF('500DC'!J29="","ERR","")) &amp; IF(ISERROR(FIND($I$2,Lines!J29))=TRUE,"",IF('800DC'!J29="","ERR","")) &amp; IF(ISERROR(FIND($J$2,Lines!J29))=TRUE,"",IF('1000'!J29="","ERR",""))</f>
        <v/>
      </c>
      <c r="K29" s="108" t="str">
        <f>IF(ISERROR(FIND($B$2,Lines!K29))=TRUE,"",IF('750'!K29="","ERR","")) &amp; IF(ISERROR(FIND($C$2,Lines!K29))=TRUE,"",IF('500'!K29="","ERR","")) &amp; IF(ISERROR(FIND($D$2,Lines!K29))=TRUE,"",IF('330'!K29="","ERR","")) &amp; IF(ISERROR(FIND($E$2,Lines!K29))=TRUE,"",IF('220'!K29="","ERR",""))&amp; IF(ISERROR(FIND($F$2,Lines!K29))=TRUE,"",IF(AND('500DC'!K29="",'800DC'!K29=""),"ERR","")) &amp; IF(ISERROR(FIND($G$2,Lines!K29))=TRUE,"",IF('1000'!K29="","ERR","")) &amp; IF(ISERROR(FIND($H$2,Lines!K29))=TRUE,"",IF('500DC'!K29="","ERR","")) &amp; IF(ISERROR(FIND($I$2,Lines!K29))=TRUE,"",IF('800DC'!K29="","ERR","")) &amp; IF(ISERROR(FIND($J$2,Lines!K29))=TRUE,"",IF('1000'!K29="","ERR",""))</f>
        <v/>
      </c>
      <c r="L29" s="108" t="str">
        <f>IF(ISERROR(FIND($B$2,Lines!L29))=TRUE,"",IF('750'!L29="","ERR","")) &amp; IF(ISERROR(FIND($C$2,Lines!L29))=TRUE,"",IF('500'!L29="","ERR","")) &amp; IF(ISERROR(FIND($D$2,Lines!L29))=TRUE,"",IF('330'!L29="","ERR","")) &amp; IF(ISERROR(FIND($E$2,Lines!L29))=TRUE,"",IF('220'!L29="","ERR",""))&amp; IF(ISERROR(FIND($F$2,Lines!L29))=TRUE,"",IF(AND('500DC'!L29="",'800DC'!L29=""),"ERR","")) &amp; IF(ISERROR(FIND($G$2,Lines!L29))=TRUE,"",IF('1000'!L29="","ERR","")) &amp; IF(ISERROR(FIND($H$2,Lines!L29))=TRUE,"",IF('500DC'!L29="","ERR","")) &amp; IF(ISERROR(FIND($I$2,Lines!L29))=TRUE,"",IF('800DC'!L29="","ERR","")) &amp; IF(ISERROR(FIND($J$2,Lines!L29))=TRUE,"",IF('1000'!L29="","ERR",""))</f>
        <v/>
      </c>
      <c r="M29" s="108" t="str">
        <f>IF(ISERROR(FIND($B$2,Lines!M29))=TRUE,"",IF('750'!M29="","ERR","")) &amp; IF(ISERROR(FIND($C$2,Lines!M29))=TRUE,"",IF('500'!M29="","ERR","")) &amp; IF(ISERROR(FIND($D$2,Lines!M29))=TRUE,"",IF('330'!M29="","ERR","")) &amp; IF(ISERROR(FIND($E$2,Lines!M29))=TRUE,"",IF('220'!M29="","ERR",""))&amp; IF(ISERROR(FIND($F$2,Lines!M29))=TRUE,"",IF(AND('500DC'!M29="",'800DC'!M29=""),"ERR","")) &amp; IF(ISERROR(FIND($G$2,Lines!M29))=TRUE,"",IF('1000'!M29="","ERR","")) &amp; IF(ISERROR(FIND($H$2,Lines!M29))=TRUE,"",IF('500DC'!M29="","ERR","")) &amp; IF(ISERROR(FIND($I$2,Lines!M29))=TRUE,"",IF('800DC'!M29="","ERR","")) &amp; IF(ISERROR(FIND($J$2,Lines!M29))=TRUE,"",IF('1000'!M29="","ERR",""))</f>
        <v/>
      </c>
      <c r="N29" s="108" t="str">
        <f>IF(ISERROR(FIND($B$2,Lines!N29))=TRUE,"",IF('750'!N29="","ERR","")) &amp; IF(ISERROR(FIND($C$2,Lines!N29))=TRUE,"",IF('500'!N29="","ERR","")) &amp; IF(ISERROR(FIND($D$2,Lines!N29))=TRUE,"",IF('330'!N29="","ERR","")) &amp; IF(ISERROR(FIND($E$2,Lines!N29))=TRUE,"",IF('220'!N29="","ERR",""))&amp; IF(ISERROR(FIND($F$2,Lines!N29))=TRUE,"",IF(AND('500DC'!N29="",'800DC'!N29=""),"ERR","")) &amp; IF(ISERROR(FIND($G$2,Lines!N29))=TRUE,"",IF('1000'!N29="","ERR","")) &amp; IF(ISERROR(FIND($H$2,Lines!N29))=TRUE,"",IF('500DC'!N29="","ERR","")) &amp; IF(ISERROR(FIND($I$2,Lines!N29))=TRUE,"",IF('800DC'!N29="","ERR","")) &amp; IF(ISERROR(FIND($J$2,Lines!N29))=TRUE,"",IF('1000'!N29="","ERR",""))</f>
        <v/>
      </c>
      <c r="O29" s="108" t="str">
        <f>IF(ISERROR(FIND($B$2,Lines!O29))=TRUE,"",IF('750'!O29="","ERR","")) &amp; IF(ISERROR(FIND($C$2,Lines!O29))=TRUE,"",IF('500'!O29="","ERR","")) &amp; IF(ISERROR(FIND($D$2,Lines!O29))=TRUE,"",IF('330'!O29="","ERR","")) &amp; IF(ISERROR(FIND($E$2,Lines!O29))=TRUE,"",IF('220'!O29="","ERR",""))&amp; IF(ISERROR(FIND($F$2,Lines!O29))=TRUE,"",IF(AND('500DC'!O29="",'800DC'!O29=""),"ERR","")) &amp; IF(ISERROR(FIND($G$2,Lines!O29))=TRUE,"",IF('1000'!O29="","ERR","")) &amp; IF(ISERROR(FIND($H$2,Lines!O29))=TRUE,"",IF('500DC'!O29="","ERR","")) &amp; IF(ISERROR(FIND($I$2,Lines!O29))=TRUE,"",IF('800DC'!O29="","ERR","")) &amp; IF(ISERROR(FIND($J$2,Lines!O29))=TRUE,"",IF('1000'!O29="","ERR",""))</f>
        <v/>
      </c>
      <c r="P29" s="108" t="str">
        <f>IF(ISERROR(FIND($B$2,Lines!P29))=TRUE,"",IF('750'!P29="","ERR","")) &amp; IF(ISERROR(FIND($C$2,Lines!P29))=TRUE,"",IF('500'!P29="","ERR","")) &amp; IF(ISERROR(FIND($D$2,Lines!P29))=TRUE,"",IF('330'!P29="","ERR","")) &amp; IF(ISERROR(FIND($E$2,Lines!P29))=TRUE,"",IF('220'!P29="","ERR",""))&amp; IF(ISERROR(FIND($F$2,Lines!P29))=TRUE,"",IF(AND('500DC'!P29="",'800DC'!P29=""),"ERR","")) &amp; IF(ISERROR(FIND($G$2,Lines!P29))=TRUE,"",IF('1000'!P29="","ERR","")) &amp; IF(ISERROR(FIND($H$2,Lines!P29))=TRUE,"",IF('500DC'!P29="","ERR","")) &amp; IF(ISERROR(FIND($I$2,Lines!P29))=TRUE,"",IF('800DC'!P29="","ERR","")) &amp; IF(ISERROR(FIND($J$2,Lines!P29))=TRUE,"",IF('1000'!P29="","ERR",""))</f>
        <v/>
      </c>
      <c r="Q29" s="108" t="str">
        <f>IF(ISERROR(FIND($B$2,Lines!Q29))=TRUE,"",IF('750'!Q29="","ERR","")) &amp; IF(ISERROR(FIND($C$2,Lines!Q29))=TRUE,"",IF('500'!Q29="","ERR","")) &amp; IF(ISERROR(FIND($D$2,Lines!Q29))=TRUE,"",IF('330'!Q29="","ERR","")) &amp; IF(ISERROR(FIND($E$2,Lines!Q29))=TRUE,"",IF('220'!Q29="","ERR",""))&amp; IF(ISERROR(FIND($F$2,Lines!Q29))=TRUE,"",IF(AND('500DC'!Q29="",'800DC'!Q29=""),"ERR","")) &amp; IF(ISERROR(FIND($G$2,Lines!Q29))=TRUE,"",IF('1000'!Q29="","ERR","")) &amp; IF(ISERROR(FIND($H$2,Lines!Q29))=TRUE,"",IF('500DC'!Q29="","ERR","")) &amp; IF(ISERROR(FIND($I$2,Lines!Q29))=TRUE,"",IF('800DC'!Q29="","ERR","")) &amp; IF(ISERROR(FIND($J$2,Lines!Q29))=TRUE,"",IF('1000'!Q29="","ERR",""))</f>
        <v/>
      </c>
      <c r="R29" s="108" t="str">
        <f>IF(ISERROR(FIND($B$2,Lines!R29))=TRUE,"",IF('750'!R29="","ERR","")) &amp; IF(ISERROR(FIND($C$2,Lines!R29))=TRUE,"",IF('500'!R29="","ERR","")) &amp; IF(ISERROR(FIND($D$2,Lines!R29))=TRUE,"",IF('330'!R29="","ERR","")) &amp; IF(ISERROR(FIND($E$2,Lines!R29))=TRUE,"",IF('220'!R29="","ERR",""))&amp; IF(ISERROR(FIND($F$2,Lines!R29))=TRUE,"",IF(AND('500DC'!R29="",'800DC'!R29=""),"ERR","")) &amp; IF(ISERROR(FIND($G$2,Lines!R29))=TRUE,"",IF('1000'!R29="","ERR","")) &amp; IF(ISERROR(FIND($H$2,Lines!R29))=TRUE,"",IF('500DC'!R29="","ERR","")) &amp; IF(ISERROR(FIND($I$2,Lines!R29))=TRUE,"",IF('800DC'!R29="","ERR","")) &amp; IF(ISERROR(FIND($J$2,Lines!R29))=TRUE,"",IF('1000'!R29="","ERR",""))</f>
        <v/>
      </c>
      <c r="S29" s="108" t="str">
        <f>IF(ISERROR(FIND($B$2,Lines!S29))=TRUE,"",IF('750'!S29="","ERR","")) &amp; IF(ISERROR(FIND($C$2,Lines!S29))=TRUE,"",IF('500'!S29="","ERR","")) &amp; IF(ISERROR(FIND($D$2,Lines!S29))=TRUE,"",IF('330'!S29="","ERR","")) &amp; IF(ISERROR(FIND($E$2,Lines!S29))=TRUE,"",IF('220'!S29="","ERR",""))&amp; IF(ISERROR(FIND($F$2,Lines!S29))=TRUE,"",IF(AND('500DC'!S29="",'800DC'!S29=""),"ERR","")) &amp; IF(ISERROR(FIND($G$2,Lines!S29))=TRUE,"",IF('1000'!S29="","ERR","")) &amp; IF(ISERROR(FIND($H$2,Lines!S29))=TRUE,"",IF('500DC'!S29="","ERR","")) &amp; IF(ISERROR(FIND($I$2,Lines!S29))=TRUE,"",IF('800DC'!S29="","ERR","")) &amp; IF(ISERROR(FIND($J$2,Lines!S29))=TRUE,"",IF('1000'!S29="","ERR",""))</f>
        <v/>
      </c>
      <c r="T29" s="108" t="str">
        <f>IF(ISERROR(FIND($B$2,Lines!T29))=TRUE,"",IF('750'!T29="","ERR","")) &amp; IF(ISERROR(FIND($C$2,Lines!T29))=TRUE,"",IF('500'!T29="","ERR","")) &amp; IF(ISERROR(FIND($D$2,Lines!T29))=TRUE,"",IF('330'!T29="","ERR","")) &amp; IF(ISERROR(FIND($E$2,Lines!T29))=TRUE,"",IF('220'!T29="","ERR",""))&amp; IF(ISERROR(FIND($F$2,Lines!T29))=TRUE,"",IF(AND('500DC'!T29="",'800DC'!T29=""),"ERR","")) &amp; IF(ISERROR(FIND($G$2,Lines!T29))=TRUE,"",IF('1000'!T29="","ERR","")) &amp; IF(ISERROR(FIND($H$2,Lines!T29))=TRUE,"",IF('500DC'!T29="","ERR","")) &amp; IF(ISERROR(FIND($I$2,Lines!T29))=TRUE,"",IF('800DC'!T29="","ERR","")) &amp; IF(ISERROR(FIND($J$2,Lines!T29))=TRUE,"",IF('1000'!T29="","ERR",""))</f>
        <v/>
      </c>
      <c r="U29" s="108" t="str">
        <f>IF(ISERROR(FIND($B$2,Lines!U29))=TRUE,"",IF('750'!U29="","ERR","")) &amp; IF(ISERROR(FIND($C$2,Lines!U29))=TRUE,"",IF('500'!U29="","ERR","")) &amp; IF(ISERROR(FIND($D$2,Lines!U29))=TRUE,"",IF('330'!U29="","ERR","")) &amp; IF(ISERROR(FIND($E$2,Lines!U29))=TRUE,"",IF('220'!U29="","ERR",""))&amp; IF(ISERROR(FIND($F$2,Lines!U29))=TRUE,"",IF(AND('500DC'!U29="",'800DC'!U29=""),"ERR","")) &amp; IF(ISERROR(FIND($G$2,Lines!U29))=TRUE,"",IF('1000'!U29="","ERR","")) &amp; IF(ISERROR(FIND($H$2,Lines!U29))=TRUE,"",IF('500DC'!U29="","ERR","")) &amp; IF(ISERROR(FIND($I$2,Lines!U29))=TRUE,"",IF('800DC'!U29="","ERR","")) &amp; IF(ISERROR(FIND($J$2,Lines!U29))=TRUE,"",IF('1000'!U29="","ERR",""))</f>
        <v/>
      </c>
      <c r="V29" s="108" t="str">
        <f>IF(ISERROR(FIND($B$2,Lines!V29))=TRUE,"",IF('750'!V29="","ERR","")) &amp; IF(ISERROR(FIND($C$2,Lines!V29))=TRUE,"",IF('500'!V29="","ERR","")) &amp; IF(ISERROR(FIND($D$2,Lines!V29))=TRUE,"",IF('330'!V29="","ERR","")) &amp; IF(ISERROR(FIND($E$2,Lines!V29))=TRUE,"",IF('220'!V29="","ERR",""))&amp; IF(ISERROR(FIND($F$2,Lines!V29))=TRUE,"",IF(AND('500DC'!V29="",'800DC'!V29=""),"ERR","")) &amp; IF(ISERROR(FIND($G$2,Lines!V29))=TRUE,"",IF('1000'!V29="","ERR","")) &amp; IF(ISERROR(FIND($H$2,Lines!V29))=TRUE,"",IF('500DC'!V29="","ERR","")) &amp; IF(ISERROR(FIND($I$2,Lines!V29))=TRUE,"",IF('800DC'!V29="","ERR","")) &amp; IF(ISERROR(FIND($J$2,Lines!V29))=TRUE,"",IF('1000'!V29="","ERR",""))</f>
        <v/>
      </c>
      <c r="W29" s="109" t="str">
        <f>IF(ISERROR(FIND($B$2,Lines!W29))=TRUE,"",IF('750'!W29="","ERR","")) &amp; IF(ISERROR(FIND($C$2,Lines!W29))=TRUE,"",IF('500'!W29="","ERR","")) &amp; IF(ISERROR(FIND($D$2,Lines!W29))=TRUE,"",IF('330'!W29="","ERR","")) &amp; IF(ISERROR(FIND($E$2,Lines!W29))=TRUE,"",IF('220'!W29="","ERR",""))&amp; IF(ISERROR(FIND($F$2,Lines!W29))=TRUE,"",IF(AND('500DC'!W29="",'800DC'!W29=""),"ERR","")) &amp; IF(ISERROR(FIND($G$2,Lines!W29))=TRUE,"",IF('1000'!W29="","ERR","")) &amp; IF(ISERROR(FIND($H$2,Lines!W29))=TRUE,"",IF('500DC'!W29="","ERR","")) &amp; IF(ISERROR(FIND($I$2,Lines!W29))=TRUE,"",IF('800DC'!W29="","ERR","")) &amp; IF(ISERROR(FIND($J$2,Lines!W29))=TRUE,"",IF('1000'!W29="","ERR",""))</f>
        <v/>
      </c>
      <c r="X29" s="122" t="str">
        <f>IF(ISERROR(FIND($B$2,Lines!X29))=TRUE,"",IF('750'!X29="","ERR","")) &amp; IF(ISERROR(FIND($C$2,Lines!X29))=TRUE,"",IF('500'!X29="","ERR","")) &amp; IF(ISERROR(FIND($D$2,Lines!X29))=TRUE,"",IF('330'!X29="","ERR","")) &amp; IF(ISERROR(FIND($E$2,Lines!X29))=TRUE,"",IF('220'!X29="","ERR",""))&amp; IF(ISERROR(FIND($F$2,Lines!X29))=TRUE,"",IF(AND('500DC'!X29="",'800DC'!X29=""),"ERR","")) &amp; IF(ISERROR(FIND($G$2,Lines!X29))=TRUE,"",IF('1000'!X29="","ERR","")) &amp; IF(ISERROR(FIND($H$2,Lines!X29))=TRUE,"",IF('500DC'!X29="","ERR","")) &amp; IF(ISERROR(FIND($I$2,Lines!X29))=TRUE,"",IF('800DC'!X29="","ERR","")) &amp; IF(ISERROR(FIND($J$2,Lines!X29))=TRUE,"",IF('1000'!X29="","ERR",""))</f>
        <v/>
      </c>
      <c r="Y29" s="125" t="str">
        <f>IF(ISERROR(FIND($B$2,Lines!Y29))=TRUE,"",IF('750'!Y29="","ERR","")) &amp; IF(ISERROR(FIND($C$2,Lines!Y29))=TRUE,"",IF('500'!Y29="","ERR","")) &amp; IF(ISERROR(FIND($D$2,Lines!Y29))=TRUE,"",IF('330'!Y29="","ERR","")) &amp; IF(ISERROR(FIND($E$2,Lines!Y29))=TRUE,"",IF('220'!Y29="","ERR",""))&amp; IF(ISERROR(FIND($F$2,Lines!Y29))=TRUE,"",IF(AND('500DC'!Y29="",'800DC'!Y29=""),"ERR","")) &amp; IF(ISERROR(FIND($G$2,Lines!Y29))=TRUE,"",IF('1000'!Y29="","ERR","")) &amp; IF(ISERROR(FIND($H$2,Lines!Y29))=TRUE,"",IF('500DC'!Y29="","ERR","")) &amp; IF(ISERROR(FIND($I$2,Lines!Y29))=TRUE,"",IF('800DC'!Y29="","ERR","")) &amp; IF(ISERROR(FIND($J$2,Lines!Y29))=TRUE,"",IF('1000'!Y29="","ERR",""))</f>
        <v/>
      </c>
      <c r="Z29" s="125" t="str">
        <f>IF(ISERROR(FIND($B$2,Lines!Z29))=TRUE,"",IF('750'!Z29="","ERR","")) &amp; IF(ISERROR(FIND($C$2,Lines!Z29))=TRUE,"",IF('500'!Z29="","ERR","")) &amp; IF(ISERROR(FIND($D$2,Lines!Z29))=TRUE,"",IF('330'!Z29="","ERR","")) &amp; IF(ISERROR(FIND($E$2,Lines!Z29))=TRUE,"",IF('220'!Z29="","ERR",""))&amp; IF(ISERROR(FIND($F$2,Lines!Z29))=TRUE,"",IF(AND('500DC'!Z29="",'800DC'!Z29=""),"ERR","")) &amp; IF(ISERROR(FIND($G$2,Lines!Z29))=TRUE,"",IF('1000'!Z29="","ERR","")) &amp; IF(ISERROR(FIND($H$2,Lines!Z29))=TRUE,"",IF('500DC'!Z29="","ERR","")) &amp; IF(ISERROR(FIND($I$2,Lines!Z29))=TRUE,"",IF('800DC'!Z29="","ERR","")) &amp; IF(ISERROR(FIND($J$2,Lines!Z29))=TRUE,"",IF('1000'!Z29="","ERR",""))</f>
        <v/>
      </c>
      <c r="AA29" s="116" t="str">
        <f>IF(ISERROR(FIND($B$2,Lines!AA29))=TRUE,"",IF('750'!AA29="","ERR","")) &amp; IF(ISERROR(FIND($C$2,Lines!AA29))=TRUE,"",IF('500'!AA29="","ERR","")) &amp; IF(ISERROR(FIND($D$2,Lines!AA29))=TRUE,"",IF('330'!AA29="","ERR","")) &amp; IF(ISERROR(FIND($E$2,Lines!AA29))=TRUE,"",IF('220'!AA29="","ERR",""))&amp; IF(ISERROR(FIND($F$2,Lines!AA29))=TRUE,"",IF(AND('500DC'!AA29="",'800DC'!AA29=""),"ERR","")) &amp; IF(ISERROR(FIND($G$2,Lines!AA29))=TRUE,"",IF('1000'!AA29="","ERR","")) &amp; IF(ISERROR(FIND($H$2,Lines!AA29))=TRUE,"",IF('500DC'!AA29="","ERR","")) &amp; IF(ISERROR(FIND($I$2,Lines!AA29))=TRUE,"",IF('800DC'!AA29="","ERR","")) &amp; IF(ISERROR(FIND($J$2,Lines!AA29))=TRUE,"",IF('1000'!AA29="","ERR",""))</f>
        <v/>
      </c>
      <c r="AB29" s="125" t="str">
        <f>IF(ISERROR(FIND($B$2,Lines!AB29))=TRUE,"",IF('750'!AB29="","ERR","")) &amp; IF(ISERROR(FIND($C$2,Lines!AB29))=TRUE,"",IF('500'!AB29="","ERR","")) &amp; IF(ISERROR(FIND($D$2,Lines!AB29))=TRUE,"",IF('330'!AB29="","ERR","")) &amp; IF(ISERROR(FIND($E$2,Lines!AB29))=TRUE,"",IF('220'!AB29="","ERR",""))&amp; IF(ISERROR(FIND($F$2,Lines!AB29))=TRUE,"",IF(AND('500DC'!AB29="",'800DC'!AB29=""),"ERR","")) &amp; IF(ISERROR(FIND($G$2,Lines!AB29))=TRUE,"",IF('1000'!AB29="","ERR","")) &amp; IF(ISERROR(FIND($H$2,Lines!AB29))=TRUE,"",IF('500DC'!AB29="","ERR","")) &amp; IF(ISERROR(FIND($I$2,Lines!AB29))=TRUE,"",IF('800DC'!AB29="","ERR","")) &amp; IF(ISERROR(FIND($J$2,Lines!AB29))=TRUE,"",IF('1000'!AB29="","ERR",""))</f>
        <v/>
      </c>
      <c r="AC29" s="125" t="str">
        <f>IF(ISERROR(FIND($B$2,Lines!AC29))=TRUE,"",IF('750'!AC29="","ERR","")) &amp; IF(ISERROR(FIND($C$2,Lines!AC29))=TRUE,"",IF('500'!AC29="","ERR","")) &amp; IF(ISERROR(FIND($D$2,Lines!AC29))=TRUE,"",IF('330'!AC29="","ERR","")) &amp; IF(ISERROR(FIND($E$2,Lines!AC29))=TRUE,"",IF('220'!AC29="","ERR",""))&amp; IF(ISERROR(FIND($F$2,Lines!AC29))=TRUE,"",IF(AND('500DC'!AC29="",'800DC'!AC29=""),"ERR","")) &amp; IF(ISERROR(FIND($G$2,Lines!AC29))=TRUE,"",IF('1000'!AC29="","ERR","")) &amp; IF(ISERROR(FIND($H$2,Lines!AC29))=TRUE,"",IF('500DC'!AC29="","ERR","")) &amp; IF(ISERROR(FIND($I$2,Lines!AC29))=TRUE,"",IF('800DC'!AC29="","ERR","")) &amp; IF(ISERROR(FIND($J$2,Lines!AC29))=TRUE,"",IF('1000'!AC29="","ERR",""))</f>
        <v>ERR</v>
      </c>
      <c r="AD29" s="126" t="str">
        <f>IF(ISERROR(FIND($B$2,Lines!AD29))=TRUE,"",IF('750'!AD29="","ERR","")) &amp; IF(ISERROR(FIND($C$2,Lines!AD29))=TRUE,"",IF('500'!AD29="","ERR","")) &amp; IF(ISERROR(FIND($D$2,Lines!AD29))=TRUE,"",IF('330'!AD29="","ERR","")) &amp; IF(ISERROR(FIND($E$2,Lines!AD29))=TRUE,"",IF('220'!AD29="","ERR",""))&amp; IF(ISERROR(FIND($F$2,Lines!AD29))=TRUE,"",IF(AND('500DC'!AD29="",'800DC'!AD29=""),"ERR","")) &amp; IF(ISERROR(FIND($G$2,Lines!AD29))=TRUE,"",IF('1000'!AD29="","ERR","")) &amp; IF(ISERROR(FIND($H$2,Lines!AD29))=TRUE,"",IF('500DC'!AD29="","ERR","")) &amp; IF(ISERROR(FIND($I$2,Lines!AD29))=TRUE,"",IF('800DC'!AD29="","ERR","")) &amp; IF(ISERROR(FIND($J$2,Lines!AD29))=TRUE,"",IF('1000'!AD29="","ERR",""))</f>
        <v/>
      </c>
      <c r="AE29" s="108" t="str">
        <f>IF(ISERROR(FIND($B$2,Lines!AE29))=TRUE,"",IF('750'!AE29="","ERR","")) &amp; IF(ISERROR(FIND($C$2,Lines!AE29))=TRUE,"",IF('500'!AE29="","ERR","")) &amp; IF(ISERROR(FIND($D$2,Lines!AE29))=TRUE,"",IF('330'!AE29="","ERR","")) &amp; IF(ISERROR(FIND($E$2,Lines!AE29))=TRUE,"",IF('220'!AE29="","ERR",""))&amp; IF(ISERROR(FIND($F$2,Lines!AE29))=TRUE,"",IF(AND('500DC'!AE29="",'800DC'!AE29=""),"ERR","")) &amp; IF(ISERROR(FIND($G$2,Lines!AE29))=TRUE,"",IF('1000'!AE29="","ERR","")) &amp; IF(ISERROR(FIND($H$2,Lines!AE29))=TRUE,"",IF('500DC'!AE29="","ERR","")) &amp; IF(ISERROR(FIND($I$2,Lines!AE29))=TRUE,"",IF('800DC'!AE29="","ERR","")) &amp; IF(ISERROR(FIND($J$2,Lines!AE29))=TRUE,"",IF('1000'!AE29="","ERR",""))</f>
        <v/>
      </c>
      <c r="AF29" s="108" t="str">
        <f>IF(ISERROR(FIND($B$2,Lines!AF29))=TRUE,"",IF('750'!AF29="","ERR","")) &amp; IF(ISERROR(FIND($C$2,Lines!AF29))=TRUE,"",IF('500'!AF29="","ERR","")) &amp; IF(ISERROR(FIND($D$2,Lines!AF29))=TRUE,"",IF('330'!AF29="","ERR","")) &amp; IF(ISERROR(FIND($E$2,Lines!AF29))=TRUE,"",IF('220'!AF29="","ERR",""))&amp; IF(ISERROR(FIND($F$2,Lines!AF29))=TRUE,"",IF(AND('500DC'!AF29="",'800DC'!AF29=""),"ERR","")) &amp; IF(ISERROR(FIND($G$2,Lines!AF29))=TRUE,"",IF('1000'!AF29="","ERR","")) &amp; IF(ISERROR(FIND($H$2,Lines!AF29))=TRUE,"",IF('500DC'!AF29="","ERR","")) &amp; IF(ISERROR(FIND($I$2,Lines!AF29))=TRUE,"",IF('800DC'!AF29="","ERR","")) &amp; IF(ISERROR(FIND($J$2,Lines!AF29))=TRUE,"",IF('1000'!AF29="","ERR",""))</f>
        <v/>
      </c>
      <c r="AG29" s="108" t="str">
        <f>IF(ISERROR(FIND($B$2,Lines!AG29))=TRUE,"",IF('750'!AG29="","ERR","")) &amp; IF(ISERROR(FIND($C$2,Lines!AG29))=TRUE,"",IF('500'!AG29="","ERR","")) &amp; IF(ISERROR(FIND($D$2,Lines!AG29))=TRUE,"",IF('330'!AG29="","ERR","")) &amp; IF(ISERROR(FIND($E$2,Lines!AG29))=TRUE,"",IF('220'!AG29="","ERR",""))&amp; IF(ISERROR(FIND($F$2,Lines!AG29))=TRUE,"",IF(AND('500DC'!AG29="",'800DC'!AG29=""),"ERR","")) &amp; IF(ISERROR(FIND($G$2,Lines!AG29))=TRUE,"",IF('1000'!AG29="","ERR","")) &amp; IF(ISERROR(FIND($H$2,Lines!AG29))=TRUE,"",IF('500DC'!AG29="","ERR","")) &amp; IF(ISERROR(FIND($I$2,Lines!AG29))=TRUE,"",IF('800DC'!AG29="","ERR","")) &amp; IF(ISERROR(FIND($J$2,Lines!AG29))=TRUE,"",IF('1000'!AG29="","ERR",""))</f>
        <v/>
      </c>
      <c r="AH29" s="108" t="str">
        <f>IF(ISERROR(FIND($B$2,Lines!AH29))=TRUE,"",IF('750'!AH29="","ERR","")) &amp; IF(ISERROR(FIND($C$2,Lines!AH29))=TRUE,"",IF('500'!AH29="","ERR","")) &amp; IF(ISERROR(FIND($D$2,Lines!AH29))=TRUE,"",IF('330'!AH29="","ERR","")) &amp; IF(ISERROR(FIND($E$2,Lines!AH29))=TRUE,"",IF('220'!AH29="","ERR",""))&amp; IF(ISERROR(FIND($F$2,Lines!AH29))=TRUE,"",IF(AND('500DC'!AH29="",'800DC'!AH29=""),"ERR","")) &amp; IF(ISERROR(FIND($G$2,Lines!AH29))=TRUE,"",IF('1000'!AH29="","ERR","")) &amp; IF(ISERROR(FIND($H$2,Lines!AH29))=TRUE,"",IF('500DC'!AH29="","ERR","")) &amp; IF(ISERROR(FIND($I$2,Lines!AH29))=TRUE,"",IF('800DC'!AH29="","ERR","")) &amp; IF(ISERROR(FIND($J$2,Lines!AH29))=TRUE,"",IF('1000'!AH29="","ERR",""))</f>
        <v/>
      </c>
      <c r="AI29" s="108" t="str">
        <f>IF(ISERROR(FIND($B$2,Lines!AI29))=TRUE,"",IF('750'!AI29="","ERR","")) &amp; IF(ISERROR(FIND($C$2,Lines!AI29))=TRUE,"",IF('500'!AI29="","ERR","")) &amp; IF(ISERROR(FIND($D$2,Lines!AI29))=TRUE,"",IF('330'!AI29="","ERR","")) &amp; IF(ISERROR(FIND($E$2,Lines!AI29))=TRUE,"",IF('220'!AI29="","ERR",""))&amp; IF(ISERROR(FIND($F$2,Lines!AI29))=TRUE,"",IF(AND('500DC'!AI29="",'800DC'!AI29=""),"ERR","")) &amp; IF(ISERROR(FIND($G$2,Lines!AI29))=TRUE,"",IF('1000'!AI29="","ERR","")) &amp; IF(ISERROR(FIND($H$2,Lines!AI29))=TRUE,"",IF('500DC'!AI29="","ERR","")) &amp; IF(ISERROR(FIND($I$2,Lines!AI29))=TRUE,"",IF('800DC'!AI29="","ERR","")) &amp; IF(ISERROR(FIND($J$2,Lines!AI29))=TRUE,"",IF('1000'!AI29="","ERR",""))</f>
        <v/>
      </c>
      <c r="AJ29" s="108" t="str">
        <f>IF(ISERROR(FIND($B$2,Lines!AJ29))=TRUE,"",IF('750'!AJ29="","ERR","")) &amp; IF(ISERROR(FIND($C$2,Lines!AJ29))=TRUE,"",IF('500'!AJ29="","ERR","")) &amp; IF(ISERROR(FIND($D$2,Lines!AJ29))=TRUE,"",IF('330'!AJ29="","ERR","")) &amp; IF(ISERROR(FIND($E$2,Lines!AJ29))=TRUE,"",IF('220'!AJ29="","ERR",""))&amp; IF(ISERROR(FIND($F$2,Lines!AJ29))=TRUE,"",IF(AND('500DC'!AJ29="",'800DC'!AJ29=""),"ERR","")) &amp; IF(ISERROR(FIND($G$2,Lines!AJ29))=TRUE,"",IF('1000'!AJ29="","ERR","")) &amp; IF(ISERROR(FIND($H$2,Lines!AJ29))=TRUE,"",IF('500DC'!AJ29="","ERR","")) &amp; IF(ISERROR(FIND($I$2,Lines!AJ29))=TRUE,"",IF('800DC'!AJ29="","ERR","")) &amp; IF(ISERROR(FIND($J$2,Lines!AJ29))=TRUE,"",IF('1000'!AJ29="","ERR",""))</f>
        <v/>
      </c>
      <c r="AK29" s="108" t="str">
        <f>IF(ISERROR(FIND($B$2,Lines!AK29))=TRUE,"",IF('750'!AK29="","ERR","")) &amp; IF(ISERROR(FIND($C$2,Lines!AK29))=TRUE,"",IF('500'!AK29="","ERR","")) &amp; IF(ISERROR(FIND($D$2,Lines!AK29))=TRUE,"",IF('330'!AK29="","ERR","")) &amp; IF(ISERROR(FIND($E$2,Lines!AK29))=TRUE,"",IF('220'!AK29="","ERR",""))&amp; IF(ISERROR(FIND($F$2,Lines!AK29))=TRUE,"",IF(AND('500DC'!AK29="",'800DC'!AK29=""),"ERR","")) &amp; IF(ISERROR(FIND($G$2,Lines!AK29))=TRUE,"",IF('1000'!AK29="","ERR","")) &amp; IF(ISERROR(FIND($H$2,Lines!AK29))=TRUE,"",IF('500DC'!AK29="","ERR","")) &amp; IF(ISERROR(FIND($I$2,Lines!AK29))=TRUE,"",IF('800DC'!AK29="","ERR","")) &amp; IF(ISERROR(FIND($J$2,Lines!AK29))=TRUE,"",IF('1000'!AK29="","ERR",""))</f>
        <v/>
      </c>
      <c r="AL29" s="108" t="str">
        <f>IF(ISERROR(FIND($B$2,Lines!AL29))=TRUE,"",IF('750'!AL29="","ERR","")) &amp; IF(ISERROR(FIND($C$2,Lines!AL29))=TRUE,"",IF('500'!AL29="","ERR","")) &amp; IF(ISERROR(FIND($D$2,Lines!AL29))=TRUE,"",IF('330'!AL29="","ERR","")) &amp; IF(ISERROR(FIND($E$2,Lines!AL29))=TRUE,"",IF('220'!AL29="","ERR",""))&amp; IF(ISERROR(FIND($F$2,Lines!AL29))=TRUE,"",IF(AND('500DC'!AL29="",'800DC'!AL29=""),"ERR","")) &amp; IF(ISERROR(FIND($G$2,Lines!AL29))=TRUE,"",IF('1000'!AL29="","ERR","")) &amp; IF(ISERROR(FIND($H$2,Lines!AL29))=TRUE,"",IF('500DC'!AL29="","ERR","")) &amp; IF(ISERROR(FIND($I$2,Lines!AL29))=TRUE,"",IF('800DC'!AL29="","ERR","")) &amp; IF(ISERROR(FIND($J$2,Lines!AL29))=TRUE,"",IF('1000'!AL29="","ERR",""))</f>
        <v/>
      </c>
      <c r="AM29" s="108" t="str">
        <f>IF(ISERROR(FIND($B$2,Lines!AM29))=TRUE,"",IF('750'!AM29="","ERR","")) &amp; IF(ISERROR(FIND($C$2,Lines!AM29))=TRUE,"",IF('500'!AM29="","ERR","")) &amp; IF(ISERROR(FIND($D$2,Lines!AM29))=TRUE,"",IF('330'!AM29="","ERR","")) &amp; IF(ISERROR(FIND($E$2,Lines!AM29))=TRUE,"",IF('220'!AM29="","ERR",""))&amp; IF(ISERROR(FIND($F$2,Lines!AM29))=TRUE,"",IF(AND('500DC'!AM29="",'800DC'!AM29=""),"ERR","")) &amp; IF(ISERROR(FIND($G$2,Lines!AM29))=TRUE,"",IF('1000'!AM29="","ERR","")) &amp; IF(ISERROR(FIND($H$2,Lines!AM29))=TRUE,"",IF('500DC'!AM29="","ERR","")) &amp; IF(ISERROR(FIND($I$2,Lines!AM29))=TRUE,"",IF('800DC'!AM29="","ERR","")) &amp; IF(ISERROR(FIND($J$2,Lines!AM29))=TRUE,"",IF('1000'!AM29="","ERR",""))</f>
        <v/>
      </c>
      <c r="AN29" s="108" t="str">
        <f>IF(ISERROR(FIND($B$2,Lines!AN29))=TRUE,"",IF('750'!AN29="","ERR","")) &amp; IF(ISERROR(FIND($C$2,Lines!AN29))=TRUE,"",IF('500'!AN29="","ERR","")) &amp; IF(ISERROR(FIND($D$2,Lines!AN29))=TRUE,"",IF('330'!AN29="","ERR","")) &amp; IF(ISERROR(FIND($E$2,Lines!AN29))=TRUE,"",IF('220'!AN29="","ERR",""))&amp; IF(ISERROR(FIND($F$2,Lines!AN29))=TRUE,"",IF(AND('500DC'!AN29="",'800DC'!AN29=""),"ERR","")) &amp; IF(ISERROR(FIND($G$2,Lines!AN29))=TRUE,"",IF('1000'!AN29="","ERR","")) &amp; IF(ISERROR(FIND($H$2,Lines!AN29))=TRUE,"",IF('500DC'!AN29="","ERR","")) &amp; IF(ISERROR(FIND($I$2,Lines!AN29))=TRUE,"",IF('800DC'!AN29="","ERR","")) &amp; IF(ISERROR(FIND($J$2,Lines!AN29))=TRUE,"",IF('1000'!AN29="","ERR",""))</f>
        <v/>
      </c>
      <c r="AO29" s="108" t="str">
        <f>IF(ISERROR(FIND($B$2,Lines!AO29))=TRUE,"",IF('750'!AO29="","ERR","")) &amp; IF(ISERROR(FIND($C$2,Lines!AO29))=TRUE,"",IF('500'!AO29="","ERR","")) &amp; IF(ISERROR(FIND($D$2,Lines!AO29))=TRUE,"",IF('330'!AO29="","ERR","")) &amp; IF(ISERROR(FIND($E$2,Lines!AO29))=TRUE,"",IF('220'!AO29="","ERR",""))&amp; IF(ISERROR(FIND($F$2,Lines!AO29))=TRUE,"",IF(AND('500DC'!AO29="",'800DC'!AO29=""),"ERR","")) &amp; IF(ISERROR(FIND($G$2,Lines!AO29))=TRUE,"",IF('1000'!AO29="","ERR","")) &amp; IF(ISERROR(FIND($H$2,Lines!AO29))=TRUE,"",IF('500DC'!AO29="","ERR","")) &amp; IF(ISERROR(FIND($I$2,Lines!AO29))=TRUE,"",IF('800DC'!AO29="","ERR","")) &amp; IF(ISERROR(FIND($J$2,Lines!AO29))=TRUE,"",IF('1000'!AO29="","ERR",""))</f>
        <v/>
      </c>
      <c r="AP29" s="108" t="str">
        <f>IF(ISERROR(FIND($B$2,Lines!AP29))=TRUE,"",IF('750'!AP29="","ERR","")) &amp; IF(ISERROR(FIND($C$2,Lines!AP29))=TRUE,"",IF('500'!AP29="","ERR","")) &amp; IF(ISERROR(FIND($D$2,Lines!AP29))=TRUE,"",IF('330'!AP29="","ERR","")) &amp; IF(ISERROR(FIND($E$2,Lines!AP29))=TRUE,"",IF('220'!AP29="","ERR",""))&amp; IF(ISERROR(FIND($F$2,Lines!AP29))=TRUE,"",IF(AND('500DC'!AP29="",'800DC'!AP29=""),"ERR","")) &amp; IF(ISERROR(FIND($G$2,Lines!AP29))=TRUE,"",IF('1000'!AP29="","ERR","")) &amp; IF(ISERROR(FIND($H$2,Lines!AP29))=TRUE,"",IF('500DC'!AP29="","ERR","")) &amp; IF(ISERROR(FIND($I$2,Lines!AP29))=TRUE,"",IF('800DC'!AP29="","ERR","")) &amp; IF(ISERROR(FIND($J$2,Lines!AP29))=TRUE,"",IF('1000'!AP29="","ERR",""))</f>
        <v/>
      </c>
      <c r="AQ29" s="108" t="str">
        <f>IF(ISERROR(FIND($B$2,Lines!AQ29))=TRUE,"",IF('750'!AQ29="","ERR","")) &amp; IF(ISERROR(FIND($C$2,Lines!AQ29))=TRUE,"",IF('500'!AQ29="","ERR","")) &amp; IF(ISERROR(FIND($D$2,Lines!AQ29))=TRUE,"",IF('330'!AQ29="","ERR","")) &amp; IF(ISERROR(FIND($E$2,Lines!AQ29))=TRUE,"",IF('220'!AQ29="","ERR",""))&amp; IF(ISERROR(FIND($F$2,Lines!AQ29))=TRUE,"",IF(AND('500DC'!AQ29="",'800DC'!AQ29=""),"ERR","")) &amp; IF(ISERROR(FIND($G$2,Lines!AQ29))=TRUE,"",IF('1000'!AQ29="","ERR","")) &amp; IF(ISERROR(FIND($H$2,Lines!AQ29))=TRUE,"",IF('500DC'!AQ29="","ERR","")) &amp; IF(ISERROR(FIND($I$2,Lines!AQ29))=TRUE,"",IF('800DC'!AQ29="","ERR","")) &amp; IF(ISERROR(FIND($J$2,Lines!AQ29))=TRUE,"",IF('1000'!AQ29="","ERR",""))</f>
        <v/>
      </c>
      <c r="AR29" s="108" t="str">
        <f>IF(ISERROR(FIND($B$2,Lines!AR29))=TRUE,"",IF('750'!AR29="","ERR","")) &amp; IF(ISERROR(FIND($C$2,Lines!AR29))=TRUE,"",IF('500'!AR29="","ERR","")) &amp; IF(ISERROR(FIND($D$2,Lines!AR29))=TRUE,"",IF('330'!AR29="","ERR","")) &amp; IF(ISERROR(FIND($E$2,Lines!AR29))=TRUE,"",IF('220'!AR29="","ERR",""))&amp; IF(ISERROR(FIND($F$2,Lines!AR29))=TRUE,"",IF(AND('500DC'!AR29="",'800DC'!AR29=""),"ERR","")) &amp; IF(ISERROR(FIND($G$2,Lines!AR29))=TRUE,"",IF('1000'!AR29="","ERR","")) &amp; IF(ISERROR(FIND($H$2,Lines!AR29))=TRUE,"",IF('500DC'!AR29="","ERR","")) &amp; IF(ISERROR(FIND($I$2,Lines!AR29))=TRUE,"",IF('800DC'!AR29="","ERR","")) &amp; IF(ISERROR(FIND($J$2,Lines!AR29))=TRUE,"",IF('1000'!AR29="","ERR",""))</f>
        <v/>
      </c>
      <c r="AS29" s="108" t="str">
        <f>IF(ISERROR(FIND($B$2,Lines!AS29))=TRUE,"",IF('750'!AS29="","ERR","")) &amp; IF(ISERROR(FIND($C$2,Lines!AS29))=TRUE,"",IF('500'!AS29="","ERR","")) &amp; IF(ISERROR(FIND($D$2,Lines!AS29))=TRUE,"",IF('330'!AS29="","ERR","")) &amp; IF(ISERROR(FIND($E$2,Lines!AS29))=TRUE,"",IF('220'!AS29="","ERR",""))&amp; IF(ISERROR(FIND($F$2,Lines!AS29))=TRUE,"",IF(AND('500DC'!AS29="",'800DC'!AS29=""),"ERR","")) &amp; IF(ISERROR(FIND($G$2,Lines!AS29))=TRUE,"",IF('1000'!AS29="","ERR","")) &amp; IF(ISERROR(FIND($H$2,Lines!AS29))=TRUE,"",IF('500DC'!AS29="","ERR","")) &amp; IF(ISERROR(FIND($I$2,Lines!AS29))=TRUE,"",IF('800DC'!AS29="","ERR","")) &amp; IF(ISERROR(FIND($J$2,Lines!AS29))=TRUE,"",IF('1000'!AS29="","ERR",""))</f>
        <v/>
      </c>
      <c r="AT29" s="108" t="str">
        <f>IF(ISERROR(FIND($B$2,Lines!AT29))=TRUE,"",IF('750'!AT29="","ERR","")) &amp; IF(ISERROR(FIND($C$2,Lines!AT29))=TRUE,"",IF('500'!AT29="","ERR","")) &amp; IF(ISERROR(FIND($D$2,Lines!AT29))=TRUE,"",IF('330'!AT29="","ERR","")) &amp; IF(ISERROR(FIND($E$2,Lines!AT29))=TRUE,"",IF('220'!AT29="","ERR",""))&amp; IF(ISERROR(FIND($F$2,Lines!AT29))=TRUE,"",IF(AND('500DC'!AT29="",'800DC'!AT29=""),"ERR","")) &amp; IF(ISERROR(FIND($G$2,Lines!AT29))=TRUE,"",IF('1000'!AT29="","ERR","")) &amp; IF(ISERROR(FIND($H$2,Lines!AT29))=TRUE,"",IF('500DC'!AT29="","ERR","")) &amp; IF(ISERROR(FIND($I$2,Lines!AT29))=TRUE,"",IF('800DC'!AT29="","ERR","")) &amp; IF(ISERROR(FIND($J$2,Lines!AT29))=TRUE,"",IF('1000'!AT29="","ERR",""))</f>
        <v/>
      </c>
    </row>
    <row r="30" spans="1:46" ht="20.25" customHeight="1">
      <c r="A30" s="2" t="s">
        <v>78</v>
      </c>
      <c r="B30" s="108" t="str">
        <f>IF(ISERROR(FIND($B$2,Lines!B30))=TRUE,"",IF('750'!B30="","ERR","")) &amp; IF(ISERROR(FIND($C$2,Lines!B30))=TRUE,"",IF('500'!B30="","ERR","")) &amp; IF(ISERROR(FIND($D$2,Lines!B30))=TRUE,"",IF('330'!B30="","ERR","")) &amp; IF(ISERROR(FIND($E$2,Lines!B30))=TRUE,"",IF('220'!B30="","ERR",""))&amp; IF(ISERROR(FIND($F$2,Lines!B30))=TRUE,"",IF(AND('500DC'!B30="",'800DC'!B30=""),"ERR","")) &amp; IF(ISERROR(FIND($G$2,Lines!B30))=TRUE,"",IF('1000'!B30="","ERR","")) &amp; IF(ISERROR(FIND($H$2,Lines!B30))=TRUE,"",IF('500DC'!B30="","ERR","")) &amp; IF(ISERROR(FIND($I$2,Lines!B30))=TRUE,"",IF('800DC'!B30="","ERR","")) &amp; IF(ISERROR(FIND($J$2,Lines!B30))=TRUE,"",IF('1000'!B30="","ERR",""))</f>
        <v/>
      </c>
      <c r="C30" s="108" t="str">
        <f>IF(ISERROR(FIND($B$2,Lines!C30))=TRUE,"",IF('750'!C30="","ERR","")) &amp; IF(ISERROR(FIND($C$2,Lines!C30))=TRUE,"",IF('500'!C30="","ERR","")) &amp; IF(ISERROR(FIND($D$2,Lines!C30))=TRUE,"",IF('330'!C30="","ERR","")) &amp; IF(ISERROR(FIND($E$2,Lines!C30))=TRUE,"",IF('220'!C30="","ERR",""))&amp; IF(ISERROR(FIND($F$2,Lines!C30))=TRUE,"",IF(AND('500DC'!C30="",'800DC'!C30=""),"ERR","")) &amp; IF(ISERROR(FIND($G$2,Lines!C30))=TRUE,"",IF('1000'!C30="","ERR","")) &amp; IF(ISERROR(FIND($H$2,Lines!C30))=TRUE,"",IF('500DC'!C30="","ERR","")) &amp; IF(ISERROR(FIND($I$2,Lines!C30))=TRUE,"",IF('800DC'!C30="","ERR","")) &amp; IF(ISERROR(FIND($J$2,Lines!C30))=TRUE,"",IF('1000'!C30="","ERR",""))</f>
        <v/>
      </c>
      <c r="D30" s="108" t="str">
        <f>IF(ISERROR(FIND($B$2,Lines!D30))=TRUE,"",IF('750'!D30="","ERR","")) &amp; IF(ISERROR(FIND($C$2,Lines!D30))=TRUE,"",IF('500'!D30="","ERR","")) &amp; IF(ISERROR(FIND($D$2,Lines!D30))=TRUE,"",IF('330'!D30="","ERR","")) &amp; IF(ISERROR(FIND($E$2,Lines!D30))=TRUE,"",IF('220'!D30="","ERR",""))&amp; IF(ISERROR(FIND($F$2,Lines!D30))=TRUE,"",IF(AND('500DC'!D30="",'800DC'!D30=""),"ERR","")) &amp; IF(ISERROR(FIND($G$2,Lines!D30))=TRUE,"",IF('1000'!D30="","ERR","")) &amp; IF(ISERROR(FIND($H$2,Lines!D30))=TRUE,"",IF('500DC'!D30="","ERR","")) &amp; IF(ISERROR(FIND($I$2,Lines!D30))=TRUE,"",IF('800DC'!D30="","ERR","")) &amp; IF(ISERROR(FIND($J$2,Lines!D30))=TRUE,"",IF('1000'!D30="","ERR",""))</f>
        <v/>
      </c>
      <c r="E30" s="108" t="str">
        <f>IF(ISERROR(FIND($B$2,Lines!E30))=TRUE,"",IF('750'!E30="","ERR","")) &amp; IF(ISERROR(FIND($C$2,Lines!E30))=TRUE,"",IF('500'!E30="","ERR","")) &amp; IF(ISERROR(FIND($D$2,Lines!E30))=TRUE,"",IF('330'!E30="","ERR","")) &amp; IF(ISERROR(FIND($E$2,Lines!E30))=TRUE,"",IF('220'!E30="","ERR",""))&amp; IF(ISERROR(FIND($F$2,Lines!E30))=TRUE,"",IF(AND('500DC'!E30="",'800DC'!E30=""),"ERR","")) &amp; IF(ISERROR(FIND($G$2,Lines!E30))=TRUE,"",IF('1000'!E30="","ERR","")) &amp; IF(ISERROR(FIND($H$2,Lines!E30))=TRUE,"",IF('500DC'!E30="","ERR","")) &amp; IF(ISERROR(FIND($I$2,Lines!E30))=TRUE,"",IF('800DC'!E30="","ERR","")) &amp; IF(ISERROR(FIND($J$2,Lines!E30))=TRUE,"",IF('1000'!E30="","ERR",""))</f>
        <v/>
      </c>
      <c r="F30" s="108" t="str">
        <f>IF(ISERROR(FIND($B$2,Lines!F30))=TRUE,"",IF('750'!F30="","ERR","")) &amp; IF(ISERROR(FIND($C$2,Lines!F30))=TRUE,"",IF('500'!F30="","ERR","")) &amp; IF(ISERROR(FIND($D$2,Lines!F30))=TRUE,"",IF('330'!F30="","ERR","")) &amp; IF(ISERROR(FIND($E$2,Lines!F30))=TRUE,"",IF('220'!F30="","ERR",""))&amp; IF(ISERROR(FIND($F$2,Lines!F30))=TRUE,"",IF(AND('500DC'!F30="",'800DC'!F30=""),"ERR","")) &amp; IF(ISERROR(FIND($G$2,Lines!F30))=TRUE,"",IF('1000'!F30="","ERR","")) &amp; IF(ISERROR(FIND($H$2,Lines!F30))=TRUE,"",IF('500DC'!F30="","ERR","")) &amp; IF(ISERROR(FIND($I$2,Lines!F30))=TRUE,"",IF('800DC'!F30="","ERR","")) &amp; IF(ISERROR(FIND($J$2,Lines!F30))=TRUE,"",IF('1000'!F30="","ERR",""))</f>
        <v/>
      </c>
      <c r="G30" s="108" t="str">
        <f>IF(ISERROR(FIND($B$2,Lines!G30))=TRUE,"",IF('750'!G30="","ERR","")) &amp; IF(ISERROR(FIND($C$2,Lines!G30))=TRUE,"",IF('500'!G30="","ERR","")) &amp; IF(ISERROR(FIND($D$2,Lines!G30))=TRUE,"",IF('330'!G30="","ERR","")) &amp; IF(ISERROR(FIND($E$2,Lines!G30))=TRUE,"",IF('220'!G30="","ERR",""))&amp; IF(ISERROR(FIND($F$2,Lines!G30))=TRUE,"",IF(AND('500DC'!G30="",'800DC'!G30=""),"ERR","")) &amp; IF(ISERROR(FIND($G$2,Lines!G30))=TRUE,"",IF('1000'!G30="","ERR","")) &amp; IF(ISERROR(FIND($H$2,Lines!G30))=TRUE,"",IF('500DC'!G30="","ERR","")) &amp; IF(ISERROR(FIND($I$2,Lines!G30))=TRUE,"",IF('800DC'!G30="","ERR","")) &amp; IF(ISERROR(FIND($J$2,Lines!G30))=TRUE,"",IF('1000'!G30="","ERR",""))</f>
        <v/>
      </c>
      <c r="H30" s="108" t="str">
        <f>IF(ISERROR(FIND($B$2,Lines!H30))=TRUE,"",IF('750'!H30="","ERR","")) &amp; IF(ISERROR(FIND($C$2,Lines!H30))=TRUE,"",IF('500'!H30="","ERR","")) &amp; IF(ISERROR(FIND($D$2,Lines!H30))=TRUE,"",IF('330'!H30="","ERR","")) &amp; IF(ISERROR(FIND($E$2,Lines!H30))=TRUE,"",IF('220'!H30="","ERR",""))&amp; IF(ISERROR(FIND($F$2,Lines!H30))=TRUE,"",IF(AND('500DC'!H30="",'800DC'!H30=""),"ERR","")) &amp; IF(ISERROR(FIND($G$2,Lines!H30))=TRUE,"",IF('1000'!H30="","ERR","")) &amp; IF(ISERROR(FIND($H$2,Lines!H30))=TRUE,"",IF('500DC'!H30="","ERR","")) &amp; IF(ISERROR(FIND($I$2,Lines!H30))=TRUE,"",IF('800DC'!H30="","ERR","")) &amp; IF(ISERROR(FIND($J$2,Lines!H30))=TRUE,"",IF('1000'!H30="","ERR",""))</f>
        <v/>
      </c>
      <c r="I30" s="108" t="str">
        <f>IF(ISERROR(FIND($B$2,Lines!I30))=TRUE,"",IF('750'!I30="","ERR","")) &amp; IF(ISERROR(FIND($C$2,Lines!I30))=TRUE,"",IF('500'!I30="","ERR","")) &amp; IF(ISERROR(FIND($D$2,Lines!I30))=TRUE,"",IF('330'!I30="","ERR","")) &amp; IF(ISERROR(FIND($E$2,Lines!I30))=TRUE,"",IF('220'!I30="","ERR",""))&amp; IF(ISERROR(FIND($F$2,Lines!I30))=TRUE,"",IF(AND('500DC'!I30="",'800DC'!I30=""),"ERR","")) &amp; IF(ISERROR(FIND($G$2,Lines!I30))=TRUE,"",IF('1000'!I30="","ERR","")) &amp; IF(ISERROR(FIND($H$2,Lines!I30))=TRUE,"",IF('500DC'!I30="","ERR","")) &amp; IF(ISERROR(FIND($I$2,Lines!I30))=TRUE,"",IF('800DC'!I30="","ERR","")) &amp; IF(ISERROR(FIND($J$2,Lines!I30))=TRUE,"",IF('1000'!I30="","ERR",""))</f>
        <v/>
      </c>
      <c r="J30" s="108" t="str">
        <f>IF(ISERROR(FIND($B$2,Lines!J30))=TRUE,"",IF('750'!J30="","ERR","")) &amp; IF(ISERROR(FIND($C$2,Lines!J30))=TRUE,"",IF('500'!J30="","ERR","")) &amp; IF(ISERROR(FIND($D$2,Lines!J30))=TRUE,"",IF('330'!J30="","ERR","")) &amp; IF(ISERROR(FIND($E$2,Lines!J30))=TRUE,"",IF('220'!J30="","ERR",""))&amp; IF(ISERROR(FIND($F$2,Lines!J30))=TRUE,"",IF(AND('500DC'!J30="",'800DC'!J30=""),"ERR","")) &amp; IF(ISERROR(FIND($G$2,Lines!J30))=TRUE,"",IF('1000'!J30="","ERR","")) &amp; IF(ISERROR(FIND($H$2,Lines!J30))=TRUE,"",IF('500DC'!J30="","ERR","")) &amp; IF(ISERROR(FIND($I$2,Lines!J30))=TRUE,"",IF('800DC'!J30="","ERR","")) &amp; IF(ISERROR(FIND($J$2,Lines!J30))=TRUE,"",IF('1000'!J30="","ERR",""))</f>
        <v/>
      </c>
      <c r="K30" s="108" t="str">
        <f>IF(ISERROR(FIND($B$2,Lines!K30))=TRUE,"",IF('750'!K30="","ERR","")) &amp; IF(ISERROR(FIND($C$2,Lines!K30))=TRUE,"",IF('500'!K30="","ERR","")) &amp; IF(ISERROR(FIND($D$2,Lines!K30))=TRUE,"",IF('330'!K30="","ERR","")) &amp; IF(ISERROR(FIND($E$2,Lines!K30))=TRUE,"",IF('220'!K30="","ERR",""))&amp; IF(ISERROR(FIND($F$2,Lines!K30))=TRUE,"",IF(AND('500DC'!K30="",'800DC'!K30=""),"ERR","")) &amp; IF(ISERROR(FIND($G$2,Lines!K30))=TRUE,"",IF('1000'!K30="","ERR","")) &amp; IF(ISERROR(FIND($H$2,Lines!K30))=TRUE,"",IF('500DC'!K30="","ERR","")) &amp; IF(ISERROR(FIND($I$2,Lines!K30))=TRUE,"",IF('800DC'!K30="","ERR","")) &amp; IF(ISERROR(FIND($J$2,Lines!K30))=TRUE,"",IF('1000'!K30="","ERR",""))</f>
        <v/>
      </c>
      <c r="L30" s="108" t="str">
        <f>IF(ISERROR(FIND($B$2,Lines!L30))=TRUE,"",IF('750'!L30="","ERR","")) &amp; IF(ISERROR(FIND($C$2,Lines!L30))=TRUE,"",IF('500'!L30="","ERR","")) &amp; IF(ISERROR(FIND($D$2,Lines!L30))=TRUE,"",IF('330'!L30="","ERR","")) &amp; IF(ISERROR(FIND($E$2,Lines!L30))=TRUE,"",IF('220'!L30="","ERR",""))&amp; IF(ISERROR(FIND($F$2,Lines!L30))=TRUE,"",IF(AND('500DC'!L30="",'800DC'!L30=""),"ERR","")) &amp; IF(ISERROR(FIND($G$2,Lines!L30))=TRUE,"",IF('1000'!L30="","ERR","")) &amp; IF(ISERROR(FIND($H$2,Lines!L30))=TRUE,"",IF('500DC'!L30="","ERR","")) &amp; IF(ISERROR(FIND($I$2,Lines!L30))=TRUE,"",IF('800DC'!L30="","ERR","")) &amp; IF(ISERROR(FIND($J$2,Lines!L30))=TRUE,"",IF('1000'!L30="","ERR",""))</f>
        <v/>
      </c>
      <c r="M30" s="108" t="str">
        <f>IF(ISERROR(FIND($B$2,Lines!M30))=TRUE,"",IF('750'!M30="","ERR","")) &amp; IF(ISERROR(FIND($C$2,Lines!M30))=TRUE,"",IF('500'!M30="","ERR","")) &amp; IF(ISERROR(FIND($D$2,Lines!M30))=TRUE,"",IF('330'!M30="","ERR","")) &amp; IF(ISERROR(FIND($E$2,Lines!M30))=TRUE,"",IF('220'!M30="","ERR",""))&amp; IF(ISERROR(FIND($F$2,Lines!M30))=TRUE,"",IF(AND('500DC'!M30="",'800DC'!M30=""),"ERR","")) &amp; IF(ISERROR(FIND($G$2,Lines!M30))=TRUE,"",IF('1000'!M30="","ERR","")) &amp; IF(ISERROR(FIND($H$2,Lines!M30))=TRUE,"",IF('500DC'!M30="","ERR","")) &amp; IF(ISERROR(FIND($I$2,Lines!M30))=TRUE,"",IF('800DC'!M30="","ERR","")) &amp; IF(ISERROR(FIND($J$2,Lines!M30))=TRUE,"",IF('1000'!M30="","ERR",""))</f>
        <v/>
      </c>
      <c r="N30" s="108" t="str">
        <f>IF(ISERROR(FIND($B$2,Lines!N30))=TRUE,"",IF('750'!N30="","ERR","")) &amp; IF(ISERROR(FIND($C$2,Lines!N30))=TRUE,"",IF('500'!N30="","ERR","")) &amp; IF(ISERROR(FIND($D$2,Lines!N30))=TRUE,"",IF('330'!N30="","ERR","")) &amp; IF(ISERROR(FIND($E$2,Lines!N30))=TRUE,"",IF('220'!N30="","ERR",""))&amp; IF(ISERROR(FIND($F$2,Lines!N30))=TRUE,"",IF(AND('500DC'!N30="",'800DC'!N30=""),"ERR","")) &amp; IF(ISERROR(FIND($G$2,Lines!N30))=TRUE,"",IF('1000'!N30="","ERR","")) &amp; IF(ISERROR(FIND($H$2,Lines!N30))=TRUE,"",IF('500DC'!N30="","ERR","")) &amp; IF(ISERROR(FIND($I$2,Lines!N30))=TRUE,"",IF('800DC'!N30="","ERR","")) &amp; IF(ISERROR(FIND($J$2,Lines!N30))=TRUE,"",IF('1000'!N30="","ERR",""))</f>
        <v/>
      </c>
      <c r="O30" s="108" t="str">
        <f>IF(ISERROR(FIND($B$2,Lines!O30))=TRUE,"",IF('750'!O30="","ERR","")) &amp; IF(ISERROR(FIND($C$2,Lines!O30))=TRUE,"",IF('500'!O30="","ERR","")) &amp; IF(ISERROR(FIND($D$2,Lines!O30))=TRUE,"",IF('330'!O30="","ERR","")) &amp; IF(ISERROR(FIND($E$2,Lines!O30))=TRUE,"",IF('220'!O30="","ERR",""))&amp; IF(ISERROR(FIND($F$2,Lines!O30))=TRUE,"",IF(AND('500DC'!O30="",'800DC'!O30=""),"ERR","")) &amp; IF(ISERROR(FIND($G$2,Lines!O30))=TRUE,"",IF('1000'!O30="","ERR","")) &amp; IF(ISERROR(FIND($H$2,Lines!O30))=TRUE,"",IF('500DC'!O30="","ERR","")) &amp; IF(ISERROR(FIND($I$2,Lines!O30))=TRUE,"",IF('800DC'!O30="","ERR","")) &amp; IF(ISERROR(FIND($J$2,Lines!O30))=TRUE,"",IF('1000'!O30="","ERR",""))</f>
        <v/>
      </c>
      <c r="P30" s="108" t="str">
        <f>IF(ISERROR(FIND($B$2,Lines!P30))=TRUE,"",IF('750'!P30="","ERR","")) &amp; IF(ISERROR(FIND($C$2,Lines!P30))=TRUE,"",IF('500'!P30="","ERR","")) &amp; IF(ISERROR(FIND($D$2,Lines!P30))=TRUE,"",IF('330'!P30="","ERR","")) &amp; IF(ISERROR(FIND($E$2,Lines!P30))=TRUE,"",IF('220'!P30="","ERR",""))&amp; IF(ISERROR(FIND($F$2,Lines!P30))=TRUE,"",IF(AND('500DC'!P30="",'800DC'!P30=""),"ERR","")) &amp; IF(ISERROR(FIND($G$2,Lines!P30))=TRUE,"",IF('1000'!P30="","ERR","")) &amp; IF(ISERROR(FIND($H$2,Lines!P30))=TRUE,"",IF('500DC'!P30="","ERR","")) &amp; IF(ISERROR(FIND($I$2,Lines!P30))=TRUE,"",IF('800DC'!P30="","ERR","")) &amp; IF(ISERROR(FIND($J$2,Lines!P30))=TRUE,"",IF('1000'!P30="","ERR",""))</f>
        <v/>
      </c>
      <c r="Q30" s="108" t="str">
        <f>IF(ISERROR(FIND($B$2,Lines!Q30))=TRUE,"",IF('750'!Q30="","ERR","")) &amp; IF(ISERROR(FIND($C$2,Lines!Q30))=TRUE,"",IF('500'!Q30="","ERR","")) &amp; IF(ISERROR(FIND($D$2,Lines!Q30))=TRUE,"",IF('330'!Q30="","ERR","")) &amp; IF(ISERROR(FIND($E$2,Lines!Q30))=TRUE,"",IF('220'!Q30="","ERR",""))&amp; IF(ISERROR(FIND($F$2,Lines!Q30))=TRUE,"",IF(AND('500DC'!Q30="",'800DC'!Q30=""),"ERR","")) &amp; IF(ISERROR(FIND($G$2,Lines!Q30))=TRUE,"",IF('1000'!Q30="","ERR","")) &amp; IF(ISERROR(FIND($H$2,Lines!Q30))=TRUE,"",IF('500DC'!Q30="","ERR","")) &amp; IF(ISERROR(FIND($I$2,Lines!Q30))=TRUE,"",IF('800DC'!Q30="","ERR","")) &amp; IF(ISERROR(FIND($J$2,Lines!Q30))=TRUE,"",IF('1000'!Q30="","ERR",""))</f>
        <v/>
      </c>
      <c r="R30" s="108" t="str">
        <f>IF(ISERROR(FIND($B$2,Lines!R30))=TRUE,"",IF('750'!R30="","ERR","")) &amp; IF(ISERROR(FIND($C$2,Lines!R30))=TRUE,"",IF('500'!R30="","ERR","")) &amp; IF(ISERROR(FIND($D$2,Lines!R30))=TRUE,"",IF('330'!R30="","ERR","")) &amp; IF(ISERROR(FIND($E$2,Lines!R30))=TRUE,"",IF('220'!R30="","ERR",""))&amp; IF(ISERROR(FIND($F$2,Lines!R30))=TRUE,"",IF(AND('500DC'!R30="",'800DC'!R30=""),"ERR","")) &amp; IF(ISERROR(FIND($G$2,Lines!R30))=TRUE,"",IF('1000'!R30="","ERR","")) &amp; IF(ISERROR(FIND($H$2,Lines!R30))=TRUE,"",IF('500DC'!R30="","ERR","")) &amp; IF(ISERROR(FIND($I$2,Lines!R30))=TRUE,"",IF('800DC'!R30="","ERR","")) &amp; IF(ISERROR(FIND($J$2,Lines!R30))=TRUE,"",IF('1000'!R30="","ERR",""))</f>
        <v/>
      </c>
      <c r="S30" s="108" t="str">
        <f>IF(ISERROR(FIND($B$2,Lines!S30))=TRUE,"",IF('750'!S30="","ERR","")) &amp; IF(ISERROR(FIND($C$2,Lines!S30))=TRUE,"",IF('500'!S30="","ERR","")) &amp; IF(ISERROR(FIND($D$2,Lines!S30))=TRUE,"",IF('330'!S30="","ERR","")) &amp; IF(ISERROR(FIND($E$2,Lines!S30))=TRUE,"",IF('220'!S30="","ERR",""))&amp; IF(ISERROR(FIND($F$2,Lines!S30))=TRUE,"",IF(AND('500DC'!S30="",'800DC'!S30=""),"ERR","")) &amp; IF(ISERROR(FIND($G$2,Lines!S30))=TRUE,"",IF('1000'!S30="","ERR","")) &amp; IF(ISERROR(FIND($H$2,Lines!S30))=TRUE,"",IF('500DC'!S30="","ERR","")) &amp; IF(ISERROR(FIND($I$2,Lines!S30))=TRUE,"",IF('800DC'!S30="","ERR","")) &amp; IF(ISERROR(FIND($J$2,Lines!S30))=TRUE,"",IF('1000'!S30="","ERR",""))</f>
        <v/>
      </c>
      <c r="T30" s="108" t="str">
        <f>IF(ISERROR(FIND($B$2,Lines!T30))=TRUE,"",IF('750'!T30="","ERR","")) &amp; IF(ISERROR(FIND($C$2,Lines!T30))=TRUE,"",IF('500'!T30="","ERR","")) &amp; IF(ISERROR(FIND($D$2,Lines!T30))=TRUE,"",IF('330'!T30="","ERR","")) &amp; IF(ISERROR(FIND($E$2,Lines!T30))=TRUE,"",IF('220'!T30="","ERR",""))&amp; IF(ISERROR(FIND($F$2,Lines!T30))=TRUE,"",IF(AND('500DC'!T30="",'800DC'!T30=""),"ERR","")) &amp; IF(ISERROR(FIND($G$2,Lines!T30))=TRUE,"",IF('1000'!T30="","ERR","")) &amp; IF(ISERROR(FIND($H$2,Lines!T30))=TRUE,"",IF('500DC'!T30="","ERR","")) &amp; IF(ISERROR(FIND($I$2,Lines!T30))=TRUE,"",IF('800DC'!T30="","ERR","")) &amp; IF(ISERROR(FIND($J$2,Lines!T30))=TRUE,"",IF('1000'!T30="","ERR",""))</f>
        <v/>
      </c>
      <c r="U30" s="108" t="str">
        <f>IF(ISERROR(FIND($B$2,Lines!U30))=TRUE,"",IF('750'!U30="","ERR","")) &amp; IF(ISERROR(FIND($C$2,Lines!U30))=TRUE,"",IF('500'!U30="","ERR","")) &amp; IF(ISERROR(FIND($D$2,Lines!U30))=TRUE,"",IF('330'!U30="","ERR","")) &amp; IF(ISERROR(FIND($E$2,Lines!U30))=TRUE,"",IF('220'!U30="","ERR",""))&amp; IF(ISERROR(FIND($F$2,Lines!U30))=TRUE,"",IF(AND('500DC'!U30="",'800DC'!U30=""),"ERR","")) &amp; IF(ISERROR(FIND($G$2,Lines!U30))=TRUE,"",IF('1000'!U30="","ERR","")) &amp; IF(ISERROR(FIND($H$2,Lines!U30))=TRUE,"",IF('500DC'!U30="","ERR","")) &amp; IF(ISERROR(FIND($I$2,Lines!U30))=TRUE,"",IF('800DC'!U30="","ERR","")) &amp; IF(ISERROR(FIND($J$2,Lines!U30))=TRUE,"",IF('1000'!U30="","ERR",""))</f>
        <v/>
      </c>
      <c r="V30" s="108" t="str">
        <f>IF(ISERROR(FIND($B$2,Lines!V30))=TRUE,"",IF('750'!V30="","ERR","")) &amp; IF(ISERROR(FIND($C$2,Lines!V30))=TRUE,"",IF('500'!V30="","ERR","")) &amp; IF(ISERROR(FIND($D$2,Lines!V30))=TRUE,"",IF('330'!V30="","ERR","")) &amp; IF(ISERROR(FIND($E$2,Lines!V30))=TRUE,"",IF('220'!V30="","ERR",""))&amp; IF(ISERROR(FIND($F$2,Lines!V30))=TRUE,"",IF(AND('500DC'!V30="",'800DC'!V30=""),"ERR","")) &amp; IF(ISERROR(FIND($G$2,Lines!V30))=TRUE,"",IF('1000'!V30="","ERR","")) &amp; IF(ISERROR(FIND($H$2,Lines!V30))=TRUE,"",IF('500DC'!V30="","ERR","")) &amp; IF(ISERROR(FIND($I$2,Lines!V30))=TRUE,"",IF('800DC'!V30="","ERR","")) &amp; IF(ISERROR(FIND($J$2,Lines!V30))=TRUE,"",IF('1000'!V30="","ERR",""))</f>
        <v/>
      </c>
      <c r="W30" s="109" t="str">
        <f>IF(ISERROR(FIND($B$2,Lines!W30))=TRUE,"",IF('750'!W30="","ERR","")) &amp; IF(ISERROR(FIND($C$2,Lines!W30))=TRUE,"",IF('500'!W30="","ERR","")) &amp; IF(ISERROR(FIND($D$2,Lines!W30))=TRUE,"",IF('330'!W30="","ERR","")) &amp; IF(ISERROR(FIND($E$2,Lines!W30))=TRUE,"",IF('220'!W30="","ERR",""))&amp; IF(ISERROR(FIND($F$2,Lines!W30))=TRUE,"",IF(AND('500DC'!W30="",'800DC'!W30=""),"ERR","")) &amp; IF(ISERROR(FIND($G$2,Lines!W30))=TRUE,"",IF('1000'!W30="","ERR","")) &amp; IF(ISERROR(FIND($H$2,Lines!W30))=TRUE,"",IF('500DC'!W30="","ERR","")) &amp; IF(ISERROR(FIND($I$2,Lines!W30))=TRUE,"",IF('800DC'!W30="","ERR","")) &amp; IF(ISERROR(FIND($J$2,Lines!W30))=TRUE,"",IF('1000'!W30="","ERR",""))</f>
        <v/>
      </c>
      <c r="X30" s="124" t="str">
        <f>IF(ISERROR(FIND($B$2,Lines!X30))=TRUE,"",IF('750'!X30="","ERR","")) &amp; IF(ISERROR(FIND($C$2,Lines!X30))=TRUE,"",IF('500'!X30="","ERR","")) &amp; IF(ISERROR(FIND($D$2,Lines!X30))=TRUE,"",IF('330'!X30="","ERR","")) &amp; IF(ISERROR(FIND($E$2,Lines!X30))=TRUE,"",IF('220'!X30="","ERR",""))&amp; IF(ISERROR(FIND($F$2,Lines!X30))=TRUE,"",IF(AND('500DC'!X30="",'800DC'!X30=""),"ERR","")) &amp; IF(ISERROR(FIND($G$2,Lines!X30))=TRUE,"",IF('1000'!X30="","ERR","")) &amp; IF(ISERROR(FIND($H$2,Lines!X30))=TRUE,"",IF('500DC'!X30="","ERR","")) &amp; IF(ISERROR(FIND($I$2,Lines!X30))=TRUE,"",IF('800DC'!X30="","ERR","")) &amp; IF(ISERROR(FIND($J$2,Lines!X30))=TRUE,"",IF('1000'!X30="","ERR",""))</f>
        <v/>
      </c>
      <c r="Y30" s="125" t="str">
        <f>IF(ISERROR(FIND($B$2,Lines!Y30))=TRUE,"",IF('750'!Y30="","ERR","")) &amp; IF(ISERROR(FIND($C$2,Lines!Y30))=TRUE,"",IF('500'!Y30="","ERR","")) &amp; IF(ISERROR(FIND($D$2,Lines!Y30))=TRUE,"",IF('330'!Y30="","ERR","")) &amp; IF(ISERROR(FIND($E$2,Lines!Y30))=TRUE,"",IF('220'!Y30="","ERR",""))&amp; IF(ISERROR(FIND($F$2,Lines!Y30))=TRUE,"",IF(AND('500DC'!Y30="",'800DC'!Y30=""),"ERR","")) &amp; IF(ISERROR(FIND($G$2,Lines!Y30))=TRUE,"",IF('1000'!Y30="","ERR","")) &amp; IF(ISERROR(FIND($H$2,Lines!Y30))=TRUE,"",IF('500DC'!Y30="","ERR","")) &amp; IF(ISERROR(FIND($I$2,Lines!Y30))=TRUE,"",IF('800DC'!Y30="","ERR","")) &amp; IF(ISERROR(FIND($J$2,Lines!Y30))=TRUE,"",IF('1000'!Y30="","ERR",""))</f>
        <v/>
      </c>
      <c r="Z30" s="125" t="str">
        <f>IF(ISERROR(FIND($B$2,Lines!Z30))=TRUE,"",IF('750'!Z30="","ERR","")) &amp; IF(ISERROR(FIND($C$2,Lines!Z30))=TRUE,"",IF('500'!Z30="","ERR","")) &amp; IF(ISERROR(FIND($D$2,Lines!Z30))=TRUE,"",IF('330'!Z30="","ERR","")) &amp; IF(ISERROR(FIND($E$2,Lines!Z30))=TRUE,"",IF('220'!Z30="","ERR",""))&amp; IF(ISERROR(FIND($F$2,Lines!Z30))=TRUE,"",IF(AND('500DC'!Z30="",'800DC'!Z30=""),"ERR","")) &amp; IF(ISERROR(FIND($G$2,Lines!Z30))=TRUE,"",IF('1000'!Z30="","ERR","")) &amp; IF(ISERROR(FIND($H$2,Lines!Z30))=TRUE,"",IF('500DC'!Z30="","ERR","")) &amp; IF(ISERROR(FIND($I$2,Lines!Z30))=TRUE,"",IF('800DC'!Z30="","ERR","")) &amp; IF(ISERROR(FIND($J$2,Lines!Z30))=TRUE,"",IF('1000'!Z30="","ERR",""))</f>
        <v/>
      </c>
      <c r="AA30" s="125" t="str">
        <f>IF(ISERROR(FIND($B$2,Lines!AA30))=TRUE,"",IF('750'!AA30="","ERR","")) &amp; IF(ISERROR(FIND($C$2,Lines!AA30))=TRUE,"",IF('500'!AA30="","ERR","")) &amp; IF(ISERROR(FIND($D$2,Lines!AA30))=TRUE,"",IF('330'!AA30="","ERR","")) &amp; IF(ISERROR(FIND($E$2,Lines!AA30))=TRUE,"",IF('220'!AA30="","ERR",""))&amp; IF(ISERROR(FIND($F$2,Lines!AA30))=TRUE,"",IF(AND('500DC'!AA30="",'800DC'!AA30=""),"ERR","")) &amp; IF(ISERROR(FIND($G$2,Lines!AA30))=TRUE,"",IF('1000'!AA30="","ERR","")) &amp; IF(ISERROR(FIND($H$2,Lines!AA30))=TRUE,"",IF('500DC'!AA30="","ERR","")) &amp; IF(ISERROR(FIND($I$2,Lines!AA30))=TRUE,"",IF('800DC'!AA30="","ERR","")) &amp; IF(ISERROR(FIND($J$2,Lines!AA30))=TRUE,"",IF('1000'!AA30="","ERR",""))</f>
        <v/>
      </c>
      <c r="AB30" s="116" t="str">
        <f>IF(ISERROR(FIND($B$2,Lines!AB30))=TRUE,"",IF('750'!AB30="","ERR","")) &amp; IF(ISERROR(FIND($C$2,Lines!AB30))=TRUE,"",IF('500'!AB30="","ERR","")) &amp; IF(ISERROR(FIND($D$2,Lines!AB30))=TRUE,"",IF('330'!AB30="","ERR","")) &amp; IF(ISERROR(FIND($E$2,Lines!AB30))=TRUE,"",IF('220'!AB30="","ERR",""))&amp; IF(ISERROR(FIND($F$2,Lines!AB30))=TRUE,"",IF(AND('500DC'!AB30="",'800DC'!AB30=""),"ERR","")) &amp; IF(ISERROR(FIND($G$2,Lines!AB30))=TRUE,"",IF('1000'!AB30="","ERR","")) &amp; IF(ISERROR(FIND($H$2,Lines!AB30))=TRUE,"",IF('500DC'!AB30="","ERR","")) &amp; IF(ISERROR(FIND($I$2,Lines!AB30))=TRUE,"",IF('800DC'!AB30="","ERR","")) &amp; IF(ISERROR(FIND($J$2,Lines!AB30))=TRUE,"",IF('1000'!AB30="","ERR",""))</f>
        <v/>
      </c>
      <c r="AC30" s="125" t="str">
        <f>IF(ISERROR(FIND($B$2,Lines!AC30))=TRUE,"",IF('750'!AC30="","ERR","")) &amp; IF(ISERROR(FIND($C$2,Lines!AC30))=TRUE,"",IF('500'!AC30="","ERR","")) &amp; IF(ISERROR(FIND($D$2,Lines!AC30))=TRUE,"",IF('330'!AC30="","ERR","")) &amp; IF(ISERROR(FIND($E$2,Lines!AC30))=TRUE,"",IF('220'!AC30="","ERR",""))&amp; IF(ISERROR(FIND($F$2,Lines!AC30))=TRUE,"",IF(AND('500DC'!AC30="",'800DC'!AC30=""),"ERR","")) &amp; IF(ISERROR(FIND($G$2,Lines!AC30))=TRUE,"",IF('1000'!AC30="","ERR","")) &amp; IF(ISERROR(FIND($H$2,Lines!AC30))=TRUE,"",IF('500DC'!AC30="","ERR","")) &amp; IF(ISERROR(FIND($I$2,Lines!AC30))=TRUE,"",IF('800DC'!AC30="","ERR","")) &amp; IF(ISERROR(FIND($J$2,Lines!AC30))=TRUE,"",IF('1000'!AC30="","ERR",""))</f>
        <v/>
      </c>
      <c r="AD30" s="127" t="str">
        <f>IF(ISERROR(FIND($B$2,Lines!AD30))=TRUE,"",IF('750'!AD30="","ERR","")) &amp; IF(ISERROR(FIND($C$2,Lines!AD30))=TRUE,"",IF('500'!AD30="","ERR","")) &amp; IF(ISERROR(FIND($D$2,Lines!AD30))=TRUE,"",IF('330'!AD30="","ERR","")) &amp; IF(ISERROR(FIND($E$2,Lines!AD30))=TRUE,"",IF('220'!AD30="","ERR",""))&amp; IF(ISERROR(FIND($F$2,Lines!AD30))=TRUE,"",IF(AND('500DC'!AD30="",'800DC'!AD30=""),"ERR","")) &amp; IF(ISERROR(FIND($G$2,Lines!AD30))=TRUE,"",IF('1000'!AD30="","ERR","")) &amp; IF(ISERROR(FIND($H$2,Lines!AD30))=TRUE,"",IF('500DC'!AD30="","ERR","")) &amp; IF(ISERROR(FIND($I$2,Lines!AD30))=TRUE,"",IF('800DC'!AD30="","ERR","")) &amp; IF(ISERROR(FIND($J$2,Lines!AD30))=TRUE,"",IF('1000'!AD30="","ERR",""))</f>
        <v/>
      </c>
      <c r="AE30" s="108" t="str">
        <f>IF(ISERROR(FIND($B$2,Lines!AE30))=TRUE,"",IF('750'!AE30="","ERR","")) &amp; IF(ISERROR(FIND($C$2,Lines!AE30))=TRUE,"",IF('500'!AE30="","ERR","")) &amp; IF(ISERROR(FIND($D$2,Lines!AE30))=TRUE,"",IF('330'!AE30="","ERR","")) &amp; IF(ISERROR(FIND($E$2,Lines!AE30))=TRUE,"",IF('220'!AE30="","ERR",""))&amp; IF(ISERROR(FIND($F$2,Lines!AE30))=TRUE,"",IF(AND('500DC'!AE30="",'800DC'!AE30=""),"ERR","")) &amp; IF(ISERROR(FIND($G$2,Lines!AE30))=TRUE,"",IF('1000'!AE30="","ERR","")) &amp; IF(ISERROR(FIND($H$2,Lines!AE30))=TRUE,"",IF('500DC'!AE30="","ERR","")) &amp; IF(ISERROR(FIND($I$2,Lines!AE30))=TRUE,"",IF('800DC'!AE30="","ERR","")) &amp; IF(ISERROR(FIND($J$2,Lines!AE30))=TRUE,"",IF('1000'!AE30="","ERR",""))</f>
        <v/>
      </c>
      <c r="AF30" s="108" t="str">
        <f>IF(ISERROR(FIND($B$2,Lines!AF30))=TRUE,"",IF('750'!AF30="","ERR","")) &amp; IF(ISERROR(FIND($C$2,Lines!AF30))=TRUE,"",IF('500'!AF30="","ERR","")) &amp; IF(ISERROR(FIND($D$2,Lines!AF30))=TRUE,"",IF('330'!AF30="","ERR","")) &amp; IF(ISERROR(FIND($E$2,Lines!AF30))=TRUE,"",IF('220'!AF30="","ERR",""))&amp; IF(ISERROR(FIND($F$2,Lines!AF30))=TRUE,"",IF(AND('500DC'!AF30="",'800DC'!AF30=""),"ERR","")) &amp; IF(ISERROR(FIND($G$2,Lines!AF30))=TRUE,"",IF('1000'!AF30="","ERR","")) &amp; IF(ISERROR(FIND($H$2,Lines!AF30))=TRUE,"",IF('500DC'!AF30="","ERR","")) &amp; IF(ISERROR(FIND($I$2,Lines!AF30))=TRUE,"",IF('800DC'!AF30="","ERR","")) &amp; IF(ISERROR(FIND($J$2,Lines!AF30))=TRUE,"",IF('1000'!AF30="","ERR",""))</f>
        <v/>
      </c>
      <c r="AG30" s="108" t="str">
        <f>IF(ISERROR(FIND($B$2,Lines!AG30))=TRUE,"",IF('750'!AG30="","ERR","")) &amp; IF(ISERROR(FIND($C$2,Lines!AG30))=TRUE,"",IF('500'!AG30="","ERR","")) &amp; IF(ISERROR(FIND($D$2,Lines!AG30))=TRUE,"",IF('330'!AG30="","ERR","")) &amp; IF(ISERROR(FIND($E$2,Lines!AG30))=TRUE,"",IF('220'!AG30="","ERR",""))&amp; IF(ISERROR(FIND($F$2,Lines!AG30))=TRUE,"",IF(AND('500DC'!AG30="",'800DC'!AG30=""),"ERR","")) &amp; IF(ISERROR(FIND($G$2,Lines!AG30))=TRUE,"",IF('1000'!AG30="","ERR","")) &amp; IF(ISERROR(FIND($H$2,Lines!AG30))=TRUE,"",IF('500DC'!AG30="","ERR","")) &amp; IF(ISERROR(FIND($I$2,Lines!AG30))=TRUE,"",IF('800DC'!AG30="","ERR","")) &amp; IF(ISERROR(FIND($J$2,Lines!AG30))=TRUE,"",IF('1000'!AG30="","ERR",""))</f>
        <v/>
      </c>
      <c r="AH30" s="108" t="str">
        <f>IF(ISERROR(FIND($B$2,Lines!AH30))=TRUE,"",IF('750'!AH30="","ERR","")) &amp; IF(ISERROR(FIND($C$2,Lines!AH30))=TRUE,"",IF('500'!AH30="","ERR","")) &amp; IF(ISERROR(FIND($D$2,Lines!AH30))=TRUE,"",IF('330'!AH30="","ERR","")) &amp; IF(ISERROR(FIND($E$2,Lines!AH30))=TRUE,"",IF('220'!AH30="","ERR",""))&amp; IF(ISERROR(FIND($F$2,Lines!AH30))=TRUE,"",IF(AND('500DC'!AH30="",'800DC'!AH30=""),"ERR","")) &amp; IF(ISERROR(FIND($G$2,Lines!AH30))=TRUE,"",IF('1000'!AH30="","ERR","")) &amp; IF(ISERROR(FIND($H$2,Lines!AH30))=TRUE,"",IF('500DC'!AH30="","ERR","")) &amp; IF(ISERROR(FIND($I$2,Lines!AH30))=TRUE,"",IF('800DC'!AH30="","ERR","")) &amp; IF(ISERROR(FIND($J$2,Lines!AH30))=TRUE,"",IF('1000'!AH30="","ERR",""))</f>
        <v/>
      </c>
      <c r="AI30" s="108" t="str">
        <f>IF(ISERROR(FIND($B$2,Lines!AI30))=TRUE,"",IF('750'!AI30="","ERR","")) &amp; IF(ISERROR(FIND($C$2,Lines!AI30))=TRUE,"",IF('500'!AI30="","ERR","")) &amp; IF(ISERROR(FIND($D$2,Lines!AI30))=TRUE,"",IF('330'!AI30="","ERR","")) &amp; IF(ISERROR(FIND($E$2,Lines!AI30))=TRUE,"",IF('220'!AI30="","ERR",""))&amp; IF(ISERROR(FIND($F$2,Lines!AI30))=TRUE,"",IF(AND('500DC'!AI30="",'800DC'!AI30=""),"ERR","")) &amp; IF(ISERROR(FIND($G$2,Lines!AI30))=TRUE,"",IF('1000'!AI30="","ERR","")) &amp; IF(ISERROR(FIND($H$2,Lines!AI30))=TRUE,"",IF('500DC'!AI30="","ERR","")) &amp; IF(ISERROR(FIND($I$2,Lines!AI30))=TRUE,"",IF('800DC'!AI30="","ERR","")) &amp; IF(ISERROR(FIND($J$2,Lines!AI30))=TRUE,"",IF('1000'!AI30="","ERR",""))</f>
        <v/>
      </c>
      <c r="AJ30" s="108" t="str">
        <f>IF(ISERROR(FIND($B$2,Lines!AJ30))=TRUE,"",IF('750'!AJ30="","ERR","")) &amp; IF(ISERROR(FIND($C$2,Lines!AJ30))=TRUE,"",IF('500'!AJ30="","ERR","")) &amp; IF(ISERROR(FIND($D$2,Lines!AJ30))=TRUE,"",IF('330'!AJ30="","ERR","")) &amp; IF(ISERROR(FIND($E$2,Lines!AJ30))=TRUE,"",IF('220'!AJ30="","ERR",""))&amp; IF(ISERROR(FIND($F$2,Lines!AJ30))=TRUE,"",IF(AND('500DC'!AJ30="",'800DC'!AJ30=""),"ERR","")) &amp; IF(ISERROR(FIND($G$2,Lines!AJ30))=TRUE,"",IF('1000'!AJ30="","ERR","")) &amp; IF(ISERROR(FIND($H$2,Lines!AJ30))=TRUE,"",IF('500DC'!AJ30="","ERR","")) &amp; IF(ISERROR(FIND($I$2,Lines!AJ30))=TRUE,"",IF('800DC'!AJ30="","ERR","")) &amp; IF(ISERROR(FIND($J$2,Lines!AJ30))=TRUE,"",IF('1000'!AJ30="","ERR",""))</f>
        <v/>
      </c>
      <c r="AK30" s="108" t="str">
        <f>IF(ISERROR(FIND($B$2,Lines!AK30))=TRUE,"",IF('750'!AK30="","ERR","")) &amp; IF(ISERROR(FIND($C$2,Lines!AK30))=TRUE,"",IF('500'!AK30="","ERR","")) &amp; IF(ISERROR(FIND($D$2,Lines!AK30))=TRUE,"",IF('330'!AK30="","ERR","")) &amp; IF(ISERROR(FIND($E$2,Lines!AK30))=TRUE,"",IF('220'!AK30="","ERR",""))&amp; IF(ISERROR(FIND($F$2,Lines!AK30))=TRUE,"",IF(AND('500DC'!AK30="",'800DC'!AK30=""),"ERR","")) &amp; IF(ISERROR(FIND($G$2,Lines!AK30))=TRUE,"",IF('1000'!AK30="","ERR","")) &amp; IF(ISERROR(FIND($H$2,Lines!AK30))=TRUE,"",IF('500DC'!AK30="","ERR","")) &amp; IF(ISERROR(FIND($I$2,Lines!AK30))=TRUE,"",IF('800DC'!AK30="","ERR","")) &amp; IF(ISERROR(FIND($J$2,Lines!AK30))=TRUE,"",IF('1000'!AK30="","ERR",""))</f>
        <v/>
      </c>
      <c r="AL30" s="108" t="str">
        <f>IF(ISERROR(FIND($B$2,Lines!AL30))=TRUE,"",IF('750'!AL30="","ERR","")) &amp; IF(ISERROR(FIND($C$2,Lines!AL30))=TRUE,"",IF('500'!AL30="","ERR","")) &amp; IF(ISERROR(FIND($D$2,Lines!AL30))=TRUE,"",IF('330'!AL30="","ERR","")) &amp; IF(ISERROR(FIND($E$2,Lines!AL30))=TRUE,"",IF('220'!AL30="","ERR",""))&amp; IF(ISERROR(FIND($F$2,Lines!AL30))=TRUE,"",IF(AND('500DC'!AL30="",'800DC'!AL30=""),"ERR","")) &amp; IF(ISERROR(FIND($G$2,Lines!AL30))=TRUE,"",IF('1000'!AL30="","ERR","")) &amp; IF(ISERROR(FIND($H$2,Lines!AL30))=TRUE,"",IF('500DC'!AL30="","ERR","")) &amp; IF(ISERROR(FIND($I$2,Lines!AL30))=TRUE,"",IF('800DC'!AL30="","ERR","")) &amp; IF(ISERROR(FIND($J$2,Lines!AL30))=TRUE,"",IF('1000'!AL30="","ERR",""))</f>
        <v/>
      </c>
      <c r="AM30" s="108" t="str">
        <f>IF(ISERROR(FIND($B$2,Lines!AM30))=TRUE,"",IF('750'!AM30="","ERR","")) &amp; IF(ISERROR(FIND($C$2,Lines!AM30))=TRUE,"",IF('500'!AM30="","ERR","")) &amp; IF(ISERROR(FIND($D$2,Lines!AM30))=TRUE,"",IF('330'!AM30="","ERR","")) &amp; IF(ISERROR(FIND($E$2,Lines!AM30))=TRUE,"",IF('220'!AM30="","ERR",""))&amp; IF(ISERROR(FIND($F$2,Lines!AM30))=TRUE,"",IF(AND('500DC'!AM30="",'800DC'!AM30=""),"ERR","")) &amp; IF(ISERROR(FIND($G$2,Lines!AM30))=TRUE,"",IF('1000'!AM30="","ERR","")) &amp; IF(ISERROR(FIND($H$2,Lines!AM30))=TRUE,"",IF('500DC'!AM30="","ERR","")) &amp; IF(ISERROR(FIND($I$2,Lines!AM30))=TRUE,"",IF('800DC'!AM30="","ERR","")) &amp; IF(ISERROR(FIND($J$2,Lines!AM30))=TRUE,"",IF('1000'!AM30="","ERR",""))</f>
        <v/>
      </c>
      <c r="AN30" s="108" t="str">
        <f>IF(ISERROR(FIND($B$2,Lines!AN30))=TRUE,"",IF('750'!AN30="","ERR","")) &amp; IF(ISERROR(FIND($C$2,Lines!AN30))=TRUE,"",IF('500'!AN30="","ERR","")) &amp; IF(ISERROR(FIND($D$2,Lines!AN30))=TRUE,"",IF('330'!AN30="","ERR","")) &amp; IF(ISERROR(FIND($E$2,Lines!AN30))=TRUE,"",IF('220'!AN30="","ERR",""))&amp; IF(ISERROR(FIND($F$2,Lines!AN30))=TRUE,"",IF(AND('500DC'!AN30="",'800DC'!AN30=""),"ERR","")) &amp; IF(ISERROR(FIND($G$2,Lines!AN30))=TRUE,"",IF('1000'!AN30="","ERR","")) &amp; IF(ISERROR(FIND($H$2,Lines!AN30))=TRUE,"",IF('500DC'!AN30="","ERR","")) &amp; IF(ISERROR(FIND($I$2,Lines!AN30))=TRUE,"",IF('800DC'!AN30="","ERR","")) &amp; IF(ISERROR(FIND($J$2,Lines!AN30))=TRUE,"",IF('1000'!AN30="","ERR",""))</f>
        <v/>
      </c>
      <c r="AO30" s="108" t="str">
        <f>IF(ISERROR(FIND($B$2,Lines!AO30))=TRUE,"",IF('750'!AO30="","ERR","")) &amp; IF(ISERROR(FIND($C$2,Lines!AO30))=TRUE,"",IF('500'!AO30="","ERR","")) &amp; IF(ISERROR(FIND($D$2,Lines!AO30))=TRUE,"",IF('330'!AO30="","ERR","")) &amp; IF(ISERROR(FIND($E$2,Lines!AO30))=TRUE,"",IF('220'!AO30="","ERR",""))&amp; IF(ISERROR(FIND($F$2,Lines!AO30))=TRUE,"",IF(AND('500DC'!AO30="",'800DC'!AO30=""),"ERR","")) &amp; IF(ISERROR(FIND($G$2,Lines!AO30))=TRUE,"",IF('1000'!AO30="","ERR","")) &amp; IF(ISERROR(FIND($H$2,Lines!AO30))=TRUE,"",IF('500DC'!AO30="","ERR","")) &amp; IF(ISERROR(FIND($I$2,Lines!AO30))=TRUE,"",IF('800DC'!AO30="","ERR","")) &amp; IF(ISERROR(FIND($J$2,Lines!AO30))=TRUE,"",IF('1000'!AO30="","ERR",""))</f>
        <v/>
      </c>
      <c r="AP30" s="108" t="str">
        <f>IF(ISERROR(FIND($B$2,Lines!AP30))=TRUE,"",IF('750'!AP30="","ERR","")) &amp; IF(ISERROR(FIND($C$2,Lines!AP30))=TRUE,"",IF('500'!AP30="","ERR","")) &amp; IF(ISERROR(FIND($D$2,Lines!AP30))=TRUE,"",IF('330'!AP30="","ERR","")) &amp; IF(ISERROR(FIND($E$2,Lines!AP30))=TRUE,"",IF('220'!AP30="","ERR",""))&amp; IF(ISERROR(FIND($F$2,Lines!AP30))=TRUE,"",IF(AND('500DC'!AP30="",'800DC'!AP30=""),"ERR","")) &amp; IF(ISERROR(FIND($G$2,Lines!AP30))=TRUE,"",IF('1000'!AP30="","ERR","")) &amp; IF(ISERROR(FIND($H$2,Lines!AP30))=TRUE,"",IF('500DC'!AP30="","ERR","")) &amp; IF(ISERROR(FIND($I$2,Lines!AP30))=TRUE,"",IF('800DC'!AP30="","ERR","")) &amp; IF(ISERROR(FIND($J$2,Lines!AP30))=TRUE,"",IF('1000'!AP30="","ERR",""))</f>
        <v/>
      </c>
      <c r="AQ30" s="108" t="str">
        <f>IF(ISERROR(FIND($B$2,Lines!AQ30))=TRUE,"",IF('750'!AQ30="","ERR","")) &amp; IF(ISERROR(FIND($C$2,Lines!AQ30))=TRUE,"",IF('500'!AQ30="","ERR","")) &amp; IF(ISERROR(FIND($D$2,Lines!AQ30))=TRUE,"",IF('330'!AQ30="","ERR","")) &amp; IF(ISERROR(FIND($E$2,Lines!AQ30))=TRUE,"",IF('220'!AQ30="","ERR",""))&amp; IF(ISERROR(FIND($F$2,Lines!AQ30))=TRUE,"",IF(AND('500DC'!AQ30="",'800DC'!AQ30=""),"ERR","")) &amp; IF(ISERROR(FIND($G$2,Lines!AQ30))=TRUE,"",IF('1000'!AQ30="","ERR","")) &amp; IF(ISERROR(FIND($H$2,Lines!AQ30))=TRUE,"",IF('500DC'!AQ30="","ERR","")) &amp; IF(ISERROR(FIND($I$2,Lines!AQ30))=TRUE,"",IF('800DC'!AQ30="","ERR","")) &amp; IF(ISERROR(FIND($J$2,Lines!AQ30))=TRUE,"",IF('1000'!AQ30="","ERR",""))</f>
        <v/>
      </c>
      <c r="AR30" s="108" t="str">
        <f>IF(ISERROR(FIND($B$2,Lines!AR30))=TRUE,"",IF('750'!AR30="","ERR","")) &amp; IF(ISERROR(FIND($C$2,Lines!AR30))=TRUE,"",IF('500'!AR30="","ERR","")) &amp; IF(ISERROR(FIND($D$2,Lines!AR30))=TRUE,"",IF('330'!AR30="","ERR","")) &amp; IF(ISERROR(FIND($E$2,Lines!AR30))=TRUE,"",IF('220'!AR30="","ERR",""))&amp; IF(ISERROR(FIND($F$2,Lines!AR30))=TRUE,"",IF(AND('500DC'!AR30="",'800DC'!AR30=""),"ERR","")) &amp; IF(ISERROR(FIND($G$2,Lines!AR30))=TRUE,"",IF('1000'!AR30="","ERR","")) &amp; IF(ISERROR(FIND($H$2,Lines!AR30))=TRUE,"",IF('500DC'!AR30="","ERR","")) &amp; IF(ISERROR(FIND($I$2,Lines!AR30))=TRUE,"",IF('800DC'!AR30="","ERR","")) &amp; IF(ISERROR(FIND($J$2,Lines!AR30))=TRUE,"",IF('1000'!AR30="","ERR",""))</f>
        <v/>
      </c>
      <c r="AS30" s="108" t="str">
        <f>IF(ISERROR(FIND($B$2,Lines!AS30))=TRUE,"",IF('750'!AS30="","ERR","")) &amp; IF(ISERROR(FIND($C$2,Lines!AS30))=TRUE,"",IF('500'!AS30="","ERR","")) &amp; IF(ISERROR(FIND($D$2,Lines!AS30))=TRUE,"",IF('330'!AS30="","ERR","")) &amp; IF(ISERROR(FIND($E$2,Lines!AS30))=TRUE,"",IF('220'!AS30="","ERR",""))&amp; IF(ISERROR(FIND($F$2,Lines!AS30))=TRUE,"",IF(AND('500DC'!AS30="",'800DC'!AS30=""),"ERR","")) &amp; IF(ISERROR(FIND($G$2,Lines!AS30))=TRUE,"",IF('1000'!AS30="","ERR","")) &amp; IF(ISERROR(FIND($H$2,Lines!AS30))=TRUE,"",IF('500DC'!AS30="","ERR","")) &amp; IF(ISERROR(FIND($I$2,Lines!AS30))=TRUE,"",IF('800DC'!AS30="","ERR","")) &amp; IF(ISERROR(FIND($J$2,Lines!AS30))=TRUE,"",IF('1000'!AS30="","ERR",""))</f>
        <v/>
      </c>
      <c r="AT30" s="108" t="str">
        <f>IF(ISERROR(FIND($B$2,Lines!AT30))=TRUE,"",IF('750'!AT30="","ERR","")) &amp; IF(ISERROR(FIND($C$2,Lines!AT30))=TRUE,"",IF('500'!AT30="","ERR","")) &amp; IF(ISERROR(FIND($D$2,Lines!AT30))=TRUE,"",IF('330'!AT30="","ERR","")) &amp; IF(ISERROR(FIND($E$2,Lines!AT30))=TRUE,"",IF('220'!AT30="","ERR",""))&amp; IF(ISERROR(FIND($F$2,Lines!AT30))=TRUE,"",IF(AND('500DC'!AT30="",'800DC'!AT30=""),"ERR","")) &amp; IF(ISERROR(FIND($G$2,Lines!AT30))=TRUE,"",IF('1000'!AT30="","ERR","")) &amp; IF(ISERROR(FIND($H$2,Lines!AT30))=TRUE,"",IF('500DC'!AT30="","ERR","")) &amp; IF(ISERROR(FIND($I$2,Lines!AT30))=TRUE,"",IF('800DC'!AT30="","ERR","")) &amp; IF(ISERROR(FIND($J$2,Lines!AT30))=TRUE,"",IF('1000'!AT30="","ERR",""))</f>
        <v/>
      </c>
    </row>
    <row r="31" spans="1:46" ht="20.25" customHeight="1">
      <c r="A31" s="2" t="s">
        <v>79</v>
      </c>
      <c r="B31" s="108" t="str">
        <f>IF(ISERROR(FIND($B$2,Lines!B31))=TRUE,"",IF('750'!B31="","ERR","")) &amp; IF(ISERROR(FIND($C$2,Lines!B31))=TRUE,"",IF('500'!B31="","ERR","")) &amp; IF(ISERROR(FIND($D$2,Lines!B31))=TRUE,"",IF('330'!B31="","ERR","")) &amp; IF(ISERROR(FIND($E$2,Lines!B31))=TRUE,"",IF('220'!B31="","ERR",""))&amp; IF(ISERROR(FIND($F$2,Lines!B31))=TRUE,"",IF(AND('500DC'!B31="",'800DC'!B31=""),"ERR","")) &amp; IF(ISERROR(FIND($G$2,Lines!B31))=TRUE,"",IF('1000'!B31="","ERR","")) &amp; IF(ISERROR(FIND($H$2,Lines!B31))=TRUE,"",IF('500DC'!B31="","ERR","")) &amp; IF(ISERROR(FIND($I$2,Lines!B31))=TRUE,"",IF('800DC'!B31="","ERR","")) &amp; IF(ISERROR(FIND($J$2,Lines!B31))=TRUE,"",IF('1000'!B31="","ERR",""))</f>
        <v/>
      </c>
      <c r="C31" s="108" t="str">
        <f>IF(ISERROR(FIND($B$2,Lines!C31))=TRUE,"",IF('750'!C31="","ERR","")) &amp; IF(ISERROR(FIND($C$2,Lines!C31))=TRUE,"",IF('500'!C31="","ERR","")) &amp; IF(ISERROR(FIND($D$2,Lines!C31))=TRUE,"",IF('330'!C31="","ERR","")) &amp; IF(ISERROR(FIND($E$2,Lines!C31))=TRUE,"",IF('220'!C31="","ERR",""))&amp; IF(ISERROR(FIND($F$2,Lines!C31))=TRUE,"",IF(AND('500DC'!C31="",'800DC'!C31=""),"ERR","")) &amp; IF(ISERROR(FIND($G$2,Lines!C31))=TRUE,"",IF('1000'!C31="","ERR","")) &amp; IF(ISERROR(FIND($H$2,Lines!C31))=TRUE,"",IF('500DC'!C31="","ERR","")) &amp; IF(ISERROR(FIND($I$2,Lines!C31))=TRUE,"",IF('800DC'!C31="","ERR","")) &amp; IF(ISERROR(FIND($J$2,Lines!C31))=TRUE,"",IF('1000'!C31="","ERR",""))</f>
        <v/>
      </c>
      <c r="D31" s="108" t="str">
        <f>IF(ISERROR(FIND($B$2,Lines!D31))=TRUE,"",IF('750'!D31="","ERR","")) &amp; IF(ISERROR(FIND($C$2,Lines!D31))=TRUE,"",IF('500'!D31="","ERR","")) &amp; IF(ISERROR(FIND($D$2,Lines!D31))=TRUE,"",IF('330'!D31="","ERR","")) &amp; IF(ISERROR(FIND($E$2,Lines!D31))=TRUE,"",IF('220'!D31="","ERR",""))&amp; IF(ISERROR(FIND($F$2,Lines!D31))=TRUE,"",IF(AND('500DC'!D31="",'800DC'!D31=""),"ERR","")) &amp; IF(ISERROR(FIND($G$2,Lines!D31))=TRUE,"",IF('1000'!D31="","ERR","")) &amp; IF(ISERROR(FIND($H$2,Lines!D31))=TRUE,"",IF('500DC'!D31="","ERR","")) &amp; IF(ISERROR(FIND($I$2,Lines!D31))=TRUE,"",IF('800DC'!D31="","ERR","")) &amp; IF(ISERROR(FIND($J$2,Lines!D31))=TRUE,"",IF('1000'!D31="","ERR",""))</f>
        <v/>
      </c>
      <c r="E31" s="108" t="str">
        <f>IF(ISERROR(FIND($B$2,Lines!E31))=TRUE,"",IF('750'!E31="","ERR","")) &amp; IF(ISERROR(FIND($C$2,Lines!E31))=TRUE,"",IF('500'!E31="","ERR","")) &amp; IF(ISERROR(FIND($D$2,Lines!E31))=TRUE,"",IF('330'!E31="","ERR","")) &amp; IF(ISERROR(FIND($E$2,Lines!E31))=TRUE,"",IF('220'!E31="","ERR",""))&amp; IF(ISERROR(FIND($F$2,Lines!E31))=TRUE,"",IF(AND('500DC'!E31="",'800DC'!E31=""),"ERR","")) &amp; IF(ISERROR(FIND($G$2,Lines!E31))=TRUE,"",IF('1000'!E31="","ERR","")) &amp; IF(ISERROR(FIND($H$2,Lines!E31))=TRUE,"",IF('500DC'!E31="","ERR","")) &amp; IF(ISERROR(FIND($I$2,Lines!E31))=TRUE,"",IF('800DC'!E31="","ERR","")) &amp; IF(ISERROR(FIND($J$2,Lines!E31))=TRUE,"",IF('1000'!E31="","ERR",""))</f>
        <v/>
      </c>
      <c r="F31" s="108" t="str">
        <f>IF(ISERROR(FIND($B$2,Lines!F31))=TRUE,"",IF('750'!F31="","ERR","")) &amp; IF(ISERROR(FIND($C$2,Lines!F31))=TRUE,"",IF('500'!F31="","ERR","")) &amp; IF(ISERROR(FIND($D$2,Lines!F31))=TRUE,"",IF('330'!F31="","ERR","")) &amp; IF(ISERROR(FIND($E$2,Lines!F31))=TRUE,"",IF('220'!F31="","ERR",""))&amp; IF(ISERROR(FIND($F$2,Lines!F31))=TRUE,"",IF(AND('500DC'!F31="",'800DC'!F31=""),"ERR","")) &amp; IF(ISERROR(FIND($G$2,Lines!F31))=TRUE,"",IF('1000'!F31="","ERR","")) &amp; IF(ISERROR(FIND($H$2,Lines!F31))=TRUE,"",IF('500DC'!F31="","ERR","")) &amp; IF(ISERROR(FIND($I$2,Lines!F31))=TRUE,"",IF('800DC'!F31="","ERR","")) &amp; IF(ISERROR(FIND($J$2,Lines!F31))=TRUE,"",IF('1000'!F31="","ERR",""))</f>
        <v/>
      </c>
      <c r="G31" s="108" t="str">
        <f>IF(ISERROR(FIND($B$2,Lines!G31))=TRUE,"",IF('750'!G31="","ERR","")) &amp; IF(ISERROR(FIND($C$2,Lines!G31))=TRUE,"",IF('500'!G31="","ERR","")) &amp; IF(ISERROR(FIND($D$2,Lines!G31))=TRUE,"",IF('330'!G31="","ERR","")) &amp; IF(ISERROR(FIND($E$2,Lines!G31))=TRUE,"",IF('220'!G31="","ERR",""))&amp; IF(ISERROR(FIND($F$2,Lines!G31))=TRUE,"",IF(AND('500DC'!G31="",'800DC'!G31=""),"ERR","")) &amp; IF(ISERROR(FIND($G$2,Lines!G31))=TRUE,"",IF('1000'!G31="","ERR","")) &amp; IF(ISERROR(FIND($H$2,Lines!G31))=TRUE,"",IF('500DC'!G31="","ERR","")) &amp; IF(ISERROR(FIND($I$2,Lines!G31))=TRUE,"",IF('800DC'!G31="","ERR","")) &amp; IF(ISERROR(FIND($J$2,Lines!G31))=TRUE,"",IF('1000'!G31="","ERR",""))</f>
        <v/>
      </c>
      <c r="H31" s="108" t="str">
        <f>IF(ISERROR(FIND($B$2,Lines!H31))=TRUE,"",IF('750'!H31="","ERR","")) &amp; IF(ISERROR(FIND($C$2,Lines!H31))=TRUE,"",IF('500'!H31="","ERR","")) &amp; IF(ISERROR(FIND($D$2,Lines!H31))=TRUE,"",IF('330'!H31="","ERR","")) &amp; IF(ISERROR(FIND($E$2,Lines!H31))=TRUE,"",IF('220'!H31="","ERR",""))&amp; IF(ISERROR(FIND($F$2,Lines!H31))=TRUE,"",IF(AND('500DC'!H31="",'800DC'!H31=""),"ERR","")) &amp; IF(ISERROR(FIND($G$2,Lines!H31))=TRUE,"",IF('1000'!H31="","ERR","")) &amp; IF(ISERROR(FIND($H$2,Lines!H31))=TRUE,"",IF('500DC'!H31="","ERR","")) &amp; IF(ISERROR(FIND($I$2,Lines!H31))=TRUE,"",IF('800DC'!H31="","ERR","")) &amp; IF(ISERROR(FIND($J$2,Lines!H31))=TRUE,"",IF('1000'!H31="","ERR",""))</f>
        <v/>
      </c>
      <c r="I31" s="108" t="str">
        <f>IF(ISERROR(FIND($B$2,Lines!I31))=TRUE,"",IF('750'!I31="","ERR","")) &amp; IF(ISERROR(FIND($C$2,Lines!I31))=TRUE,"",IF('500'!I31="","ERR","")) &amp; IF(ISERROR(FIND($D$2,Lines!I31))=TRUE,"",IF('330'!I31="","ERR","")) &amp; IF(ISERROR(FIND($E$2,Lines!I31))=TRUE,"",IF('220'!I31="","ERR",""))&amp; IF(ISERROR(FIND($F$2,Lines!I31))=TRUE,"",IF(AND('500DC'!I31="",'800DC'!I31=""),"ERR","")) &amp; IF(ISERROR(FIND($G$2,Lines!I31))=TRUE,"",IF('1000'!I31="","ERR","")) &amp; IF(ISERROR(FIND($H$2,Lines!I31))=TRUE,"",IF('500DC'!I31="","ERR","")) &amp; IF(ISERROR(FIND($I$2,Lines!I31))=TRUE,"",IF('800DC'!I31="","ERR","")) &amp; IF(ISERROR(FIND($J$2,Lines!I31))=TRUE,"",IF('1000'!I31="","ERR",""))</f>
        <v/>
      </c>
      <c r="J31" s="108" t="str">
        <f>IF(ISERROR(FIND($B$2,Lines!J31))=TRUE,"",IF('750'!J31="","ERR","")) &amp; IF(ISERROR(FIND($C$2,Lines!J31))=TRUE,"",IF('500'!J31="","ERR","")) &amp; IF(ISERROR(FIND($D$2,Lines!J31))=TRUE,"",IF('330'!J31="","ERR","")) &amp; IF(ISERROR(FIND($E$2,Lines!J31))=TRUE,"",IF('220'!J31="","ERR",""))&amp; IF(ISERROR(FIND($F$2,Lines!J31))=TRUE,"",IF(AND('500DC'!J31="",'800DC'!J31=""),"ERR","")) &amp; IF(ISERROR(FIND($G$2,Lines!J31))=TRUE,"",IF('1000'!J31="","ERR","")) &amp; IF(ISERROR(FIND($H$2,Lines!J31))=TRUE,"",IF('500DC'!J31="","ERR","")) &amp; IF(ISERROR(FIND($I$2,Lines!J31))=TRUE,"",IF('800DC'!J31="","ERR","")) &amp; IF(ISERROR(FIND($J$2,Lines!J31))=TRUE,"",IF('1000'!J31="","ERR",""))</f>
        <v/>
      </c>
      <c r="K31" s="108" t="str">
        <f>IF(ISERROR(FIND($B$2,Lines!K31))=TRUE,"",IF('750'!K31="","ERR","")) &amp; IF(ISERROR(FIND($C$2,Lines!K31))=TRUE,"",IF('500'!K31="","ERR","")) &amp; IF(ISERROR(FIND($D$2,Lines!K31))=TRUE,"",IF('330'!K31="","ERR","")) &amp; IF(ISERROR(FIND($E$2,Lines!K31))=TRUE,"",IF('220'!K31="","ERR",""))&amp; IF(ISERROR(FIND($F$2,Lines!K31))=TRUE,"",IF(AND('500DC'!K31="",'800DC'!K31=""),"ERR","")) &amp; IF(ISERROR(FIND($G$2,Lines!K31))=TRUE,"",IF('1000'!K31="","ERR","")) &amp; IF(ISERROR(FIND($H$2,Lines!K31))=TRUE,"",IF('500DC'!K31="","ERR","")) &amp; IF(ISERROR(FIND($I$2,Lines!K31))=TRUE,"",IF('800DC'!K31="","ERR","")) &amp; IF(ISERROR(FIND($J$2,Lines!K31))=TRUE,"",IF('1000'!K31="","ERR",""))</f>
        <v/>
      </c>
      <c r="L31" s="108" t="str">
        <f>IF(ISERROR(FIND($B$2,Lines!L31))=TRUE,"",IF('750'!L31="","ERR","")) &amp; IF(ISERROR(FIND($C$2,Lines!L31))=TRUE,"",IF('500'!L31="","ERR","")) &amp; IF(ISERROR(FIND($D$2,Lines!L31))=TRUE,"",IF('330'!L31="","ERR","")) &amp; IF(ISERROR(FIND($E$2,Lines!L31))=TRUE,"",IF('220'!L31="","ERR",""))&amp; IF(ISERROR(FIND($F$2,Lines!L31))=TRUE,"",IF(AND('500DC'!L31="",'800DC'!L31=""),"ERR","")) &amp; IF(ISERROR(FIND($G$2,Lines!L31))=TRUE,"",IF('1000'!L31="","ERR","")) &amp; IF(ISERROR(FIND($H$2,Lines!L31))=TRUE,"",IF('500DC'!L31="","ERR","")) &amp; IF(ISERROR(FIND($I$2,Lines!L31))=TRUE,"",IF('800DC'!L31="","ERR","")) &amp; IF(ISERROR(FIND($J$2,Lines!L31))=TRUE,"",IF('1000'!L31="","ERR",""))</f>
        <v/>
      </c>
      <c r="M31" s="108" t="str">
        <f>IF(ISERROR(FIND($B$2,Lines!M31))=TRUE,"",IF('750'!M31="","ERR","")) &amp; IF(ISERROR(FIND($C$2,Lines!M31))=TRUE,"",IF('500'!M31="","ERR","")) &amp; IF(ISERROR(FIND($D$2,Lines!M31))=TRUE,"",IF('330'!M31="","ERR","")) &amp; IF(ISERROR(FIND($E$2,Lines!M31))=TRUE,"",IF('220'!M31="","ERR",""))&amp; IF(ISERROR(FIND($F$2,Lines!M31))=TRUE,"",IF(AND('500DC'!M31="",'800DC'!M31=""),"ERR","")) &amp; IF(ISERROR(FIND($G$2,Lines!M31))=TRUE,"",IF('1000'!M31="","ERR","")) &amp; IF(ISERROR(FIND($H$2,Lines!M31))=TRUE,"",IF('500DC'!M31="","ERR","")) &amp; IF(ISERROR(FIND($I$2,Lines!M31))=TRUE,"",IF('800DC'!M31="","ERR","")) &amp; IF(ISERROR(FIND($J$2,Lines!M31))=TRUE,"",IF('1000'!M31="","ERR",""))</f>
        <v/>
      </c>
      <c r="N31" s="108" t="str">
        <f>IF(ISERROR(FIND($B$2,Lines!N31))=TRUE,"",IF('750'!N31="","ERR","")) &amp; IF(ISERROR(FIND($C$2,Lines!N31))=TRUE,"",IF('500'!N31="","ERR","")) &amp; IF(ISERROR(FIND($D$2,Lines!N31))=TRUE,"",IF('330'!N31="","ERR","")) &amp; IF(ISERROR(FIND($E$2,Lines!N31))=TRUE,"",IF('220'!N31="","ERR",""))&amp; IF(ISERROR(FIND($F$2,Lines!N31))=TRUE,"",IF(AND('500DC'!N31="",'800DC'!N31=""),"ERR","")) &amp; IF(ISERROR(FIND($G$2,Lines!N31))=TRUE,"",IF('1000'!N31="","ERR","")) &amp; IF(ISERROR(FIND($H$2,Lines!N31))=TRUE,"",IF('500DC'!N31="","ERR","")) &amp; IF(ISERROR(FIND($I$2,Lines!N31))=TRUE,"",IF('800DC'!N31="","ERR","")) &amp; IF(ISERROR(FIND($J$2,Lines!N31))=TRUE,"",IF('1000'!N31="","ERR",""))</f>
        <v/>
      </c>
      <c r="O31" s="108" t="str">
        <f>IF(ISERROR(FIND($B$2,Lines!O31))=TRUE,"",IF('750'!O31="","ERR","")) &amp; IF(ISERROR(FIND($C$2,Lines!O31))=TRUE,"",IF('500'!O31="","ERR","")) &amp; IF(ISERROR(FIND($D$2,Lines!O31))=TRUE,"",IF('330'!O31="","ERR","")) &amp; IF(ISERROR(FIND($E$2,Lines!O31))=TRUE,"",IF('220'!O31="","ERR",""))&amp; IF(ISERROR(FIND($F$2,Lines!O31))=TRUE,"",IF(AND('500DC'!O31="",'800DC'!O31=""),"ERR","")) &amp; IF(ISERROR(FIND($G$2,Lines!O31))=TRUE,"",IF('1000'!O31="","ERR","")) &amp; IF(ISERROR(FIND($H$2,Lines!O31))=TRUE,"",IF('500DC'!O31="","ERR","")) &amp; IF(ISERROR(FIND($I$2,Lines!O31))=TRUE,"",IF('800DC'!O31="","ERR","")) &amp; IF(ISERROR(FIND($J$2,Lines!O31))=TRUE,"",IF('1000'!O31="","ERR",""))</f>
        <v/>
      </c>
      <c r="P31" s="108" t="str">
        <f>IF(ISERROR(FIND($B$2,Lines!P31))=TRUE,"",IF('750'!P31="","ERR","")) &amp; IF(ISERROR(FIND($C$2,Lines!P31))=TRUE,"",IF('500'!P31="","ERR","")) &amp; IF(ISERROR(FIND($D$2,Lines!P31))=TRUE,"",IF('330'!P31="","ERR","")) &amp; IF(ISERROR(FIND($E$2,Lines!P31))=TRUE,"",IF('220'!P31="","ERR",""))&amp; IF(ISERROR(FIND($F$2,Lines!P31))=TRUE,"",IF(AND('500DC'!P31="",'800DC'!P31=""),"ERR","")) &amp; IF(ISERROR(FIND($G$2,Lines!P31))=TRUE,"",IF('1000'!P31="","ERR","")) &amp; IF(ISERROR(FIND($H$2,Lines!P31))=TRUE,"",IF('500DC'!P31="","ERR","")) &amp; IF(ISERROR(FIND($I$2,Lines!P31))=TRUE,"",IF('800DC'!P31="","ERR","")) &amp; IF(ISERROR(FIND($J$2,Lines!P31))=TRUE,"",IF('1000'!P31="","ERR",""))</f>
        <v/>
      </c>
      <c r="Q31" s="108" t="str">
        <f>IF(ISERROR(FIND($B$2,Lines!Q31))=TRUE,"",IF('750'!Q31="","ERR","")) &amp; IF(ISERROR(FIND($C$2,Lines!Q31))=TRUE,"",IF('500'!Q31="","ERR","")) &amp; IF(ISERROR(FIND($D$2,Lines!Q31))=TRUE,"",IF('330'!Q31="","ERR","")) &amp; IF(ISERROR(FIND($E$2,Lines!Q31))=TRUE,"",IF('220'!Q31="","ERR",""))&amp; IF(ISERROR(FIND($F$2,Lines!Q31))=TRUE,"",IF(AND('500DC'!Q31="",'800DC'!Q31=""),"ERR","")) &amp; IF(ISERROR(FIND($G$2,Lines!Q31))=TRUE,"",IF('1000'!Q31="","ERR","")) &amp; IF(ISERROR(FIND($H$2,Lines!Q31))=TRUE,"",IF('500DC'!Q31="","ERR","")) &amp; IF(ISERROR(FIND($I$2,Lines!Q31))=TRUE,"",IF('800DC'!Q31="","ERR","")) &amp; IF(ISERROR(FIND($J$2,Lines!Q31))=TRUE,"",IF('1000'!Q31="","ERR",""))</f>
        <v/>
      </c>
      <c r="R31" s="108" t="str">
        <f>IF(ISERROR(FIND($B$2,Lines!R31))=TRUE,"",IF('750'!R31="","ERR","")) &amp; IF(ISERROR(FIND($C$2,Lines!R31))=TRUE,"",IF('500'!R31="","ERR","")) &amp; IF(ISERROR(FIND($D$2,Lines!R31))=TRUE,"",IF('330'!R31="","ERR","")) &amp; IF(ISERROR(FIND($E$2,Lines!R31))=TRUE,"",IF('220'!R31="","ERR",""))&amp; IF(ISERROR(FIND($F$2,Lines!R31))=TRUE,"",IF(AND('500DC'!R31="",'800DC'!R31=""),"ERR","")) &amp; IF(ISERROR(FIND($G$2,Lines!R31))=TRUE,"",IF('1000'!R31="","ERR","")) &amp; IF(ISERROR(FIND($H$2,Lines!R31))=TRUE,"",IF('500DC'!R31="","ERR","")) &amp; IF(ISERROR(FIND($I$2,Lines!R31))=TRUE,"",IF('800DC'!R31="","ERR","")) &amp; IF(ISERROR(FIND($J$2,Lines!R31))=TRUE,"",IF('1000'!R31="","ERR",""))</f>
        <v/>
      </c>
      <c r="S31" s="108" t="str">
        <f>IF(ISERROR(FIND($B$2,Lines!S31))=TRUE,"",IF('750'!S31="","ERR","")) &amp; IF(ISERROR(FIND($C$2,Lines!S31))=TRUE,"",IF('500'!S31="","ERR","")) &amp; IF(ISERROR(FIND($D$2,Lines!S31))=TRUE,"",IF('330'!S31="","ERR","")) &amp; IF(ISERROR(FIND($E$2,Lines!S31))=TRUE,"",IF('220'!S31="","ERR",""))&amp; IF(ISERROR(FIND($F$2,Lines!S31))=TRUE,"",IF(AND('500DC'!S31="",'800DC'!S31=""),"ERR","")) &amp; IF(ISERROR(FIND($G$2,Lines!S31))=TRUE,"",IF('1000'!S31="","ERR","")) &amp; IF(ISERROR(FIND($H$2,Lines!S31))=TRUE,"",IF('500DC'!S31="","ERR","")) &amp; IF(ISERROR(FIND($I$2,Lines!S31))=TRUE,"",IF('800DC'!S31="","ERR","")) &amp; IF(ISERROR(FIND($J$2,Lines!S31))=TRUE,"",IF('1000'!S31="","ERR",""))</f>
        <v/>
      </c>
      <c r="T31" s="108" t="str">
        <f>IF(ISERROR(FIND($B$2,Lines!T31))=TRUE,"",IF('750'!T31="","ERR","")) &amp; IF(ISERROR(FIND($C$2,Lines!T31))=TRUE,"",IF('500'!T31="","ERR","")) &amp; IF(ISERROR(FIND($D$2,Lines!T31))=TRUE,"",IF('330'!T31="","ERR","")) &amp; IF(ISERROR(FIND($E$2,Lines!T31))=TRUE,"",IF('220'!T31="","ERR",""))&amp; IF(ISERROR(FIND($F$2,Lines!T31))=TRUE,"",IF(AND('500DC'!T31="",'800DC'!T31=""),"ERR","")) &amp; IF(ISERROR(FIND($G$2,Lines!T31))=TRUE,"",IF('1000'!T31="","ERR","")) &amp; IF(ISERROR(FIND($H$2,Lines!T31))=TRUE,"",IF('500DC'!T31="","ERR","")) &amp; IF(ISERROR(FIND($I$2,Lines!T31))=TRUE,"",IF('800DC'!T31="","ERR","")) &amp; IF(ISERROR(FIND($J$2,Lines!T31))=TRUE,"",IF('1000'!T31="","ERR",""))</f>
        <v/>
      </c>
      <c r="U31" s="108" t="str">
        <f>IF(ISERROR(FIND($B$2,Lines!U31))=TRUE,"",IF('750'!U31="","ERR","")) &amp; IF(ISERROR(FIND($C$2,Lines!U31))=TRUE,"",IF('500'!U31="","ERR","")) &amp; IF(ISERROR(FIND($D$2,Lines!U31))=TRUE,"",IF('330'!U31="","ERR","")) &amp; IF(ISERROR(FIND($E$2,Lines!U31))=TRUE,"",IF('220'!U31="","ERR",""))&amp; IF(ISERROR(FIND($F$2,Lines!U31))=TRUE,"",IF(AND('500DC'!U31="",'800DC'!U31=""),"ERR","")) &amp; IF(ISERROR(FIND($G$2,Lines!U31))=TRUE,"",IF('1000'!U31="","ERR","")) &amp; IF(ISERROR(FIND($H$2,Lines!U31))=TRUE,"",IF('500DC'!U31="","ERR","")) &amp; IF(ISERROR(FIND($I$2,Lines!U31))=TRUE,"",IF('800DC'!U31="","ERR","")) &amp; IF(ISERROR(FIND($J$2,Lines!U31))=TRUE,"",IF('1000'!U31="","ERR",""))</f>
        <v/>
      </c>
      <c r="V31" s="108" t="str">
        <f>IF(ISERROR(FIND($B$2,Lines!V31))=TRUE,"",IF('750'!V31="","ERR","")) &amp; IF(ISERROR(FIND($C$2,Lines!V31))=TRUE,"",IF('500'!V31="","ERR","")) &amp; IF(ISERROR(FIND($D$2,Lines!V31))=TRUE,"",IF('330'!V31="","ERR","")) &amp; IF(ISERROR(FIND($E$2,Lines!V31))=TRUE,"",IF('220'!V31="","ERR",""))&amp; IF(ISERROR(FIND($F$2,Lines!V31))=TRUE,"",IF(AND('500DC'!V31="",'800DC'!V31=""),"ERR","")) &amp; IF(ISERROR(FIND($G$2,Lines!V31))=TRUE,"",IF('1000'!V31="","ERR","")) &amp; IF(ISERROR(FIND($H$2,Lines!V31))=TRUE,"",IF('500DC'!V31="","ERR","")) &amp; IF(ISERROR(FIND($I$2,Lines!V31))=TRUE,"",IF('800DC'!V31="","ERR","")) &amp; IF(ISERROR(FIND($J$2,Lines!V31))=TRUE,"",IF('1000'!V31="","ERR",""))</f>
        <v/>
      </c>
      <c r="W31" s="109" t="str">
        <f>IF(ISERROR(FIND($B$2,Lines!W31))=TRUE,"",IF('750'!W31="","ERR","")) &amp; IF(ISERROR(FIND($C$2,Lines!W31))=TRUE,"",IF('500'!W31="","ERR","")) &amp; IF(ISERROR(FIND($D$2,Lines!W31))=TRUE,"",IF('330'!W31="","ERR","")) &amp; IF(ISERROR(FIND($E$2,Lines!W31))=TRUE,"",IF('220'!W31="","ERR",""))&amp; IF(ISERROR(FIND($F$2,Lines!W31))=TRUE,"",IF(AND('500DC'!W31="",'800DC'!W31=""),"ERR","")) &amp; IF(ISERROR(FIND($G$2,Lines!W31))=TRUE,"",IF('1000'!W31="","ERR","")) &amp; IF(ISERROR(FIND($H$2,Lines!W31))=TRUE,"",IF('500DC'!W31="","ERR","")) &amp; IF(ISERROR(FIND($I$2,Lines!W31))=TRUE,"",IF('800DC'!W31="","ERR","")) &amp; IF(ISERROR(FIND($J$2,Lines!W31))=TRUE,"",IF('1000'!W31="","ERR",""))</f>
        <v/>
      </c>
      <c r="X31" s="122" t="str">
        <f>IF(ISERROR(FIND($B$2,Lines!X31))=TRUE,"",IF('750'!X31="","ERR","")) &amp; IF(ISERROR(FIND($C$2,Lines!X31))=TRUE,"",IF('500'!X31="","ERR","")) &amp; IF(ISERROR(FIND($D$2,Lines!X31))=TRUE,"",IF('330'!X31="","ERR","")) &amp; IF(ISERROR(FIND($E$2,Lines!X31))=TRUE,"",IF('220'!X31="","ERR",""))&amp; IF(ISERROR(FIND($F$2,Lines!X31))=TRUE,"",IF(AND('500DC'!X31="",'800DC'!X31=""),"ERR","")) &amp; IF(ISERROR(FIND($G$2,Lines!X31))=TRUE,"",IF('1000'!X31="","ERR","")) &amp; IF(ISERROR(FIND($H$2,Lines!X31))=TRUE,"",IF('500DC'!X31="","ERR","")) &amp; IF(ISERROR(FIND($I$2,Lines!X31))=TRUE,"",IF('800DC'!X31="","ERR","")) &amp; IF(ISERROR(FIND($J$2,Lines!X31))=TRUE,"",IF('1000'!X31="","ERR",""))</f>
        <v/>
      </c>
      <c r="Y31" s="125" t="str">
        <f>IF(ISERROR(FIND($B$2,Lines!Y31))=TRUE,"",IF('750'!Y31="","ERR","")) &amp; IF(ISERROR(FIND($C$2,Lines!Y31))=TRUE,"",IF('500'!Y31="","ERR","")) &amp; IF(ISERROR(FIND($D$2,Lines!Y31))=TRUE,"",IF('330'!Y31="","ERR","")) &amp; IF(ISERROR(FIND($E$2,Lines!Y31))=TRUE,"",IF('220'!Y31="","ERR",""))&amp; IF(ISERROR(FIND($F$2,Lines!Y31))=TRUE,"",IF(AND('500DC'!Y31="",'800DC'!Y31=""),"ERR","")) &amp; IF(ISERROR(FIND($G$2,Lines!Y31))=TRUE,"",IF('1000'!Y31="","ERR","")) &amp; IF(ISERROR(FIND($H$2,Lines!Y31))=TRUE,"",IF('500DC'!Y31="","ERR","")) &amp; IF(ISERROR(FIND($I$2,Lines!Y31))=TRUE,"",IF('800DC'!Y31="","ERR","")) &amp; IF(ISERROR(FIND($J$2,Lines!Y31))=TRUE,"",IF('1000'!Y31="","ERR",""))</f>
        <v/>
      </c>
      <c r="Z31" s="125" t="str">
        <f>IF(ISERROR(FIND($B$2,Lines!Z31))=TRUE,"",IF('750'!Z31="","ERR","")) &amp; IF(ISERROR(FIND($C$2,Lines!Z31))=TRUE,"",IF('500'!Z31="","ERR","")) &amp; IF(ISERROR(FIND($D$2,Lines!Z31))=TRUE,"",IF('330'!Z31="","ERR","")) &amp; IF(ISERROR(FIND($E$2,Lines!Z31))=TRUE,"",IF('220'!Z31="","ERR",""))&amp; IF(ISERROR(FIND($F$2,Lines!Z31))=TRUE,"",IF(AND('500DC'!Z31="",'800DC'!Z31=""),"ERR","")) &amp; IF(ISERROR(FIND($G$2,Lines!Z31))=TRUE,"",IF('1000'!Z31="","ERR","")) &amp; IF(ISERROR(FIND($H$2,Lines!Z31))=TRUE,"",IF('500DC'!Z31="","ERR","")) &amp; IF(ISERROR(FIND($I$2,Lines!Z31))=TRUE,"",IF('800DC'!Z31="","ERR","")) &amp; IF(ISERROR(FIND($J$2,Lines!Z31))=TRUE,"",IF('1000'!Z31="","ERR",""))</f>
        <v/>
      </c>
      <c r="AA31" s="125" t="str">
        <f>IF(ISERROR(FIND($B$2,Lines!AA31))=TRUE,"",IF('750'!AA31="","ERR","")) &amp; IF(ISERROR(FIND($C$2,Lines!AA31))=TRUE,"",IF('500'!AA31="","ERR","")) &amp; IF(ISERROR(FIND($D$2,Lines!AA31))=TRUE,"",IF('330'!AA31="","ERR","")) &amp; IF(ISERROR(FIND($E$2,Lines!AA31))=TRUE,"",IF('220'!AA31="","ERR",""))&amp; IF(ISERROR(FIND($F$2,Lines!AA31))=TRUE,"",IF(AND('500DC'!AA31="",'800DC'!AA31=""),"ERR","")) &amp; IF(ISERROR(FIND($G$2,Lines!AA31))=TRUE,"",IF('1000'!AA31="","ERR","")) &amp; IF(ISERROR(FIND($H$2,Lines!AA31))=TRUE,"",IF('500DC'!AA31="","ERR","")) &amp; IF(ISERROR(FIND($I$2,Lines!AA31))=TRUE,"",IF('800DC'!AA31="","ERR","")) &amp; IF(ISERROR(FIND($J$2,Lines!AA31))=TRUE,"",IF('1000'!AA31="","ERR",""))</f>
        <v>ERR</v>
      </c>
      <c r="AB31" s="125" t="str">
        <f>IF(ISERROR(FIND($B$2,Lines!AB31))=TRUE,"",IF('750'!AB31="","ERR","")) &amp; IF(ISERROR(FIND($C$2,Lines!AB31))=TRUE,"",IF('500'!AB31="","ERR","")) &amp; IF(ISERROR(FIND($D$2,Lines!AB31))=TRUE,"",IF('330'!AB31="","ERR","")) &amp; IF(ISERROR(FIND($E$2,Lines!AB31))=TRUE,"",IF('220'!AB31="","ERR",""))&amp; IF(ISERROR(FIND($F$2,Lines!AB31))=TRUE,"",IF(AND('500DC'!AB31="",'800DC'!AB31=""),"ERR","")) &amp; IF(ISERROR(FIND($G$2,Lines!AB31))=TRUE,"",IF('1000'!AB31="","ERR","")) &amp; IF(ISERROR(FIND($H$2,Lines!AB31))=TRUE,"",IF('500DC'!AB31="","ERR","")) &amp; IF(ISERROR(FIND($I$2,Lines!AB31))=TRUE,"",IF('800DC'!AB31="","ERR","")) &amp; IF(ISERROR(FIND($J$2,Lines!AB31))=TRUE,"",IF('1000'!AB31="","ERR",""))</f>
        <v/>
      </c>
      <c r="AC31" s="116" t="str">
        <f>IF(ISERROR(FIND($B$2,Lines!AC31))=TRUE,"",IF('750'!AC31="","ERR","")) &amp; IF(ISERROR(FIND($C$2,Lines!AC31))=TRUE,"",IF('500'!AC31="","ERR","")) &amp; IF(ISERROR(FIND($D$2,Lines!AC31))=TRUE,"",IF('330'!AC31="","ERR","")) &amp; IF(ISERROR(FIND($E$2,Lines!AC31))=TRUE,"",IF('220'!AC31="","ERR",""))&amp; IF(ISERROR(FIND($F$2,Lines!AC31))=TRUE,"",IF(AND('500DC'!AC31="",'800DC'!AC31=""),"ERR","")) &amp; IF(ISERROR(FIND($G$2,Lines!AC31))=TRUE,"",IF('1000'!AC31="","ERR","")) &amp; IF(ISERROR(FIND($H$2,Lines!AC31))=TRUE,"",IF('500DC'!AC31="","ERR","")) &amp; IF(ISERROR(FIND($I$2,Lines!AC31))=TRUE,"",IF('800DC'!AC31="","ERR","")) &amp; IF(ISERROR(FIND($J$2,Lines!AC31))=TRUE,"",IF('1000'!AC31="","ERR",""))</f>
        <v/>
      </c>
      <c r="AD31" s="126" t="str">
        <f>IF(ISERROR(FIND($B$2,Lines!AD31))=TRUE,"",IF('750'!AD31="","ERR","")) &amp; IF(ISERROR(FIND($C$2,Lines!AD31))=TRUE,"",IF('500'!AD31="","ERR","")) &amp; IF(ISERROR(FIND($D$2,Lines!AD31))=TRUE,"",IF('330'!AD31="","ERR","")) &amp; IF(ISERROR(FIND($E$2,Lines!AD31))=TRUE,"",IF('220'!AD31="","ERR",""))&amp; IF(ISERROR(FIND($F$2,Lines!AD31))=TRUE,"",IF(AND('500DC'!AD31="",'800DC'!AD31=""),"ERR","")) &amp; IF(ISERROR(FIND($G$2,Lines!AD31))=TRUE,"",IF('1000'!AD31="","ERR","")) &amp; IF(ISERROR(FIND($H$2,Lines!AD31))=TRUE,"",IF('500DC'!AD31="","ERR","")) &amp; IF(ISERROR(FIND($I$2,Lines!AD31))=TRUE,"",IF('800DC'!AD31="","ERR","")) &amp; IF(ISERROR(FIND($J$2,Lines!AD31))=TRUE,"",IF('1000'!AD31="","ERR",""))</f>
        <v/>
      </c>
      <c r="AE31" s="108" t="str">
        <f>IF(ISERROR(FIND($B$2,Lines!AE31))=TRUE,"",IF('750'!AE31="","ERR","")) &amp; IF(ISERROR(FIND($C$2,Lines!AE31))=TRUE,"",IF('500'!AE31="","ERR","")) &amp; IF(ISERROR(FIND($D$2,Lines!AE31))=TRUE,"",IF('330'!AE31="","ERR","")) &amp; IF(ISERROR(FIND($E$2,Lines!AE31))=TRUE,"",IF('220'!AE31="","ERR",""))&amp; IF(ISERROR(FIND($F$2,Lines!AE31))=TRUE,"",IF(AND('500DC'!AE31="",'800DC'!AE31=""),"ERR","")) &amp; IF(ISERROR(FIND($G$2,Lines!AE31))=TRUE,"",IF('1000'!AE31="","ERR","")) &amp; IF(ISERROR(FIND($H$2,Lines!AE31))=TRUE,"",IF('500DC'!AE31="","ERR","")) &amp; IF(ISERROR(FIND($I$2,Lines!AE31))=TRUE,"",IF('800DC'!AE31="","ERR","")) &amp; IF(ISERROR(FIND($J$2,Lines!AE31))=TRUE,"",IF('1000'!AE31="","ERR",""))</f>
        <v/>
      </c>
      <c r="AF31" s="108" t="str">
        <f>IF(ISERROR(FIND($B$2,Lines!AF31))=TRUE,"",IF('750'!AF31="","ERR","")) &amp; IF(ISERROR(FIND($C$2,Lines!AF31))=TRUE,"",IF('500'!AF31="","ERR","")) &amp; IF(ISERROR(FIND($D$2,Lines!AF31))=TRUE,"",IF('330'!AF31="","ERR","")) &amp; IF(ISERROR(FIND($E$2,Lines!AF31))=TRUE,"",IF('220'!AF31="","ERR",""))&amp; IF(ISERROR(FIND($F$2,Lines!AF31))=TRUE,"",IF(AND('500DC'!AF31="",'800DC'!AF31=""),"ERR","")) &amp; IF(ISERROR(FIND($G$2,Lines!AF31))=TRUE,"",IF('1000'!AF31="","ERR","")) &amp; IF(ISERROR(FIND($H$2,Lines!AF31))=TRUE,"",IF('500DC'!AF31="","ERR","")) &amp; IF(ISERROR(FIND($I$2,Lines!AF31))=TRUE,"",IF('800DC'!AF31="","ERR","")) &amp; IF(ISERROR(FIND($J$2,Lines!AF31))=TRUE,"",IF('1000'!AF31="","ERR",""))</f>
        <v/>
      </c>
      <c r="AG31" s="108" t="str">
        <f>IF(ISERROR(FIND($B$2,Lines!AG31))=TRUE,"",IF('750'!AG31="","ERR","")) &amp; IF(ISERROR(FIND($C$2,Lines!AG31))=TRUE,"",IF('500'!AG31="","ERR","")) &amp; IF(ISERROR(FIND($D$2,Lines!AG31))=TRUE,"",IF('330'!AG31="","ERR","")) &amp; IF(ISERROR(FIND($E$2,Lines!AG31))=TRUE,"",IF('220'!AG31="","ERR",""))&amp; IF(ISERROR(FIND($F$2,Lines!AG31))=TRUE,"",IF(AND('500DC'!AG31="",'800DC'!AG31=""),"ERR","")) &amp; IF(ISERROR(FIND($G$2,Lines!AG31))=TRUE,"",IF('1000'!AG31="","ERR","")) &amp; IF(ISERROR(FIND($H$2,Lines!AG31))=TRUE,"",IF('500DC'!AG31="","ERR","")) &amp; IF(ISERROR(FIND($I$2,Lines!AG31))=TRUE,"",IF('800DC'!AG31="","ERR","")) &amp; IF(ISERROR(FIND($J$2,Lines!AG31))=TRUE,"",IF('1000'!AG31="","ERR",""))</f>
        <v/>
      </c>
      <c r="AH31" s="108" t="str">
        <f>IF(ISERROR(FIND($B$2,Lines!AH31))=TRUE,"",IF('750'!AH31="","ERR","")) &amp; IF(ISERROR(FIND($C$2,Lines!AH31))=TRUE,"",IF('500'!AH31="","ERR","")) &amp; IF(ISERROR(FIND($D$2,Lines!AH31))=TRUE,"",IF('330'!AH31="","ERR","")) &amp; IF(ISERROR(FIND($E$2,Lines!AH31))=TRUE,"",IF('220'!AH31="","ERR",""))&amp; IF(ISERROR(FIND($F$2,Lines!AH31))=TRUE,"",IF(AND('500DC'!AH31="",'800DC'!AH31=""),"ERR","")) &amp; IF(ISERROR(FIND($G$2,Lines!AH31))=TRUE,"",IF('1000'!AH31="","ERR","")) &amp; IF(ISERROR(FIND($H$2,Lines!AH31))=TRUE,"",IF('500DC'!AH31="","ERR","")) &amp; IF(ISERROR(FIND($I$2,Lines!AH31))=TRUE,"",IF('800DC'!AH31="","ERR","")) &amp; IF(ISERROR(FIND($J$2,Lines!AH31))=TRUE,"",IF('1000'!AH31="","ERR",""))</f>
        <v/>
      </c>
      <c r="AI31" s="108" t="str">
        <f>IF(ISERROR(FIND($B$2,Lines!AI31))=TRUE,"",IF('750'!AI31="","ERR","")) &amp; IF(ISERROR(FIND($C$2,Lines!AI31))=TRUE,"",IF('500'!AI31="","ERR","")) &amp; IF(ISERROR(FIND($D$2,Lines!AI31))=TRUE,"",IF('330'!AI31="","ERR","")) &amp; IF(ISERROR(FIND($E$2,Lines!AI31))=TRUE,"",IF('220'!AI31="","ERR",""))&amp; IF(ISERROR(FIND($F$2,Lines!AI31))=TRUE,"",IF(AND('500DC'!AI31="",'800DC'!AI31=""),"ERR","")) &amp; IF(ISERROR(FIND($G$2,Lines!AI31))=TRUE,"",IF('1000'!AI31="","ERR","")) &amp; IF(ISERROR(FIND($H$2,Lines!AI31))=TRUE,"",IF('500DC'!AI31="","ERR","")) &amp; IF(ISERROR(FIND($I$2,Lines!AI31))=TRUE,"",IF('800DC'!AI31="","ERR","")) &amp; IF(ISERROR(FIND($J$2,Lines!AI31))=TRUE,"",IF('1000'!AI31="","ERR",""))</f>
        <v/>
      </c>
      <c r="AJ31" s="108" t="str">
        <f>IF(ISERROR(FIND($B$2,Lines!AJ31))=TRUE,"",IF('750'!AJ31="","ERR","")) &amp; IF(ISERROR(FIND($C$2,Lines!AJ31))=TRUE,"",IF('500'!AJ31="","ERR","")) &amp; IF(ISERROR(FIND($D$2,Lines!AJ31))=TRUE,"",IF('330'!AJ31="","ERR","")) &amp; IF(ISERROR(FIND($E$2,Lines!AJ31))=TRUE,"",IF('220'!AJ31="","ERR",""))&amp; IF(ISERROR(FIND($F$2,Lines!AJ31))=TRUE,"",IF(AND('500DC'!AJ31="",'800DC'!AJ31=""),"ERR","")) &amp; IF(ISERROR(FIND($G$2,Lines!AJ31))=TRUE,"",IF('1000'!AJ31="","ERR","")) &amp; IF(ISERROR(FIND($H$2,Lines!AJ31))=TRUE,"",IF('500DC'!AJ31="","ERR","")) &amp; IF(ISERROR(FIND($I$2,Lines!AJ31))=TRUE,"",IF('800DC'!AJ31="","ERR","")) &amp; IF(ISERROR(FIND($J$2,Lines!AJ31))=TRUE,"",IF('1000'!AJ31="","ERR",""))</f>
        <v/>
      </c>
      <c r="AK31" s="108" t="str">
        <f>IF(ISERROR(FIND($B$2,Lines!AK31))=TRUE,"",IF('750'!AK31="","ERR","")) &amp; IF(ISERROR(FIND($C$2,Lines!AK31))=TRUE,"",IF('500'!AK31="","ERR","")) &amp; IF(ISERROR(FIND($D$2,Lines!AK31))=TRUE,"",IF('330'!AK31="","ERR","")) &amp; IF(ISERROR(FIND($E$2,Lines!AK31))=TRUE,"",IF('220'!AK31="","ERR",""))&amp; IF(ISERROR(FIND($F$2,Lines!AK31))=TRUE,"",IF(AND('500DC'!AK31="",'800DC'!AK31=""),"ERR","")) &amp; IF(ISERROR(FIND($G$2,Lines!AK31))=TRUE,"",IF('1000'!AK31="","ERR","")) &amp; IF(ISERROR(FIND($H$2,Lines!AK31))=TRUE,"",IF('500DC'!AK31="","ERR","")) &amp; IF(ISERROR(FIND($I$2,Lines!AK31))=TRUE,"",IF('800DC'!AK31="","ERR","")) &amp; IF(ISERROR(FIND($J$2,Lines!AK31))=TRUE,"",IF('1000'!AK31="","ERR",""))</f>
        <v/>
      </c>
      <c r="AL31" s="108" t="str">
        <f>IF(ISERROR(FIND($B$2,Lines!AL31))=TRUE,"",IF('750'!AL31="","ERR","")) &amp; IF(ISERROR(FIND($C$2,Lines!AL31))=TRUE,"",IF('500'!AL31="","ERR","")) &amp; IF(ISERROR(FIND($D$2,Lines!AL31))=TRUE,"",IF('330'!AL31="","ERR","")) &amp; IF(ISERROR(FIND($E$2,Lines!AL31))=TRUE,"",IF('220'!AL31="","ERR",""))&amp; IF(ISERROR(FIND($F$2,Lines!AL31))=TRUE,"",IF(AND('500DC'!AL31="",'800DC'!AL31=""),"ERR","")) &amp; IF(ISERROR(FIND($G$2,Lines!AL31))=TRUE,"",IF('1000'!AL31="","ERR","")) &amp; IF(ISERROR(FIND($H$2,Lines!AL31))=TRUE,"",IF('500DC'!AL31="","ERR","")) &amp; IF(ISERROR(FIND($I$2,Lines!AL31))=TRUE,"",IF('800DC'!AL31="","ERR","")) &amp; IF(ISERROR(FIND($J$2,Lines!AL31))=TRUE,"",IF('1000'!AL31="","ERR",""))</f>
        <v/>
      </c>
      <c r="AM31" s="108" t="str">
        <f>IF(ISERROR(FIND($B$2,Lines!AM31))=TRUE,"",IF('750'!AM31="","ERR","")) &amp; IF(ISERROR(FIND($C$2,Lines!AM31))=TRUE,"",IF('500'!AM31="","ERR","")) &amp; IF(ISERROR(FIND($D$2,Lines!AM31))=TRUE,"",IF('330'!AM31="","ERR","")) &amp; IF(ISERROR(FIND($E$2,Lines!AM31))=TRUE,"",IF('220'!AM31="","ERR",""))&amp; IF(ISERROR(FIND($F$2,Lines!AM31))=TRUE,"",IF(AND('500DC'!AM31="",'800DC'!AM31=""),"ERR","")) &amp; IF(ISERROR(FIND($G$2,Lines!AM31))=TRUE,"",IF('1000'!AM31="","ERR","")) &amp; IF(ISERROR(FIND($H$2,Lines!AM31))=TRUE,"",IF('500DC'!AM31="","ERR","")) &amp; IF(ISERROR(FIND($I$2,Lines!AM31))=TRUE,"",IF('800DC'!AM31="","ERR","")) &amp; IF(ISERROR(FIND($J$2,Lines!AM31))=TRUE,"",IF('1000'!AM31="","ERR",""))</f>
        <v/>
      </c>
      <c r="AN31" s="108" t="str">
        <f>IF(ISERROR(FIND($B$2,Lines!AN31))=TRUE,"",IF('750'!AN31="","ERR","")) &amp; IF(ISERROR(FIND($C$2,Lines!AN31))=TRUE,"",IF('500'!AN31="","ERR","")) &amp; IF(ISERROR(FIND($D$2,Lines!AN31))=TRUE,"",IF('330'!AN31="","ERR","")) &amp; IF(ISERROR(FIND($E$2,Lines!AN31))=TRUE,"",IF('220'!AN31="","ERR",""))&amp; IF(ISERROR(FIND($F$2,Lines!AN31))=TRUE,"",IF(AND('500DC'!AN31="",'800DC'!AN31=""),"ERR","")) &amp; IF(ISERROR(FIND($G$2,Lines!AN31))=TRUE,"",IF('1000'!AN31="","ERR","")) &amp; IF(ISERROR(FIND($H$2,Lines!AN31))=TRUE,"",IF('500DC'!AN31="","ERR","")) &amp; IF(ISERROR(FIND($I$2,Lines!AN31))=TRUE,"",IF('800DC'!AN31="","ERR","")) &amp; IF(ISERROR(FIND($J$2,Lines!AN31))=TRUE,"",IF('1000'!AN31="","ERR",""))</f>
        <v/>
      </c>
      <c r="AO31" s="108" t="str">
        <f>IF(ISERROR(FIND($B$2,Lines!AO31))=TRUE,"",IF('750'!AO31="","ERR","")) &amp; IF(ISERROR(FIND($C$2,Lines!AO31))=TRUE,"",IF('500'!AO31="","ERR","")) &amp; IF(ISERROR(FIND($D$2,Lines!AO31))=TRUE,"",IF('330'!AO31="","ERR","")) &amp; IF(ISERROR(FIND($E$2,Lines!AO31))=TRUE,"",IF('220'!AO31="","ERR",""))&amp; IF(ISERROR(FIND($F$2,Lines!AO31))=TRUE,"",IF(AND('500DC'!AO31="",'800DC'!AO31=""),"ERR","")) &amp; IF(ISERROR(FIND($G$2,Lines!AO31))=TRUE,"",IF('1000'!AO31="","ERR","")) &amp; IF(ISERROR(FIND($H$2,Lines!AO31))=TRUE,"",IF('500DC'!AO31="","ERR","")) &amp; IF(ISERROR(FIND($I$2,Lines!AO31))=TRUE,"",IF('800DC'!AO31="","ERR","")) &amp; IF(ISERROR(FIND($J$2,Lines!AO31))=TRUE,"",IF('1000'!AO31="","ERR",""))</f>
        <v/>
      </c>
      <c r="AP31" s="108" t="str">
        <f>IF(ISERROR(FIND($B$2,Lines!AP31))=TRUE,"",IF('750'!AP31="","ERR","")) &amp; IF(ISERROR(FIND($C$2,Lines!AP31))=TRUE,"",IF('500'!AP31="","ERR","")) &amp; IF(ISERROR(FIND($D$2,Lines!AP31))=TRUE,"",IF('330'!AP31="","ERR","")) &amp; IF(ISERROR(FIND($E$2,Lines!AP31))=TRUE,"",IF('220'!AP31="","ERR",""))&amp; IF(ISERROR(FIND($F$2,Lines!AP31))=TRUE,"",IF(AND('500DC'!AP31="",'800DC'!AP31=""),"ERR","")) &amp; IF(ISERROR(FIND($G$2,Lines!AP31))=TRUE,"",IF('1000'!AP31="","ERR","")) &amp; IF(ISERROR(FIND($H$2,Lines!AP31))=TRUE,"",IF('500DC'!AP31="","ERR","")) &amp; IF(ISERROR(FIND($I$2,Lines!AP31))=TRUE,"",IF('800DC'!AP31="","ERR","")) &amp; IF(ISERROR(FIND($J$2,Lines!AP31))=TRUE,"",IF('1000'!AP31="","ERR",""))</f>
        <v/>
      </c>
      <c r="AQ31" s="108" t="str">
        <f>IF(ISERROR(FIND($B$2,Lines!AQ31))=TRUE,"",IF('750'!AQ31="","ERR","")) &amp; IF(ISERROR(FIND($C$2,Lines!AQ31))=TRUE,"",IF('500'!AQ31="","ERR","")) &amp; IF(ISERROR(FIND($D$2,Lines!AQ31))=TRUE,"",IF('330'!AQ31="","ERR","")) &amp; IF(ISERROR(FIND($E$2,Lines!AQ31))=TRUE,"",IF('220'!AQ31="","ERR",""))&amp; IF(ISERROR(FIND($F$2,Lines!AQ31))=TRUE,"",IF(AND('500DC'!AQ31="",'800DC'!AQ31=""),"ERR","")) &amp; IF(ISERROR(FIND($G$2,Lines!AQ31))=TRUE,"",IF('1000'!AQ31="","ERR","")) &amp; IF(ISERROR(FIND($H$2,Lines!AQ31))=TRUE,"",IF('500DC'!AQ31="","ERR","")) &amp; IF(ISERROR(FIND($I$2,Lines!AQ31))=TRUE,"",IF('800DC'!AQ31="","ERR","")) &amp; IF(ISERROR(FIND($J$2,Lines!AQ31))=TRUE,"",IF('1000'!AQ31="","ERR",""))</f>
        <v/>
      </c>
      <c r="AR31" s="108" t="str">
        <f>IF(ISERROR(FIND($B$2,Lines!AR31))=TRUE,"",IF('750'!AR31="","ERR","")) &amp; IF(ISERROR(FIND($C$2,Lines!AR31))=TRUE,"",IF('500'!AR31="","ERR","")) &amp; IF(ISERROR(FIND($D$2,Lines!AR31))=TRUE,"",IF('330'!AR31="","ERR","")) &amp; IF(ISERROR(FIND($E$2,Lines!AR31))=TRUE,"",IF('220'!AR31="","ERR",""))&amp; IF(ISERROR(FIND($F$2,Lines!AR31))=TRUE,"",IF(AND('500DC'!AR31="",'800DC'!AR31=""),"ERR","")) &amp; IF(ISERROR(FIND($G$2,Lines!AR31))=TRUE,"",IF('1000'!AR31="","ERR","")) &amp; IF(ISERROR(FIND($H$2,Lines!AR31))=TRUE,"",IF('500DC'!AR31="","ERR","")) &amp; IF(ISERROR(FIND($I$2,Lines!AR31))=TRUE,"",IF('800DC'!AR31="","ERR","")) &amp; IF(ISERROR(FIND($J$2,Lines!AR31))=TRUE,"",IF('1000'!AR31="","ERR",""))</f>
        <v/>
      </c>
      <c r="AS31" s="108" t="str">
        <f>IF(ISERROR(FIND($B$2,Lines!AS31))=TRUE,"",IF('750'!AS31="","ERR","")) &amp; IF(ISERROR(FIND($C$2,Lines!AS31))=TRUE,"",IF('500'!AS31="","ERR","")) &amp; IF(ISERROR(FIND($D$2,Lines!AS31))=TRUE,"",IF('330'!AS31="","ERR","")) &amp; IF(ISERROR(FIND($E$2,Lines!AS31))=TRUE,"",IF('220'!AS31="","ERR",""))&amp; IF(ISERROR(FIND($F$2,Lines!AS31))=TRUE,"",IF(AND('500DC'!AS31="",'800DC'!AS31=""),"ERR","")) &amp; IF(ISERROR(FIND($G$2,Lines!AS31))=TRUE,"",IF('1000'!AS31="","ERR","")) &amp; IF(ISERROR(FIND($H$2,Lines!AS31))=TRUE,"",IF('500DC'!AS31="","ERR","")) &amp; IF(ISERROR(FIND($I$2,Lines!AS31))=TRUE,"",IF('800DC'!AS31="","ERR","")) &amp; IF(ISERROR(FIND($J$2,Lines!AS31))=TRUE,"",IF('1000'!AS31="","ERR",""))</f>
        <v/>
      </c>
      <c r="AT31" s="108" t="str">
        <f>IF(ISERROR(FIND($B$2,Lines!AT31))=TRUE,"",IF('750'!AT31="","ERR","")) &amp; IF(ISERROR(FIND($C$2,Lines!AT31))=TRUE,"",IF('500'!AT31="","ERR","")) &amp; IF(ISERROR(FIND($D$2,Lines!AT31))=TRUE,"",IF('330'!AT31="","ERR","")) &amp; IF(ISERROR(FIND($E$2,Lines!AT31))=TRUE,"",IF('220'!AT31="","ERR",""))&amp; IF(ISERROR(FIND($F$2,Lines!AT31))=TRUE,"",IF(AND('500DC'!AT31="",'800DC'!AT31=""),"ERR","")) &amp; IF(ISERROR(FIND($G$2,Lines!AT31))=TRUE,"",IF('1000'!AT31="","ERR","")) &amp; IF(ISERROR(FIND($H$2,Lines!AT31))=TRUE,"",IF('500DC'!AT31="","ERR","")) &amp; IF(ISERROR(FIND($I$2,Lines!AT31))=TRUE,"",IF('800DC'!AT31="","ERR","")) &amp; IF(ISERROR(FIND($J$2,Lines!AT31))=TRUE,"",IF('1000'!AT31="","ERR",""))</f>
        <v/>
      </c>
    </row>
    <row r="32" spans="1:46" ht="20.25" customHeight="1">
      <c r="A32" s="2" t="s">
        <v>80</v>
      </c>
      <c r="B32" s="108" t="str">
        <f>IF(ISERROR(FIND($B$2,Lines!B32))=TRUE,"",IF('750'!B32="","ERR","")) &amp; IF(ISERROR(FIND($C$2,Lines!B32))=TRUE,"",IF('500'!B32="","ERR","")) &amp; IF(ISERROR(FIND($D$2,Lines!B32))=TRUE,"",IF('330'!B32="","ERR","")) &amp; IF(ISERROR(FIND($E$2,Lines!B32))=TRUE,"",IF('220'!B32="","ERR",""))&amp; IF(ISERROR(FIND($F$2,Lines!B32))=TRUE,"",IF(AND('500DC'!B32="",'800DC'!B32=""),"ERR","")) &amp; IF(ISERROR(FIND($G$2,Lines!B32))=TRUE,"",IF('1000'!B32="","ERR","")) &amp; IF(ISERROR(FIND($H$2,Lines!B32))=TRUE,"",IF('500DC'!B32="","ERR","")) &amp; IF(ISERROR(FIND($I$2,Lines!B32))=TRUE,"",IF('800DC'!B32="","ERR","")) &amp; IF(ISERROR(FIND($J$2,Lines!B32))=TRUE,"",IF('1000'!B32="","ERR",""))</f>
        <v/>
      </c>
      <c r="C32" s="108" t="str">
        <f>IF(ISERROR(FIND($B$2,Lines!C32))=TRUE,"",IF('750'!C32="","ERR","")) &amp; IF(ISERROR(FIND($C$2,Lines!C32))=TRUE,"",IF('500'!C32="","ERR","")) &amp; IF(ISERROR(FIND($D$2,Lines!C32))=TRUE,"",IF('330'!C32="","ERR","")) &amp; IF(ISERROR(FIND($E$2,Lines!C32))=TRUE,"",IF('220'!C32="","ERR",""))&amp; IF(ISERROR(FIND($F$2,Lines!C32))=TRUE,"",IF(AND('500DC'!C32="",'800DC'!C32=""),"ERR","")) &amp; IF(ISERROR(FIND($G$2,Lines!C32))=TRUE,"",IF('1000'!C32="","ERR","")) &amp; IF(ISERROR(FIND($H$2,Lines!C32))=TRUE,"",IF('500DC'!C32="","ERR","")) &amp; IF(ISERROR(FIND($I$2,Lines!C32))=TRUE,"",IF('800DC'!C32="","ERR","")) &amp; IF(ISERROR(FIND($J$2,Lines!C32))=TRUE,"",IF('1000'!C32="","ERR",""))</f>
        <v/>
      </c>
      <c r="D32" s="108" t="str">
        <f>IF(ISERROR(FIND($B$2,Lines!D32))=TRUE,"",IF('750'!D32="","ERR","")) &amp; IF(ISERROR(FIND($C$2,Lines!D32))=TRUE,"",IF('500'!D32="","ERR","")) &amp; IF(ISERROR(FIND($D$2,Lines!D32))=TRUE,"",IF('330'!D32="","ERR","")) &amp; IF(ISERROR(FIND($E$2,Lines!D32))=TRUE,"",IF('220'!D32="","ERR",""))&amp; IF(ISERROR(FIND($F$2,Lines!D32))=TRUE,"",IF(AND('500DC'!D32="",'800DC'!D32=""),"ERR","")) &amp; IF(ISERROR(FIND($G$2,Lines!D32))=TRUE,"",IF('1000'!D32="","ERR","")) &amp; IF(ISERROR(FIND($H$2,Lines!D32))=TRUE,"",IF('500DC'!D32="","ERR","")) &amp; IF(ISERROR(FIND($I$2,Lines!D32))=TRUE,"",IF('800DC'!D32="","ERR","")) &amp; IF(ISERROR(FIND($J$2,Lines!D32))=TRUE,"",IF('1000'!D32="","ERR",""))</f>
        <v/>
      </c>
      <c r="E32" s="108" t="str">
        <f>IF(ISERROR(FIND($B$2,Lines!E32))=TRUE,"",IF('750'!E32="","ERR","")) &amp; IF(ISERROR(FIND($C$2,Lines!E32))=TRUE,"",IF('500'!E32="","ERR","")) &amp; IF(ISERROR(FIND($D$2,Lines!E32))=TRUE,"",IF('330'!E32="","ERR","")) &amp; IF(ISERROR(FIND($E$2,Lines!E32))=TRUE,"",IF('220'!E32="","ERR",""))&amp; IF(ISERROR(FIND($F$2,Lines!E32))=TRUE,"",IF(AND('500DC'!E32="",'800DC'!E32=""),"ERR","")) &amp; IF(ISERROR(FIND($G$2,Lines!E32))=TRUE,"",IF('1000'!E32="","ERR","")) &amp; IF(ISERROR(FIND($H$2,Lines!E32))=TRUE,"",IF('500DC'!E32="","ERR","")) &amp; IF(ISERROR(FIND($I$2,Lines!E32))=TRUE,"",IF('800DC'!E32="","ERR","")) &amp; IF(ISERROR(FIND($J$2,Lines!E32))=TRUE,"",IF('1000'!E32="","ERR",""))</f>
        <v/>
      </c>
      <c r="F32" s="108" t="str">
        <f>IF(ISERROR(FIND($B$2,Lines!F32))=TRUE,"",IF('750'!F32="","ERR","")) &amp; IF(ISERROR(FIND($C$2,Lines!F32))=TRUE,"",IF('500'!F32="","ERR","")) &amp; IF(ISERROR(FIND($D$2,Lines!F32))=TRUE,"",IF('330'!F32="","ERR","")) &amp; IF(ISERROR(FIND($E$2,Lines!F32))=TRUE,"",IF('220'!F32="","ERR",""))&amp; IF(ISERROR(FIND($F$2,Lines!F32))=TRUE,"",IF(AND('500DC'!F32="",'800DC'!F32=""),"ERR","")) &amp; IF(ISERROR(FIND($G$2,Lines!F32))=TRUE,"",IF('1000'!F32="","ERR","")) &amp; IF(ISERROR(FIND($H$2,Lines!F32))=TRUE,"",IF('500DC'!F32="","ERR","")) &amp; IF(ISERROR(FIND($I$2,Lines!F32))=TRUE,"",IF('800DC'!F32="","ERR","")) &amp; IF(ISERROR(FIND($J$2,Lines!F32))=TRUE,"",IF('1000'!F32="","ERR",""))</f>
        <v/>
      </c>
      <c r="G32" s="108" t="str">
        <f>IF(ISERROR(FIND($B$2,Lines!G32))=TRUE,"",IF('750'!G32="","ERR","")) &amp; IF(ISERROR(FIND($C$2,Lines!G32))=TRUE,"",IF('500'!G32="","ERR","")) &amp; IF(ISERROR(FIND($D$2,Lines!G32))=TRUE,"",IF('330'!G32="","ERR","")) &amp; IF(ISERROR(FIND($E$2,Lines!G32))=TRUE,"",IF('220'!G32="","ERR",""))&amp; IF(ISERROR(FIND($F$2,Lines!G32))=TRUE,"",IF(AND('500DC'!G32="",'800DC'!G32=""),"ERR","")) &amp; IF(ISERROR(FIND($G$2,Lines!G32))=TRUE,"",IF('1000'!G32="","ERR","")) &amp; IF(ISERROR(FIND($H$2,Lines!G32))=TRUE,"",IF('500DC'!G32="","ERR","")) &amp; IF(ISERROR(FIND($I$2,Lines!G32))=TRUE,"",IF('800DC'!G32="","ERR","")) &amp; IF(ISERROR(FIND($J$2,Lines!G32))=TRUE,"",IF('1000'!G32="","ERR",""))</f>
        <v/>
      </c>
      <c r="H32" s="108" t="str">
        <f>IF(ISERROR(FIND($B$2,Lines!H32))=TRUE,"",IF('750'!H32="","ERR","")) &amp; IF(ISERROR(FIND($C$2,Lines!H32))=TRUE,"",IF('500'!H32="","ERR","")) &amp; IF(ISERROR(FIND($D$2,Lines!H32))=TRUE,"",IF('330'!H32="","ERR","")) &amp; IF(ISERROR(FIND($E$2,Lines!H32))=TRUE,"",IF('220'!H32="","ERR",""))&amp; IF(ISERROR(FIND($F$2,Lines!H32))=TRUE,"",IF(AND('500DC'!H32="",'800DC'!H32=""),"ERR","")) &amp; IF(ISERROR(FIND($G$2,Lines!H32))=TRUE,"",IF('1000'!H32="","ERR","")) &amp; IF(ISERROR(FIND($H$2,Lines!H32))=TRUE,"",IF('500DC'!H32="","ERR","")) &amp; IF(ISERROR(FIND($I$2,Lines!H32))=TRUE,"",IF('800DC'!H32="","ERR","")) &amp; IF(ISERROR(FIND($J$2,Lines!H32))=TRUE,"",IF('1000'!H32="","ERR",""))</f>
        <v/>
      </c>
      <c r="I32" s="108" t="str">
        <f>IF(ISERROR(FIND($B$2,Lines!I32))=TRUE,"",IF('750'!I32="","ERR","")) &amp; IF(ISERROR(FIND($C$2,Lines!I32))=TRUE,"",IF('500'!I32="","ERR","")) &amp; IF(ISERROR(FIND($D$2,Lines!I32))=TRUE,"",IF('330'!I32="","ERR","")) &amp; IF(ISERROR(FIND($E$2,Lines!I32))=TRUE,"",IF('220'!I32="","ERR",""))&amp; IF(ISERROR(FIND($F$2,Lines!I32))=TRUE,"",IF(AND('500DC'!I32="",'800DC'!I32=""),"ERR","")) &amp; IF(ISERROR(FIND($G$2,Lines!I32))=TRUE,"",IF('1000'!I32="","ERR","")) &amp; IF(ISERROR(FIND($H$2,Lines!I32))=TRUE,"",IF('500DC'!I32="","ERR","")) &amp; IF(ISERROR(FIND($I$2,Lines!I32))=TRUE,"",IF('800DC'!I32="","ERR","")) &amp; IF(ISERROR(FIND($J$2,Lines!I32))=TRUE,"",IF('1000'!I32="","ERR",""))</f>
        <v/>
      </c>
      <c r="J32" s="108" t="str">
        <f>IF(ISERROR(FIND($B$2,Lines!J32))=TRUE,"",IF('750'!J32="","ERR","")) &amp; IF(ISERROR(FIND($C$2,Lines!J32))=TRUE,"",IF('500'!J32="","ERR","")) &amp; IF(ISERROR(FIND($D$2,Lines!J32))=TRUE,"",IF('330'!J32="","ERR","")) &amp; IF(ISERROR(FIND($E$2,Lines!J32))=TRUE,"",IF('220'!J32="","ERR",""))&amp; IF(ISERROR(FIND($F$2,Lines!J32))=TRUE,"",IF(AND('500DC'!J32="",'800DC'!J32=""),"ERR","")) &amp; IF(ISERROR(FIND($G$2,Lines!J32))=TRUE,"",IF('1000'!J32="","ERR","")) &amp; IF(ISERROR(FIND($H$2,Lines!J32))=TRUE,"",IF('500DC'!J32="","ERR","")) &amp; IF(ISERROR(FIND($I$2,Lines!J32))=TRUE,"",IF('800DC'!J32="","ERR","")) &amp; IF(ISERROR(FIND($J$2,Lines!J32))=TRUE,"",IF('1000'!J32="","ERR",""))</f>
        <v/>
      </c>
      <c r="K32" s="108" t="str">
        <f>IF(ISERROR(FIND($B$2,Lines!K32))=TRUE,"",IF('750'!K32="","ERR","")) &amp; IF(ISERROR(FIND($C$2,Lines!K32))=TRUE,"",IF('500'!K32="","ERR","")) &amp; IF(ISERROR(FIND($D$2,Lines!K32))=TRUE,"",IF('330'!K32="","ERR","")) &amp; IF(ISERROR(FIND($E$2,Lines!K32))=TRUE,"",IF('220'!K32="","ERR",""))&amp; IF(ISERROR(FIND($F$2,Lines!K32))=TRUE,"",IF(AND('500DC'!K32="",'800DC'!K32=""),"ERR","")) &amp; IF(ISERROR(FIND($G$2,Lines!K32))=TRUE,"",IF('1000'!K32="","ERR","")) &amp; IF(ISERROR(FIND($H$2,Lines!K32))=TRUE,"",IF('500DC'!K32="","ERR","")) &amp; IF(ISERROR(FIND($I$2,Lines!K32))=TRUE,"",IF('800DC'!K32="","ERR","")) &amp; IF(ISERROR(FIND($J$2,Lines!K32))=TRUE,"",IF('1000'!K32="","ERR",""))</f>
        <v/>
      </c>
      <c r="L32" s="108" t="str">
        <f>IF(ISERROR(FIND($B$2,Lines!L32))=TRUE,"",IF('750'!L32="","ERR","")) &amp; IF(ISERROR(FIND($C$2,Lines!L32))=TRUE,"",IF('500'!L32="","ERR","")) &amp; IF(ISERROR(FIND($D$2,Lines!L32))=TRUE,"",IF('330'!L32="","ERR","")) &amp; IF(ISERROR(FIND($E$2,Lines!L32))=TRUE,"",IF('220'!L32="","ERR",""))&amp; IF(ISERROR(FIND($F$2,Lines!L32))=TRUE,"",IF(AND('500DC'!L32="",'800DC'!L32=""),"ERR","")) &amp; IF(ISERROR(FIND($G$2,Lines!L32))=TRUE,"",IF('1000'!L32="","ERR","")) &amp; IF(ISERROR(FIND($H$2,Lines!L32))=TRUE,"",IF('500DC'!L32="","ERR","")) &amp; IF(ISERROR(FIND($I$2,Lines!L32))=TRUE,"",IF('800DC'!L32="","ERR","")) &amp; IF(ISERROR(FIND($J$2,Lines!L32))=TRUE,"",IF('1000'!L32="","ERR",""))</f>
        <v/>
      </c>
      <c r="M32" s="108" t="str">
        <f>IF(ISERROR(FIND($B$2,Lines!M32))=TRUE,"",IF('750'!M32="","ERR","")) &amp; IF(ISERROR(FIND($C$2,Lines!M32))=TRUE,"",IF('500'!M32="","ERR","")) &amp; IF(ISERROR(FIND($D$2,Lines!M32))=TRUE,"",IF('330'!M32="","ERR","")) &amp; IF(ISERROR(FIND($E$2,Lines!M32))=TRUE,"",IF('220'!M32="","ERR",""))&amp; IF(ISERROR(FIND($F$2,Lines!M32))=TRUE,"",IF(AND('500DC'!M32="",'800DC'!M32=""),"ERR","")) &amp; IF(ISERROR(FIND($G$2,Lines!M32))=TRUE,"",IF('1000'!M32="","ERR","")) &amp; IF(ISERROR(FIND($H$2,Lines!M32))=TRUE,"",IF('500DC'!M32="","ERR","")) &amp; IF(ISERROR(FIND($I$2,Lines!M32))=TRUE,"",IF('800DC'!M32="","ERR","")) &amp; IF(ISERROR(FIND($J$2,Lines!M32))=TRUE,"",IF('1000'!M32="","ERR",""))</f>
        <v/>
      </c>
      <c r="N32" s="108" t="str">
        <f>IF(ISERROR(FIND($B$2,Lines!N32))=TRUE,"",IF('750'!N32="","ERR","")) &amp; IF(ISERROR(FIND($C$2,Lines!N32))=TRUE,"",IF('500'!N32="","ERR","")) &amp; IF(ISERROR(FIND($D$2,Lines!N32))=TRUE,"",IF('330'!N32="","ERR","")) &amp; IF(ISERROR(FIND($E$2,Lines!N32))=TRUE,"",IF('220'!N32="","ERR",""))&amp; IF(ISERROR(FIND($F$2,Lines!N32))=TRUE,"",IF(AND('500DC'!N32="",'800DC'!N32=""),"ERR","")) &amp; IF(ISERROR(FIND($G$2,Lines!N32))=TRUE,"",IF('1000'!N32="","ERR","")) &amp; IF(ISERROR(FIND($H$2,Lines!N32))=TRUE,"",IF('500DC'!N32="","ERR","")) &amp; IF(ISERROR(FIND($I$2,Lines!N32))=TRUE,"",IF('800DC'!N32="","ERR","")) &amp; IF(ISERROR(FIND($J$2,Lines!N32))=TRUE,"",IF('1000'!N32="","ERR",""))</f>
        <v/>
      </c>
      <c r="O32" s="108" t="str">
        <f>IF(ISERROR(FIND($B$2,Lines!O32))=TRUE,"",IF('750'!O32="","ERR","")) &amp; IF(ISERROR(FIND($C$2,Lines!O32))=TRUE,"",IF('500'!O32="","ERR","")) &amp; IF(ISERROR(FIND($D$2,Lines!O32))=TRUE,"",IF('330'!O32="","ERR","")) &amp; IF(ISERROR(FIND($E$2,Lines!O32))=TRUE,"",IF('220'!O32="","ERR",""))&amp; IF(ISERROR(FIND($F$2,Lines!O32))=TRUE,"",IF(AND('500DC'!O32="",'800DC'!O32=""),"ERR","")) &amp; IF(ISERROR(FIND($G$2,Lines!O32))=TRUE,"",IF('1000'!O32="","ERR","")) &amp; IF(ISERROR(FIND($H$2,Lines!O32))=TRUE,"",IF('500DC'!O32="","ERR","")) &amp; IF(ISERROR(FIND($I$2,Lines!O32))=TRUE,"",IF('800DC'!O32="","ERR","")) &amp; IF(ISERROR(FIND($J$2,Lines!O32))=TRUE,"",IF('1000'!O32="","ERR",""))</f>
        <v/>
      </c>
      <c r="P32" s="108" t="str">
        <f>IF(ISERROR(FIND($B$2,Lines!P32))=TRUE,"",IF('750'!P32="","ERR","")) &amp; IF(ISERROR(FIND($C$2,Lines!P32))=TRUE,"",IF('500'!P32="","ERR","")) &amp; IF(ISERROR(FIND($D$2,Lines!P32))=TRUE,"",IF('330'!P32="","ERR","")) &amp; IF(ISERROR(FIND($E$2,Lines!P32))=TRUE,"",IF('220'!P32="","ERR",""))&amp; IF(ISERROR(FIND($F$2,Lines!P32))=TRUE,"",IF(AND('500DC'!P32="",'800DC'!P32=""),"ERR","")) &amp; IF(ISERROR(FIND($G$2,Lines!P32))=TRUE,"",IF('1000'!P32="","ERR","")) &amp; IF(ISERROR(FIND($H$2,Lines!P32))=TRUE,"",IF('500DC'!P32="","ERR","")) &amp; IF(ISERROR(FIND($I$2,Lines!P32))=TRUE,"",IF('800DC'!P32="","ERR","")) &amp; IF(ISERROR(FIND($J$2,Lines!P32))=TRUE,"",IF('1000'!P32="","ERR",""))</f>
        <v/>
      </c>
      <c r="Q32" s="108" t="str">
        <f>IF(ISERROR(FIND($B$2,Lines!Q32))=TRUE,"",IF('750'!Q32="","ERR","")) &amp; IF(ISERROR(FIND($C$2,Lines!Q32))=TRUE,"",IF('500'!Q32="","ERR","")) &amp; IF(ISERROR(FIND($D$2,Lines!Q32))=TRUE,"",IF('330'!Q32="","ERR","")) &amp; IF(ISERROR(FIND($E$2,Lines!Q32))=TRUE,"",IF('220'!Q32="","ERR",""))&amp; IF(ISERROR(FIND($F$2,Lines!Q32))=TRUE,"",IF(AND('500DC'!Q32="",'800DC'!Q32=""),"ERR","")) &amp; IF(ISERROR(FIND($G$2,Lines!Q32))=TRUE,"",IF('1000'!Q32="","ERR","")) &amp; IF(ISERROR(FIND($H$2,Lines!Q32))=TRUE,"",IF('500DC'!Q32="","ERR","")) &amp; IF(ISERROR(FIND($I$2,Lines!Q32))=TRUE,"",IF('800DC'!Q32="","ERR","")) &amp; IF(ISERROR(FIND($J$2,Lines!Q32))=TRUE,"",IF('1000'!Q32="","ERR",""))</f>
        <v/>
      </c>
      <c r="R32" s="108" t="str">
        <f>IF(ISERROR(FIND($B$2,Lines!R32))=TRUE,"",IF('750'!R32="","ERR","")) &amp; IF(ISERROR(FIND($C$2,Lines!R32))=TRUE,"",IF('500'!R32="","ERR","")) &amp; IF(ISERROR(FIND($D$2,Lines!R32))=TRUE,"",IF('330'!R32="","ERR","")) &amp; IF(ISERROR(FIND($E$2,Lines!R32))=TRUE,"",IF('220'!R32="","ERR",""))&amp; IF(ISERROR(FIND($F$2,Lines!R32))=TRUE,"",IF(AND('500DC'!R32="",'800DC'!R32=""),"ERR","")) &amp; IF(ISERROR(FIND($G$2,Lines!R32))=TRUE,"",IF('1000'!R32="","ERR","")) &amp; IF(ISERROR(FIND($H$2,Lines!R32))=TRUE,"",IF('500DC'!R32="","ERR","")) &amp; IF(ISERROR(FIND($I$2,Lines!R32))=TRUE,"",IF('800DC'!R32="","ERR","")) &amp; IF(ISERROR(FIND($J$2,Lines!R32))=TRUE,"",IF('1000'!R32="","ERR",""))</f>
        <v/>
      </c>
      <c r="S32" s="108" t="str">
        <f>IF(ISERROR(FIND($B$2,Lines!S32))=TRUE,"",IF('750'!S32="","ERR","")) &amp; IF(ISERROR(FIND($C$2,Lines!S32))=TRUE,"",IF('500'!S32="","ERR","")) &amp; IF(ISERROR(FIND($D$2,Lines!S32))=TRUE,"",IF('330'!S32="","ERR","")) &amp; IF(ISERROR(FIND($E$2,Lines!S32))=TRUE,"",IF('220'!S32="","ERR",""))&amp; IF(ISERROR(FIND($F$2,Lines!S32))=TRUE,"",IF(AND('500DC'!S32="",'800DC'!S32=""),"ERR","")) &amp; IF(ISERROR(FIND($G$2,Lines!S32))=TRUE,"",IF('1000'!S32="","ERR","")) &amp; IF(ISERROR(FIND($H$2,Lines!S32))=TRUE,"",IF('500DC'!S32="","ERR","")) &amp; IF(ISERROR(FIND($I$2,Lines!S32))=TRUE,"",IF('800DC'!S32="","ERR","")) &amp; IF(ISERROR(FIND($J$2,Lines!S32))=TRUE,"",IF('1000'!S32="","ERR",""))</f>
        <v/>
      </c>
      <c r="T32" s="108" t="str">
        <f>IF(ISERROR(FIND($B$2,Lines!T32))=TRUE,"",IF('750'!T32="","ERR","")) &amp; IF(ISERROR(FIND($C$2,Lines!T32))=TRUE,"",IF('500'!T32="","ERR","")) &amp; IF(ISERROR(FIND($D$2,Lines!T32))=TRUE,"",IF('330'!T32="","ERR","")) &amp; IF(ISERROR(FIND($E$2,Lines!T32))=TRUE,"",IF('220'!T32="","ERR",""))&amp; IF(ISERROR(FIND($F$2,Lines!T32))=TRUE,"",IF(AND('500DC'!T32="",'800DC'!T32=""),"ERR","")) &amp; IF(ISERROR(FIND($G$2,Lines!T32))=TRUE,"",IF('1000'!T32="","ERR","")) &amp; IF(ISERROR(FIND($H$2,Lines!T32))=TRUE,"",IF('500DC'!T32="","ERR","")) &amp; IF(ISERROR(FIND($I$2,Lines!T32))=TRUE,"",IF('800DC'!T32="","ERR","")) &amp; IF(ISERROR(FIND($J$2,Lines!T32))=TRUE,"",IF('1000'!T32="","ERR",""))</f>
        <v/>
      </c>
      <c r="U32" s="108" t="str">
        <f>IF(ISERROR(FIND($B$2,Lines!U32))=TRUE,"",IF('750'!U32="","ERR","")) &amp; IF(ISERROR(FIND($C$2,Lines!U32))=TRUE,"",IF('500'!U32="","ERR","")) &amp; IF(ISERROR(FIND($D$2,Lines!U32))=TRUE,"",IF('330'!U32="","ERR","")) &amp; IF(ISERROR(FIND($E$2,Lines!U32))=TRUE,"",IF('220'!U32="","ERR",""))&amp; IF(ISERROR(FIND($F$2,Lines!U32))=TRUE,"",IF(AND('500DC'!U32="",'800DC'!U32=""),"ERR","")) &amp; IF(ISERROR(FIND($G$2,Lines!U32))=TRUE,"",IF('1000'!U32="","ERR","")) &amp; IF(ISERROR(FIND($H$2,Lines!U32))=TRUE,"",IF('500DC'!U32="","ERR","")) &amp; IF(ISERROR(FIND($I$2,Lines!U32))=TRUE,"",IF('800DC'!U32="","ERR","")) &amp; IF(ISERROR(FIND($J$2,Lines!U32))=TRUE,"",IF('1000'!U32="","ERR",""))</f>
        <v/>
      </c>
      <c r="V32" s="108" t="str">
        <f>IF(ISERROR(FIND($B$2,Lines!V32))=TRUE,"",IF('750'!V32="","ERR","")) &amp; IF(ISERROR(FIND($C$2,Lines!V32))=TRUE,"",IF('500'!V32="","ERR","")) &amp; IF(ISERROR(FIND($D$2,Lines!V32))=TRUE,"",IF('330'!V32="","ERR","")) &amp; IF(ISERROR(FIND($E$2,Lines!V32))=TRUE,"",IF('220'!V32="","ERR",""))&amp; IF(ISERROR(FIND($F$2,Lines!V32))=TRUE,"",IF(AND('500DC'!V32="",'800DC'!V32=""),"ERR","")) &amp; IF(ISERROR(FIND($G$2,Lines!V32))=TRUE,"",IF('1000'!V32="","ERR","")) &amp; IF(ISERROR(FIND($H$2,Lines!V32))=TRUE,"",IF('500DC'!V32="","ERR","")) &amp; IF(ISERROR(FIND($I$2,Lines!V32))=TRUE,"",IF('800DC'!V32="","ERR","")) &amp; IF(ISERROR(FIND($J$2,Lines!V32))=TRUE,"",IF('1000'!V32="","ERR",""))</f>
        <v/>
      </c>
      <c r="W32" s="109" t="str">
        <f>IF(ISERROR(FIND($B$2,Lines!W32))=TRUE,"",IF('750'!W32="","ERR","")) &amp; IF(ISERROR(FIND($C$2,Lines!W32))=TRUE,"",IF('500'!W32="","ERR","")) &amp; IF(ISERROR(FIND($D$2,Lines!W32))=TRUE,"",IF('330'!W32="","ERR","")) &amp; IF(ISERROR(FIND($E$2,Lines!W32))=TRUE,"",IF('220'!W32="","ERR",""))&amp; IF(ISERROR(FIND($F$2,Lines!W32))=TRUE,"",IF(AND('500DC'!W32="",'800DC'!W32=""),"ERR","")) &amp; IF(ISERROR(FIND($G$2,Lines!W32))=TRUE,"",IF('1000'!W32="","ERR","")) &amp; IF(ISERROR(FIND($H$2,Lines!W32))=TRUE,"",IF('500DC'!W32="","ERR","")) &amp; IF(ISERROR(FIND($I$2,Lines!W32))=TRUE,"",IF('800DC'!W32="","ERR","")) &amp; IF(ISERROR(FIND($J$2,Lines!W32))=TRUE,"",IF('1000'!W32="","ERR",""))</f>
        <v/>
      </c>
      <c r="X32" s="123" t="str">
        <f>IF(ISERROR(FIND($B$2,Lines!X32))=TRUE,"",IF('750'!X32="","ERR","")) &amp; IF(ISERROR(FIND($C$2,Lines!X32))=TRUE,"",IF('500'!X32="","ERR","")) &amp; IF(ISERROR(FIND($D$2,Lines!X32))=TRUE,"",IF('330'!X32="","ERR","")) &amp; IF(ISERROR(FIND($E$2,Lines!X32))=TRUE,"",IF('220'!X32="","ERR",""))&amp; IF(ISERROR(FIND($F$2,Lines!X32))=TRUE,"",IF(AND('500DC'!X32="",'800DC'!X32=""),"ERR","")) &amp; IF(ISERROR(FIND($G$2,Lines!X32))=TRUE,"",IF('1000'!X32="","ERR","")) &amp; IF(ISERROR(FIND($H$2,Lines!X32))=TRUE,"",IF('500DC'!X32="","ERR","")) &amp; IF(ISERROR(FIND($I$2,Lines!X32))=TRUE,"",IF('800DC'!X32="","ERR","")) &amp; IF(ISERROR(FIND($J$2,Lines!X32))=TRUE,"",IF('1000'!X32="","ERR",""))</f>
        <v/>
      </c>
      <c r="Y32" s="127" t="str">
        <f>IF(ISERROR(FIND($B$2,Lines!Y32))=TRUE,"",IF('750'!Y32="","ERR","")) &amp; IF(ISERROR(FIND($C$2,Lines!Y32))=TRUE,"",IF('500'!Y32="","ERR","")) &amp; IF(ISERROR(FIND($D$2,Lines!Y32))=TRUE,"",IF('330'!Y32="","ERR","")) &amp; IF(ISERROR(FIND($E$2,Lines!Y32))=TRUE,"",IF('220'!Y32="","ERR",""))&amp; IF(ISERROR(FIND($F$2,Lines!Y32))=TRUE,"",IF(AND('500DC'!Y32="",'800DC'!Y32=""),"ERR","")) &amp; IF(ISERROR(FIND($G$2,Lines!Y32))=TRUE,"",IF('1000'!Y32="","ERR","")) &amp; IF(ISERROR(FIND($H$2,Lines!Y32))=TRUE,"",IF('500DC'!Y32="","ERR","")) &amp; IF(ISERROR(FIND($I$2,Lines!Y32))=TRUE,"",IF('800DC'!Y32="","ERR","")) &amp; IF(ISERROR(FIND($J$2,Lines!Y32))=TRUE,"",IF('1000'!Y32="","ERR",""))</f>
        <v/>
      </c>
      <c r="Z32" s="127" t="str">
        <f>IF(ISERROR(FIND($B$2,Lines!Z32))=TRUE,"",IF('750'!Z32="","ERR","")) &amp; IF(ISERROR(FIND($C$2,Lines!Z32))=TRUE,"",IF('500'!Z32="","ERR","")) &amp; IF(ISERROR(FIND($D$2,Lines!Z32))=TRUE,"",IF('330'!Z32="","ERR","")) &amp; IF(ISERROR(FIND($E$2,Lines!Z32))=TRUE,"",IF('220'!Z32="","ERR",""))&amp; IF(ISERROR(FIND($F$2,Lines!Z32))=TRUE,"",IF(AND('500DC'!Z32="",'800DC'!Z32=""),"ERR","")) &amp; IF(ISERROR(FIND($G$2,Lines!Z32))=TRUE,"",IF('1000'!Z32="","ERR","")) &amp; IF(ISERROR(FIND($H$2,Lines!Z32))=TRUE,"",IF('500DC'!Z32="","ERR","")) &amp; IF(ISERROR(FIND($I$2,Lines!Z32))=TRUE,"",IF('800DC'!Z32="","ERR","")) &amp; IF(ISERROR(FIND($J$2,Lines!Z32))=TRUE,"",IF('1000'!Z32="","ERR",""))</f>
        <v/>
      </c>
      <c r="AA32" s="127" t="str">
        <f>IF(ISERROR(FIND($B$2,Lines!AA32))=TRUE,"",IF('750'!AA32="","ERR","")) &amp; IF(ISERROR(FIND($C$2,Lines!AA32))=TRUE,"",IF('500'!AA32="","ERR","")) &amp; IF(ISERROR(FIND($D$2,Lines!AA32))=TRUE,"",IF('330'!AA32="","ERR","")) &amp; IF(ISERROR(FIND($E$2,Lines!AA32))=TRUE,"",IF('220'!AA32="","ERR",""))&amp; IF(ISERROR(FIND($F$2,Lines!AA32))=TRUE,"",IF(AND('500DC'!AA32="",'800DC'!AA32=""),"ERR","")) &amp; IF(ISERROR(FIND($G$2,Lines!AA32))=TRUE,"",IF('1000'!AA32="","ERR","")) &amp; IF(ISERROR(FIND($H$2,Lines!AA32))=TRUE,"",IF('500DC'!AA32="","ERR","")) &amp; IF(ISERROR(FIND($I$2,Lines!AA32))=TRUE,"",IF('800DC'!AA32="","ERR","")) &amp; IF(ISERROR(FIND($J$2,Lines!AA32))=TRUE,"",IF('1000'!AA32="","ERR",""))</f>
        <v/>
      </c>
      <c r="AB32" s="127" t="str">
        <f>IF(ISERROR(FIND($B$2,Lines!AB32))=TRUE,"",IF('750'!AB32="","ERR","")) &amp; IF(ISERROR(FIND($C$2,Lines!AB32))=TRUE,"",IF('500'!AB32="","ERR","")) &amp; IF(ISERROR(FIND($D$2,Lines!AB32))=TRUE,"",IF('330'!AB32="","ERR","")) &amp; IF(ISERROR(FIND($E$2,Lines!AB32))=TRUE,"",IF('220'!AB32="","ERR",""))&amp; IF(ISERROR(FIND($F$2,Lines!AB32))=TRUE,"",IF(AND('500DC'!AB32="",'800DC'!AB32=""),"ERR","")) &amp; IF(ISERROR(FIND($G$2,Lines!AB32))=TRUE,"",IF('1000'!AB32="","ERR","")) &amp; IF(ISERROR(FIND($H$2,Lines!AB32))=TRUE,"",IF('500DC'!AB32="","ERR","")) &amp; IF(ISERROR(FIND($I$2,Lines!AB32))=TRUE,"",IF('800DC'!AB32="","ERR","")) &amp; IF(ISERROR(FIND($J$2,Lines!AB32))=TRUE,"",IF('1000'!AB32="","ERR",""))</f>
        <v/>
      </c>
      <c r="AC32" s="127" t="str">
        <f>IF(ISERROR(FIND($B$2,Lines!AC32))=TRUE,"",IF('750'!AC32="","ERR","")) &amp; IF(ISERROR(FIND($C$2,Lines!AC32))=TRUE,"",IF('500'!AC32="","ERR","")) &amp; IF(ISERROR(FIND($D$2,Lines!AC32))=TRUE,"",IF('330'!AC32="","ERR","")) &amp; IF(ISERROR(FIND($E$2,Lines!AC32))=TRUE,"",IF('220'!AC32="","ERR",""))&amp; IF(ISERROR(FIND($F$2,Lines!AC32))=TRUE,"",IF(AND('500DC'!AC32="",'800DC'!AC32=""),"ERR","")) &amp; IF(ISERROR(FIND($G$2,Lines!AC32))=TRUE,"",IF('1000'!AC32="","ERR","")) &amp; IF(ISERROR(FIND($H$2,Lines!AC32))=TRUE,"",IF('500DC'!AC32="","ERR","")) &amp; IF(ISERROR(FIND($I$2,Lines!AC32))=TRUE,"",IF('800DC'!AC32="","ERR","")) &amp; IF(ISERROR(FIND($J$2,Lines!AC32))=TRUE,"",IF('1000'!AC32="","ERR",""))</f>
        <v/>
      </c>
      <c r="AD32" s="121" t="str">
        <f>IF(ISERROR(FIND($B$2,Lines!AD32))=TRUE,"",IF('750'!AD32="","ERR","")) &amp; IF(ISERROR(FIND($C$2,Lines!AD32))=TRUE,"",IF('500'!AD32="","ERR","")) &amp; IF(ISERROR(FIND($D$2,Lines!AD32))=TRUE,"",IF('330'!AD32="","ERR","")) &amp; IF(ISERROR(FIND($E$2,Lines!AD32))=TRUE,"",IF('220'!AD32="","ERR",""))&amp; IF(ISERROR(FIND($F$2,Lines!AD32))=TRUE,"",IF(AND('500DC'!AD32="",'800DC'!AD32=""),"ERR","")) &amp; IF(ISERROR(FIND($G$2,Lines!AD32))=TRUE,"",IF('1000'!AD32="","ERR","")) &amp; IF(ISERROR(FIND($H$2,Lines!AD32))=TRUE,"",IF('500DC'!AD32="","ERR","")) &amp; IF(ISERROR(FIND($I$2,Lines!AD32))=TRUE,"",IF('800DC'!AD32="","ERR","")) &amp; IF(ISERROR(FIND($J$2,Lines!AD32))=TRUE,"",IF('1000'!AD32="","ERR",""))</f>
        <v/>
      </c>
      <c r="AE32" s="108" t="str">
        <f>IF(ISERROR(FIND($B$2,Lines!AE32))=TRUE,"",IF('750'!AE32="","ERR","")) &amp; IF(ISERROR(FIND($C$2,Lines!AE32))=TRUE,"",IF('500'!AE32="","ERR","")) &amp; IF(ISERROR(FIND($D$2,Lines!AE32))=TRUE,"",IF('330'!AE32="","ERR","")) &amp; IF(ISERROR(FIND($E$2,Lines!AE32))=TRUE,"",IF('220'!AE32="","ERR",""))&amp; IF(ISERROR(FIND($F$2,Lines!AE32))=TRUE,"",IF(AND('500DC'!AE32="",'800DC'!AE32=""),"ERR","")) &amp; IF(ISERROR(FIND($G$2,Lines!AE32))=TRUE,"",IF('1000'!AE32="","ERR","")) &amp; IF(ISERROR(FIND($H$2,Lines!AE32))=TRUE,"",IF('500DC'!AE32="","ERR","")) &amp; IF(ISERROR(FIND($I$2,Lines!AE32))=TRUE,"",IF('800DC'!AE32="","ERR","")) &amp; IF(ISERROR(FIND($J$2,Lines!AE32))=TRUE,"",IF('1000'!AE32="","ERR",""))</f>
        <v/>
      </c>
      <c r="AF32" s="108" t="str">
        <f>IF(ISERROR(FIND($B$2,Lines!AF32))=TRUE,"",IF('750'!AF32="","ERR","")) &amp; IF(ISERROR(FIND($C$2,Lines!AF32))=TRUE,"",IF('500'!AF32="","ERR","")) &amp; IF(ISERROR(FIND($D$2,Lines!AF32))=TRUE,"",IF('330'!AF32="","ERR","")) &amp; IF(ISERROR(FIND($E$2,Lines!AF32))=TRUE,"",IF('220'!AF32="","ERR",""))&amp; IF(ISERROR(FIND($F$2,Lines!AF32))=TRUE,"",IF(AND('500DC'!AF32="",'800DC'!AF32=""),"ERR","")) &amp; IF(ISERROR(FIND($G$2,Lines!AF32))=TRUE,"",IF('1000'!AF32="","ERR","")) &amp; IF(ISERROR(FIND($H$2,Lines!AF32))=TRUE,"",IF('500DC'!AF32="","ERR","")) &amp; IF(ISERROR(FIND($I$2,Lines!AF32))=TRUE,"",IF('800DC'!AF32="","ERR","")) &amp; IF(ISERROR(FIND($J$2,Lines!AF32))=TRUE,"",IF('1000'!AF32="","ERR",""))</f>
        <v/>
      </c>
      <c r="AG32" s="108" t="str">
        <f>IF(ISERROR(FIND($B$2,Lines!AG32))=TRUE,"",IF('750'!AG32="","ERR","")) &amp; IF(ISERROR(FIND($C$2,Lines!AG32))=TRUE,"",IF('500'!AG32="","ERR","")) &amp; IF(ISERROR(FIND($D$2,Lines!AG32))=TRUE,"",IF('330'!AG32="","ERR","")) &amp; IF(ISERROR(FIND($E$2,Lines!AG32))=TRUE,"",IF('220'!AG32="","ERR",""))&amp; IF(ISERROR(FIND($F$2,Lines!AG32))=TRUE,"",IF(AND('500DC'!AG32="",'800DC'!AG32=""),"ERR","")) &amp; IF(ISERROR(FIND($G$2,Lines!AG32))=TRUE,"",IF('1000'!AG32="","ERR","")) &amp; IF(ISERROR(FIND($H$2,Lines!AG32))=TRUE,"",IF('500DC'!AG32="","ERR","")) &amp; IF(ISERROR(FIND($I$2,Lines!AG32))=TRUE,"",IF('800DC'!AG32="","ERR","")) &amp; IF(ISERROR(FIND($J$2,Lines!AG32))=TRUE,"",IF('1000'!AG32="","ERR",""))</f>
        <v/>
      </c>
      <c r="AH32" s="108" t="str">
        <f>IF(ISERROR(FIND($B$2,Lines!AH32))=TRUE,"",IF('750'!AH32="","ERR","")) &amp; IF(ISERROR(FIND($C$2,Lines!AH32))=TRUE,"",IF('500'!AH32="","ERR","")) &amp; IF(ISERROR(FIND($D$2,Lines!AH32))=TRUE,"",IF('330'!AH32="","ERR","")) &amp; IF(ISERROR(FIND($E$2,Lines!AH32))=TRUE,"",IF('220'!AH32="","ERR",""))&amp; IF(ISERROR(FIND($F$2,Lines!AH32))=TRUE,"",IF(AND('500DC'!AH32="",'800DC'!AH32=""),"ERR","")) &amp; IF(ISERROR(FIND($G$2,Lines!AH32))=TRUE,"",IF('1000'!AH32="","ERR","")) &amp; IF(ISERROR(FIND($H$2,Lines!AH32))=TRUE,"",IF('500DC'!AH32="","ERR","")) &amp; IF(ISERROR(FIND($I$2,Lines!AH32))=TRUE,"",IF('800DC'!AH32="","ERR","")) &amp; IF(ISERROR(FIND($J$2,Lines!AH32))=TRUE,"",IF('1000'!AH32="","ERR",""))</f>
        <v/>
      </c>
      <c r="AI32" s="108" t="str">
        <f>IF(ISERROR(FIND($B$2,Lines!AI32))=TRUE,"",IF('750'!AI32="","ERR","")) &amp; IF(ISERROR(FIND($C$2,Lines!AI32))=TRUE,"",IF('500'!AI32="","ERR","")) &amp; IF(ISERROR(FIND($D$2,Lines!AI32))=TRUE,"",IF('330'!AI32="","ERR","")) &amp; IF(ISERROR(FIND($E$2,Lines!AI32))=TRUE,"",IF('220'!AI32="","ERR",""))&amp; IF(ISERROR(FIND($F$2,Lines!AI32))=TRUE,"",IF(AND('500DC'!AI32="",'800DC'!AI32=""),"ERR","")) &amp; IF(ISERROR(FIND($G$2,Lines!AI32))=TRUE,"",IF('1000'!AI32="","ERR","")) &amp; IF(ISERROR(FIND($H$2,Lines!AI32))=TRUE,"",IF('500DC'!AI32="","ERR","")) &amp; IF(ISERROR(FIND($I$2,Lines!AI32))=TRUE,"",IF('800DC'!AI32="","ERR","")) &amp; IF(ISERROR(FIND($J$2,Lines!AI32))=TRUE,"",IF('1000'!AI32="","ERR",""))</f>
        <v/>
      </c>
      <c r="AJ32" s="108" t="str">
        <f>IF(ISERROR(FIND($B$2,Lines!AJ32))=TRUE,"",IF('750'!AJ32="","ERR","")) &amp; IF(ISERROR(FIND($C$2,Lines!AJ32))=TRUE,"",IF('500'!AJ32="","ERR","")) &amp; IF(ISERROR(FIND($D$2,Lines!AJ32))=TRUE,"",IF('330'!AJ32="","ERR","")) &amp; IF(ISERROR(FIND($E$2,Lines!AJ32))=TRUE,"",IF('220'!AJ32="","ERR",""))&amp; IF(ISERROR(FIND($F$2,Lines!AJ32))=TRUE,"",IF(AND('500DC'!AJ32="",'800DC'!AJ32=""),"ERR","")) &amp; IF(ISERROR(FIND($G$2,Lines!AJ32))=TRUE,"",IF('1000'!AJ32="","ERR","")) &amp; IF(ISERROR(FIND($H$2,Lines!AJ32))=TRUE,"",IF('500DC'!AJ32="","ERR","")) &amp; IF(ISERROR(FIND($I$2,Lines!AJ32))=TRUE,"",IF('800DC'!AJ32="","ERR","")) &amp; IF(ISERROR(FIND($J$2,Lines!AJ32))=TRUE,"",IF('1000'!AJ32="","ERR",""))</f>
        <v/>
      </c>
      <c r="AK32" s="108" t="str">
        <f>IF(ISERROR(FIND($B$2,Lines!AK32))=TRUE,"",IF('750'!AK32="","ERR","")) &amp; IF(ISERROR(FIND($C$2,Lines!AK32))=TRUE,"",IF('500'!AK32="","ERR","")) &amp; IF(ISERROR(FIND($D$2,Lines!AK32))=TRUE,"",IF('330'!AK32="","ERR","")) &amp; IF(ISERROR(FIND($E$2,Lines!AK32))=TRUE,"",IF('220'!AK32="","ERR",""))&amp; IF(ISERROR(FIND($F$2,Lines!AK32))=TRUE,"",IF(AND('500DC'!AK32="",'800DC'!AK32=""),"ERR","")) &amp; IF(ISERROR(FIND($G$2,Lines!AK32))=TRUE,"",IF('1000'!AK32="","ERR","")) &amp; IF(ISERROR(FIND($H$2,Lines!AK32))=TRUE,"",IF('500DC'!AK32="","ERR","")) &amp; IF(ISERROR(FIND($I$2,Lines!AK32))=TRUE,"",IF('800DC'!AK32="","ERR","")) &amp; IF(ISERROR(FIND($J$2,Lines!AK32))=TRUE,"",IF('1000'!AK32="","ERR",""))</f>
        <v/>
      </c>
      <c r="AL32" s="108" t="str">
        <f>IF(ISERROR(FIND($B$2,Lines!AL32))=TRUE,"",IF('750'!AL32="","ERR","")) &amp; IF(ISERROR(FIND($C$2,Lines!AL32))=TRUE,"",IF('500'!AL32="","ERR","")) &amp; IF(ISERROR(FIND($D$2,Lines!AL32))=TRUE,"",IF('330'!AL32="","ERR","")) &amp; IF(ISERROR(FIND($E$2,Lines!AL32))=TRUE,"",IF('220'!AL32="","ERR",""))&amp; IF(ISERROR(FIND($F$2,Lines!AL32))=TRUE,"",IF(AND('500DC'!AL32="",'800DC'!AL32=""),"ERR","")) &amp; IF(ISERROR(FIND($G$2,Lines!AL32))=TRUE,"",IF('1000'!AL32="","ERR","")) &amp; IF(ISERROR(FIND($H$2,Lines!AL32))=TRUE,"",IF('500DC'!AL32="","ERR","")) &amp; IF(ISERROR(FIND($I$2,Lines!AL32))=TRUE,"",IF('800DC'!AL32="","ERR","")) &amp; IF(ISERROR(FIND($J$2,Lines!AL32))=TRUE,"",IF('1000'!AL32="","ERR",""))</f>
        <v/>
      </c>
      <c r="AM32" s="108" t="str">
        <f>IF(ISERROR(FIND($B$2,Lines!AM32))=TRUE,"",IF('750'!AM32="","ERR","")) &amp; IF(ISERROR(FIND($C$2,Lines!AM32))=TRUE,"",IF('500'!AM32="","ERR","")) &amp; IF(ISERROR(FIND($D$2,Lines!AM32))=TRUE,"",IF('330'!AM32="","ERR","")) &amp; IF(ISERROR(FIND($E$2,Lines!AM32))=TRUE,"",IF('220'!AM32="","ERR",""))&amp; IF(ISERROR(FIND($F$2,Lines!AM32))=TRUE,"",IF(AND('500DC'!AM32="",'800DC'!AM32=""),"ERR","")) &amp; IF(ISERROR(FIND($G$2,Lines!AM32))=TRUE,"",IF('1000'!AM32="","ERR","")) &amp; IF(ISERROR(FIND($H$2,Lines!AM32))=TRUE,"",IF('500DC'!AM32="","ERR","")) &amp; IF(ISERROR(FIND($I$2,Lines!AM32))=TRUE,"",IF('800DC'!AM32="","ERR","")) &amp; IF(ISERROR(FIND($J$2,Lines!AM32))=TRUE,"",IF('1000'!AM32="","ERR",""))</f>
        <v/>
      </c>
      <c r="AN32" s="108" t="str">
        <f>IF(ISERROR(FIND($B$2,Lines!AN32))=TRUE,"",IF('750'!AN32="","ERR","")) &amp; IF(ISERROR(FIND($C$2,Lines!AN32))=TRUE,"",IF('500'!AN32="","ERR","")) &amp; IF(ISERROR(FIND($D$2,Lines!AN32))=TRUE,"",IF('330'!AN32="","ERR","")) &amp; IF(ISERROR(FIND($E$2,Lines!AN32))=TRUE,"",IF('220'!AN32="","ERR",""))&amp; IF(ISERROR(FIND($F$2,Lines!AN32))=TRUE,"",IF(AND('500DC'!AN32="",'800DC'!AN32=""),"ERR","")) &amp; IF(ISERROR(FIND($G$2,Lines!AN32))=TRUE,"",IF('1000'!AN32="","ERR","")) &amp; IF(ISERROR(FIND($H$2,Lines!AN32))=TRUE,"",IF('500DC'!AN32="","ERR","")) &amp; IF(ISERROR(FIND($I$2,Lines!AN32))=TRUE,"",IF('800DC'!AN32="","ERR","")) &amp; IF(ISERROR(FIND($J$2,Lines!AN32))=TRUE,"",IF('1000'!AN32="","ERR",""))</f>
        <v/>
      </c>
      <c r="AO32" s="108" t="str">
        <f>IF(ISERROR(FIND($B$2,Lines!AO32))=TRUE,"",IF('750'!AO32="","ERR","")) &amp; IF(ISERROR(FIND($C$2,Lines!AO32))=TRUE,"",IF('500'!AO32="","ERR","")) &amp; IF(ISERROR(FIND($D$2,Lines!AO32))=TRUE,"",IF('330'!AO32="","ERR","")) &amp; IF(ISERROR(FIND($E$2,Lines!AO32))=TRUE,"",IF('220'!AO32="","ERR",""))&amp; IF(ISERROR(FIND($F$2,Lines!AO32))=TRUE,"",IF(AND('500DC'!AO32="",'800DC'!AO32=""),"ERR","")) &amp; IF(ISERROR(FIND($G$2,Lines!AO32))=TRUE,"",IF('1000'!AO32="","ERR","")) &amp; IF(ISERROR(FIND($H$2,Lines!AO32))=TRUE,"",IF('500DC'!AO32="","ERR","")) &amp; IF(ISERROR(FIND($I$2,Lines!AO32))=TRUE,"",IF('800DC'!AO32="","ERR","")) &amp; IF(ISERROR(FIND($J$2,Lines!AO32))=TRUE,"",IF('1000'!AO32="","ERR",""))</f>
        <v/>
      </c>
      <c r="AP32" s="108" t="str">
        <f>IF(ISERROR(FIND($B$2,Lines!AP32))=TRUE,"",IF('750'!AP32="","ERR","")) &amp; IF(ISERROR(FIND($C$2,Lines!AP32))=TRUE,"",IF('500'!AP32="","ERR","")) &amp; IF(ISERROR(FIND($D$2,Lines!AP32))=TRUE,"",IF('330'!AP32="","ERR","")) &amp; IF(ISERROR(FIND($E$2,Lines!AP32))=TRUE,"",IF('220'!AP32="","ERR",""))&amp; IF(ISERROR(FIND($F$2,Lines!AP32))=TRUE,"",IF(AND('500DC'!AP32="",'800DC'!AP32=""),"ERR","")) &amp; IF(ISERROR(FIND($G$2,Lines!AP32))=TRUE,"",IF('1000'!AP32="","ERR","")) &amp; IF(ISERROR(FIND($H$2,Lines!AP32))=TRUE,"",IF('500DC'!AP32="","ERR","")) &amp; IF(ISERROR(FIND($I$2,Lines!AP32))=TRUE,"",IF('800DC'!AP32="","ERR","")) &amp; IF(ISERROR(FIND($J$2,Lines!AP32))=TRUE,"",IF('1000'!AP32="","ERR",""))</f>
        <v/>
      </c>
      <c r="AQ32" s="108" t="str">
        <f>IF(ISERROR(FIND($B$2,Lines!AQ32))=TRUE,"",IF('750'!AQ32="","ERR","")) &amp; IF(ISERROR(FIND($C$2,Lines!AQ32))=TRUE,"",IF('500'!AQ32="","ERR","")) &amp; IF(ISERROR(FIND($D$2,Lines!AQ32))=TRUE,"",IF('330'!AQ32="","ERR","")) &amp; IF(ISERROR(FIND($E$2,Lines!AQ32))=TRUE,"",IF('220'!AQ32="","ERR",""))&amp; IF(ISERROR(FIND($F$2,Lines!AQ32))=TRUE,"",IF(AND('500DC'!AQ32="",'800DC'!AQ32=""),"ERR","")) &amp; IF(ISERROR(FIND($G$2,Lines!AQ32))=TRUE,"",IF('1000'!AQ32="","ERR","")) &amp; IF(ISERROR(FIND($H$2,Lines!AQ32))=TRUE,"",IF('500DC'!AQ32="","ERR","")) &amp; IF(ISERROR(FIND($I$2,Lines!AQ32))=TRUE,"",IF('800DC'!AQ32="","ERR","")) &amp; IF(ISERROR(FIND($J$2,Lines!AQ32))=TRUE,"",IF('1000'!AQ32="","ERR",""))</f>
        <v/>
      </c>
      <c r="AR32" s="108" t="str">
        <f>IF(ISERROR(FIND($B$2,Lines!AR32))=TRUE,"",IF('750'!AR32="","ERR","")) &amp; IF(ISERROR(FIND($C$2,Lines!AR32))=TRUE,"",IF('500'!AR32="","ERR","")) &amp; IF(ISERROR(FIND($D$2,Lines!AR32))=TRUE,"",IF('330'!AR32="","ERR","")) &amp; IF(ISERROR(FIND($E$2,Lines!AR32))=TRUE,"",IF('220'!AR32="","ERR",""))&amp; IF(ISERROR(FIND($F$2,Lines!AR32))=TRUE,"",IF(AND('500DC'!AR32="",'800DC'!AR32=""),"ERR","")) &amp; IF(ISERROR(FIND($G$2,Lines!AR32))=TRUE,"",IF('1000'!AR32="","ERR","")) &amp; IF(ISERROR(FIND($H$2,Lines!AR32))=TRUE,"",IF('500DC'!AR32="","ERR","")) &amp; IF(ISERROR(FIND($I$2,Lines!AR32))=TRUE,"",IF('800DC'!AR32="","ERR","")) &amp; IF(ISERROR(FIND($J$2,Lines!AR32))=TRUE,"",IF('1000'!AR32="","ERR",""))</f>
        <v/>
      </c>
      <c r="AS32" s="108" t="str">
        <f>IF(ISERROR(FIND($B$2,Lines!AS32))=TRUE,"",IF('750'!AS32="","ERR","")) &amp; IF(ISERROR(FIND($C$2,Lines!AS32))=TRUE,"",IF('500'!AS32="","ERR","")) &amp; IF(ISERROR(FIND($D$2,Lines!AS32))=TRUE,"",IF('330'!AS32="","ERR","")) &amp; IF(ISERROR(FIND($E$2,Lines!AS32))=TRUE,"",IF('220'!AS32="","ERR",""))&amp; IF(ISERROR(FIND($F$2,Lines!AS32))=TRUE,"",IF(AND('500DC'!AS32="",'800DC'!AS32=""),"ERR","")) &amp; IF(ISERROR(FIND($G$2,Lines!AS32))=TRUE,"",IF('1000'!AS32="","ERR","")) &amp; IF(ISERROR(FIND($H$2,Lines!AS32))=TRUE,"",IF('500DC'!AS32="","ERR","")) &amp; IF(ISERROR(FIND($I$2,Lines!AS32))=TRUE,"",IF('800DC'!AS32="","ERR","")) &amp; IF(ISERROR(FIND($J$2,Lines!AS32))=TRUE,"",IF('1000'!AS32="","ERR",""))</f>
        <v/>
      </c>
      <c r="AT32" s="108" t="str">
        <f>IF(ISERROR(FIND($B$2,Lines!AT32))=TRUE,"",IF('750'!AT32="","ERR","")) &amp; IF(ISERROR(FIND($C$2,Lines!AT32))=TRUE,"",IF('500'!AT32="","ERR","")) &amp; IF(ISERROR(FIND($D$2,Lines!AT32))=TRUE,"",IF('330'!AT32="","ERR","")) &amp; IF(ISERROR(FIND($E$2,Lines!AT32))=TRUE,"",IF('220'!AT32="","ERR",""))&amp; IF(ISERROR(FIND($F$2,Lines!AT32))=TRUE,"",IF(AND('500DC'!AT32="",'800DC'!AT32=""),"ERR","")) &amp; IF(ISERROR(FIND($G$2,Lines!AT32))=TRUE,"",IF('1000'!AT32="","ERR","")) &amp; IF(ISERROR(FIND($H$2,Lines!AT32))=TRUE,"",IF('500DC'!AT32="","ERR","")) &amp; IF(ISERROR(FIND($I$2,Lines!AT32))=TRUE,"",IF('800DC'!AT32="","ERR","")) &amp; IF(ISERROR(FIND($J$2,Lines!AT32))=TRUE,"",IF('1000'!AT32="","ERR",""))</f>
        <v/>
      </c>
    </row>
    <row r="33" spans="1:46" ht="20.25" customHeight="1">
      <c r="A33" s="2" t="s">
        <v>81</v>
      </c>
      <c r="B33" s="108" t="str">
        <f>IF(ISERROR(FIND($B$2,Lines!B33))=TRUE,"",IF('750'!B33="","ERR","")) &amp; IF(ISERROR(FIND($C$2,Lines!B33))=TRUE,"",IF('500'!B33="","ERR","")) &amp; IF(ISERROR(FIND($D$2,Lines!B33))=TRUE,"",IF('330'!B33="","ERR","")) &amp; IF(ISERROR(FIND($E$2,Lines!B33))=TRUE,"",IF('220'!B33="","ERR",""))&amp; IF(ISERROR(FIND($F$2,Lines!B33))=TRUE,"",IF(AND('500DC'!B33="",'800DC'!B33=""),"ERR","")) &amp; IF(ISERROR(FIND($G$2,Lines!B33))=TRUE,"",IF('1000'!B33="","ERR","")) &amp; IF(ISERROR(FIND($H$2,Lines!B33))=TRUE,"",IF('500DC'!B33="","ERR","")) &amp; IF(ISERROR(FIND($I$2,Lines!B33))=TRUE,"",IF('800DC'!B33="","ERR","")) &amp; IF(ISERROR(FIND($J$2,Lines!B33))=TRUE,"",IF('1000'!B33="","ERR",""))</f>
        <v/>
      </c>
      <c r="C33" s="108" t="str">
        <f>IF(ISERROR(FIND($B$2,Lines!C33))=TRUE,"",IF('750'!C33="","ERR","")) &amp; IF(ISERROR(FIND($C$2,Lines!C33))=TRUE,"",IF('500'!C33="","ERR","")) &amp; IF(ISERROR(FIND($D$2,Lines!C33))=TRUE,"",IF('330'!C33="","ERR","")) &amp; IF(ISERROR(FIND($E$2,Lines!C33))=TRUE,"",IF('220'!C33="","ERR",""))&amp; IF(ISERROR(FIND($F$2,Lines!C33))=TRUE,"",IF(AND('500DC'!C33="",'800DC'!C33=""),"ERR","")) &amp; IF(ISERROR(FIND($G$2,Lines!C33))=TRUE,"",IF('1000'!C33="","ERR","")) &amp; IF(ISERROR(FIND($H$2,Lines!C33))=TRUE,"",IF('500DC'!C33="","ERR","")) &amp; IF(ISERROR(FIND($I$2,Lines!C33))=TRUE,"",IF('800DC'!C33="","ERR","")) &amp; IF(ISERROR(FIND($J$2,Lines!C33))=TRUE,"",IF('1000'!C33="","ERR",""))</f>
        <v/>
      </c>
      <c r="D33" s="108" t="str">
        <f>IF(ISERROR(FIND($B$2,Lines!D33))=TRUE,"",IF('750'!D33="","ERR","")) &amp; IF(ISERROR(FIND($C$2,Lines!D33))=TRUE,"",IF('500'!D33="","ERR","")) &amp; IF(ISERROR(FIND($D$2,Lines!D33))=TRUE,"",IF('330'!D33="","ERR","")) &amp; IF(ISERROR(FIND($E$2,Lines!D33))=TRUE,"",IF('220'!D33="","ERR",""))&amp; IF(ISERROR(FIND($F$2,Lines!D33))=TRUE,"",IF(AND('500DC'!D33="",'800DC'!D33=""),"ERR","")) &amp; IF(ISERROR(FIND($G$2,Lines!D33))=TRUE,"",IF('1000'!D33="","ERR","")) &amp; IF(ISERROR(FIND($H$2,Lines!D33))=TRUE,"",IF('500DC'!D33="","ERR","")) &amp; IF(ISERROR(FIND($I$2,Lines!D33))=TRUE,"",IF('800DC'!D33="","ERR","")) &amp; IF(ISERROR(FIND($J$2,Lines!D33))=TRUE,"",IF('1000'!D33="","ERR",""))</f>
        <v/>
      </c>
      <c r="E33" s="108" t="str">
        <f>IF(ISERROR(FIND($B$2,Lines!E33))=TRUE,"",IF('750'!E33="","ERR","")) &amp; IF(ISERROR(FIND($C$2,Lines!E33))=TRUE,"",IF('500'!E33="","ERR","")) &amp; IF(ISERROR(FIND($D$2,Lines!E33))=TRUE,"",IF('330'!E33="","ERR","")) &amp; IF(ISERROR(FIND($E$2,Lines!E33))=TRUE,"",IF('220'!E33="","ERR",""))&amp; IF(ISERROR(FIND($F$2,Lines!E33))=TRUE,"",IF(AND('500DC'!E33="",'800DC'!E33=""),"ERR","")) &amp; IF(ISERROR(FIND($G$2,Lines!E33))=TRUE,"",IF('1000'!E33="","ERR","")) &amp; IF(ISERROR(FIND($H$2,Lines!E33))=TRUE,"",IF('500DC'!E33="","ERR","")) &amp; IF(ISERROR(FIND($I$2,Lines!E33))=TRUE,"",IF('800DC'!E33="","ERR","")) &amp; IF(ISERROR(FIND($J$2,Lines!E33))=TRUE,"",IF('1000'!E33="","ERR",""))</f>
        <v/>
      </c>
      <c r="F33" s="108" t="str">
        <f>IF(ISERROR(FIND($B$2,Lines!F33))=TRUE,"",IF('750'!F33="","ERR","")) &amp; IF(ISERROR(FIND($C$2,Lines!F33))=TRUE,"",IF('500'!F33="","ERR","")) &amp; IF(ISERROR(FIND($D$2,Lines!F33))=TRUE,"",IF('330'!F33="","ERR","")) &amp; IF(ISERROR(FIND($E$2,Lines!F33))=TRUE,"",IF('220'!F33="","ERR",""))&amp; IF(ISERROR(FIND($F$2,Lines!F33))=TRUE,"",IF(AND('500DC'!F33="",'800DC'!F33=""),"ERR","")) &amp; IF(ISERROR(FIND($G$2,Lines!F33))=TRUE,"",IF('1000'!F33="","ERR","")) &amp; IF(ISERROR(FIND($H$2,Lines!F33))=TRUE,"",IF('500DC'!F33="","ERR","")) &amp; IF(ISERROR(FIND($I$2,Lines!F33))=TRUE,"",IF('800DC'!F33="","ERR","")) &amp; IF(ISERROR(FIND($J$2,Lines!F33))=TRUE,"",IF('1000'!F33="","ERR",""))</f>
        <v/>
      </c>
      <c r="G33" s="108" t="str">
        <f>IF(ISERROR(FIND($B$2,Lines!G33))=TRUE,"",IF('750'!G33="","ERR","")) &amp; IF(ISERROR(FIND($C$2,Lines!G33))=TRUE,"",IF('500'!G33="","ERR","")) &amp; IF(ISERROR(FIND($D$2,Lines!G33))=TRUE,"",IF('330'!G33="","ERR","")) &amp; IF(ISERROR(FIND($E$2,Lines!G33))=TRUE,"",IF('220'!G33="","ERR",""))&amp; IF(ISERROR(FIND($F$2,Lines!G33))=TRUE,"",IF(AND('500DC'!G33="",'800DC'!G33=""),"ERR","")) &amp; IF(ISERROR(FIND($G$2,Lines!G33))=TRUE,"",IF('1000'!G33="","ERR","")) &amp; IF(ISERROR(FIND($H$2,Lines!G33))=TRUE,"",IF('500DC'!G33="","ERR","")) &amp; IF(ISERROR(FIND($I$2,Lines!G33))=TRUE,"",IF('800DC'!G33="","ERR","")) &amp; IF(ISERROR(FIND($J$2,Lines!G33))=TRUE,"",IF('1000'!G33="","ERR",""))</f>
        <v/>
      </c>
      <c r="H33" s="108" t="str">
        <f>IF(ISERROR(FIND($B$2,Lines!H33))=TRUE,"",IF('750'!H33="","ERR","")) &amp; IF(ISERROR(FIND($C$2,Lines!H33))=TRUE,"",IF('500'!H33="","ERR","")) &amp; IF(ISERROR(FIND($D$2,Lines!H33))=TRUE,"",IF('330'!H33="","ERR","")) &amp; IF(ISERROR(FIND($E$2,Lines!H33))=TRUE,"",IF('220'!H33="","ERR",""))&amp; IF(ISERROR(FIND($F$2,Lines!H33))=TRUE,"",IF(AND('500DC'!H33="",'800DC'!H33=""),"ERR","")) &amp; IF(ISERROR(FIND($G$2,Lines!H33))=TRUE,"",IF('1000'!H33="","ERR","")) &amp; IF(ISERROR(FIND($H$2,Lines!H33))=TRUE,"",IF('500DC'!H33="","ERR","")) &amp; IF(ISERROR(FIND($I$2,Lines!H33))=TRUE,"",IF('800DC'!H33="","ERR","")) &amp; IF(ISERROR(FIND($J$2,Lines!H33))=TRUE,"",IF('1000'!H33="","ERR",""))</f>
        <v/>
      </c>
      <c r="I33" s="108" t="str">
        <f>IF(ISERROR(FIND($B$2,Lines!I33))=TRUE,"",IF('750'!I33="","ERR","")) &amp; IF(ISERROR(FIND($C$2,Lines!I33))=TRUE,"",IF('500'!I33="","ERR","")) &amp; IF(ISERROR(FIND($D$2,Lines!I33))=TRUE,"",IF('330'!I33="","ERR","")) &amp; IF(ISERROR(FIND($E$2,Lines!I33))=TRUE,"",IF('220'!I33="","ERR",""))&amp; IF(ISERROR(FIND($F$2,Lines!I33))=TRUE,"",IF(AND('500DC'!I33="",'800DC'!I33=""),"ERR","")) &amp; IF(ISERROR(FIND($G$2,Lines!I33))=TRUE,"",IF('1000'!I33="","ERR","")) &amp; IF(ISERROR(FIND($H$2,Lines!I33))=TRUE,"",IF('500DC'!I33="","ERR","")) &amp; IF(ISERROR(FIND($I$2,Lines!I33))=TRUE,"",IF('800DC'!I33="","ERR","")) &amp; IF(ISERROR(FIND($J$2,Lines!I33))=TRUE,"",IF('1000'!I33="","ERR",""))</f>
        <v/>
      </c>
      <c r="J33" s="108" t="str">
        <f>IF(ISERROR(FIND($B$2,Lines!J33))=TRUE,"",IF('750'!J33="","ERR","")) &amp; IF(ISERROR(FIND($C$2,Lines!J33))=TRUE,"",IF('500'!J33="","ERR","")) &amp; IF(ISERROR(FIND($D$2,Lines!J33))=TRUE,"",IF('330'!J33="","ERR","")) &amp; IF(ISERROR(FIND($E$2,Lines!J33))=TRUE,"",IF('220'!J33="","ERR",""))&amp; IF(ISERROR(FIND($F$2,Lines!J33))=TRUE,"",IF(AND('500DC'!J33="",'800DC'!J33=""),"ERR","")) &amp; IF(ISERROR(FIND($G$2,Lines!J33))=TRUE,"",IF('1000'!J33="","ERR","")) &amp; IF(ISERROR(FIND($H$2,Lines!J33))=TRUE,"",IF('500DC'!J33="","ERR","")) &amp; IF(ISERROR(FIND($I$2,Lines!J33))=TRUE,"",IF('800DC'!J33="","ERR","")) &amp; IF(ISERROR(FIND($J$2,Lines!J33))=TRUE,"",IF('1000'!J33="","ERR",""))</f>
        <v/>
      </c>
      <c r="K33" s="108" t="str">
        <f>IF(ISERROR(FIND($B$2,Lines!K33))=TRUE,"",IF('750'!K33="","ERR","")) &amp; IF(ISERROR(FIND($C$2,Lines!K33))=TRUE,"",IF('500'!K33="","ERR","")) &amp; IF(ISERROR(FIND($D$2,Lines!K33))=TRUE,"",IF('330'!K33="","ERR","")) &amp; IF(ISERROR(FIND($E$2,Lines!K33))=TRUE,"",IF('220'!K33="","ERR",""))&amp; IF(ISERROR(FIND($F$2,Lines!K33))=TRUE,"",IF(AND('500DC'!K33="",'800DC'!K33=""),"ERR","")) &amp; IF(ISERROR(FIND($G$2,Lines!K33))=TRUE,"",IF('1000'!K33="","ERR","")) &amp; IF(ISERROR(FIND($H$2,Lines!K33))=TRUE,"",IF('500DC'!K33="","ERR","")) &amp; IF(ISERROR(FIND($I$2,Lines!K33))=TRUE,"",IF('800DC'!K33="","ERR","")) &amp; IF(ISERROR(FIND($J$2,Lines!K33))=TRUE,"",IF('1000'!K33="","ERR",""))</f>
        <v/>
      </c>
      <c r="L33" s="108" t="str">
        <f>IF(ISERROR(FIND($B$2,Lines!L33))=TRUE,"",IF('750'!L33="","ERR","")) &amp; IF(ISERROR(FIND($C$2,Lines!L33))=TRUE,"",IF('500'!L33="","ERR","")) &amp; IF(ISERROR(FIND($D$2,Lines!L33))=TRUE,"",IF('330'!L33="","ERR","")) &amp; IF(ISERROR(FIND($E$2,Lines!L33))=TRUE,"",IF('220'!L33="","ERR",""))&amp; IF(ISERROR(FIND($F$2,Lines!L33))=TRUE,"",IF(AND('500DC'!L33="",'800DC'!L33=""),"ERR","")) &amp; IF(ISERROR(FIND($G$2,Lines!L33))=TRUE,"",IF('1000'!L33="","ERR","")) &amp; IF(ISERROR(FIND($H$2,Lines!L33))=TRUE,"",IF('500DC'!L33="","ERR","")) &amp; IF(ISERROR(FIND($I$2,Lines!L33))=TRUE,"",IF('800DC'!L33="","ERR","")) &amp; IF(ISERROR(FIND($J$2,Lines!L33))=TRUE,"",IF('1000'!L33="","ERR",""))</f>
        <v/>
      </c>
      <c r="M33" s="108" t="str">
        <f>IF(ISERROR(FIND($B$2,Lines!M33))=TRUE,"",IF('750'!M33="","ERR","")) &amp; IF(ISERROR(FIND($C$2,Lines!M33))=TRUE,"",IF('500'!M33="","ERR","")) &amp; IF(ISERROR(FIND($D$2,Lines!M33))=TRUE,"",IF('330'!M33="","ERR","")) &amp; IF(ISERROR(FIND($E$2,Lines!M33))=TRUE,"",IF('220'!M33="","ERR",""))&amp; IF(ISERROR(FIND($F$2,Lines!M33))=TRUE,"",IF(AND('500DC'!M33="",'800DC'!M33=""),"ERR","")) &amp; IF(ISERROR(FIND($G$2,Lines!M33))=TRUE,"",IF('1000'!M33="","ERR","")) &amp; IF(ISERROR(FIND($H$2,Lines!M33))=TRUE,"",IF('500DC'!M33="","ERR","")) &amp; IF(ISERROR(FIND($I$2,Lines!M33))=TRUE,"",IF('800DC'!M33="","ERR","")) &amp; IF(ISERROR(FIND($J$2,Lines!M33))=TRUE,"",IF('1000'!M33="","ERR",""))</f>
        <v/>
      </c>
      <c r="N33" s="108" t="str">
        <f>IF(ISERROR(FIND($B$2,Lines!N33))=TRUE,"",IF('750'!N33="","ERR","")) &amp; IF(ISERROR(FIND($C$2,Lines!N33))=TRUE,"",IF('500'!N33="","ERR","")) &amp; IF(ISERROR(FIND($D$2,Lines!N33))=TRUE,"",IF('330'!N33="","ERR","")) &amp; IF(ISERROR(FIND($E$2,Lines!N33))=TRUE,"",IF('220'!N33="","ERR",""))&amp; IF(ISERROR(FIND($F$2,Lines!N33))=TRUE,"",IF(AND('500DC'!N33="",'800DC'!N33=""),"ERR","")) &amp; IF(ISERROR(FIND($G$2,Lines!N33))=TRUE,"",IF('1000'!N33="","ERR","")) &amp; IF(ISERROR(FIND($H$2,Lines!N33))=TRUE,"",IF('500DC'!N33="","ERR","")) &amp; IF(ISERROR(FIND($I$2,Lines!N33))=TRUE,"",IF('800DC'!N33="","ERR","")) &amp; IF(ISERROR(FIND($J$2,Lines!N33))=TRUE,"",IF('1000'!N33="","ERR",""))</f>
        <v/>
      </c>
      <c r="O33" s="108" t="str">
        <f>IF(ISERROR(FIND($B$2,Lines!O33))=TRUE,"",IF('750'!O33="","ERR","")) &amp; IF(ISERROR(FIND($C$2,Lines!O33))=TRUE,"",IF('500'!O33="","ERR","")) &amp; IF(ISERROR(FIND($D$2,Lines!O33))=TRUE,"",IF('330'!O33="","ERR","")) &amp; IF(ISERROR(FIND($E$2,Lines!O33))=TRUE,"",IF('220'!O33="","ERR",""))&amp; IF(ISERROR(FIND($F$2,Lines!O33))=TRUE,"",IF(AND('500DC'!O33="",'800DC'!O33=""),"ERR","")) &amp; IF(ISERROR(FIND($G$2,Lines!O33))=TRUE,"",IF('1000'!O33="","ERR","")) &amp; IF(ISERROR(FIND($H$2,Lines!O33))=TRUE,"",IF('500DC'!O33="","ERR","")) &amp; IF(ISERROR(FIND($I$2,Lines!O33))=TRUE,"",IF('800DC'!O33="","ERR","")) &amp; IF(ISERROR(FIND($J$2,Lines!O33))=TRUE,"",IF('1000'!O33="","ERR",""))</f>
        <v/>
      </c>
      <c r="P33" s="108" t="str">
        <f>IF(ISERROR(FIND($B$2,Lines!P33))=TRUE,"",IF('750'!P33="","ERR","")) &amp; IF(ISERROR(FIND($C$2,Lines!P33))=TRUE,"",IF('500'!P33="","ERR","")) &amp; IF(ISERROR(FIND($D$2,Lines!P33))=TRUE,"",IF('330'!P33="","ERR","")) &amp; IF(ISERROR(FIND($E$2,Lines!P33))=TRUE,"",IF('220'!P33="","ERR",""))&amp; IF(ISERROR(FIND($F$2,Lines!P33))=TRUE,"",IF(AND('500DC'!P33="",'800DC'!P33=""),"ERR","")) &amp; IF(ISERROR(FIND($G$2,Lines!P33))=TRUE,"",IF('1000'!P33="","ERR","")) &amp; IF(ISERROR(FIND($H$2,Lines!P33))=TRUE,"",IF('500DC'!P33="","ERR","")) &amp; IF(ISERROR(FIND($I$2,Lines!P33))=TRUE,"",IF('800DC'!P33="","ERR","")) &amp; IF(ISERROR(FIND($J$2,Lines!P33))=TRUE,"",IF('1000'!P33="","ERR",""))</f>
        <v/>
      </c>
      <c r="Q33" s="108" t="str">
        <f>IF(ISERROR(FIND($B$2,Lines!Q33))=TRUE,"",IF('750'!Q33="","ERR","")) &amp; IF(ISERROR(FIND($C$2,Lines!Q33))=TRUE,"",IF('500'!Q33="","ERR","")) &amp; IF(ISERROR(FIND($D$2,Lines!Q33))=TRUE,"",IF('330'!Q33="","ERR","")) &amp; IF(ISERROR(FIND($E$2,Lines!Q33))=TRUE,"",IF('220'!Q33="","ERR",""))&amp; IF(ISERROR(FIND($F$2,Lines!Q33))=TRUE,"",IF(AND('500DC'!Q33="",'800DC'!Q33=""),"ERR","")) &amp; IF(ISERROR(FIND($G$2,Lines!Q33))=TRUE,"",IF('1000'!Q33="","ERR","")) &amp; IF(ISERROR(FIND($H$2,Lines!Q33))=TRUE,"",IF('500DC'!Q33="","ERR","")) &amp; IF(ISERROR(FIND($I$2,Lines!Q33))=TRUE,"",IF('800DC'!Q33="","ERR","")) &amp; IF(ISERROR(FIND($J$2,Lines!Q33))=TRUE,"",IF('1000'!Q33="","ERR",""))</f>
        <v/>
      </c>
      <c r="R33" s="108" t="str">
        <f>IF(ISERROR(FIND($B$2,Lines!R33))=TRUE,"",IF('750'!R33="","ERR","")) &amp; IF(ISERROR(FIND($C$2,Lines!R33))=TRUE,"",IF('500'!R33="","ERR","")) &amp; IF(ISERROR(FIND($D$2,Lines!R33))=TRUE,"",IF('330'!R33="","ERR","")) &amp; IF(ISERROR(FIND($E$2,Lines!R33))=TRUE,"",IF('220'!R33="","ERR",""))&amp; IF(ISERROR(FIND($F$2,Lines!R33))=TRUE,"",IF(AND('500DC'!R33="",'800DC'!R33=""),"ERR","")) &amp; IF(ISERROR(FIND($G$2,Lines!R33))=TRUE,"",IF('1000'!R33="","ERR","")) &amp; IF(ISERROR(FIND($H$2,Lines!R33))=TRUE,"",IF('500DC'!R33="","ERR","")) &amp; IF(ISERROR(FIND($I$2,Lines!R33))=TRUE,"",IF('800DC'!R33="","ERR","")) &amp; IF(ISERROR(FIND($J$2,Lines!R33))=TRUE,"",IF('1000'!R33="","ERR",""))</f>
        <v/>
      </c>
      <c r="S33" s="108" t="str">
        <f>IF(ISERROR(FIND($B$2,Lines!S33))=TRUE,"",IF('750'!S33="","ERR","")) &amp; IF(ISERROR(FIND($C$2,Lines!S33))=TRUE,"",IF('500'!S33="","ERR","")) &amp; IF(ISERROR(FIND($D$2,Lines!S33))=TRUE,"",IF('330'!S33="","ERR","")) &amp; IF(ISERROR(FIND($E$2,Lines!S33))=TRUE,"",IF('220'!S33="","ERR",""))&amp; IF(ISERROR(FIND($F$2,Lines!S33))=TRUE,"",IF(AND('500DC'!S33="",'800DC'!S33=""),"ERR","")) &amp; IF(ISERROR(FIND($G$2,Lines!S33))=TRUE,"",IF('1000'!S33="","ERR","")) &amp; IF(ISERROR(FIND($H$2,Lines!S33))=TRUE,"",IF('500DC'!S33="","ERR","")) &amp; IF(ISERROR(FIND($I$2,Lines!S33))=TRUE,"",IF('800DC'!S33="","ERR","")) &amp; IF(ISERROR(FIND($J$2,Lines!S33))=TRUE,"",IF('1000'!S33="","ERR",""))</f>
        <v/>
      </c>
      <c r="T33" s="108" t="str">
        <f>IF(ISERROR(FIND($B$2,Lines!T33))=TRUE,"",IF('750'!T33="","ERR","")) &amp; IF(ISERROR(FIND($C$2,Lines!T33))=TRUE,"",IF('500'!T33="","ERR","")) &amp; IF(ISERROR(FIND($D$2,Lines!T33))=TRUE,"",IF('330'!T33="","ERR","")) &amp; IF(ISERROR(FIND($E$2,Lines!T33))=TRUE,"",IF('220'!T33="","ERR",""))&amp; IF(ISERROR(FIND($F$2,Lines!T33))=TRUE,"",IF(AND('500DC'!T33="",'800DC'!T33=""),"ERR","")) &amp; IF(ISERROR(FIND($G$2,Lines!T33))=TRUE,"",IF('1000'!T33="","ERR","")) &amp; IF(ISERROR(FIND($H$2,Lines!T33))=TRUE,"",IF('500DC'!T33="","ERR","")) &amp; IF(ISERROR(FIND($I$2,Lines!T33))=TRUE,"",IF('800DC'!T33="","ERR","")) &amp; IF(ISERROR(FIND($J$2,Lines!T33))=TRUE,"",IF('1000'!T33="","ERR",""))</f>
        <v/>
      </c>
      <c r="U33" s="108" t="str">
        <f>IF(ISERROR(FIND($B$2,Lines!U33))=TRUE,"",IF('750'!U33="","ERR","")) &amp; IF(ISERROR(FIND($C$2,Lines!U33))=TRUE,"",IF('500'!U33="","ERR","")) &amp; IF(ISERROR(FIND($D$2,Lines!U33))=TRUE,"",IF('330'!U33="","ERR","")) &amp; IF(ISERROR(FIND($E$2,Lines!U33))=TRUE,"",IF('220'!U33="","ERR",""))&amp; IF(ISERROR(FIND($F$2,Lines!U33))=TRUE,"",IF(AND('500DC'!U33="",'800DC'!U33=""),"ERR","")) &amp; IF(ISERROR(FIND($G$2,Lines!U33))=TRUE,"",IF('1000'!U33="","ERR","")) &amp; IF(ISERROR(FIND($H$2,Lines!U33))=TRUE,"",IF('500DC'!U33="","ERR","")) &amp; IF(ISERROR(FIND($I$2,Lines!U33))=TRUE,"",IF('800DC'!U33="","ERR","")) &amp; IF(ISERROR(FIND($J$2,Lines!U33))=TRUE,"",IF('1000'!U33="","ERR",""))</f>
        <v/>
      </c>
      <c r="V33" s="108" t="str">
        <f>IF(ISERROR(FIND($B$2,Lines!V33))=TRUE,"",IF('750'!V33="","ERR","")) &amp; IF(ISERROR(FIND($C$2,Lines!V33))=TRUE,"",IF('500'!V33="","ERR","")) &amp; IF(ISERROR(FIND($D$2,Lines!V33))=TRUE,"",IF('330'!V33="","ERR","")) &amp; IF(ISERROR(FIND($E$2,Lines!V33))=TRUE,"",IF('220'!V33="","ERR",""))&amp; IF(ISERROR(FIND($F$2,Lines!V33))=TRUE,"",IF(AND('500DC'!V33="",'800DC'!V33=""),"ERR","")) &amp; IF(ISERROR(FIND($G$2,Lines!V33))=TRUE,"",IF('1000'!V33="","ERR","")) &amp; IF(ISERROR(FIND($H$2,Lines!V33))=TRUE,"",IF('500DC'!V33="","ERR","")) &amp; IF(ISERROR(FIND($I$2,Lines!V33))=TRUE,"",IF('800DC'!V33="","ERR","")) &amp; IF(ISERROR(FIND($J$2,Lines!V33))=TRUE,"",IF('1000'!V33="","ERR",""))</f>
        <v/>
      </c>
      <c r="W33" s="109" t="str">
        <f>IF(ISERROR(FIND($B$2,Lines!W33))=TRUE,"",IF('750'!W33="","ERR","")) &amp; IF(ISERROR(FIND($C$2,Lines!W33))=TRUE,"",IF('500'!W33="","ERR","")) &amp; IF(ISERROR(FIND($D$2,Lines!W33))=TRUE,"",IF('330'!W33="","ERR","")) &amp; IF(ISERROR(FIND($E$2,Lines!W33))=TRUE,"",IF('220'!W33="","ERR",""))&amp; IF(ISERROR(FIND($F$2,Lines!W33))=TRUE,"",IF(AND('500DC'!W33="",'800DC'!W33=""),"ERR","")) &amp; IF(ISERROR(FIND($G$2,Lines!W33))=TRUE,"",IF('1000'!W33="","ERR","")) &amp; IF(ISERROR(FIND($H$2,Lines!W33))=TRUE,"",IF('500DC'!W33="","ERR","")) &amp; IF(ISERROR(FIND($I$2,Lines!W33))=TRUE,"",IF('800DC'!W33="","ERR","")) &amp; IF(ISERROR(FIND($J$2,Lines!W33))=TRUE,"",IF('1000'!W33="","ERR",""))</f>
        <v/>
      </c>
      <c r="X33" s="108" t="str">
        <f>IF(ISERROR(FIND($B$2,Lines!X33))=TRUE,"",IF('750'!X33="","ERR","")) &amp; IF(ISERROR(FIND($C$2,Lines!X33))=TRUE,"",IF('500'!X33="","ERR","")) &amp; IF(ISERROR(FIND($D$2,Lines!X33))=TRUE,"",IF('330'!X33="","ERR","")) &amp; IF(ISERROR(FIND($E$2,Lines!X33))=TRUE,"",IF('220'!X33="","ERR",""))&amp; IF(ISERROR(FIND($F$2,Lines!X33))=TRUE,"",IF(AND('500DC'!X33="",'800DC'!X33=""),"ERR","")) &amp; IF(ISERROR(FIND($G$2,Lines!X33))=TRUE,"",IF('1000'!X33="","ERR","")) &amp; IF(ISERROR(FIND($H$2,Lines!X33))=TRUE,"",IF('500DC'!X33="","ERR","")) &amp; IF(ISERROR(FIND($I$2,Lines!X33))=TRUE,"",IF('800DC'!X33="","ERR","")) &amp; IF(ISERROR(FIND($J$2,Lines!X33))=TRUE,"",IF('1000'!X33="","ERR",""))</f>
        <v/>
      </c>
      <c r="Y33" s="108" t="str">
        <f>IF(ISERROR(FIND($B$2,Lines!Y33))=TRUE,"",IF('750'!Y33="","ERR","")) &amp; IF(ISERROR(FIND($C$2,Lines!Y33))=TRUE,"",IF('500'!Y33="","ERR","")) &amp; IF(ISERROR(FIND($D$2,Lines!Y33))=TRUE,"",IF('330'!Y33="","ERR","")) &amp; IF(ISERROR(FIND($E$2,Lines!Y33))=TRUE,"",IF('220'!Y33="","ERR",""))&amp; IF(ISERROR(FIND($F$2,Lines!Y33))=TRUE,"",IF(AND('500DC'!Y33="",'800DC'!Y33=""),"ERR","")) &amp; IF(ISERROR(FIND($G$2,Lines!Y33))=TRUE,"",IF('1000'!Y33="","ERR","")) &amp; IF(ISERROR(FIND($H$2,Lines!Y33))=TRUE,"",IF('500DC'!Y33="","ERR","")) &amp; IF(ISERROR(FIND($I$2,Lines!Y33))=TRUE,"",IF('800DC'!Y33="","ERR","")) &amp; IF(ISERROR(FIND($J$2,Lines!Y33))=TRUE,"",IF('1000'!Y33="","ERR",""))</f>
        <v/>
      </c>
      <c r="Z33" s="108" t="str">
        <f>IF(ISERROR(FIND($B$2,Lines!Z33))=TRUE,"",IF('750'!Z33="","ERR","")) &amp; IF(ISERROR(FIND($C$2,Lines!Z33))=TRUE,"",IF('500'!Z33="","ERR","")) &amp; IF(ISERROR(FIND($D$2,Lines!Z33))=TRUE,"",IF('330'!Z33="","ERR","")) &amp; IF(ISERROR(FIND($E$2,Lines!Z33))=TRUE,"",IF('220'!Z33="","ERR",""))&amp; IF(ISERROR(FIND($F$2,Lines!Z33))=TRUE,"",IF(AND('500DC'!Z33="",'800DC'!Z33=""),"ERR","")) &amp; IF(ISERROR(FIND($G$2,Lines!Z33))=TRUE,"",IF('1000'!Z33="","ERR","")) &amp; IF(ISERROR(FIND($H$2,Lines!Z33))=TRUE,"",IF('500DC'!Z33="","ERR","")) &amp; IF(ISERROR(FIND($I$2,Lines!Z33))=TRUE,"",IF('800DC'!Z33="","ERR","")) &amp; IF(ISERROR(FIND($J$2,Lines!Z33))=TRUE,"",IF('1000'!Z33="","ERR",""))</f>
        <v/>
      </c>
      <c r="AA33" s="108" t="str">
        <f>IF(ISERROR(FIND($B$2,Lines!AA33))=TRUE,"",IF('750'!AA33="","ERR","")) &amp; IF(ISERROR(FIND($C$2,Lines!AA33))=TRUE,"",IF('500'!AA33="","ERR","")) &amp; IF(ISERROR(FIND($D$2,Lines!AA33))=TRUE,"",IF('330'!AA33="","ERR","")) &amp; IF(ISERROR(FIND($E$2,Lines!AA33))=TRUE,"",IF('220'!AA33="","ERR",""))&amp; IF(ISERROR(FIND($F$2,Lines!AA33))=TRUE,"",IF(AND('500DC'!AA33="",'800DC'!AA33=""),"ERR","")) &amp; IF(ISERROR(FIND($G$2,Lines!AA33))=TRUE,"",IF('1000'!AA33="","ERR","")) &amp; IF(ISERROR(FIND($H$2,Lines!AA33))=TRUE,"",IF('500DC'!AA33="","ERR","")) &amp; IF(ISERROR(FIND($I$2,Lines!AA33))=TRUE,"",IF('800DC'!AA33="","ERR","")) &amp; IF(ISERROR(FIND($J$2,Lines!AA33))=TRUE,"",IF('1000'!AA33="","ERR",""))</f>
        <v/>
      </c>
      <c r="AB33" s="108" t="str">
        <f>IF(ISERROR(FIND($B$2,Lines!AB33))=TRUE,"",IF('750'!AB33="","ERR","")) &amp; IF(ISERROR(FIND($C$2,Lines!AB33))=TRUE,"",IF('500'!AB33="","ERR","")) &amp; IF(ISERROR(FIND($D$2,Lines!AB33))=TRUE,"",IF('330'!AB33="","ERR","")) &amp; IF(ISERROR(FIND($E$2,Lines!AB33))=TRUE,"",IF('220'!AB33="","ERR",""))&amp; IF(ISERROR(FIND($F$2,Lines!AB33))=TRUE,"",IF(AND('500DC'!AB33="",'800DC'!AB33=""),"ERR","")) &amp; IF(ISERROR(FIND($G$2,Lines!AB33))=TRUE,"",IF('1000'!AB33="","ERR","")) &amp; IF(ISERROR(FIND($H$2,Lines!AB33))=TRUE,"",IF('500DC'!AB33="","ERR","")) &amp; IF(ISERROR(FIND($I$2,Lines!AB33))=TRUE,"",IF('800DC'!AB33="","ERR","")) &amp; IF(ISERROR(FIND($J$2,Lines!AB33))=TRUE,"",IF('1000'!AB33="","ERR",""))</f>
        <v/>
      </c>
      <c r="AC33" s="108" t="str">
        <f>IF(ISERROR(FIND($B$2,Lines!AC33))=TRUE,"",IF('750'!AC33="","ERR","")) &amp; IF(ISERROR(FIND($C$2,Lines!AC33))=TRUE,"",IF('500'!AC33="","ERR","")) &amp; IF(ISERROR(FIND($D$2,Lines!AC33))=TRUE,"",IF('330'!AC33="","ERR","")) &amp; IF(ISERROR(FIND($E$2,Lines!AC33))=TRUE,"",IF('220'!AC33="","ERR",""))&amp; IF(ISERROR(FIND($F$2,Lines!AC33))=TRUE,"",IF(AND('500DC'!AC33="",'800DC'!AC33=""),"ERR","")) &amp; IF(ISERROR(FIND($G$2,Lines!AC33))=TRUE,"",IF('1000'!AC33="","ERR","")) &amp; IF(ISERROR(FIND($H$2,Lines!AC33))=TRUE,"",IF('500DC'!AC33="","ERR","")) &amp; IF(ISERROR(FIND($I$2,Lines!AC33))=TRUE,"",IF('800DC'!AC33="","ERR","")) &amp; IF(ISERROR(FIND($J$2,Lines!AC33))=TRUE,"",IF('1000'!AC33="","ERR",""))</f>
        <v/>
      </c>
      <c r="AD33" s="108" t="str">
        <f>IF(ISERROR(FIND($B$2,Lines!AD33))=TRUE,"",IF('750'!AD33="","ERR","")) &amp; IF(ISERROR(FIND($C$2,Lines!AD33))=TRUE,"",IF('500'!AD33="","ERR","")) &amp; IF(ISERROR(FIND($D$2,Lines!AD33))=TRUE,"",IF('330'!AD33="","ERR","")) &amp; IF(ISERROR(FIND($E$2,Lines!AD33))=TRUE,"",IF('220'!AD33="","ERR",""))&amp; IF(ISERROR(FIND($F$2,Lines!AD33))=TRUE,"",IF(AND('500DC'!AD33="",'800DC'!AD33=""),"ERR","")) &amp; IF(ISERROR(FIND($G$2,Lines!AD33))=TRUE,"",IF('1000'!AD33="","ERR","")) &amp; IF(ISERROR(FIND($H$2,Lines!AD33))=TRUE,"",IF('500DC'!AD33="","ERR","")) &amp; IF(ISERROR(FIND($I$2,Lines!AD33))=TRUE,"",IF('800DC'!AD33="","ERR","")) &amp; IF(ISERROR(FIND($J$2,Lines!AD33))=TRUE,"",IF('1000'!AD33="","ERR",""))</f>
        <v/>
      </c>
      <c r="AE33" s="112" t="str">
        <f>IF(ISERROR(FIND($B$2,Lines!AE33))=TRUE,"",IF('750'!AE33="","ERR","")) &amp; IF(ISERROR(FIND($C$2,Lines!AE33))=TRUE,"",IF('500'!AE33="","ERR","")) &amp; IF(ISERROR(FIND($D$2,Lines!AE33))=TRUE,"",IF('330'!AE33="","ERR","")) &amp; IF(ISERROR(FIND($E$2,Lines!AE33))=TRUE,"",IF('220'!AE33="","ERR",""))&amp; IF(ISERROR(FIND($F$2,Lines!AE33))=TRUE,"",IF(AND('500DC'!AE33="",'800DC'!AE33=""),"ERR","")) &amp; IF(ISERROR(FIND($G$2,Lines!AE33))=TRUE,"",IF('1000'!AE33="","ERR","")) &amp; IF(ISERROR(FIND($H$2,Lines!AE33))=TRUE,"",IF('500DC'!AE33="","ERR","")) &amp; IF(ISERROR(FIND($I$2,Lines!AE33))=TRUE,"",IF('800DC'!AE33="","ERR","")) &amp; IF(ISERROR(FIND($J$2,Lines!AE33))=TRUE,"",IF('1000'!AE33="","ERR",""))</f>
        <v/>
      </c>
      <c r="AF33" s="128" t="str">
        <f>IF(ISERROR(FIND($B$2,Lines!AF33))=TRUE,"",IF('750'!AF33="","ERR","")) &amp; IF(ISERROR(FIND($C$2,Lines!AF33))=TRUE,"",IF('500'!AF33="","ERR","")) &amp; IF(ISERROR(FIND($D$2,Lines!AF33))=TRUE,"",IF('330'!AF33="","ERR","")) &amp; IF(ISERROR(FIND($E$2,Lines!AF33))=TRUE,"",IF('220'!AF33="","ERR",""))&amp; IF(ISERROR(FIND($F$2,Lines!AF33))=TRUE,"",IF(AND('500DC'!AF33="",'800DC'!AF33=""),"ERR","")) &amp; IF(ISERROR(FIND($G$2,Lines!AF33))=TRUE,"",IF('1000'!AF33="","ERR","")) &amp; IF(ISERROR(FIND($H$2,Lines!AF33))=TRUE,"",IF('500DC'!AF33="","ERR","")) &amp; IF(ISERROR(FIND($I$2,Lines!AF33))=TRUE,"",IF('800DC'!AF33="","ERR","")) &amp; IF(ISERROR(FIND($J$2,Lines!AF33))=TRUE,"",IF('1000'!AF33="","ERR",""))</f>
        <v/>
      </c>
      <c r="AG33" s="128" t="str">
        <f>IF(ISERROR(FIND($B$2,Lines!AG33))=TRUE,"",IF('750'!AG33="","ERR","")) &amp; IF(ISERROR(FIND($C$2,Lines!AG33))=TRUE,"",IF('500'!AG33="","ERR","")) &amp; IF(ISERROR(FIND($D$2,Lines!AG33))=TRUE,"",IF('330'!AG33="","ERR","")) &amp; IF(ISERROR(FIND($E$2,Lines!AG33))=TRUE,"",IF('220'!AG33="","ERR",""))&amp; IF(ISERROR(FIND($F$2,Lines!AG33))=TRUE,"",IF(AND('500DC'!AG33="",'800DC'!AG33=""),"ERR","")) &amp; IF(ISERROR(FIND($G$2,Lines!AG33))=TRUE,"",IF('1000'!AG33="","ERR","")) &amp; IF(ISERROR(FIND($H$2,Lines!AG33))=TRUE,"",IF('500DC'!AG33="","ERR","")) &amp; IF(ISERROR(FIND($I$2,Lines!AG33))=TRUE,"",IF('800DC'!AG33="","ERR","")) &amp; IF(ISERROR(FIND($J$2,Lines!AG33))=TRUE,"",IF('1000'!AG33="","ERR",""))</f>
        <v/>
      </c>
      <c r="AH33" s="128" t="str">
        <f>IF(ISERROR(FIND($B$2,Lines!AH33))=TRUE,"",IF('750'!AH33="","ERR","")) &amp; IF(ISERROR(FIND($C$2,Lines!AH33))=TRUE,"",IF('500'!AH33="","ERR","")) &amp; IF(ISERROR(FIND($D$2,Lines!AH33))=TRUE,"",IF('330'!AH33="","ERR","")) &amp; IF(ISERROR(FIND($E$2,Lines!AH33))=TRUE,"",IF('220'!AH33="","ERR",""))&amp; IF(ISERROR(FIND($F$2,Lines!AH33))=TRUE,"",IF(AND('500DC'!AH33="",'800DC'!AH33=""),"ERR","")) &amp; IF(ISERROR(FIND($G$2,Lines!AH33))=TRUE,"",IF('1000'!AH33="","ERR","")) &amp; IF(ISERROR(FIND($H$2,Lines!AH33))=TRUE,"",IF('500DC'!AH33="","ERR","")) &amp; IF(ISERROR(FIND($I$2,Lines!AH33))=TRUE,"",IF('800DC'!AH33="","ERR","")) &amp; IF(ISERROR(FIND($J$2,Lines!AH33))=TRUE,"",IF('1000'!AH33="","ERR",""))</f>
        <v/>
      </c>
      <c r="AI33" s="128" t="str">
        <f>IF(ISERROR(FIND($B$2,Lines!AI33))=TRUE,"",IF('750'!AI33="","ERR","")) &amp; IF(ISERROR(FIND($C$2,Lines!AI33))=TRUE,"",IF('500'!AI33="","ERR","")) &amp; IF(ISERROR(FIND($D$2,Lines!AI33))=TRUE,"",IF('330'!AI33="","ERR","")) &amp; IF(ISERROR(FIND($E$2,Lines!AI33))=TRUE,"",IF('220'!AI33="","ERR",""))&amp; IF(ISERROR(FIND($F$2,Lines!AI33))=TRUE,"",IF(AND('500DC'!AI33="",'800DC'!AI33=""),"ERR","")) &amp; IF(ISERROR(FIND($G$2,Lines!AI33))=TRUE,"",IF('1000'!AI33="","ERR","")) &amp; IF(ISERROR(FIND($H$2,Lines!AI33))=TRUE,"",IF('500DC'!AI33="","ERR","")) &amp; IF(ISERROR(FIND($I$2,Lines!AI33))=TRUE,"",IF('800DC'!AI33="","ERR","")) &amp; IF(ISERROR(FIND($J$2,Lines!AI33))=TRUE,"",IF('1000'!AI33="","ERR",""))</f>
        <v/>
      </c>
      <c r="AJ33" s="129" t="str">
        <f>IF(ISERROR(FIND($B$2,Lines!AJ33))=TRUE,"",IF('750'!AJ33="","ERR","")) &amp; IF(ISERROR(FIND($C$2,Lines!AJ33))=TRUE,"",IF('500'!AJ33="","ERR","")) &amp; IF(ISERROR(FIND($D$2,Lines!AJ33))=TRUE,"",IF('330'!AJ33="","ERR","")) &amp; IF(ISERROR(FIND($E$2,Lines!AJ33))=TRUE,"",IF('220'!AJ33="","ERR",""))&amp; IF(ISERROR(FIND($F$2,Lines!AJ33))=TRUE,"",IF(AND('500DC'!AJ33="",'800DC'!AJ33=""),"ERR","")) &amp; IF(ISERROR(FIND($G$2,Lines!AJ33))=TRUE,"",IF('1000'!AJ33="","ERR","")) &amp; IF(ISERROR(FIND($H$2,Lines!AJ33))=TRUE,"",IF('500DC'!AJ33="","ERR","")) &amp; IF(ISERROR(FIND($I$2,Lines!AJ33))=TRUE,"",IF('800DC'!AJ33="","ERR","")) &amp; IF(ISERROR(FIND($J$2,Lines!AJ33))=TRUE,"",IF('1000'!AJ33="","ERR",""))</f>
        <v/>
      </c>
      <c r="AK33" s="108" t="str">
        <f>IF(ISERROR(FIND($B$2,Lines!AK33))=TRUE,"",IF('750'!AK33="","ERR","")) &amp; IF(ISERROR(FIND($C$2,Lines!AK33))=TRUE,"",IF('500'!AK33="","ERR","")) &amp; IF(ISERROR(FIND($D$2,Lines!AK33))=TRUE,"",IF('330'!AK33="","ERR","")) &amp; IF(ISERROR(FIND($E$2,Lines!AK33))=TRUE,"",IF('220'!AK33="","ERR",""))&amp; IF(ISERROR(FIND($F$2,Lines!AK33))=TRUE,"",IF(AND('500DC'!AK33="",'800DC'!AK33=""),"ERR","")) &amp; IF(ISERROR(FIND($G$2,Lines!AK33))=TRUE,"",IF('1000'!AK33="","ERR","")) &amp; IF(ISERROR(FIND($H$2,Lines!AK33))=TRUE,"",IF('500DC'!AK33="","ERR","")) &amp; IF(ISERROR(FIND($I$2,Lines!AK33))=TRUE,"",IF('800DC'!AK33="","ERR","")) &amp; IF(ISERROR(FIND($J$2,Lines!AK33))=TRUE,"",IF('1000'!AK33="","ERR",""))</f>
        <v/>
      </c>
      <c r="AL33" s="108" t="str">
        <f>IF(ISERROR(FIND($B$2,Lines!AL33))=TRUE,"",IF('750'!AL33="","ERR","")) &amp; IF(ISERROR(FIND($C$2,Lines!AL33))=TRUE,"",IF('500'!AL33="","ERR","")) &amp; IF(ISERROR(FIND($D$2,Lines!AL33))=TRUE,"",IF('330'!AL33="","ERR","")) &amp; IF(ISERROR(FIND($E$2,Lines!AL33))=TRUE,"",IF('220'!AL33="","ERR",""))&amp; IF(ISERROR(FIND($F$2,Lines!AL33))=TRUE,"",IF(AND('500DC'!AL33="",'800DC'!AL33=""),"ERR","")) &amp; IF(ISERROR(FIND($G$2,Lines!AL33))=TRUE,"",IF('1000'!AL33="","ERR","")) &amp; IF(ISERROR(FIND($H$2,Lines!AL33))=TRUE,"",IF('500DC'!AL33="","ERR","")) &amp; IF(ISERROR(FIND($I$2,Lines!AL33))=TRUE,"",IF('800DC'!AL33="","ERR","")) &amp; IF(ISERROR(FIND($J$2,Lines!AL33))=TRUE,"",IF('1000'!AL33="","ERR",""))</f>
        <v/>
      </c>
      <c r="AM33" s="108" t="str">
        <f>IF(ISERROR(FIND($B$2,Lines!AM33))=TRUE,"",IF('750'!AM33="","ERR","")) &amp; IF(ISERROR(FIND($C$2,Lines!AM33))=TRUE,"",IF('500'!AM33="","ERR","")) &amp; IF(ISERROR(FIND($D$2,Lines!AM33))=TRUE,"",IF('330'!AM33="","ERR","")) &amp; IF(ISERROR(FIND($E$2,Lines!AM33))=TRUE,"",IF('220'!AM33="","ERR",""))&amp; IF(ISERROR(FIND($F$2,Lines!AM33))=TRUE,"",IF(AND('500DC'!AM33="",'800DC'!AM33=""),"ERR","")) &amp; IF(ISERROR(FIND($G$2,Lines!AM33))=TRUE,"",IF('1000'!AM33="","ERR","")) &amp; IF(ISERROR(FIND($H$2,Lines!AM33))=TRUE,"",IF('500DC'!AM33="","ERR","")) &amp; IF(ISERROR(FIND($I$2,Lines!AM33))=TRUE,"",IF('800DC'!AM33="","ERR","")) &amp; IF(ISERROR(FIND($J$2,Lines!AM33))=TRUE,"",IF('1000'!AM33="","ERR",""))</f>
        <v/>
      </c>
      <c r="AN33" s="108" t="str">
        <f>IF(ISERROR(FIND($B$2,Lines!AN33))=TRUE,"",IF('750'!AN33="","ERR","")) &amp; IF(ISERROR(FIND($C$2,Lines!AN33))=TRUE,"",IF('500'!AN33="","ERR","")) &amp; IF(ISERROR(FIND($D$2,Lines!AN33))=TRUE,"",IF('330'!AN33="","ERR","")) &amp; IF(ISERROR(FIND($E$2,Lines!AN33))=TRUE,"",IF('220'!AN33="","ERR",""))&amp; IF(ISERROR(FIND($F$2,Lines!AN33))=TRUE,"",IF(AND('500DC'!AN33="",'800DC'!AN33=""),"ERR","")) &amp; IF(ISERROR(FIND($G$2,Lines!AN33))=TRUE,"",IF('1000'!AN33="","ERR","")) &amp; IF(ISERROR(FIND($H$2,Lines!AN33))=TRUE,"",IF('500DC'!AN33="","ERR","")) &amp; IF(ISERROR(FIND($I$2,Lines!AN33))=TRUE,"",IF('800DC'!AN33="","ERR","")) &amp; IF(ISERROR(FIND($J$2,Lines!AN33))=TRUE,"",IF('1000'!AN33="","ERR",""))</f>
        <v/>
      </c>
      <c r="AO33" s="108" t="str">
        <f>IF(ISERROR(FIND($B$2,Lines!AO33))=TRUE,"",IF('750'!AO33="","ERR","")) &amp; IF(ISERROR(FIND($C$2,Lines!AO33))=TRUE,"",IF('500'!AO33="","ERR","")) &amp; IF(ISERROR(FIND($D$2,Lines!AO33))=TRUE,"",IF('330'!AO33="","ERR","")) &amp; IF(ISERROR(FIND($E$2,Lines!AO33))=TRUE,"",IF('220'!AO33="","ERR",""))&amp; IF(ISERROR(FIND($F$2,Lines!AO33))=TRUE,"",IF(AND('500DC'!AO33="",'800DC'!AO33=""),"ERR","")) &amp; IF(ISERROR(FIND($G$2,Lines!AO33))=TRUE,"",IF('1000'!AO33="","ERR","")) &amp; IF(ISERROR(FIND($H$2,Lines!AO33))=TRUE,"",IF('500DC'!AO33="","ERR","")) &amp; IF(ISERROR(FIND($I$2,Lines!AO33))=TRUE,"",IF('800DC'!AO33="","ERR","")) &amp; IF(ISERROR(FIND($J$2,Lines!AO33))=TRUE,"",IF('1000'!AO33="","ERR",""))</f>
        <v/>
      </c>
      <c r="AP33" s="108" t="str">
        <f>IF(ISERROR(FIND($B$2,Lines!AP33))=TRUE,"",IF('750'!AP33="","ERR","")) &amp; IF(ISERROR(FIND($C$2,Lines!AP33))=TRUE,"",IF('500'!AP33="","ERR","")) &amp; IF(ISERROR(FIND($D$2,Lines!AP33))=TRUE,"",IF('330'!AP33="","ERR","")) &amp; IF(ISERROR(FIND($E$2,Lines!AP33))=TRUE,"",IF('220'!AP33="","ERR",""))&amp; IF(ISERROR(FIND($F$2,Lines!AP33))=TRUE,"",IF(AND('500DC'!AP33="",'800DC'!AP33=""),"ERR","")) &amp; IF(ISERROR(FIND($G$2,Lines!AP33))=TRUE,"",IF('1000'!AP33="","ERR","")) &amp; IF(ISERROR(FIND($H$2,Lines!AP33))=TRUE,"",IF('500DC'!AP33="","ERR","")) &amp; IF(ISERROR(FIND($I$2,Lines!AP33))=TRUE,"",IF('800DC'!AP33="","ERR","")) &amp; IF(ISERROR(FIND($J$2,Lines!AP33))=TRUE,"",IF('1000'!AP33="","ERR",""))</f>
        <v/>
      </c>
      <c r="AQ33" s="108" t="str">
        <f>IF(ISERROR(FIND($B$2,Lines!AQ33))=TRUE,"",IF('750'!AQ33="","ERR","")) &amp; IF(ISERROR(FIND($C$2,Lines!AQ33))=TRUE,"",IF('500'!AQ33="","ERR","")) &amp; IF(ISERROR(FIND($D$2,Lines!AQ33))=TRUE,"",IF('330'!AQ33="","ERR","")) &amp; IF(ISERROR(FIND($E$2,Lines!AQ33))=TRUE,"",IF('220'!AQ33="","ERR",""))&amp; IF(ISERROR(FIND($F$2,Lines!AQ33))=TRUE,"",IF(AND('500DC'!AQ33="",'800DC'!AQ33=""),"ERR","")) &amp; IF(ISERROR(FIND($G$2,Lines!AQ33))=TRUE,"",IF('1000'!AQ33="","ERR","")) &amp; IF(ISERROR(FIND($H$2,Lines!AQ33))=TRUE,"",IF('500DC'!AQ33="","ERR","")) &amp; IF(ISERROR(FIND($I$2,Lines!AQ33))=TRUE,"",IF('800DC'!AQ33="","ERR","")) &amp; IF(ISERROR(FIND($J$2,Lines!AQ33))=TRUE,"",IF('1000'!AQ33="","ERR",""))</f>
        <v/>
      </c>
      <c r="AR33" s="108" t="str">
        <f>IF(ISERROR(FIND($B$2,Lines!AR33))=TRUE,"",IF('750'!AR33="","ERR","")) &amp; IF(ISERROR(FIND($C$2,Lines!AR33))=TRUE,"",IF('500'!AR33="","ERR","")) &amp; IF(ISERROR(FIND($D$2,Lines!AR33))=TRUE,"",IF('330'!AR33="","ERR","")) &amp; IF(ISERROR(FIND($E$2,Lines!AR33))=TRUE,"",IF('220'!AR33="","ERR",""))&amp; IF(ISERROR(FIND($F$2,Lines!AR33))=TRUE,"",IF(AND('500DC'!AR33="",'800DC'!AR33=""),"ERR","")) &amp; IF(ISERROR(FIND($G$2,Lines!AR33))=TRUE,"",IF('1000'!AR33="","ERR","")) &amp; IF(ISERROR(FIND($H$2,Lines!AR33))=TRUE,"",IF('500DC'!AR33="","ERR","")) &amp; IF(ISERROR(FIND($I$2,Lines!AR33))=TRUE,"",IF('800DC'!AR33="","ERR","")) &amp; IF(ISERROR(FIND($J$2,Lines!AR33))=TRUE,"",IF('1000'!AR33="","ERR",""))</f>
        <v/>
      </c>
      <c r="AS33" s="108" t="str">
        <f>IF(ISERROR(FIND($B$2,Lines!AS33))=TRUE,"",IF('750'!AS33="","ERR","")) &amp; IF(ISERROR(FIND($C$2,Lines!AS33))=TRUE,"",IF('500'!AS33="","ERR","")) &amp; IF(ISERROR(FIND($D$2,Lines!AS33))=TRUE,"",IF('330'!AS33="","ERR","")) &amp; IF(ISERROR(FIND($E$2,Lines!AS33))=TRUE,"",IF('220'!AS33="","ERR",""))&amp; IF(ISERROR(FIND($F$2,Lines!AS33))=TRUE,"",IF(AND('500DC'!AS33="",'800DC'!AS33=""),"ERR","")) &amp; IF(ISERROR(FIND($G$2,Lines!AS33))=TRUE,"",IF('1000'!AS33="","ERR","")) &amp; IF(ISERROR(FIND($H$2,Lines!AS33))=TRUE,"",IF('500DC'!AS33="","ERR","")) &amp; IF(ISERROR(FIND($I$2,Lines!AS33))=TRUE,"",IF('800DC'!AS33="","ERR","")) &amp; IF(ISERROR(FIND($J$2,Lines!AS33))=TRUE,"",IF('1000'!AS33="","ERR",""))</f>
        <v/>
      </c>
      <c r="AT33" s="108" t="str">
        <f>IF(ISERROR(FIND($B$2,Lines!AT33))=TRUE,"",IF('750'!AT33="","ERR","")) &amp; IF(ISERROR(FIND($C$2,Lines!AT33))=TRUE,"",IF('500'!AT33="","ERR","")) &amp; IF(ISERROR(FIND($D$2,Lines!AT33))=TRUE,"",IF('330'!AT33="","ERR","")) &amp; IF(ISERROR(FIND($E$2,Lines!AT33))=TRUE,"",IF('220'!AT33="","ERR",""))&amp; IF(ISERROR(FIND($F$2,Lines!AT33))=TRUE,"",IF(AND('500DC'!AT33="",'800DC'!AT33=""),"ERR","")) &amp; IF(ISERROR(FIND($G$2,Lines!AT33))=TRUE,"",IF('1000'!AT33="","ERR","")) &amp; IF(ISERROR(FIND($H$2,Lines!AT33))=TRUE,"",IF('500DC'!AT33="","ERR","")) &amp; IF(ISERROR(FIND($I$2,Lines!AT33))=TRUE,"",IF('800DC'!AT33="","ERR","")) &amp; IF(ISERROR(FIND($J$2,Lines!AT33))=TRUE,"",IF('1000'!AT33="","ERR",""))</f>
        <v/>
      </c>
    </row>
    <row r="34" spans="1:46" ht="20.25" customHeight="1">
      <c r="A34" s="2" t="s">
        <v>82</v>
      </c>
      <c r="B34" s="108" t="str">
        <f>IF(ISERROR(FIND($B$2,Lines!B34))=TRUE,"",IF('750'!B34="","ERR","")) &amp; IF(ISERROR(FIND($C$2,Lines!B34))=TRUE,"",IF('500'!B34="","ERR","")) &amp; IF(ISERROR(FIND($D$2,Lines!B34))=TRUE,"",IF('330'!B34="","ERR","")) &amp; IF(ISERROR(FIND($E$2,Lines!B34))=TRUE,"",IF('220'!B34="","ERR",""))&amp; IF(ISERROR(FIND($F$2,Lines!B34))=TRUE,"",IF(AND('500DC'!B34="",'800DC'!B34=""),"ERR","")) &amp; IF(ISERROR(FIND($G$2,Lines!B34))=TRUE,"",IF('1000'!B34="","ERR","")) &amp; IF(ISERROR(FIND($H$2,Lines!B34))=TRUE,"",IF('500DC'!B34="","ERR","")) &amp; IF(ISERROR(FIND($I$2,Lines!B34))=TRUE,"",IF('800DC'!B34="","ERR","")) &amp; IF(ISERROR(FIND($J$2,Lines!B34))=TRUE,"",IF('1000'!B34="","ERR",""))</f>
        <v/>
      </c>
      <c r="C34" s="108" t="str">
        <f>IF(ISERROR(FIND($B$2,Lines!C34))=TRUE,"",IF('750'!C34="","ERR","")) &amp; IF(ISERROR(FIND($C$2,Lines!C34))=TRUE,"",IF('500'!C34="","ERR","")) &amp; IF(ISERROR(FIND($D$2,Lines!C34))=TRUE,"",IF('330'!C34="","ERR","")) &amp; IF(ISERROR(FIND($E$2,Lines!C34))=TRUE,"",IF('220'!C34="","ERR",""))&amp; IF(ISERROR(FIND($F$2,Lines!C34))=TRUE,"",IF(AND('500DC'!C34="",'800DC'!C34=""),"ERR","")) &amp; IF(ISERROR(FIND($G$2,Lines!C34))=TRUE,"",IF('1000'!C34="","ERR","")) &amp; IF(ISERROR(FIND($H$2,Lines!C34))=TRUE,"",IF('500DC'!C34="","ERR","")) &amp; IF(ISERROR(FIND($I$2,Lines!C34))=TRUE,"",IF('800DC'!C34="","ERR","")) &amp; IF(ISERROR(FIND($J$2,Lines!C34))=TRUE,"",IF('1000'!C34="","ERR",""))</f>
        <v/>
      </c>
      <c r="D34" s="108" t="str">
        <f>IF(ISERROR(FIND($B$2,Lines!D34))=TRUE,"",IF('750'!D34="","ERR","")) &amp; IF(ISERROR(FIND($C$2,Lines!D34))=TRUE,"",IF('500'!D34="","ERR","")) &amp; IF(ISERROR(FIND($D$2,Lines!D34))=TRUE,"",IF('330'!D34="","ERR","")) &amp; IF(ISERROR(FIND($E$2,Lines!D34))=TRUE,"",IF('220'!D34="","ERR",""))&amp; IF(ISERROR(FIND($F$2,Lines!D34))=TRUE,"",IF(AND('500DC'!D34="",'800DC'!D34=""),"ERR","")) &amp; IF(ISERROR(FIND($G$2,Lines!D34))=TRUE,"",IF('1000'!D34="","ERR","")) &amp; IF(ISERROR(FIND($H$2,Lines!D34))=TRUE,"",IF('500DC'!D34="","ERR","")) &amp; IF(ISERROR(FIND($I$2,Lines!D34))=TRUE,"",IF('800DC'!D34="","ERR","")) &amp; IF(ISERROR(FIND($J$2,Lines!D34))=TRUE,"",IF('1000'!D34="","ERR",""))</f>
        <v/>
      </c>
      <c r="E34" s="108" t="str">
        <f>IF(ISERROR(FIND($B$2,Lines!E34))=TRUE,"",IF('750'!E34="","ERR","")) &amp; IF(ISERROR(FIND($C$2,Lines!E34))=TRUE,"",IF('500'!E34="","ERR","")) &amp; IF(ISERROR(FIND($D$2,Lines!E34))=TRUE,"",IF('330'!E34="","ERR","")) &amp; IF(ISERROR(FIND($E$2,Lines!E34))=TRUE,"",IF('220'!E34="","ERR",""))&amp; IF(ISERROR(FIND($F$2,Lines!E34))=TRUE,"",IF(AND('500DC'!E34="",'800DC'!E34=""),"ERR","")) &amp; IF(ISERROR(FIND($G$2,Lines!E34))=TRUE,"",IF('1000'!E34="","ERR","")) &amp; IF(ISERROR(FIND($H$2,Lines!E34))=TRUE,"",IF('500DC'!E34="","ERR","")) &amp; IF(ISERROR(FIND($I$2,Lines!E34))=TRUE,"",IF('800DC'!E34="","ERR","")) &amp; IF(ISERROR(FIND($J$2,Lines!E34))=TRUE,"",IF('1000'!E34="","ERR",""))</f>
        <v/>
      </c>
      <c r="F34" s="108" t="str">
        <f>IF(ISERROR(FIND($B$2,Lines!F34))=TRUE,"",IF('750'!F34="","ERR","")) &amp; IF(ISERROR(FIND($C$2,Lines!F34))=TRUE,"",IF('500'!F34="","ERR","")) &amp; IF(ISERROR(FIND($D$2,Lines!F34))=TRUE,"",IF('330'!F34="","ERR","")) &amp; IF(ISERROR(FIND($E$2,Lines!F34))=TRUE,"",IF('220'!F34="","ERR",""))&amp; IF(ISERROR(FIND($F$2,Lines!F34))=TRUE,"",IF(AND('500DC'!F34="",'800DC'!F34=""),"ERR","")) &amp; IF(ISERROR(FIND($G$2,Lines!F34))=TRUE,"",IF('1000'!F34="","ERR","")) &amp; IF(ISERROR(FIND($H$2,Lines!F34))=TRUE,"",IF('500DC'!F34="","ERR","")) &amp; IF(ISERROR(FIND($I$2,Lines!F34))=TRUE,"",IF('800DC'!F34="","ERR","")) &amp; IF(ISERROR(FIND($J$2,Lines!F34))=TRUE,"",IF('1000'!F34="","ERR",""))</f>
        <v/>
      </c>
      <c r="G34" s="108" t="str">
        <f>IF(ISERROR(FIND($B$2,Lines!G34))=TRUE,"",IF('750'!G34="","ERR","")) &amp; IF(ISERROR(FIND($C$2,Lines!G34))=TRUE,"",IF('500'!G34="","ERR","")) &amp; IF(ISERROR(FIND($D$2,Lines!G34))=TRUE,"",IF('330'!G34="","ERR","")) &amp; IF(ISERROR(FIND($E$2,Lines!G34))=TRUE,"",IF('220'!G34="","ERR",""))&amp; IF(ISERROR(FIND($F$2,Lines!G34))=TRUE,"",IF(AND('500DC'!G34="",'800DC'!G34=""),"ERR","")) &amp; IF(ISERROR(FIND($G$2,Lines!G34))=TRUE,"",IF('1000'!G34="","ERR","")) &amp; IF(ISERROR(FIND($H$2,Lines!G34))=TRUE,"",IF('500DC'!G34="","ERR","")) &amp; IF(ISERROR(FIND($I$2,Lines!G34))=TRUE,"",IF('800DC'!G34="","ERR","")) &amp; IF(ISERROR(FIND($J$2,Lines!G34))=TRUE,"",IF('1000'!G34="","ERR",""))</f>
        <v/>
      </c>
      <c r="H34" s="108" t="str">
        <f>IF(ISERROR(FIND($B$2,Lines!H34))=TRUE,"",IF('750'!H34="","ERR","")) &amp; IF(ISERROR(FIND($C$2,Lines!H34))=TRUE,"",IF('500'!H34="","ERR","")) &amp; IF(ISERROR(FIND($D$2,Lines!H34))=TRUE,"",IF('330'!H34="","ERR","")) &amp; IF(ISERROR(FIND($E$2,Lines!H34))=TRUE,"",IF('220'!H34="","ERR",""))&amp; IF(ISERROR(FIND($F$2,Lines!H34))=TRUE,"",IF(AND('500DC'!H34="",'800DC'!H34=""),"ERR","")) &amp; IF(ISERROR(FIND($G$2,Lines!H34))=TRUE,"",IF('1000'!H34="","ERR","")) &amp; IF(ISERROR(FIND($H$2,Lines!H34))=TRUE,"",IF('500DC'!H34="","ERR","")) &amp; IF(ISERROR(FIND($I$2,Lines!H34))=TRUE,"",IF('800DC'!H34="","ERR","")) &amp; IF(ISERROR(FIND($J$2,Lines!H34))=TRUE,"",IF('1000'!H34="","ERR",""))</f>
        <v/>
      </c>
      <c r="I34" s="108" t="str">
        <f>IF(ISERROR(FIND($B$2,Lines!I34))=TRUE,"",IF('750'!I34="","ERR","")) &amp; IF(ISERROR(FIND($C$2,Lines!I34))=TRUE,"",IF('500'!I34="","ERR","")) &amp; IF(ISERROR(FIND($D$2,Lines!I34))=TRUE,"",IF('330'!I34="","ERR","")) &amp; IF(ISERROR(FIND($E$2,Lines!I34))=TRUE,"",IF('220'!I34="","ERR",""))&amp; IF(ISERROR(FIND($F$2,Lines!I34))=TRUE,"",IF(AND('500DC'!I34="",'800DC'!I34=""),"ERR","")) &amp; IF(ISERROR(FIND($G$2,Lines!I34))=TRUE,"",IF('1000'!I34="","ERR","")) &amp; IF(ISERROR(FIND($H$2,Lines!I34))=TRUE,"",IF('500DC'!I34="","ERR","")) &amp; IF(ISERROR(FIND($I$2,Lines!I34))=TRUE,"",IF('800DC'!I34="","ERR","")) &amp; IF(ISERROR(FIND($J$2,Lines!I34))=TRUE,"",IF('1000'!I34="","ERR",""))</f>
        <v/>
      </c>
      <c r="J34" s="108" t="str">
        <f>IF(ISERROR(FIND($B$2,Lines!J34))=TRUE,"",IF('750'!J34="","ERR","")) &amp; IF(ISERROR(FIND($C$2,Lines!J34))=TRUE,"",IF('500'!J34="","ERR","")) &amp; IF(ISERROR(FIND($D$2,Lines!J34))=TRUE,"",IF('330'!J34="","ERR","")) &amp; IF(ISERROR(FIND($E$2,Lines!J34))=TRUE,"",IF('220'!J34="","ERR",""))&amp; IF(ISERROR(FIND($F$2,Lines!J34))=TRUE,"",IF(AND('500DC'!J34="",'800DC'!J34=""),"ERR","")) &amp; IF(ISERROR(FIND($G$2,Lines!J34))=TRUE,"",IF('1000'!J34="","ERR","")) &amp; IF(ISERROR(FIND($H$2,Lines!J34))=TRUE,"",IF('500DC'!J34="","ERR","")) &amp; IF(ISERROR(FIND($I$2,Lines!J34))=TRUE,"",IF('800DC'!J34="","ERR","")) &amp; IF(ISERROR(FIND($J$2,Lines!J34))=TRUE,"",IF('1000'!J34="","ERR",""))</f>
        <v/>
      </c>
      <c r="K34" s="108" t="str">
        <f>IF(ISERROR(FIND($B$2,Lines!K34))=TRUE,"",IF('750'!K34="","ERR","")) &amp; IF(ISERROR(FIND($C$2,Lines!K34))=TRUE,"",IF('500'!K34="","ERR","")) &amp; IF(ISERROR(FIND($D$2,Lines!K34))=TRUE,"",IF('330'!K34="","ERR","")) &amp; IF(ISERROR(FIND($E$2,Lines!K34))=TRUE,"",IF('220'!K34="","ERR",""))&amp; IF(ISERROR(FIND($F$2,Lines!K34))=TRUE,"",IF(AND('500DC'!K34="",'800DC'!K34=""),"ERR","")) &amp; IF(ISERROR(FIND($G$2,Lines!K34))=TRUE,"",IF('1000'!K34="","ERR","")) &amp; IF(ISERROR(FIND($H$2,Lines!K34))=TRUE,"",IF('500DC'!K34="","ERR","")) &amp; IF(ISERROR(FIND($I$2,Lines!K34))=TRUE,"",IF('800DC'!K34="","ERR","")) &amp; IF(ISERROR(FIND($J$2,Lines!K34))=TRUE,"",IF('1000'!K34="","ERR",""))</f>
        <v/>
      </c>
      <c r="L34" s="108" t="str">
        <f>IF(ISERROR(FIND($B$2,Lines!L34))=TRUE,"",IF('750'!L34="","ERR","")) &amp; IF(ISERROR(FIND($C$2,Lines!L34))=TRUE,"",IF('500'!L34="","ERR","")) &amp; IF(ISERROR(FIND($D$2,Lines!L34))=TRUE,"",IF('330'!L34="","ERR","")) &amp; IF(ISERROR(FIND($E$2,Lines!L34))=TRUE,"",IF('220'!L34="","ERR",""))&amp; IF(ISERROR(FIND($F$2,Lines!L34))=TRUE,"",IF(AND('500DC'!L34="",'800DC'!L34=""),"ERR","")) &amp; IF(ISERROR(FIND($G$2,Lines!L34))=TRUE,"",IF('1000'!L34="","ERR","")) &amp; IF(ISERROR(FIND($H$2,Lines!L34))=TRUE,"",IF('500DC'!L34="","ERR","")) &amp; IF(ISERROR(FIND($I$2,Lines!L34))=TRUE,"",IF('800DC'!L34="","ERR","")) &amp; IF(ISERROR(FIND($J$2,Lines!L34))=TRUE,"",IF('1000'!L34="","ERR",""))</f>
        <v/>
      </c>
      <c r="M34" s="108" t="str">
        <f>IF(ISERROR(FIND($B$2,Lines!M34))=TRUE,"",IF('750'!M34="","ERR","")) &amp; IF(ISERROR(FIND($C$2,Lines!M34))=TRUE,"",IF('500'!M34="","ERR","")) &amp; IF(ISERROR(FIND($D$2,Lines!M34))=TRUE,"",IF('330'!M34="","ERR","")) &amp; IF(ISERROR(FIND($E$2,Lines!M34))=TRUE,"",IF('220'!M34="","ERR",""))&amp; IF(ISERROR(FIND($F$2,Lines!M34))=TRUE,"",IF(AND('500DC'!M34="",'800DC'!M34=""),"ERR","")) &amp; IF(ISERROR(FIND($G$2,Lines!M34))=TRUE,"",IF('1000'!M34="","ERR","")) &amp; IF(ISERROR(FIND($H$2,Lines!M34))=TRUE,"",IF('500DC'!M34="","ERR","")) &amp; IF(ISERROR(FIND($I$2,Lines!M34))=TRUE,"",IF('800DC'!M34="","ERR","")) &amp; IF(ISERROR(FIND($J$2,Lines!M34))=TRUE,"",IF('1000'!M34="","ERR",""))</f>
        <v/>
      </c>
      <c r="N34" s="108" t="str">
        <f>IF(ISERROR(FIND($B$2,Lines!N34))=TRUE,"",IF('750'!N34="","ERR","")) &amp; IF(ISERROR(FIND($C$2,Lines!N34))=TRUE,"",IF('500'!N34="","ERR","")) &amp; IF(ISERROR(FIND($D$2,Lines!N34))=TRUE,"",IF('330'!N34="","ERR","")) &amp; IF(ISERROR(FIND($E$2,Lines!N34))=TRUE,"",IF('220'!N34="","ERR",""))&amp; IF(ISERROR(FIND($F$2,Lines!N34))=TRUE,"",IF(AND('500DC'!N34="",'800DC'!N34=""),"ERR","")) &amp; IF(ISERROR(FIND($G$2,Lines!N34))=TRUE,"",IF('1000'!N34="","ERR","")) &amp; IF(ISERROR(FIND($H$2,Lines!N34))=TRUE,"",IF('500DC'!N34="","ERR","")) &amp; IF(ISERROR(FIND($I$2,Lines!N34))=TRUE,"",IF('800DC'!N34="","ERR","")) &amp; IF(ISERROR(FIND($J$2,Lines!N34))=TRUE,"",IF('1000'!N34="","ERR",""))</f>
        <v/>
      </c>
      <c r="O34" s="108" t="str">
        <f>IF(ISERROR(FIND($B$2,Lines!O34))=TRUE,"",IF('750'!O34="","ERR","")) &amp; IF(ISERROR(FIND($C$2,Lines!O34))=TRUE,"",IF('500'!O34="","ERR","")) &amp; IF(ISERROR(FIND($D$2,Lines!O34))=TRUE,"",IF('330'!O34="","ERR","")) &amp; IF(ISERROR(FIND($E$2,Lines!O34))=TRUE,"",IF('220'!O34="","ERR",""))&amp; IF(ISERROR(FIND($F$2,Lines!O34))=TRUE,"",IF(AND('500DC'!O34="",'800DC'!O34=""),"ERR","")) &amp; IF(ISERROR(FIND($G$2,Lines!O34))=TRUE,"",IF('1000'!O34="","ERR","")) &amp; IF(ISERROR(FIND($H$2,Lines!O34))=TRUE,"",IF('500DC'!O34="","ERR","")) &amp; IF(ISERROR(FIND($I$2,Lines!O34))=TRUE,"",IF('800DC'!O34="","ERR","")) &amp; IF(ISERROR(FIND($J$2,Lines!O34))=TRUE,"",IF('1000'!O34="","ERR",""))</f>
        <v/>
      </c>
      <c r="P34" s="108" t="str">
        <f>IF(ISERROR(FIND($B$2,Lines!P34))=TRUE,"",IF('750'!P34="","ERR","")) &amp; IF(ISERROR(FIND($C$2,Lines!P34))=TRUE,"",IF('500'!P34="","ERR","")) &amp; IF(ISERROR(FIND($D$2,Lines!P34))=TRUE,"",IF('330'!P34="","ERR","")) &amp; IF(ISERROR(FIND($E$2,Lines!P34))=TRUE,"",IF('220'!P34="","ERR",""))&amp; IF(ISERROR(FIND($F$2,Lines!P34))=TRUE,"",IF(AND('500DC'!P34="",'800DC'!P34=""),"ERR","")) &amp; IF(ISERROR(FIND($G$2,Lines!P34))=TRUE,"",IF('1000'!P34="","ERR","")) &amp; IF(ISERROR(FIND($H$2,Lines!P34))=TRUE,"",IF('500DC'!P34="","ERR","")) &amp; IF(ISERROR(FIND($I$2,Lines!P34))=TRUE,"",IF('800DC'!P34="","ERR","")) &amp; IF(ISERROR(FIND($J$2,Lines!P34))=TRUE,"",IF('1000'!P34="","ERR",""))</f>
        <v/>
      </c>
      <c r="Q34" s="108" t="str">
        <f>IF(ISERROR(FIND($B$2,Lines!Q34))=TRUE,"",IF('750'!Q34="","ERR","")) &amp; IF(ISERROR(FIND($C$2,Lines!Q34))=TRUE,"",IF('500'!Q34="","ERR","")) &amp; IF(ISERROR(FIND($D$2,Lines!Q34))=TRUE,"",IF('330'!Q34="","ERR","")) &amp; IF(ISERROR(FIND($E$2,Lines!Q34))=TRUE,"",IF('220'!Q34="","ERR",""))&amp; IF(ISERROR(FIND($F$2,Lines!Q34))=TRUE,"",IF(AND('500DC'!Q34="",'800DC'!Q34=""),"ERR","")) &amp; IF(ISERROR(FIND($G$2,Lines!Q34))=TRUE,"",IF('1000'!Q34="","ERR","")) &amp; IF(ISERROR(FIND($H$2,Lines!Q34))=TRUE,"",IF('500DC'!Q34="","ERR","")) &amp; IF(ISERROR(FIND($I$2,Lines!Q34))=TRUE,"",IF('800DC'!Q34="","ERR","")) &amp; IF(ISERROR(FIND($J$2,Lines!Q34))=TRUE,"",IF('1000'!Q34="","ERR",""))</f>
        <v/>
      </c>
      <c r="R34" s="108" t="str">
        <f>IF(ISERROR(FIND($B$2,Lines!R34))=TRUE,"",IF('750'!R34="","ERR","")) &amp; IF(ISERROR(FIND($C$2,Lines!R34))=TRUE,"",IF('500'!R34="","ERR","")) &amp; IF(ISERROR(FIND($D$2,Lines!R34))=TRUE,"",IF('330'!R34="","ERR","")) &amp; IF(ISERROR(FIND($E$2,Lines!R34))=TRUE,"",IF('220'!R34="","ERR",""))&amp; IF(ISERROR(FIND($F$2,Lines!R34))=TRUE,"",IF(AND('500DC'!R34="",'800DC'!R34=""),"ERR","")) &amp; IF(ISERROR(FIND($G$2,Lines!R34))=TRUE,"",IF('1000'!R34="","ERR","")) &amp; IF(ISERROR(FIND($H$2,Lines!R34))=TRUE,"",IF('500DC'!R34="","ERR","")) &amp; IF(ISERROR(FIND($I$2,Lines!R34))=TRUE,"",IF('800DC'!R34="","ERR","")) &amp; IF(ISERROR(FIND($J$2,Lines!R34))=TRUE,"",IF('1000'!R34="","ERR",""))</f>
        <v/>
      </c>
      <c r="S34" s="108" t="str">
        <f>IF(ISERROR(FIND($B$2,Lines!S34))=TRUE,"",IF('750'!S34="","ERR","")) &amp; IF(ISERROR(FIND($C$2,Lines!S34))=TRUE,"",IF('500'!S34="","ERR","")) &amp; IF(ISERROR(FIND($D$2,Lines!S34))=TRUE,"",IF('330'!S34="","ERR","")) &amp; IF(ISERROR(FIND($E$2,Lines!S34))=TRUE,"",IF('220'!S34="","ERR",""))&amp; IF(ISERROR(FIND($F$2,Lines!S34))=TRUE,"",IF(AND('500DC'!S34="",'800DC'!S34=""),"ERR","")) &amp; IF(ISERROR(FIND($G$2,Lines!S34))=TRUE,"",IF('1000'!S34="","ERR","")) &amp; IF(ISERROR(FIND($H$2,Lines!S34))=TRUE,"",IF('500DC'!S34="","ERR","")) &amp; IF(ISERROR(FIND($I$2,Lines!S34))=TRUE,"",IF('800DC'!S34="","ERR","")) &amp; IF(ISERROR(FIND($J$2,Lines!S34))=TRUE,"",IF('1000'!S34="","ERR",""))</f>
        <v/>
      </c>
      <c r="T34" s="108" t="str">
        <f>IF(ISERROR(FIND($B$2,Lines!T34))=TRUE,"",IF('750'!T34="","ERR","")) &amp; IF(ISERROR(FIND($C$2,Lines!T34))=TRUE,"",IF('500'!T34="","ERR","")) &amp; IF(ISERROR(FIND($D$2,Lines!T34))=TRUE,"",IF('330'!T34="","ERR","")) &amp; IF(ISERROR(FIND($E$2,Lines!T34))=TRUE,"",IF('220'!T34="","ERR",""))&amp; IF(ISERROR(FIND($F$2,Lines!T34))=TRUE,"",IF(AND('500DC'!T34="",'800DC'!T34=""),"ERR","")) &amp; IF(ISERROR(FIND($G$2,Lines!T34))=TRUE,"",IF('1000'!T34="","ERR","")) &amp; IF(ISERROR(FIND($H$2,Lines!T34))=TRUE,"",IF('500DC'!T34="","ERR","")) &amp; IF(ISERROR(FIND($I$2,Lines!T34))=TRUE,"",IF('800DC'!T34="","ERR","")) &amp; IF(ISERROR(FIND($J$2,Lines!T34))=TRUE,"",IF('1000'!T34="","ERR",""))</f>
        <v/>
      </c>
      <c r="U34" s="108" t="str">
        <f>IF(ISERROR(FIND($B$2,Lines!U34))=TRUE,"",IF('750'!U34="","ERR","")) &amp; IF(ISERROR(FIND($C$2,Lines!U34))=TRUE,"",IF('500'!U34="","ERR","")) &amp; IF(ISERROR(FIND($D$2,Lines!U34))=TRUE,"",IF('330'!U34="","ERR","")) &amp; IF(ISERROR(FIND($E$2,Lines!U34))=TRUE,"",IF('220'!U34="","ERR",""))&amp; IF(ISERROR(FIND($F$2,Lines!U34))=TRUE,"",IF(AND('500DC'!U34="",'800DC'!U34=""),"ERR","")) &amp; IF(ISERROR(FIND($G$2,Lines!U34))=TRUE,"",IF('1000'!U34="","ERR","")) &amp; IF(ISERROR(FIND($H$2,Lines!U34))=TRUE,"",IF('500DC'!U34="","ERR","")) &amp; IF(ISERROR(FIND($I$2,Lines!U34))=TRUE,"",IF('800DC'!U34="","ERR","")) &amp; IF(ISERROR(FIND($J$2,Lines!U34))=TRUE,"",IF('1000'!U34="","ERR",""))</f>
        <v/>
      </c>
      <c r="V34" s="108" t="str">
        <f>IF(ISERROR(FIND($B$2,Lines!V34))=TRUE,"",IF('750'!V34="","ERR","")) &amp; IF(ISERROR(FIND($C$2,Lines!V34))=TRUE,"",IF('500'!V34="","ERR","")) &amp; IF(ISERROR(FIND($D$2,Lines!V34))=TRUE,"",IF('330'!V34="","ERR","")) &amp; IF(ISERROR(FIND($E$2,Lines!V34))=TRUE,"",IF('220'!V34="","ERR",""))&amp; IF(ISERROR(FIND($F$2,Lines!V34))=TRUE,"",IF(AND('500DC'!V34="",'800DC'!V34=""),"ERR","")) &amp; IF(ISERROR(FIND($G$2,Lines!V34))=TRUE,"",IF('1000'!V34="","ERR","")) &amp; IF(ISERROR(FIND($H$2,Lines!V34))=TRUE,"",IF('500DC'!V34="","ERR","")) &amp; IF(ISERROR(FIND($I$2,Lines!V34))=TRUE,"",IF('800DC'!V34="","ERR","")) &amp; IF(ISERROR(FIND($J$2,Lines!V34))=TRUE,"",IF('1000'!V34="","ERR",""))</f>
        <v/>
      </c>
      <c r="W34" s="109" t="str">
        <f>IF(ISERROR(FIND($B$2,Lines!W34))=TRUE,"",IF('750'!W34="","ERR","")) &amp; IF(ISERROR(FIND($C$2,Lines!W34))=TRUE,"",IF('500'!W34="","ERR","")) &amp; IF(ISERROR(FIND($D$2,Lines!W34))=TRUE,"",IF('330'!W34="","ERR","")) &amp; IF(ISERROR(FIND($E$2,Lines!W34))=TRUE,"",IF('220'!W34="","ERR",""))&amp; IF(ISERROR(FIND($F$2,Lines!W34))=TRUE,"",IF(AND('500DC'!W34="",'800DC'!W34=""),"ERR","")) &amp; IF(ISERROR(FIND($G$2,Lines!W34))=TRUE,"",IF('1000'!W34="","ERR","")) &amp; IF(ISERROR(FIND($H$2,Lines!W34))=TRUE,"",IF('500DC'!W34="","ERR","")) &amp; IF(ISERROR(FIND($I$2,Lines!W34))=TRUE,"",IF('800DC'!W34="","ERR","")) &amp; IF(ISERROR(FIND($J$2,Lines!W34))=TRUE,"",IF('1000'!W34="","ERR",""))</f>
        <v/>
      </c>
      <c r="X34" s="108" t="str">
        <f>IF(ISERROR(FIND($B$2,Lines!X34))=TRUE,"",IF('750'!X34="","ERR","")) &amp; IF(ISERROR(FIND($C$2,Lines!X34))=TRUE,"",IF('500'!X34="","ERR","")) &amp; IF(ISERROR(FIND($D$2,Lines!X34))=TRUE,"",IF('330'!X34="","ERR","")) &amp; IF(ISERROR(FIND($E$2,Lines!X34))=TRUE,"",IF('220'!X34="","ERR",""))&amp; IF(ISERROR(FIND($F$2,Lines!X34))=TRUE,"",IF(AND('500DC'!X34="",'800DC'!X34=""),"ERR","")) &amp; IF(ISERROR(FIND($G$2,Lines!X34))=TRUE,"",IF('1000'!X34="","ERR","")) &amp; IF(ISERROR(FIND($H$2,Lines!X34))=TRUE,"",IF('500DC'!X34="","ERR","")) &amp; IF(ISERROR(FIND($I$2,Lines!X34))=TRUE,"",IF('800DC'!X34="","ERR","")) &amp; IF(ISERROR(FIND($J$2,Lines!X34))=TRUE,"",IF('1000'!X34="","ERR",""))</f>
        <v/>
      </c>
      <c r="Y34" s="108" t="str">
        <f>IF(ISERROR(FIND($B$2,Lines!Y34))=TRUE,"",IF('750'!Y34="","ERR","")) &amp; IF(ISERROR(FIND($C$2,Lines!Y34))=TRUE,"",IF('500'!Y34="","ERR","")) &amp; IF(ISERROR(FIND($D$2,Lines!Y34))=TRUE,"",IF('330'!Y34="","ERR","")) &amp; IF(ISERROR(FIND($E$2,Lines!Y34))=TRUE,"",IF('220'!Y34="","ERR",""))&amp; IF(ISERROR(FIND($F$2,Lines!Y34))=TRUE,"",IF(AND('500DC'!Y34="",'800DC'!Y34=""),"ERR","")) &amp; IF(ISERROR(FIND($G$2,Lines!Y34))=TRUE,"",IF('1000'!Y34="","ERR","")) &amp; IF(ISERROR(FIND($H$2,Lines!Y34))=TRUE,"",IF('500DC'!Y34="","ERR","")) &amp; IF(ISERROR(FIND($I$2,Lines!Y34))=TRUE,"",IF('800DC'!Y34="","ERR","")) &amp; IF(ISERROR(FIND($J$2,Lines!Y34))=TRUE,"",IF('1000'!Y34="","ERR",""))</f>
        <v/>
      </c>
      <c r="Z34" s="108" t="str">
        <f>IF(ISERROR(FIND($B$2,Lines!Z34))=TRUE,"",IF('750'!Z34="","ERR","")) &amp; IF(ISERROR(FIND($C$2,Lines!Z34))=TRUE,"",IF('500'!Z34="","ERR","")) &amp; IF(ISERROR(FIND($D$2,Lines!Z34))=TRUE,"",IF('330'!Z34="","ERR","")) &amp; IF(ISERROR(FIND($E$2,Lines!Z34))=TRUE,"",IF('220'!Z34="","ERR",""))&amp; IF(ISERROR(FIND($F$2,Lines!Z34))=TRUE,"",IF(AND('500DC'!Z34="",'800DC'!Z34=""),"ERR","")) &amp; IF(ISERROR(FIND($G$2,Lines!Z34))=TRUE,"",IF('1000'!Z34="","ERR","")) &amp; IF(ISERROR(FIND($H$2,Lines!Z34))=TRUE,"",IF('500DC'!Z34="","ERR","")) &amp; IF(ISERROR(FIND($I$2,Lines!Z34))=TRUE,"",IF('800DC'!Z34="","ERR","")) &amp; IF(ISERROR(FIND($J$2,Lines!Z34))=TRUE,"",IF('1000'!Z34="","ERR",""))</f>
        <v/>
      </c>
      <c r="AA34" s="108" t="str">
        <f>IF(ISERROR(FIND($B$2,Lines!AA34))=TRUE,"",IF('750'!AA34="","ERR","")) &amp; IF(ISERROR(FIND($C$2,Lines!AA34))=TRUE,"",IF('500'!AA34="","ERR","")) &amp; IF(ISERROR(FIND($D$2,Lines!AA34))=TRUE,"",IF('330'!AA34="","ERR","")) &amp; IF(ISERROR(FIND($E$2,Lines!AA34))=TRUE,"",IF('220'!AA34="","ERR",""))&amp; IF(ISERROR(FIND($F$2,Lines!AA34))=TRUE,"",IF(AND('500DC'!AA34="",'800DC'!AA34=""),"ERR","")) &amp; IF(ISERROR(FIND($G$2,Lines!AA34))=TRUE,"",IF('1000'!AA34="","ERR","")) &amp; IF(ISERROR(FIND($H$2,Lines!AA34))=TRUE,"",IF('500DC'!AA34="","ERR","")) &amp; IF(ISERROR(FIND($I$2,Lines!AA34))=TRUE,"",IF('800DC'!AA34="","ERR","")) &amp; IF(ISERROR(FIND($J$2,Lines!AA34))=TRUE,"",IF('1000'!AA34="","ERR",""))</f>
        <v/>
      </c>
      <c r="AB34" s="108" t="str">
        <f>IF(ISERROR(FIND($B$2,Lines!AB34))=TRUE,"",IF('750'!AB34="","ERR","")) &amp; IF(ISERROR(FIND($C$2,Lines!AB34))=TRUE,"",IF('500'!AB34="","ERR","")) &amp; IF(ISERROR(FIND($D$2,Lines!AB34))=TRUE,"",IF('330'!AB34="","ERR","")) &amp; IF(ISERROR(FIND($E$2,Lines!AB34))=TRUE,"",IF('220'!AB34="","ERR",""))&amp; IF(ISERROR(FIND($F$2,Lines!AB34))=TRUE,"",IF(AND('500DC'!AB34="",'800DC'!AB34=""),"ERR","")) &amp; IF(ISERROR(FIND($G$2,Lines!AB34))=TRUE,"",IF('1000'!AB34="","ERR","")) &amp; IF(ISERROR(FIND($H$2,Lines!AB34))=TRUE,"",IF('500DC'!AB34="","ERR","")) &amp; IF(ISERROR(FIND($I$2,Lines!AB34))=TRUE,"",IF('800DC'!AB34="","ERR","")) &amp; IF(ISERROR(FIND($J$2,Lines!AB34))=TRUE,"",IF('1000'!AB34="","ERR",""))</f>
        <v/>
      </c>
      <c r="AC34" s="108" t="str">
        <f>IF(ISERROR(FIND($B$2,Lines!AC34))=TRUE,"",IF('750'!AC34="","ERR","")) &amp; IF(ISERROR(FIND($C$2,Lines!AC34))=TRUE,"",IF('500'!AC34="","ERR","")) &amp; IF(ISERROR(FIND($D$2,Lines!AC34))=TRUE,"",IF('330'!AC34="","ERR","")) &amp; IF(ISERROR(FIND($E$2,Lines!AC34))=TRUE,"",IF('220'!AC34="","ERR",""))&amp; IF(ISERROR(FIND($F$2,Lines!AC34))=TRUE,"",IF(AND('500DC'!AC34="",'800DC'!AC34=""),"ERR","")) &amp; IF(ISERROR(FIND($G$2,Lines!AC34))=TRUE,"",IF('1000'!AC34="","ERR","")) &amp; IF(ISERROR(FIND($H$2,Lines!AC34))=TRUE,"",IF('500DC'!AC34="","ERR","")) &amp; IF(ISERROR(FIND($I$2,Lines!AC34))=TRUE,"",IF('800DC'!AC34="","ERR","")) &amp; IF(ISERROR(FIND($J$2,Lines!AC34))=TRUE,"",IF('1000'!AC34="","ERR",""))</f>
        <v/>
      </c>
      <c r="AD34" s="108" t="str">
        <f>IF(ISERROR(FIND($B$2,Lines!AD34))=TRUE,"",IF('750'!AD34="","ERR","")) &amp; IF(ISERROR(FIND($C$2,Lines!AD34))=TRUE,"",IF('500'!AD34="","ERR","")) &amp; IF(ISERROR(FIND($D$2,Lines!AD34))=TRUE,"",IF('330'!AD34="","ERR","")) &amp; IF(ISERROR(FIND($E$2,Lines!AD34))=TRUE,"",IF('220'!AD34="","ERR",""))&amp; IF(ISERROR(FIND($F$2,Lines!AD34))=TRUE,"",IF(AND('500DC'!AD34="",'800DC'!AD34=""),"ERR","")) &amp; IF(ISERROR(FIND($G$2,Lines!AD34))=TRUE,"",IF('1000'!AD34="","ERR","")) &amp; IF(ISERROR(FIND($H$2,Lines!AD34))=TRUE,"",IF('500DC'!AD34="","ERR","")) &amp; IF(ISERROR(FIND($I$2,Lines!AD34))=TRUE,"",IF('800DC'!AD34="","ERR","")) &amp; IF(ISERROR(FIND($J$2,Lines!AD34))=TRUE,"",IF('1000'!AD34="","ERR",""))</f>
        <v/>
      </c>
      <c r="AE34" s="130" t="str">
        <f>IF(ISERROR(FIND($B$2,Lines!AE34))=TRUE,"",IF('750'!AE34="","ERR","")) &amp; IF(ISERROR(FIND($C$2,Lines!AE34))=TRUE,"",IF('500'!AE34="","ERR","")) &amp; IF(ISERROR(FIND($D$2,Lines!AE34))=TRUE,"",IF('330'!AE34="","ERR","")) &amp; IF(ISERROR(FIND($E$2,Lines!AE34))=TRUE,"",IF('220'!AE34="","ERR",""))&amp; IF(ISERROR(FIND($F$2,Lines!AE34))=TRUE,"",IF(AND('500DC'!AE34="",'800DC'!AE34=""),"ERR","")) &amp; IF(ISERROR(FIND($G$2,Lines!AE34))=TRUE,"",IF('1000'!AE34="","ERR","")) &amp; IF(ISERROR(FIND($H$2,Lines!AE34))=TRUE,"",IF('500DC'!AE34="","ERR","")) &amp; IF(ISERROR(FIND($I$2,Lines!AE34))=TRUE,"",IF('800DC'!AE34="","ERR","")) &amp; IF(ISERROR(FIND($J$2,Lines!AE34))=TRUE,"",IF('1000'!AE34="","ERR",""))</f>
        <v/>
      </c>
      <c r="AF34" s="116" t="str">
        <f>IF(ISERROR(FIND($B$2,Lines!AF34))=TRUE,"",IF('750'!AF34="","ERR","")) &amp; IF(ISERROR(FIND($C$2,Lines!AF34))=TRUE,"",IF('500'!AF34="","ERR","")) &amp; IF(ISERROR(FIND($D$2,Lines!AF34))=TRUE,"",IF('330'!AF34="","ERR","")) &amp; IF(ISERROR(FIND($E$2,Lines!AF34))=TRUE,"",IF('220'!AF34="","ERR",""))&amp; IF(ISERROR(FIND($F$2,Lines!AF34))=TRUE,"",IF(AND('500DC'!AF34="",'800DC'!AF34=""),"ERR","")) &amp; IF(ISERROR(FIND($G$2,Lines!AF34))=TRUE,"",IF('1000'!AF34="","ERR","")) &amp; IF(ISERROR(FIND($H$2,Lines!AF34))=TRUE,"",IF('500DC'!AF34="","ERR","")) &amp; IF(ISERROR(FIND($I$2,Lines!AF34))=TRUE,"",IF('800DC'!AF34="","ERR","")) &amp; IF(ISERROR(FIND($J$2,Lines!AF34))=TRUE,"",IF('1000'!AF34="","ERR",""))</f>
        <v/>
      </c>
      <c r="AG34" s="131" t="str">
        <f>IF(ISERROR(FIND($B$2,Lines!AG34))=TRUE,"",IF('750'!AG34="","ERR","")) &amp; IF(ISERROR(FIND($C$2,Lines!AG34))=TRUE,"",IF('500'!AG34="","ERR","")) &amp; IF(ISERROR(FIND($D$2,Lines!AG34))=TRUE,"",IF('330'!AG34="","ERR","")) &amp; IF(ISERROR(FIND($E$2,Lines!AG34))=TRUE,"",IF('220'!AG34="","ERR",""))&amp; IF(ISERROR(FIND($F$2,Lines!AG34))=TRUE,"",IF(AND('500DC'!AG34="",'800DC'!AG34=""),"ERR","")) &amp; IF(ISERROR(FIND($G$2,Lines!AG34))=TRUE,"",IF('1000'!AG34="","ERR","")) &amp; IF(ISERROR(FIND($H$2,Lines!AG34))=TRUE,"",IF('500DC'!AG34="","ERR","")) &amp; IF(ISERROR(FIND($I$2,Lines!AG34))=TRUE,"",IF('800DC'!AG34="","ERR","")) &amp; IF(ISERROR(FIND($J$2,Lines!AG34))=TRUE,"",IF('1000'!AG34="","ERR",""))</f>
        <v/>
      </c>
      <c r="AH34" s="131" t="str">
        <f>IF(ISERROR(FIND($B$2,Lines!AH34))=TRUE,"",IF('750'!AH34="","ERR","")) &amp; IF(ISERROR(FIND($C$2,Lines!AH34))=TRUE,"",IF('500'!AH34="","ERR","")) &amp; IF(ISERROR(FIND($D$2,Lines!AH34))=TRUE,"",IF('330'!AH34="","ERR","")) &amp; IF(ISERROR(FIND($E$2,Lines!AH34))=TRUE,"",IF('220'!AH34="","ERR",""))&amp; IF(ISERROR(FIND($F$2,Lines!AH34))=TRUE,"",IF(AND('500DC'!AH34="",'800DC'!AH34=""),"ERR","")) &amp; IF(ISERROR(FIND($G$2,Lines!AH34))=TRUE,"",IF('1000'!AH34="","ERR","")) &amp; IF(ISERROR(FIND($H$2,Lines!AH34))=TRUE,"",IF('500DC'!AH34="","ERR","")) &amp; IF(ISERROR(FIND($I$2,Lines!AH34))=TRUE,"",IF('800DC'!AH34="","ERR","")) &amp; IF(ISERROR(FIND($J$2,Lines!AH34))=TRUE,"",IF('1000'!AH34="","ERR",""))</f>
        <v/>
      </c>
      <c r="AI34" s="131" t="str">
        <f>IF(ISERROR(FIND($B$2,Lines!AI34))=TRUE,"",IF('750'!AI34="","ERR","")) &amp; IF(ISERROR(FIND($C$2,Lines!AI34))=TRUE,"",IF('500'!AI34="","ERR","")) &amp; IF(ISERROR(FIND($D$2,Lines!AI34))=TRUE,"",IF('330'!AI34="","ERR","")) &amp; IF(ISERROR(FIND($E$2,Lines!AI34))=TRUE,"",IF('220'!AI34="","ERR",""))&amp; IF(ISERROR(FIND($F$2,Lines!AI34))=TRUE,"",IF(AND('500DC'!AI34="",'800DC'!AI34=""),"ERR","")) &amp; IF(ISERROR(FIND($G$2,Lines!AI34))=TRUE,"",IF('1000'!AI34="","ERR","")) &amp; IF(ISERROR(FIND($H$2,Lines!AI34))=TRUE,"",IF('500DC'!AI34="","ERR","")) &amp; IF(ISERROR(FIND($I$2,Lines!AI34))=TRUE,"",IF('800DC'!AI34="","ERR","")) &amp; IF(ISERROR(FIND($J$2,Lines!AI34))=TRUE,"",IF('1000'!AI34="","ERR",""))</f>
        <v/>
      </c>
      <c r="AJ34" s="132" t="str">
        <f>IF(ISERROR(FIND($B$2,Lines!AJ34))=TRUE,"",IF('750'!AJ34="","ERR","")) &amp; IF(ISERROR(FIND($C$2,Lines!AJ34))=TRUE,"",IF('500'!AJ34="","ERR","")) &amp; IF(ISERROR(FIND($D$2,Lines!AJ34))=TRUE,"",IF('330'!AJ34="","ERR","")) &amp; IF(ISERROR(FIND($E$2,Lines!AJ34))=TRUE,"",IF('220'!AJ34="","ERR",""))&amp; IF(ISERROR(FIND($F$2,Lines!AJ34))=TRUE,"",IF(AND('500DC'!AJ34="",'800DC'!AJ34=""),"ERR","")) &amp; IF(ISERROR(FIND($G$2,Lines!AJ34))=TRUE,"",IF('1000'!AJ34="","ERR","")) &amp; IF(ISERROR(FIND($H$2,Lines!AJ34))=TRUE,"",IF('500DC'!AJ34="","ERR","")) &amp; IF(ISERROR(FIND($I$2,Lines!AJ34))=TRUE,"",IF('800DC'!AJ34="","ERR","")) &amp; IF(ISERROR(FIND($J$2,Lines!AJ34))=TRUE,"",IF('1000'!AJ34="","ERR",""))</f>
        <v/>
      </c>
      <c r="AK34" s="108" t="str">
        <f>IF(ISERROR(FIND($B$2,Lines!AK34))=TRUE,"",IF('750'!AK34="","ERR","")) &amp; IF(ISERROR(FIND($C$2,Lines!AK34))=TRUE,"",IF('500'!AK34="","ERR","")) &amp; IF(ISERROR(FIND($D$2,Lines!AK34))=TRUE,"",IF('330'!AK34="","ERR","")) &amp; IF(ISERROR(FIND($E$2,Lines!AK34))=TRUE,"",IF('220'!AK34="","ERR",""))&amp; IF(ISERROR(FIND($F$2,Lines!AK34))=TRUE,"",IF(AND('500DC'!AK34="",'800DC'!AK34=""),"ERR","")) &amp; IF(ISERROR(FIND($G$2,Lines!AK34))=TRUE,"",IF('1000'!AK34="","ERR","")) &amp; IF(ISERROR(FIND($H$2,Lines!AK34))=TRUE,"",IF('500DC'!AK34="","ERR","")) &amp; IF(ISERROR(FIND($I$2,Lines!AK34))=TRUE,"",IF('800DC'!AK34="","ERR","")) &amp; IF(ISERROR(FIND($J$2,Lines!AK34))=TRUE,"",IF('1000'!AK34="","ERR",""))</f>
        <v/>
      </c>
      <c r="AL34" s="108" t="str">
        <f>IF(ISERROR(FIND($B$2,Lines!AL34))=TRUE,"",IF('750'!AL34="","ERR","")) &amp; IF(ISERROR(FIND($C$2,Lines!AL34))=TRUE,"",IF('500'!AL34="","ERR","")) &amp; IF(ISERROR(FIND($D$2,Lines!AL34))=TRUE,"",IF('330'!AL34="","ERR","")) &amp; IF(ISERROR(FIND($E$2,Lines!AL34))=TRUE,"",IF('220'!AL34="","ERR",""))&amp; IF(ISERROR(FIND($F$2,Lines!AL34))=TRUE,"",IF(AND('500DC'!AL34="",'800DC'!AL34=""),"ERR","")) &amp; IF(ISERROR(FIND($G$2,Lines!AL34))=TRUE,"",IF('1000'!AL34="","ERR","")) &amp; IF(ISERROR(FIND($H$2,Lines!AL34))=TRUE,"",IF('500DC'!AL34="","ERR","")) &amp; IF(ISERROR(FIND($I$2,Lines!AL34))=TRUE,"",IF('800DC'!AL34="","ERR","")) &amp; IF(ISERROR(FIND($J$2,Lines!AL34))=TRUE,"",IF('1000'!AL34="","ERR",""))</f>
        <v/>
      </c>
      <c r="AM34" s="108" t="str">
        <f>IF(ISERROR(FIND($B$2,Lines!AM34))=TRUE,"",IF('750'!AM34="","ERR","")) &amp; IF(ISERROR(FIND($C$2,Lines!AM34))=TRUE,"",IF('500'!AM34="","ERR","")) &amp; IF(ISERROR(FIND($D$2,Lines!AM34))=TRUE,"",IF('330'!AM34="","ERR","")) &amp; IF(ISERROR(FIND($E$2,Lines!AM34))=TRUE,"",IF('220'!AM34="","ERR",""))&amp; IF(ISERROR(FIND($F$2,Lines!AM34))=TRUE,"",IF(AND('500DC'!AM34="",'800DC'!AM34=""),"ERR","")) &amp; IF(ISERROR(FIND($G$2,Lines!AM34))=TRUE,"",IF('1000'!AM34="","ERR","")) &amp; IF(ISERROR(FIND($H$2,Lines!AM34))=TRUE,"",IF('500DC'!AM34="","ERR","")) &amp; IF(ISERROR(FIND($I$2,Lines!AM34))=TRUE,"",IF('800DC'!AM34="","ERR","")) &amp; IF(ISERROR(FIND($J$2,Lines!AM34))=TRUE,"",IF('1000'!AM34="","ERR",""))</f>
        <v/>
      </c>
      <c r="AN34" s="108" t="str">
        <f>IF(ISERROR(FIND($B$2,Lines!AN34))=TRUE,"",IF('750'!AN34="","ERR","")) &amp; IF(ISERROR(FIND($C$2,Lines!AN34))=TRUE,"",IF('500'!AN34="","ERR","")) &amp; IF(ISERROR(FIND($D$2,Lines!AN34))=TRUE,"",IF('330'!AN34="","ERR","")) &amp; IF(ISERROR(FIND($E$2,Lines!AN34))=TRUE,"",IF('220'!AN34="","ERR",""))&amp; IF(ISERROR(FIND($F$2,Lines!AN34))=TRUE,"",IF(AND('500DC'!AN34="",'800DC'!AN34=""),"ERR","")) &amp; IF(ISERROR(FIND($G$2,Lines!AN34))=TRUE,"",IF('1000'!AN34="","ERR","")) &amp; IF(ISERROR(FIND($H$2,Lines!AN34))=TRUE,"",IF('500DC'!AN34="","ERR","")) &amp; IF(ISERROR(FIND($I$2,Lines!AN34))=TRUE,"",IF('800DC'!AN34="","ERR","")) &amp; IF(ISERROR(FIND($J$2,Lines!AN34))=TRUE,"",IF('1000'!AN34="","ERR",""))</f>
        <v>ERR</v>
      </c>
      <c r="AO34" s="108" t="str">
        <f>IF(ISERROR(FIND($B$2,Lines!AO34))=TRUE,"",IF('750'!AO34="","ERR","")) &amp; IF(ISERROR(FIND($C$2,Lines!AO34))=TRUE,"",IF('500'!AO34="","ERR","")) &amp; IF(ISERROR(FIND($D$2,Lines!AO34))=TRUE,"",IF('330'!AO34="","ERR","")) &amp; IF(ISERROR(FIND($E$2,Lines!AO34))=TRUE,"",IF('220'!AO34="","ERR",""))&amp; IF(ISERROR(FIND($F$2,Lines!AO34))=TRUE,"",IF(AND('500DC'!AO34="",'800DC'!AO34=""),"ERR","")) &amp; IF(ISERROR(FIND($G$2,Lines!AO34))=TRUE,"",IF('1000'!AO34="","ERR","")) &amp; IF(ISERROR(FIND($H$2,Lines!AO34))=TRUE,"",IF('500DC'!AO34="","ERR","")) &amp; IF(ISERROR(FIND($I$2,Lines!AO34))=TRUE,"",IF('800DC'!AO34="","ERR","")) &amp; IF(ISERROR(FIND($J$2,Lines!AO34))=TRUE,"",IF('1000'!AO34="","ERR",""))</f>
        <v/>
      </c>
      <c r="AP34" s="108" t="str">
        <f>IF(ISERROR(FIND($B$2,Lines!AP34))=TRUE,"",IF('750'!AP34="","ERR","")) &amp; IF(ISERROR(FIND($C$2,Lines!AP34))=TRUE,"",IF('500'!AP34="","ERR","")) &amp; IF(ISERROR(FIND($D$2,Lines!AP34))=TRUE,"",IF('330'!AP34="","ERR","")) &amp; IF(ISERROR(FIND($E$2,Lines!AP34))=TRUE,"",IF('220'!AP34="","ERR",""))&amp; IF(ISERROR(FIND($F$2,Lines!AP34))=TRUE,"",IF(AND('500DC'!AP34="",'800DC'!AP34=""),"ERR","")) &amp; IF(ISERROR(FIND($G$2,Lines!AP34))=TRUE,"",IF('1000'!AP34="","ERR","")) &amp; IF(ISERROR(FIND($H$2,Lines!AP34))=TRUE,"",IF('500DC'!AP34="","ERR","")) &amp; IF(ISERROR(FIND($I$2,Lines!AP34))=TRUE,"",IF('800DC'!AP34="","ERR","")) &amp; IF(ISERROR(FIND($J$2,Lines!AP34))=TRUE,"",IF('1000'!AP34="","ERR",""))</f>
        <v/>
      </c>
      <c r="AQ34" s="108" t="str">
        <f>IF(ISERROR(FIND($B$2,Lines!AQ34))=TRUE,"",IF('750'!AQ34="","ERR","")) &amp; IF(ISERROR(FIND($C$2,Lines!AQ34))=TRUE,"",IF('500'!AQ34="","ERR","")) &amp; IF(ISERROR(FIND($D$2,Lines!AQ34))=TRUE,"",IF('330'!AQ34="","ERR","")) &amp; IF(ISERROR(FIND($E$2,Lines!AQ34))=TRUE,"",IF('220'!AQ34="","ERR",""))&amp; IF(ISERROR(FIND($F$2,Lines!AQ34))=TRUE,"",IF(AND('500DC'!AQ34="",'800DC'!AQ34=""),"ERR","")) &amp; IF(ISERROR(FIND($G$2,Lines!AQ34))=TRUE,"",IF('1000'!AQ34="","ERR","")) &amp; IF(ISERROR(FIND($H$2,Lines!AQ34))=TRUE,"",IF('500DC'!AQ34="","ERR","")) &amp; IF(ISERROR(FIND($I$2,Lines!AQ34))=TRUE,"",IF('800DC'!AQ34="","ERR","")) &amp; IF(ISERROR(FIND($J$2,Lines!AQ34))=TRUE,"",IF('1000'!AQ34="","ERR",""))</f>
        <v/>
      </c>
      <c r="AR34" s="108" t="str">
        <f>IF(ISERROR(FIND($B$2,Lines!AR34))=TRUE,"",IF('750'!AR34="","ERR","")) &amp; IF(ISERROR(FIND($C$2,Lines!AR34))=TRUE,"",IF('500'!AR34="","ERR","")) &amp; IF(ISERROR(FIND($D$2,Lines!AR34))=TRUE,"",IF('330'!AR34="","ERR","")) &amp; IF(ISERROR(FIND($E$2,Lines!AR34))=TRUE,"",IF('220'!AR34="","ERR",""))&amp; IF(ISERROR(FIND($F$2,Lines!AR34))=TRUE,"",IF(AND('500DC'!AR34="",'800DC'!AR34=""),"ERR","")) &amp; IF(ISERROR(FIND($G$2,Lines!AR34))=TRUE,"",IF('1000'!AR34="","ERR","")) &amp; IF(ISERROR(FIND($H$2,Lines!AR34))=TRUE,"",IF('500DC'!AR34="","ERR","")) &amp; IF(ISERROR(FIND($I$2,Lines!AR34))=TRUE,"",IF('800DC'!AR34="","ERR","")) &amp; IF(ISERROR(FIND($J$2,Lines!AR34))=TRUE,"",IF('1000'!AR34="","ERR",""))</f>
        <v/>
      </c>
      <c r="AS34" s="108" t="str">
        <f>IF(ISERROR(FIND($B$2,Lines!AS34))=TRUE,"",IF('750'!AS34="","ERR","")) &amp; IF(ISERROR(FIND($C$2,Lines!AS34))=TRUE,"",IF('500'!AS34="","ERR","")) &amp; IF(ISERROR(FIND($D$2,Lines!AS34))=TRUE,"",IF('330'!AS34="","ERR","")) &amp; IF(ISERROR(FIND($E$2,Lines!AS34))=TRUE,"",IF('220'!AS34="","ERR",""))&amp; IF(ISERROR(FIND($F$2,Lines!AS34))=TRUE,"",IF(AND('500DC'!AS34="",'800DC'!AS34=""),"ERR","")) &amp; IF(ISERROR(FIND($G$2,Lines!AS34))=TRUE,"",IF('1000'!AS34="","ERR","")) &amp; IF(ISERROR(FIND($H$2,Lines!AS34))=TRUE,"",IF('500DC'!AS34="","ERR","")) &amp; IF(ISERROR(FIND($I$2,Lines!AS34))=TRUE,"",IF('800DC'!AS34="","ERR","")) &amp; IF(ISERROR(FIND($J$2,Lines!AS34))=TRUE,"",IF('1000'!AS34="","ERR",""))</f>
        <v/>
      </c>
      <c r="AT34" s="108" t="str">
        <f>IF(ISERROR(FIND($B$2,Lines!AT34))=TRUE,"",IF('750'!AT34="","ERR","")) &amp; IF(ISERROR(FIND($C$2,Lines!AT34))=TRUE,"",IF('500'!AT34="","ERR","")) &amp; IF(ISERROR(FIND($D$2,Lines!AT34))=TRUE,"",IF('330'!AT34="","ERR","")) &amp; IF(ISERROR(FIND($E$2,Lines!AT34))=TRUE,"",IF('220'!AT34="","ERR",""))&amp; IF(ISERROR(FIND($F$2,Lines!AT34))=TRUE,"",IF(AND('500DC'!AT34="",'800DC'!AT34=""),"ERR","")) &amp; IF(ISERROR(FIND($G$2,Lines!AT34))=TRUE,"",IF('1000'!AT34="","ERR","")) &amp; IF(ISERROR(FIND($H$2,Lines!AT34))=TRUE,"",IF('500DC'!AT34="","ERR","")) &amp; IF(ISERROR(FIND($I$2,Lines!AT34))=TRUE,"",IF('800DC'!AT34="","ERR","")) &amp; IF(ISERROR(FIND($J$2,Lines!AT34))=TRUE,"",IF('1000'!AT34="","ERR",""))</f>
        <v/>
      </c>
    </row>
    <row r="35" spans="1:46" ht="20.25" customHeight="1">
      <c r="A35" s="2" t="s">
        <v>83</v>
      </c>
      <c r="B35" s="108" t="str">
        <f>IF(ISERROR(FIND($B$2,Lines!B35))=TRUE,"",IF('750'!B35="","ERR","")) &amp; IF(ISERROR(FIND($C$2,Lines!B35))=TRUE,"",IF('500'!B35="","ERR","")) &amp; IF(ISERROR(FIND($D$2,Lines!B35))=TRUE,"",IF('330'!B35="","ERR","")) &amp; IF(ISERROR(FIND($E$2,Lines!B35))=TRUE,"",IF('220'!B35="","ERR",""))&amp; IF(ISERROR(FIND($F$2,Lines!B35))=TRUE,"",IF(AND('500DC'!B35="",'800DC'!B35=""),"ERR","")) &amp; IF(ISERROR(FIND($G$2,Lines!B35))=TRUE,"",IF('1000'!B35="","ERR","")) &amp; IF(ISERROR(FIND($H$2,Lines!B35))=TRUE,"",IF('500DC'!B35="","ERR","")) &amp; IF(ISERROR(FIND($I$2,Lines!B35))=TRUE,"",IF('800DC'!B35="","ERR","")) &amp; IF(ISERROR(FIND($J$2,Lines!B35))=TRUE,"",IF('1000'!B35="","ERR",""))</f>
        <v/>
      </c>
      <c r="C35" s="108" t="str">
        <f>IF(ISERROR(FIND($B$2,Lines!C35))=TRUE,"",IF('750'!C35="","ERR","")) &amp; IF(ISERROR(FIND($C$2,Lines!C35))=TRUE,"",IF('500'!C35="","ERR","")) &amp; IF(ISERROR(FIND($D$2,Lines!C35))=TRUE,"",IF('330'!C35="","ERR","")) &amp; IF(ISERROR(FIND($E$2,Lines!C35))=TRUE,"",IF('220'!C35="","ERR",""))&amp; IF(ISERROR(FIND($F$2,Lines!C35))=TRUE,"",IF(AND('500DC'!C35="",'800DC'!C35=""),"ERR","")) &amp; IF(ISERROR(FIND($G$2,Lines!C35))=TRUE,"",IF('1000'!C35="","ERR","")) &amp; IF(ISERROR(FIND($H$2,Lines!C35))=TRUE,"",IF('500DC'!C35="","ERR","")) &amp; IF(ISERROR(FIND($I$2,Lines!C35))=TRUE,"",IF('800DC'!C35="","ERR","")) &amp; IF(ISERROR(FIND($J$2,Lines!C35))=TRUE,"",IF('1000'!C35="","ERR",""))</f>
        <v/>
      </c>
      <c r="D35" s="108" t="str">
        <f>IF(ISERROR(FIND($B$2,Lines!D35))=TRUE,"",IF('750'!D35="","ERR","")) &amp; IF(ISERROR(FIND($C$2,Lines!D35))=TRUE,"",IF('500'!D35="","ERR","")) &amp; IF(ISERROR(FIND($D$2,Lines!D35))=TRUE,"",IF('330'!D35="","ERR","")) &amp; IF(ISERROR(FIND($E$2,Lines!D35))=TRUE,"",IF('220'!D35="","ERR",""))&amp; IF(ISERROR(FIND($F$2,Lines!D35))=TRUE,"",IF(AND('500DC'!D35="",'800DC'!D35=""),"ERR","")) &amp; IF(ISERROR(FIND($G$2,Lines!D35))=TRUE,"",IF('1000'!D35="","ERR","")) &amp; IF(ISERROR(FIND($H$2,Lines!D35))=TRUE,"",IF('500DC'!D35="","ERR","")) &amp; IF(ISERROR(FIND($I$2,Lines!D35))=TRUE,"",IF('800DC'!D35="","ERR","")) &amp; IF(ISERROR(FIND($J$2,Lines!D35))=TRUE,"",IF('1000'!D35="","ERR",""))</f>
        <v/>
      </c>
      <c r="E35" s="108" t="str">
        <f>IF(ISERROR(FIND($B$2,Lines!E35))=TRUE,"",IF('750'!E35="","ERR","")) &amp; IF(ISERROR(FIND($C$2,Lines!E35))=TRUE,"",IF('500'!E35="","ERR","")) &amp; IF(ISERROR(FIND($D$2,Lines!E35))=TRUE,"",IF('330'!E35="","ERR","")) &amp; IF(ISERROR(FIND($E$2,Lines!E35))=TRUE,"",IF('220'!E35="","ERR",""))&amp; IF(ISERROR(FIND($F$2,Lines!E35))=TRUE,"",IF(AND('500DC'!E35="",'800DC'!E35=""),"ERR","")) &amp; IF(ISERROR(FIND($G$2,Lines!E35))=TRUE,"",IF('1000'!E35="","ERR","")) &amp; IF(ISERROR(FIND($H$2,Lines!E35))=TRUE,"",IF('500DC'!E35="","ERR","")) &amp; IF(ISERROR(FIND($I$2,Lines!E35))=TRUE,"",IF('800DC'!E35="","ERR","")) &amp; IF(ISERROR(FIND($J$2,Lines!E35))=TRUE,"",IF('1000'!E35="","ERR",""))</f>
        <v/>
      </c>
      <c r="F35" s="108" t="str">
        <f>IF(ISERROR(FIND($B$2,Lines!F35))=TRUE,"",IF('750'!F35="","ERR","")) &amp; IF(ISERROR(FIND($C$2,Lines!F35))=TRUE,"",IF('500'!F35="","ERR","")) &amp; IF(ISERROR(FIND($D$2,Lines!F35))=TRUE,"",IF('330'!F35="","ERR","")) &amp; IF(ISERROR(FIND($E$2,Lines!F35))=TRUE,"",IF('220'!F35="","ERR",""))&amp; IF(ISERROR(FIND($F$2,Lines!F35))=TRUE,"",IF(AND('500DC'!F35="",'800DC'!F35=""),"ERR","")) &amp; IF(ISERROR(FIND($G$2,Lines!F35))=TRUE,"",IF('1000'!F35="","ERR","")) &amp; IF(ISERROR(FIND($H$2,Lines!F35))=TRUE,"",IF('500DC'!F35="","ERR","")) &amp; IF(ISERROR(FIND($I$2,Lines!F35))=TRUE,"",IF('800DC'!F35="","ERR","")) &amp; IF(ISERROR(FIND($J$2,Lines!F35))=TRUE,"",IF('1000'!F35="","ERR",""))</f>
        <v/>
      </c>
      <c r="G35" s="108" t="str">
        <f>IF(ISERROR(FIND($B$2,Lines!G35))=TRUE,"",IF('750'!G35="","ERR","")) &amp; IF(ISERROR(FIND($C$2,Lines!G35))=TRUE,"",IF('500'!G35="","ERR","")) &amp; IF(ISERROR(FIND($D$2,Lines!G35))=TRUE,"",IF('330'!G35="","ERR","")) &amp; IF(ISERROR(FIND($E$2,Lines!G35))=TRUE,"",IF('220'!G35="","ERR",""))&amp; IF(ISERROR(FIND($F$2,Lines!G35))=TRUE,"",IF(AND('500DC'!G35="",'800DC'!G35=""),"ERR","")) &amp; IF(ISERROR(FIND($G$2,Lines!G35))=TRUE,"",IF('1000'!G35="","ERR","")) &amp; IF(ISERROR(FIND($H$2,Lines!G35))=TRUE,"",IF('500DC'!G35="","ERR","")) &amp; IF(ISERROR(FIND($I$2,Lines!G35))=TRUE,"",IF('800DC'!G35="","ERR","")) &amp; IF(ISERROR(FIND($J$2,Lines!G35))=TRUE,"",IF('1000'!G35="","ERR",""))</f>
        <v/>
      </c>
      <c r="H35" s="108" t="str">
        <f>IF(ISERROR(FIND($B$2,Lines!H35))=TRUE,"",IF('750'!H35="","ERR","")) &amp; IF(ISERROR(FIND($C$2,Lines!H35))=TRUE,"",IF('500'!H35="","ERR","")) &amp; IF(ISERROR(FIND($D$2,Lines!H35))=TRUE,"",IF('330'!H35="","ERR","")) &amp; IF(ISERROR(FIND($E$2,Lines!H35))=TRUE,"",IF('220'!H35="","ERR",""))&amp; IF(ISERROR(FIND($F$2,Lines!H35))=TRUE,"",IF(AND('500DC'!H35="",'800DC'!H35=""),"ERR","")) &amp; IF(ISERROR(FIND($G$2,Lines!H35))=TRUE,"",IF('1000'!H35="","ERR","")) &amp; IF(ISERROR(FIND($H$2,Lines!H35))=TRUE,"",IF('500DC'!H35="","ERR","")) &amp; IF(ISERROR(FIND($I$2,Lines!H35))=TRUE,"",IF('800DC'!H35="","ERR","")) &amp; IF(ISERROR(FIND($J$2,Lines!H35))=TRUE,"",IF('1000'!H35="","ERR",""))</f>
        <v/>
      </c>
      <c r="I35" s="108" t="str">
        <f>IF(ISERROR(FIND($B$2,Lines!I35))=TRUE,"",IF('750'!I35="","ERR","")) &amp; IF(ISERROR(FIND($C$2,Lines!I35))=TRUE,"",IF('500'!I35="","ERR","")) &amp; IF(ISERROR(FIND($D$2,Lines!I35))=TRUE,"",IF('330'!I35="","ERR","")) &amp; IF(ISERROR(FIND($E$2,Lines!I35))=TRUE,"",IF('220'!I35="","ERR",""))&amp; IF(ISERROR(FIND($F$2,Lines!I35))=TRUE,"",IF(AND('500DC'!I35="",'800DC'!I35=""),"ERR","")) &amp; IF(ISERROR(FIND($G$2,Lines!I35))=TRUE,"",IF('1000'!I35="","ERR","")) &amp; IF(ISERROR(FIND($H$2,Lines!I35))=TRUE,"",IF('500DC'!I35="","ERR","")) &amp; IF(ISERROR(FIND($I$2,Lines!I35))=TRUE,"",IF('800DC'!I35="","ERR","")) &amp; IF(ISERROR(FIND($J$2,Lines!I35))=TRUE,"",IF('1000'!I35="","ERR",""))</f>
        <v/>
      </c>
      <c r="J35" s="108" t="str">
        <f>IF(ISERROR(FIND($B$2,Lines!J35))=TRUE,"",IF('750'!J35="","ERR","")) &amp; IF(ISERROR(FIND($C$2,Lines!J35))=TRUE,"",IF('500'!J35="","ERR","")) &amp; IF(ISERROR(FIND($D$2,Lines!J35))=TRUE,"",IF('330'!J35="","ERR","")) &amp; IF(ISERROR(FIND($E$2,Lines!J35))=TRUE,"",IF('220'!J35="","ERR",""))&amp; IF(ISERROR(FIND($F$2,Lines!J35))=TRUE,"",IF(AND('500DC'!J35="",'800DC'!J35=""),"ERR","")) &amp; IF(ISERROR(FIND($G$2,Lines!J35))=TRUE,"",IF('1000'!J35="","ERR","")) &amp; IF(ISERROR(FIND($H$2,Lines!J35))=TRUE,"",IF('500DC'!J35="","ERR","")) &amp; IF(ISERROR(FIND($I$2,Lines!J35))=TRUE,"",IF('800DC'!J35="","ERR","")) &amp; IF(ISERROR(FIND($J$2,Lines!J35))=TRUE,"",IF('1000'!J35="","ERR",""))</f>
        <v/>
      </c>
      <c r="K35" s="108" t="str">
        <f>IF(ISERROR(FIND($B$2,Lines!K35))=TRUE,"",IF('750'!K35="","ERR","")) &amp; IF(ISERROR(FIND($C$2,Lines!K35))=TRUE,"",IF('500'!K35="","ERR","")) &amp; IF(ISERROR(FIND($D$2,Lines!K35))=TRUE,"",IF('330'!K35="","ERR","")) &amp; IF(ISERROR(FIND($E$2,Lines!K35))=TRUE,"",IF('220'!K35="","ERR",""))&amp; IF(ISERROR(FIND($F$2,Lines!K35))=TRUE,"",IF(AND('500DC'!K35="",'800DC'!K35=""),"ERR","")) &amp; IF(ISERROR(FIND($G$2,Lines!K35))=TRUE,"",IF('1000'!K35="","ERR","")) &amp; IF(ISERROR(FIND($H$2,Lines!K35))=TRUE,"",IF('500DC'!K35="","ERR","")) &amp; IF(ISERROR(FIND($I$2,Lines!K35))=TRUE,"",IF('800DC'!K35="","ERR","")) &amp; IF(ISERROR(FIND($J$2,Lines!K35))=TRUE,"",IF('1000'!K35="","ERR",""))</f>
        <v/>
      </c>
      <c r="L35" s="108" t="str">
        <f>IF(ISERROR(FIND($B$2,Lines!L35))=TRUE,"",IF('750'!L35="","ERR","")) &amp; IF(ISERROR(FIND($C$2,Lines!L35))=TRUE,"",IF('500'!L35="","ERR","")) &amp; IF(ISERROR(FIND($D$2,Lines!L35))=TRUE,"",IF('330'!L35="","ERR","")) &amp; IF(ISERROR(FIND($E$2,Lines!L35))=TRUE,"",IF('220'!L35="","ERR",""))&amp; IF(ISERROR(FIND($F$2,Lines!L35))=TRUE,"",IF(AND('500DC'!L35="",'800DC'!L35=""),"ERR","")) &amp; IF(ISERROR(FIND($G$2,Lines!L35))=TRUE,"",IF('1000'!L35="","ERR","")) &amp; IF(ISERROR(FIND($H$2,Lines!L35))=TRUE,"",IF('500DC'!L35="","ERR","")) &amp; IF(ISERROR(FIND($I$2,Lines!L35))=TRUE,"",IF('800DC'!L35="","ERR","")) &amp; IF(ISERROR(FIND($J$2,Lines!L35))=TRUE,"",IF('1000'!L35="","ERR",""))</f>
        <v/>
      </c>
      <c r="M35" s="108" t="str">
        <f>IF(ISERROR(FIND($B$2,Lines!M35))=TRUE,"",IF('750'!M35="","ERR","")) &amp; IF(ISERROR(FIND($C$2,Lines!M35))=TRUE,"",IF('500'!M35="","ERR","")) &amp; IF(ISERROR(FIND($D$2,Lines!M35))=TRUE,"",IF('330'!M35="","ERR","")) &amp; IF(ISERROR(FIND($E$2,Lines!M35))=TRUE,"",IF('220'!M35="","ERR",""))&amp; IF(ISERROR(FIND($F$2,Lines!M35))=TRUE,"",IF(AND('500DC'!M35="",'800DC'!M35=""),"ERR","")) &amp; IF(ISERROR(FIND($G$2,Lines!M35))=TRUE,"",IF('1000'!M35="","ERR","")) &amp; IF(ISERROR(FIND($H$2,Lines!M35))=TRUE,"",IF('500DC'!M35="","ERR","")) &amp; IF(ISERROR(FIND($I$2,Lines!M35))=TRUE,"",IF('800DC'!M35="","ERR","")) &amp; IF(ISERROR(FIND($J$2,Lines!M35))=TRUE,"",IF('1000'!M35="","ERR",""))</f>
        <v/>
      </c>
      <c r="N35" s="108" t="str">
        <f>IF(ISERROR(FIND($B$2,Lines!N35))=TRUE,"",IF('750'!N35="","ERR","")) &amp; IF(ISERROR(FIND($C$2,Lines!N35))=TRUE,"",IF('500'!N35="","ERR","")) &amp; IF(ISERROR(FIND($D$2,Lines!N35))=TRUE,"",IF('330'!N35="","ERR","")) &amp; IF(ISERROR(FIND($E$2,Lines!N35))=TRUE,"",IF('220'!N35="","ERR",""))&amp; IF(ISERROR(FIND($F$2,Lines!N35))=TRUE,"",IF(AND('500DC'!N35="",'800DC'!N35=""),"ERR","")) &amp; IF(ISERROR(FIND($G$2,Lines!N35))=TRUE,"",IF('1000'!N35="","ERR","")) &amp; IF(ISERROR(FIND($H$2,Lines!N35))=TRUE,"",IF('500DC'!N35="","ERR","")) &amp; IF(ISERROR(FIND($I$2,Lines!N35))=TRUE,"",IF('800DC'!N35="","ERR","")) &amp; IF(ISERROR(FIND($J$2,Lines!N35))=TRUE,"",IF('1000'!N35="","ERR",""))</f>
        <v/>
      </c>
      <c r="O35" s="108" t="str">
        <f>IF(ISERROR(FIND($B$2,Lines!O35))=TRUE,"",IF('750'!O35="","ERR","")) &amp; IF(ISERROR(FIND($C$2,Lines!O35))=TRUE,"",IF('500'!O35="","ERR","")) &amp; IF(ISERROR(FIND($D$2,Lines!O35))=TRUE,"",IF('330'!O35="","ERR","")) &amp; IF(ISERROR(FIND($E$2,Lines!O35))=TRUE,"",IF('220'!O35="","ERR",""))&amp; IF(ISERROR(FIND($F$2,Lines!O35))=TRUE,"",IF(AND('500DC'!O35="",'800DC'!O35=""),"ERR","")) &amp; IF(ISERROR(FIND($G$2,Lines!O35))=TRUE,"",IF('1000'!O35="","ERR","")) &amp; IF(ISERROR(FIND($H$2,Lines!O35))=TRUE,"",IF('500DC'!O35="","ERR","")) &amp; IF(ISERROR(FIND($I$2,Lines!O35))=TRUE,"",IF('800DC'!O35="","ERR","")) &amp; IF(ISERROR(FIND($J$2,Lines!O35))=TRUE,"",IF('1000'!O35="","ERR",""))</f>
        <v/>
      </c>
      <c r="P35" s="108" t="str">
        <f>IF(ISERROR(FIND($B$2,Lines!P35))=TRUE,"",IF('750'!P35="","ERR","")) &amp; IF(ISERROR(FIND($C$2,Lines!P35))=TRUE,"",IF('500'!P35="","ERR","")) &amp; IF(ISERROR(FIND($D$2,Lines!P35))=TRUE,"",IF('330'!P35="","ERR","")) &amp; IF(ISERROR(FIND($E$2,Lines!P35))=TRUE,"",IF('220'!P35="","ERR",""))&amp; IF(ISERROR(FIND($F$2,Lines!P35))=TRUE,"",IF(AND('500DC'!P35="",'800DC'!P35=""),"ERR","")) &amp; IF(ISERROR(FIND($G$2,Lines!P35))=TRUE,"",IF('1000'!P35="","ERR","")) &amp; IF(ISERROR(FIND($H$2,Lines!P35))=TRUE,"",IF('500DC'!P35="","ERR","")) &amp; IF(ISERROR(FIND($I$2,Lines!P35))=TRUE,"",IF('800DC'!P35="","ERR","")) &amp; IF(ISERROR(FIND($J$2,Lines!P35))=TRUE,"",IF('1000'!P35="","ERR",""))</f>
        <v/>
      </c>
      <c r="Q35" s="108" t="str">
        <f>IF(ISERROR(FIND($B$2,Lines!Q35))=TRUE,"",IF('750'!Q35="","ERR","")) &amp; IF(ISERROR(FIND($C$2,Lines!Q35))=TRUE,"",IF('500'!Q35="","ERR","")) &amp; IF(ISERROR(FIND($D$2,Lines!Q35))=TRUE,"",IF('330'!Q35="","ERR","")) &amp; IF(ISERROR(FIND($E$2,Lines!Q35))=TRUE,"",IF('220'!Q35="","ERR",""))&amp; IF(ISERROR(FIND($F$2,Lines!Q35))=TRUE,"",IF(AND('500DC'!Q35="",'800DC'!Q35=""),"ERR","")) &amp; IF(ISERROR(FIND($G$2,Lines!Q35))=TRUE,"",IF('1000'!Q35="","ERR","")) &amp; IF(ISERROR(FIND($H$2,Lines!Q35))=TRUE,"",IF('500DC'!Q35="","ERR","")) &amp; IF(ISERROR(FIND($I$2,Lines!Q35))=TRUE,"",IF('800DC'!Q35="","ERR","")) &amp; IF(ISERROR(FIND($J$2,Lines!Q35))=TRUE,"",IF('1000'!Q35="","ERR",""))</f>
        <v/>
      </c>
      <c r="R35" s="108" t="str">
        <f>IF(ISERROR(FIND($B$2,Lines!R35))=TRUE,"",IF('750'!R35="","ERR","")) &amp; IF(ISERROR(FIND($C$2,Lines!R35))=TRUE,"",IF('500'!R35="","ERR","")) &amp; IF(ISERROR(FIND($D$2,Lines!R35))=TRUE,"",IF('330'!R35="","ERR","")) &amp; IF(ISERROR(FIND($E$2,Lines!R35))=TRUE,"",IF('220'!R35="","ERR",""))&amp; IF(ISERROR(FIND($F$2,Lines!R35))=TRUE,"",IF(AND('500DC'!R35="",'800DC'!R35=""),"ERR","")) &amp; IF(ISERROR(FIND($G$2,Lines!R35))=TRUE,"",IF('1000'!R35="","ERR","")) &amp; IF(ISERROR(FIND($H$2,Lines!R35))=TRUE,"",IF('500DC'!R35="","ERR","")) &amp; IF(ISERROR(FIND($I$2,Lines!R35))=TRUE,"",IF('800DC'!R35="","ERR","")) &amp; IF(ISERROR(FIND($J$2,Lines!R35))=TRUE,"",IF('1000'!R35="","ERR",""))</f>
        <v/>
      </c>
      <c r="S35" s="108" t="str">
        <f>IF(ISERROR(FIND($B$2,Lines!S35))=TRUE,"",IF('750'!S35="","ERR","")) &amp; IF(ISERROR(FIND($C$2,Lines!S35))=TRUE,"",IF('500'!S35="","ERR","")) &amp; IF(ISERROR(FIND($D$2,Lines!S35))=TRUE,"",IF('330'!S35="","ERR","")) &amp; IF(ISERROR(FIND($E$2,Lines!S35))=TRUE,"",IF('220'!S35="","ERR",""))&amp; IF(ISERROR(FIND($F$2,Lines!S35))=TRUE,"",IF(AND('500DC'!S35="",'800DC'!S35=""),"ERR","")) &amp; IF(ISERROR(FIND($G$2,Lines!S35))=TRUE,"",IF('1000'!S35="","ERR","")) &amp; IF(ISERROR(FIND($H$2,Lines!S35))=TRUE,"",IF('500DC'!S35="","ERR","")) &amp; IF(ISERROR(FIND($I$2,Lines!S35))=TRUE,"",IF('800DC'!S35="","ERR","")) &amp; IF(ISERROR(FIND($J$2,Lines!S35))=TRUE,"",IF('1000'!S35="","ERR",""))</f>
        <v/>
      </c>
      <c r="T35" s="108" t="str">
        <f>IF(ISERROR(FIND($B$2,Lines!T35))=TRUE,"",IF('750'!T35="","ERR","")) &amp; IF(ISERROR(FIND($C$2,Lines!T35))=TRUE,"",IF('500'!T35="","ERR","")) &amp; IF(ISERROR(FIND($D$2,Lines!T35))=TRUE,"",IF('330'!T35="","ERR","")) &amp; IF(ISERROR(FIND($E$2,Lines!T35))=TRUE,"",IF('220'!T35="","ERR",""))&amp; IF(ISERROR(FIND($F$2,Lines!T35))=TRUE,"",IF(AND('500DC'!T35="",'800DC'!T35=""),"ERR","")) &amp; IF(ISERROR(FIND($G$2,Lines!T35))=TRUE,"",IF('1000'!T35="","ERR","")) &amp; IF(ISERROR(FIND($H$2,Lines!T35))=TRUE,"",IF('500DC'!T35="","ERR","")) &amp; IF(ISERROR(FIND($I$2,Lines!T35))=TRUE,"",IF('800DC'!T35="","ERR","")) &amp; IF(ISERROR(FIND($J$2,Lines!T35))=TRUE,"",IF('1000'!T35="","ERR",""))</f>
        <v/>
      </c>
      <c r="U35" s="108" t="str">
        <f>IF(ISERROR(FIND($B$2,Lines!U35))=TRUE,"",IF('750'!U35="","ERR","")) &amp; IF(ISERROR(FIND($C$2,Lines!U35))=TRUE,"",IF('500'!U35="","ERR","")) &amp; IF(ISERROR(FIND($D$2,Lines!U35))=TRUE,"",IF('330'!U35="","ERR","")) &amp; IF(ISERROR(FIND($E$2,Lines!U35))=TRUE,"",IF('220'!U35="","ERR",""))&amp; IF(ISERROR(FIND($F$2,Lines!U35))=TRUE,"",IF(AND('500DC'!U35="",'800DC'!U35=""),"ERR","")) &amp; IF(ISERROR(FIND($G$2,Lines!U35))=TRUE,"",IF('1000'!U35="","ERR","")) &amp; IF(ISERROR(FIND($H$2,Lines!U35))=TRUE,"",IF('500DC'!U35="","ERR","")) &amp; IF(ISERROR(FIND($I$2,Lines!U35))=TRUE,"",IF('800DC'!U35="","ERR","")) &amp; IF(ISERROR(FIND($J$2,Lines!U35))=TRUE,"",IF('1000'!U35="","ERR",""))</f>
        <v/>
      </c>
      <c r="V35" s="108" t="str">
        <f>IF(ISERROR(FIND($B$2,Lines!V35))=TRUE,"",IF('750'!V35="","ERR","")) &amp; IF(ISERROR(FIND($C$2,Lines!V35))=TRUE,"",IF('500'!V35="","ERR","")) &amp; IF(ISERROR(FIND($D$2,Lines!V35))=TRUE,"",IF('330'!V35="","ERR","")) &amp; IF(ISERROR(FIND($E$2,Lines!V35))=TRUE,"",IF('220'!V35="","ERR",""))&amp; IF(ISERROR(FIND($F$2,Lines!V35))=TRUE,"",IF(AND('500DC'!V35="",'800DC'!V35=""),"ERR","")) &amp; IF(ISERROR(FIND($G$2,Lines!V35))=TRUE,"",IF('1000'!V35="","ERR","")) &amp; IF(ISERROR(FIND($H$2,Lines!V35))=TRUE,"",IF('500DC'!V35="","ERR","")) &amp; IF(ISERROR(FIND($I$2,Lines!V35))=TRUE,"",IF('800DC'!V35="","ERR","")) &amp; IF(ISERROR(FIND($J$2,Lines!V35))=TRUE,"",IF('1000'!V35="","ERR",""))</f>
        <v/>
      </c>
      <c r="W35" s="109" t="str">
        <f>IF(ISERROR(FIND($B$2,Lines!W35))=TRUE,"",IF('750'!W35="","ERR","")) &amp; IF(ISERROR(FIND($C$2,Lines!W35))=TRUE,"",IF('500'!W35="","ERR","")) &amp; IF(ISERROR(FIND($D$2,Lines!W35))=TRUE,"",IF('330'!W35="","ERR","")) &amp; IF(ISERROR(FIND($E$2,Lines!W35))=TRUE,"",IF('220'!W35="","ERR",""))&amp; IF(ISERROR(FIND($F$2,Lines!W35))=TRUE,"",IF(AND('500DC'!W35="",'800DC'!W35=""),"ERR","")) &amp; IF(ISERROR(FIND($G$2,Lines!W35))=TRUE,"",IF('1000'!W35="","ERR","")) &amp; IF(ISERROR(FIND($H$2,Lines!W35))=TRUE,"",IF('500DC'!W35="","ERR","")) &amp; IF(ISERROR(FIND($I$2,Lines!W35))=TRUE,"",IF('800DC'!W35="","ERR","")) &amp; IF(ISERROR(FIND($J$2,Lines!W35))=TRUE,"",IF('1000'!W35="","ERR",""))</f>
        <v/>
      </c>
      <c r="X35" s="108" t="str">
        <f>IF(ISERROR(FIND($B$2,Lines!X35))=TRUE,"",IF('750'!X35="","ERR","")) &amp; IF(ISERROR(FIND($C$2,Lines!X35))=TRUE,"",IF('500'!X35="","ERR","")) &amp; IF(ISERROR(FIND($D$2,Lines!X35))=TRUE,"",IF('330'!X35="","ERR","")) &amp; IF(ISERROR(FIND($E$2,Lines!X35))=TRUE,"",IF('220'!X35="","ERR",""))&amp; IF(ISERROR(FIND($F$2,Lines!X35))=TRUE,"",IF(AND('500DC'!X35="",'800DC'!X35=""),"ERR","")) &amp; IF(ISERROR(FIND($G$2,Lines!X35))=TRUE,"",IF('1000'!X35="","ERR","")) &amp; IF(ISERROR(FIND($H$2,Lines!X35))=TRUE,"",IF('500DC'!X35="","ERR","")) &amp; IF(ISERROR(FIND($I$2,Lines!X35))=TRUE,"",IF('800DC'!X35="","ERR","")) &amp; IF(ISERROR(FIND($J$2,Lines!X35))=TRUE,"",IF('1000'!X35="","ERR",""))</f>
        <v/>
      </c>
      <c r="Y35" s="108" t="str">
        <f>IF(ISERROR(FIND($B$2,Lines!Y35))=TRUE,"",IF('750'!Y35="","ERR","")) &amp; IF(ISERROR(FIND($C$2,Lines!Y35))=TRUE,"",IF('500'!Y35="","ERR","")) &amp; IF(ISERROR(FIND($D$2,Lines!Y35))=TRUE,"",IF('330'!Y35="","ERR","")) &amp; IF(ISERROR(FIND($E$2,Lines!Y35))=TRUE,"",IF('220'!Y35="","ERR",""))&amp; IF(ISERROR(FIND($F$2,Lines!Y35))=TRUE,"",IF(AND('500DC'!Y35="",'800DC'!Y35=""),"ERR","")) &amp; IF(ISERROR(FIND($G$2,Lines!Y35))=TRUE,"",IF('1000'!Y35="","ERR","")) &amp; IF(ISERROR(FIND($H$2,Lines!Y35))=TRUE,"",IF('500DC'!Y35="","ERR","")) &amp; IF(ISERROR(FIND($I$2,Lines!Y35))=TRUE,"",IF('800DC'!Y35="","ERR","")) &amp; IF(ISERROR(FIND($J$2,Lines!Y35))=TRUE,"",IF('1000'!Y35="","ERR",""))</f>
        <v/>
      </c>
      <c r="Z35" s="108" t="str">
        <f>IF(ISERROR(FIND($B$2,Lines!Z35))=TRUE,"",IF('750'!Z35="","ERR","")) &amp; IF(ISERROR(FIND($C$2,Lines!Z35))=TRUE,"",IF('500'!Z35="","ERR","")) &amp; IF(ISERROR(FIND($D$2,Lines!Z35))=TRUE,"",IF('330'!Z35="","ERR","")) &amp; IF(ISERROR(FIND($E$2,Lines!Z35))=TRUE,"",IF('220'!Z35="","ERR",""))&amp; IF(ISERROR(FIND($F$2,Lines!Z35))=TRUE,"",IF(AND('500DC'!Z35="",'800DC'!Z35=""),"ERR","")) &amp; IF(ISERROR(FIND($G$2,Lines!Z35))=TRUE,"",IF('1000'!Z35="","ERR","")) &amp; IF(ISERROR(FIND($H$2,Lines!Z35))=TRUE,"",IF('500DC'!Z35="","ERR","")) &amp; IF(ISERROR(FIND($I$2,Lines!Z35))=TRUE,"",IF('800DC'!Z35="","ERR","")) &amp; IF(ISERROR(FIND($J$2,Lines!Z35))=TRUE,"",IF('1000'!Z35="","ERR",""))</f>
        <v/>
      </c>
      <c r="AA35" s="108" t="str">
        <f>IF(ISERROR(FIND($B$2,Lines!AA35))=TRUE,"",IF('750'!AA35="","ERR","")) &amp; IF(ISERROR(FIND($C$2,Lines!AA35))=TRUE,"",IF('500'!AA35="","ERR","")) &amp; IF(ISERROR(FIND($D$2,Lines!AA35))=TRUE,"",IF('330'!AA35="","ERR","")) &amp; IF(ISERROR(FIND($E$2,Lines!AA35))=TRUE,"",IF('220'!AA35="","ERR",""))&amp; IF(ISERROR(FIND($F$2,Lines!AA35))=TRUE,"",IF(AND('500DC'!AA35="",'800DC'!AA35=""),"ERR","")) &amp; IF(ISERROR(FIND($G$2,Lines!AA35))=TRUE,"",IF('1000'!AA35="","ERR","")) &amp; IF(ISERROR(FIND($H$2,Lines!AA35))=TRUE,"",IF('500DC'!AA35="","ERR","")) &amp; IF(ISERROR(FIND($I$2,Lines!AA35))=TRUE,"",IF('800DC'!AA35="","ERR","")) &amp; IF(ISERROR(FIND($J$2,Lines!AA35))=TRUE,"",IF('1000'!AA35="","ERR",""))</f>
        <v/>
      </c>
      <c r="AB35" s="108" t="str">
        <f>IF(ISERROR(FIND($B$2,Lines!AB35))=TRUE,"",IF('750'!AB35="","ERR","")) &amp; IF(ISERROR(FIND($C$2,Lines!AB35))=TRUE,"",IF('500'!AB35="","ERR","")) &amp; IF(ISERROR(FIND($D$2,Lines!AB35))=TRUE,"",IF('330'!AB35="","ERR","")) &amp; IF(ISERROR(FIND($E$2,Lines!AB35))=TRUE,"",IF('220'!AB35="","ERR",""))&amp; IF(ISERROR(FIND($F$2,Lines!AB35))=TRUE,"",IF(AND('500DC'!AB35="",'800DC'!AB35=""),"ERR","")) &amp; IF(ISERROR(FIND($G$2,Lines!AB35))=TRUE,"",IF('1000'!AB35="","ERR","")) &amp; IF(ISERROR(FIND($H$2,Lines!AB35))=TRUE,"",IF('500DC'!AB35="","ERR","")) &amp; IF(ISERROR(FIND($I$2,Lines!AB35))=TRUE,"",IF('800DC'!AB35="","ERR","")) &amp; IF(ISERROR(FIND($J$2,Lines!AB35))=TRUE,"",IF('1000'!AB35="","ERR",""))</f>
        <v/>
      </c>
      <c r="AC35" s="108" t="str">
        <f>IF(ISERROR(FIND($B$2,Lines!AC35))=TRUE,"",IF('750'!AC35="","ERR","")) &amp; IF(ISERROR(FIND($C$2,Lines!AC35))=TRUE,"",IF('500'!AC35="","ERR","")) &amp; IF(ISERROR(FIND($D$2,Lines!AC35))=TRUE,"",IF('330'!AC35="","ERR","")) &amp; IF(ISERROR(FIND($E$2,Lines!AC35))=TRUE,"",IF('220'!AC35="","ERR",""))&amp; IF(ISERROR(FIND($F$2,Lines!AC35))=TRUE,"",IF(AND('500DC'!AC35="",'800DC'!AC35=""),"ERR","")) &amp; IF(ISERROR(FIND($G$2,Lines!AC35))=TRUE,"",IF('1000'!AC35="","ERR","")) &amp; IF(ISERROR(FIND($H$2,Lines!AC35))=TRUE,"",IF('500DC'!AC35="","ERR","")) &amp; IF(ISERROR(FIND($I$2,Lines!AC35))=TRUE,"",IF('800DC'!AC35="","ERR","")) &amp; IF(ISERROR(FIND($J$2,Lines!AC35))=TRUE,"",IF('1000'!AC35="","ERR",""))</f>
        <v/>
      </c>
      <c r="AD35" s="108" t="str">
        <f>IF(ISERROR(FIND($B$2,Lines!AD35))=TRUE,"",IF('750'!AD35="","ERR","")) &amp; IF(ISERROR(FIND($C$2,Lines!AD35))=TRUE,"",IF('500'!AD35="","ERR","")) &amp; IF(ISERROR(FIND($D$2,Lines!AD35))=TRUE,"",IF('330'!AD35="","ERR","")) &amp; IF(ISERROR(FIND($E$2,Lines!AD35))=TRUE,"",IF('220'!AD35="","ERR",""))&amp; IF(ISERROR(FIND($F$2,Lines!AD35))=TRUE,"",IF(AND('500DC'!AD35="",'800DC'!AD35=""),"ERR","")) &amp; IF(ISERROR(FIND($G$2,Lines!AD35))=TRUE,"",IF('1000'!AD35="","ERR","")) &amp; IF(ISERROR(FIND($H$2,Lines!AD35))=TRUE,"",IF('500DC'!AD35="","ERR","")) &amp; IF(ISERROR(FIND($I$2,Lines!AD35))=TRUE,"",IF('800DC'!AD35="","ERR","")) &amp; IF(ISERROR(FIND($J$2,Lines!AD35))=TRUE,"",IF('1000'!AD35="","ERR",""))</f>
        <v/>
      </c>
      <c r="AE35" s="130" t="str">
        <f>IF(ISERROR(FIND($B$2,Lines!AE35))=TRUE,"",IF('750'!AE35="","ERR","")) &amp; IF(ISERROR(FIND($C$2,Lines!AE35))=TRUE,"",IF('500'!AE35="","ERR","")) &amp; IF(ISERROR(FIND($D$2,Lines!AE35))=TRUE,"",IF('330'!AE35="","ERR","")) &amp; IF(ISERROR(FIND($E$2,Lines!AE35))=TRUE,"",IF('220'!AE35="","ERR",""))&amp; IF(ISERROR(FIND($F$2,Lines!AE35))=TRUE,"",IF(AND('500DC'!AE35="",'800DC'!AE35=""),"ERR","")) &amp; IF(ISERROR(FIND($G$2,Lines!AE35))=TRUE,"",IF('1000'!AE35="","ERR","")) &amp; IF(ISERROR(FIND($H$2,Lines!AE35))=TRUE,"",IF('500DC'!AE35="","ERR","")) &amp; IF(ISERROR(FIND($I$2,Lines!AE35))=TRUE,"",IF('800DC'!AE35="","ERR","")) &amp; IF(ISERROR(FIND($J$2,Lines!AE35))=TRUE,"",IF('1000'!AE35="","ERR",""))</f>
        <v/>
      </c>
      <c r="AF35" s="131" t="str">
        <f>IF(ISERROR(FIND($B$2,Lines!AF35))=TRUE,"",IF('750'!AF35="","ERR","")) &amp; IF(ISERROR(FIND($C$2,Lines!AF35))=TRUE,"",IF('500'!AF35="","ERR","")) &amp; IF(ISERROR(FIND($D$2,Lines!AF35))=TRUE,"",IF('330'!AF35="","ERR","")) &amp; IF(ISERROR(FIND($E$2,Lines!AF35))=TRUE,"",IF('220'!AF35="","ERR",""))&amp; IF(ISERROR(FIND($F$2,Lines!AF35))=TRUE,"",IF(AND('500DC'!AF35="",'800DC'!AF35=""),"ERR","")) &amp; IF(ISERROR(FIND($G$2,Lines!AF35))=TRUE,"",IF('1000'!AF35="","ERR","")) &amp; IF(ISERROR(FIND($H$2,Lines!AF35))=TRUE,"",IF('500DC'!AF35="","ERR","")) &amp; IF(ISERROR(FIND($I$2,Lines!AF35))=TRUE,"",IF('800DC'!AF35="","ERR","")) &amp; IF(ISERROR(FIND($J$2,Lines!AF35))=TRUE,"",IF('1000'!AF35="","ERR",""))</f>
        <v/>
      </c>
      <c r="AG35" s="116" t="str">
        <f>IF(ISERROR(FIND($B$2,Lines!AG35))=TRUE,"",IF('750'!AG35="","ERR","")) &amp; IF(ISERROR(FIND($C$2,Lines!AG35))=TRUE,"",IF('500'!AG35="","ERR","")) &amp; IF(ISERROR(FIND($D$2,Lines!AG35))=TRUE,"",IF('330'!AG35="","ERR","")) &amp; IF(ISERROR(FIND($E$2,Lines!AG35))=TRUE,"",IF('220'!AG35="","ERR",""))&amp; IF(ISERROR(FIND($F$2,Lines!AG35))=TRUE,"",IF(AND('500DC'!AG35="",'800DC'!AG35=""),"ERR","")) &amp; IF(ISERROR(FIND($G$2,Lines!AG35))=TRUE,"",IF('1000'!AG35="","ERR","")) &amp; IF(ISERROR(FIND($H$2,Lines!AG35))=TRUE,"",IF('500DC'!AG35="","ERR","")) &amp; IF(ISERROR(FIND($I$2,Lines!AG35))=TRUE,"",IF('800DC'!AG35="","ERR","")) &amp; IF(ISERROR(FIND($J$2,Lines!AG35))=TRUE,"",IF('1000'!AG35="","ERR",""))</f>
        <v/>
      </c>
      <c r="AH35" s="131" t="str">
        <f>IF(ISERROR(FIND($B$2,Lines!AH35))=TRUE,"",IF('750'!AH35="","ERR","")) &amp; IF(ISERROR(FIND($C$2,Lines!AH35))=TRUE,"",IF('500'!AH35="","ERR","")) &amp; IF(ISERROR(FIND($D$2,Lines!AH35))=TRUE,"",IF('330'!AH35="","ERR","")) &amp; IF(ISERROR(FIND($E$2,Lines!AH35))=TRUE,"",IF('220'!AH35="","ERR",""))&amp; IF(ISERROR(FIND($F$2,Lines!AH35))=TRUE,"",IF(AND('500DC'!AH35="",'800DC'!AH35=""),"ERR","")) &amp; IF(ISERROR(FIND($G$2,Lines!AH35))=TRUE,"",IF('1000'!AH35="","ERR","")) &amp; IF(ISERROR(FIND($H$2,Lines!AH35))=TRUE,"",IF('500DC'!AH35="","ERR","")) &amp; IF(ISERROR(FIND($I$2,Lines!AH35))=TRUE,"",IF('800DC'!AH35="","ERR","")) &amp; IF(ISERROR(FIND($J$2,Lines!AH35))=TRUE,"",IF('1000'!AH35="","ERR",""))</f>
        <v/>
      </c>
      <c r="AI35" s="131" t="str">
        <f>IF(ISERROR(FIND($B$2,Lines!AI35))=TRUE,"",IF('750'!AI35="","ERR","")) &amp; IF(ISERROR(FIND($C$2,Lines!AI35))=TRUE,"",IF('500'!AI35="","ERR","")) &amp; IF(ISERROR(FIND($D$2,Lines!AI35))=TRUE,"",IF('330'!AI35="","ERR","")) &amp; IF(ISERROR(FIND($E$2,Lines!AI35))=TRUE,"",IF('220'!AI35="","ERR",""))&amp; IF(ISERROR(FIND($F$2,Lines!AI35))=TRUE,"",IF(AND('500DC'!AI35="",'800DC'!AI35=""),"ERR","")) &amp; IF(ISERROR(FIND($G$2,Lines!AI35))=TRUE,"",IF('1000'!AI35="","ERR","")) &amp; IF(ISERROR(FIND($H$2,Lines!AI35))=TRUE,"",IF('500DC'!AI35="","ERR","")) &amp; IF(ISERROR(FIND($I$2,Lines!AI35))=TRUE,"",IF('800DC'!AI35="","ERR","")) &amp; IF(ISERROR(FIND($J$2,Lines!AI35))=TRUE,"",IF('1000'!AI35="","ERR",""))</f>
        <v/>
      </c>
      <c r="AJ35" s="132" t="str">
        <f>IF(ISERROR(FIND($B$2,Lines!AJ35))=TRUE,"",IF('750'!AJ35="","ERR","")) &amp; IF(ISERROR(FIND($C$2,Lines!AJ35))=TRUE,"",IF('500'!AJ35="","ERR","")) &amp; IF(ISERROR(FIND($D$2,Lines!AJ35))=TRUE,"",IF('330'!AJ35="","ERR","")) &amp; IF(ISERROR(FIND($E$2,Lines!AJ35))=TRUE,"",IF('220'!AJ35="","ERR",""))&amp; IF(ISERROR(FIND($F$2,Lines!AJ35))=TRUE,"",IF(AND('500DC'!AJ35="",'800DC'!AJ35=""),"ERR","")) &amp; IF(ISERROR(FIND($G$2,Lines!AJ35))=TRUE,"",IF('1000'!AJ35="","ERR","")) &amp; IF(ISERROR(FIND($H$2,Lines!AJ35))=TRUE,"",IF('500DC'!AJ35="","ERR","")) &amp; IF(ISERROR(FIND($I$2,Lines!AJ35))=TRUE,"",IF('800DC'!AJ35="","ERR","")) &amp; IF(ISERROR(FIND($J$2,Lines!AJ35))=TRUE,"",IF('1000'!AJ35="","ERR",""))</f>
        <v/>
      </c>
      <c r="AK35" s="108" t="str">
        <f>IF(ISERROR(FIND($B$2,Lines!AK35))=TRUE,"",IF('750'!AK35="","ERR","")) &amp; IF(ISERROR(FIND($C$2,Lines!AK35))=TRUE,"",IF('500'!AK35="","ERR","")) &amp; IF(ISERROR(FIND($D$2,Lines!AK35))=TRUE,"",IF('330'!AK35="","ERR","")) &amp; IF(ISERROR(FIND($E$2,Lines!AK35))=TRUE,"",IF('220'!AK35="","ERR",""))&amp; IF(ISERROR(FIND($F$2,Lines!AK35))=TRUE,"",IF(AND('500DC'!AK35="",'800DC'!AK35=""),"ERR","")) &amp; IF(ISERROR(FIND($G$2,Lines!AK35))=TRUE,"",IF('1000'!AK35="","ERR","")) &amp; IF(ISERROR(FIND($H$2,Lines!AK35))=TRUE,"",IF('500DC'!AK35="","ERR","")) &amp; IF(ISERROR(FIND($I$2,Lines!AK35))=TRUE,"",IF('800DC'!AK35="","ERR","")) &amp; IF(ISERROR(FIND($J$2,Lines!AK35))=TRUE,"",IF('1000'!AK35="","ERR",""))</f>
        <v/>
      </c>
      <c r="AL35" s="108" t="str">
        <f>IF(ISERROR(FIND($B$2,Lines!AL35))=TRUE,"",IF('750'!AL35="","ERR","")) &amp; IF(ISERROR(FIND($C$2,Lines!AL35))=TRUE,"",IF('500'!AL35="","ERR","")) &amp; IF(ISERROR(FIND($D$2,Lines!AL35))=TRUE,"",IF('330'!AL35="","ERR","")) &amp; IF(ISERROR(FIND($E$2,Lines!AL35))=TRUE,"",IF('220'!AL35="","ERR",""))&amp; IF(ISERROR(FIND($F$2,Lines!AL35))=TRUE,"",IF(AND('500DC'!AL35="",'800DC'!AL35=""),"ERR","")) &amp; IF(ISERROR(FIND($G$2,Lines!AL35))=TRUE,"",IF('1000'!AL35="","ERR","")) &amp; IF(ISERROR(FIND($H$2,Lines!AL35))=TRUE,"",IF('500DC'!AL35="","ERR","")) &amp; IF(ISERROR(FIND($I$2,Lines!AL35))=TRUE,"",IF('800DC'!AL35="","ERR","")) &amp; IF(ISERROR(FIND($J$2,Lines!AL35))=TRUE,"",IF('1000'!AL35="","ERR",""))</f>
        <v/>
      </c>
      <c r="AM35" s="108" t="str">
        <f>IF(ISERROR(FIND($B$2,Lines!AM35))=TRUE,"",IF('750'!AM35="","ERR","")) &amp; IF(ISERROR(FIND($C$2,Lines!AM35))=TRUE,"",IF('500'!AM35="","ERR","")) &amp; IF(ISERROR(FIND($D$2,Lines!AM35))=TRUE,"",IF('330'!AM35="","ERR","")) &amp; IF(ISERROR(FIND($E$2,Lines!AM35))=TRUE,"",IF('220'!AM35="","ERR",""))&amp; IF(ISERROR(FIND($F$2,Lines!AM35))=TRUE,"",IF(AND('500DC'!AM35="",'800DC'!AM35=""),"ERR","")) &amp; IF(ISERROR(FIND($G$2,Lines!AM35))=TRUE,"",IF('1000'!AM35="","ERR","")) &amp; IF(ISERROR(FIND($H$2,Lines!AM35))=TRUE,"",IF('500DC'!AM35="","ERR","")) &amp; IF(ISERROR(FIND($I$2,Lines!AM35))=TRUE,"",IF('800DC'!AM35="","ERR","")) &amp; IF(ISERROR(FIND($J$2,Lines!AM35))=TRUE,"",IF('1000'!AM35="","ERR",""))</f>
        <v/>
      </c>
      <c r="AN35" s="108" t="str">
        <f>IF(ISERROR(FIND($B$2,Lines!AN35))=TRUE,"",IF('750'!AN35="","ERR","")) &amp; IF(ISERROR(FIND($C$2,Lines!AN35))=TRUE,"",IF('500'!AN35="","ERR","")) &amp; IF(ISERROR(FIND($D$2,Lines!AN35))=TRUE,"",IF('330'!AN35="","ERR","")) &amp; IF(ISERROR(FIND($E$2,Lines!AN35))=TRUE,"",IF('220'!AN35="","ERR",""))&amp; IF(ISERROR(FIND($F$2,Lines!AN35))=TRUE,"",IF(AND('500DC'!AN35="",'800DC'!AN35=""),"ERR","")) &amp; IF(ISERROR(FIND($G$2,Lines!AN35))=TRUE,"",IF('1000'!AN35="","ERR","")) &amp; IF(ISERROR(FIND($H$2,Lines!AN35))=TRUE,"",IF('500DC'!AN35="","ERR","")) &amp; IF(ISERROR(FIND($I$2,Lines!AN35))=TRUE,"",IF('800DC'!AN35="","ERR","")) &amp; IF(ISERROR(FIND($J$2,Lines!AN35))=TRUE,"",IF('1000'!AN35="","ERR",""))</f>
        <v/>
      </c>
      <c r="AO35" s="108" t="str">
        <f>IF(ISERROR(FIND($B$2,Lines!AO35))=TRUE,"",IF('750'!AO35="","ERR","")) &amp; IF(ISERROR(FIND($C$2,Lines!AO35))=TRUE,"",IF('500'!AO35="","ERR","")) &amp; IF(ISERROR(FIND($D$2,Lines!AO35))=TRUE,"",IF('330'!AO35="","ERR","")) &amp; IF(ISERROR(FIND($E$2,Lines!AO35))=TRUE,"",IF('220'!AO35="","ERR",""))&amp; IF(ISERROR(FIND($F$2,Lines!AO35))=TRUE,"",IF(AND('500DC'!AO35="",'800DC'!AO35=""),"ERR","")) &amp; IF(ISERROR(FIND($G$2,Lines!AO35))=TRUE,"",IF('1000'!AO35="","ERR","")) &amp; IF(ISERROR(FIND($H$2,Lines!AO35))=TRUE,"",IF('500DC'!AO35="","ERR","")) &amp; IF(ISERROR(FIND($I$2,Lines!AO35))=TRUE,"",IF('800DC'!AO35="","ERR","")) &amp; IF(ISERROR(FIND($J$2,Lines!AO35))=TRUE,"",IF('1000'!AO35="","ERR",""))</f>
        <v/>
      </c>
      <c r="AP35" s="108" t="str">
        <f>IF(ISERROR(FIND($B$2,Lines!AP35))=TRUE,"",IF('750'!AP35="","ERR","")) &amp; IF(ISERROR(FIND($C$2,Lines!AP35))=TRUE,"",IF('500'!AP35="","ERR","")) &amp; IF(ISERROR(FIND($D$2,Lines!AP35))=TRUE,"",IF('330'!AP35="","ERR","")) &amp; IF(ISERROR(FIND($E$2,Lines!AP35))=TRUE,"",IF('220'!AP35="","ERR",""))&amp; IF(ISERROR(FIND($F$2,Lines!AP35))=TRUE,"",IF(AND('500DC'!AP35="",'800DC'!AP35=""),"ERR","")) &amp; IF(ISERROR(FIND($G$2,Lines!AP35))=TRUE,"",IF('1000'!AP35="","ERR","")) &amp; IF(ISERROR(FIND($H$2,Lines!AP35))=TRUE,"",IF('500DC'!AP35="","ERR","")) &amp; IF(ISERROR(FIND($I$2,Lines!AP35))=TRUE,"",IF('800DC'!AP35="","ERR","")) &amp; IF(ISERROR(FIND($J$2,Lines!AP35))=TRUE,"",IF('1000'!AP35="","ERR",""))</f>
        <v/>
      </c>
      <c r="AQ35" s="108" t="str">
        <f>IF(ISERROR(FIND($B$2,Lines!AQ35))=TRUE,"",IF('750'!AQ35="","ERR","")) &amp; IF(ISERROR(FIND($C$2,Lines!AQ35))=TRUE,"",IF('500'!AQ35="","ERR","")) &amp; IF(ISERROR(FIND($D$2,Lines!AQ35))=TRUE,"",IF('330'!AQ35="","ERR","")) &amp; IF(ISERROR(FIND($E$2,Lines!AQ35))=TRUE,"",IF('220'!AQ35="","ERR",""))&amp; IF(ISERROR(FIND($F$2,Lines!AQ35))=TRUE,"",IF(AND('500DC'!AQ35="",'800DC'!AQ35=""),"ERR","")) &amp; IF(ISERROR(FIND($G$2,Lines!AQ35))=TRUE,"",IF('1000'!AQ35="","ERR","")) &amp; IF(ISERROR(FIND($H$2,Lines!AQ35))=TRUE,"",IF('500DC'!AQ35="","ERR","")) &amp; IF(ISERROR(FIND($I$2,Lines!AQ35))=TRUE,"",IF('800DC'!AQ35="","ERR","")) &amp; IF(ISERROR(FIND($J$2,Lines!AQ35))=TRUE,"",IF('1000'!AQ35="","ERR",""))</f>
        <v/>
      </c>
      <c r="AR35" s="108" t="str">
        <f>IF(ISERROR(FIND($B$2,Lines!AR35))=TRUE,"",IF('750'!AR35="","ERR","")) &amp; IF(ISERROR(FIND($C$2,Lines!AR35))=TRUE,"",IF('500'!AR35="","ERR","")) &amp; IF(ISERROR(FIND($D$2,Lines!AR35))=TRUE,"",IF('330'!AR35="","ERR","")) &amp; IF(ISERROR(FIND($E$2,Lines!AR35))=TRUE,"",IF('220'!AR35="","ERR",""))&amp; IF(ISERROR(FIND($F$2,Lines!AR35))=TRUE,"",IF(AND('500DC'!AR35="",'800DC'!AR35=""),"ERR","")) &amp; IF(ISERROR(FIND($G$2,Lines!AR35))=TRUE,"",IF('1000'!AR35="","ERR","")) &amp; IF(ISERROR(FIND($H$2,Lines!AR35))=TRUE,"",IF('500DC'!AR35="","ERR","")) &amp; IF(ISERROR(FIND($I$2,Lines!AR35))=TRUE,"",IF('800DC'!AR35="","ERR","")) &amp; IF(ISERROR(FIND($J$2,Lines!AR35))=TRUE,"",IF('1000'!AR35="","ERR",""))</f>
        <v/>
      </c>
      <c r="AS35" s="108" t="str">
        <f>IF(ISERROR(FIND($B$2,Lines!AS35))=TRUE,"",IF('750'!AS35="","ERR","")) &amp; IF(ISERROR(FIND($C$2,Lines!AS35))=TRUE,"",IF('500'!AS35="","ERR","")) &amp; IF(ISERROR(FIND($D$2,Lines!AS35))=TRUE,"",IF('330'!AS35="","ERR","")) &amp; IF(ISERROR(FIND($E$2,Lines!AS35))=TRUE,"",IF('220'!AS35="","ERR",""))&amp; IF(ISERROR(FIND($F$2,Lines!AS35))=TRUE,"",IF(AND('500DC'!AS35="",'800DC'!AS35=""),"ERR","")) &amp; IF(ISERROR(FIND($G$2,Lines!AS35))=TRUE,"",IF('1000'!AS35="","ERR","")) &amp; IF(ISERROR(FIND($H$2,Lines!AS35))=TRUE,"",IF('500DC'!AS35="","ERR","")) &amp; IF(ISERROR(FIND($I$2,Lines!AS35))=TRUE,"",IF('800DC'!AS35="","ERR","")) &amp; IF(ISERROR(FIND($J$2,Lines!AS35))=TRUE,"",IF('1000'!AS35="","ERR",""))</f>
        <v/>
      </c>
      <c r="AT35" s="108" t="str">
        <f>IF(ISERROR(FIND($B$2,Lines!AT35))=TRUE,"",IF('750'!AT35="","ERR","")) &amp; IF(ISERROR(FIND($C$2,Lines!AT35))=TRUE,"",IF('500'!AT35="","ERR","")) &amp; IF(ISERROR(FIND($D$2,Lines!AT35))=TRUE,"",IF('330'!AT35="","ERR","")) &amp; IF(ISERROR(FIND($E$2,Lines!AT35))=TRUE,"",IF('220'!AT35="","ERR",""))&amp; IF(ISERROR(FIND($F$2,Lines!AT35))=TRUE,"",IF(AND('500DC'!AT35="",'800DC'!AT35=""),"ERR","")) &amp; IF(ISERROR(FIND($G$2,Lines!AT35))=TRUE,"",IF('1000'!AT35="","ERR","")) &amp; IF(ISERROR(FIND($H$2,Lines!AT35))=TRUE,"",IF('500DC'!AT35="","ERR","")) &amp; IF(ISERROR(FIND($I$2,Lines!AT35))=TRUE,"",IF('800DC'!AT35="","ERR","")) &amp; IF(ISERROR(FIND($J$2,Lines!AT35))=TRUE,"",IF('1000'!AT35="","ERR",""))</f>
        <v/>
      </c>
    </row>
    <row r="36" spans="1:46" ht="20.25" customHeight="1">
      <c r="A36" s="2" t="s">
        <v>84</v>
      </c>
      <c r="B36" s="108" t="str">
        <f>IF(ISERROR(FIND($B$2,Lines!B36))=TRUE,"",IF('750'!B36="","ERR","")) &amp; IF(ISERROR(FIND($C$2,Lines!B36))=TRUE,"",IF('500'!B36="","ERR","")) &amp; IF(ISERROR(FIND($D$2,Lines!B36))=TRUE,"",IF('330'!B36="","ERR","")) &amp; IF(ISERROR(FIND($E$2,Lines!B36))=TRUE,"",IF('220'!B36="","ERR",""))&amp; IF(ISERROR(FIND($F$2,Lines!B36))=TRUE,"",IF(AND('500DC'!B36="",'800DC'!B36=""),"ERR","")) &amp; IF(ISERROR(FIND($G$2,Lines!B36))=TRUE,"",IF('1000'!B36="","ERR","")) &amp; IF(ISERROR(FIND($H$2,Lines!B36))=TRUE,"",IF('500DC'!B36="","ERR","")) &amp; IF(ISERROR(FIND($I$2,Lines!B36))=TRUE,"",IF('800DC'!B36="","ERR","")) &amp; IF(ISERROR(FIND($J$2,Lines!B36))=TRUE,"",IF('1000'!B36="","ERR",""))</f>
        <v/>
      </c>
      <c r="C36" s="108" t="str">
        <f>IF(ISERROR(FIND($B$2,Lines!C36))=TRUE,"",IF('750'!C36="","ERR","")) &amp; IF(ISERROR(FIND($C$2,Lines!C36))=TRUE,"",IF('500'!C36="","ERR","")) &amp; IF(ISERROR(FIND($D$2,Lines!C36))=TRUE,"",IF('330'!C36="","ERR","")) &amp; IF(ISERROR(FIND($E$2,Lines!C36))=TRUE,"",IF('220'!C36="","ERR",""))&amp; IF(ISERROR(FIND($F$2,Lines!C36))=TRUE,"",IF(AND('500DC'!C36="",'800DC'!C36=""),"ERR","")) &amp; IF(ISERROR(FIND($G$2,Lines!C36))=TRUE,"",IF('1000'!C36="","ERR","")) &amp; IF(ISERROR(FIND($H$2,Lines!C36))=TRUE,"",IF('500DC'!C36="","ERR","")) &amp; IF(ISERROR(FIND($I$2,Lines!C36))=TRUE,"",IF('800DC'!C36="","ERR","")) &amp; IF(ISERROR(FIND($J$2,Lines!C36))=TRUE,"",IF('1000'!C36="","ERR",""))</f>
        <v/>
      </c>
      <c r="D36" s="108" t="str">
        <f>IF(ISERROR(FIND($B$2,Lines!D36))=TRUE,"",IF('750'!D36="","ERR","")) &amp; IF(ISERROR(FIND($C$2,Lines!D36))=TRUE,"",IF('500'!D36="","ERR","")) &amp; IF(ISERROR(FIND($D$2,Lines!D36))=TRUE,"",IF('330'!D36="","ERR","")) &amp; IF(ISERROR(FIND($E$2,Lines!D36))=TRUE,"",IF('220'!D36="","ERR",""))&amp; IF(ISERROR(FIND($F$2,Lines!D36))=TRUE,"",IF(AND('500DC'!D36="",'800DC'!D36=""),"ERR","")) &amp; IF(ISERROR(FIND($G$2,Lines!D36))=TRUE,"",IF('1000'!D36="","ERR","")) &amp; IF(ISERROR(FIND($H$2,Lines!D36))=TRUE,"",IF('500DC'!D36="","ERR","")) &amp; IF(ISERROR(FIND($I$2,Lines!D36))=TRUE,"",IF('800DC'!D36="","ERR","")) &amp; IF(ISERROR(FIND($J$2,Lines!D36))=TRUE,"",IF('1000'!D36="","ERR",""))</f>
        <v/>
      </c>
      <c r="E36" s="108" t="str">
        <f>IF(ISERROR(FIND($B$2,Lines!E36))=TRUE,"",IF('750'!E36="","ERR","")) &amp; IF(ISERROR(FIND($C$2,Lines!E36))=TRUE,"",IF('500'!E36="","ERR","")) &amp; IF(ISERROR(FIND($D$2,Lines!E36))=TRUE,"",IF('330'!E36="","ERR","")) &amp; IF(ISERROR(FIND($E$2,Lines!E36))=TRUE,"",IF('220'!E36="","ERR",""))&amp; IF(ISERROR(FIND($F$2,Lines!E36))=TRUE,"",IF(AND('500DC'!E36="",'800DC'!E36=""),"ERR","")) &amp; IF(ISERROR(FIND($G$2,Lines!E36))=TRUE,"",IF('1000'!E36="","ERR","")) &amp; IF(ISERROR(FIND($H$2,Lines!E36))=TRUE,"",IF('500DC'!E36="","ERR","")) &amp; IF(ISERROR(FIND($I$2,Lines!E36))=TRUE,"",IF('800DC'!E36="","ERR","")) &amp; IF(ISERROR(FIND($J$2,Lines!E36))=TRUE,"",IF('1000'!E36="","ERR",""))</f>
        <v/>
      </c>
      <c r="F36" s="108" t="str">
        <f>IF(ISERROR(FIND($B$2,Lines!F36))=TRUE,"",IF('750'!F36="","ERR","")) &amp; IF(ISERROR(FIND($C$2,Lines!F36))=TRUE,"",IF('500'!F36="","ERR","")) &amp; IF(ISERROR(FIND($D$2,Lines!F36))=TRUE,"",IF('330'!F36="","ERR","")) &amp; IF(ISERROR(FIND($E$2,Lines!F36))=TRUE,"",IF('220'!F36="","ERR",""))&amp; IF(ISERROR(FIND($F$2,Lines!F36))=TRUE,"",IF(AND('500DC'!F36="",'800DC'!F36=""),"ERR","")) &amp; IF(ISERROR(FIND($G$2,Lines!F36))=TRUE,"",IF('1000'!F36="","ERR","")) &amp; IF(ISERROR(FIND($H$2,Lines!F36))=TRUE,"",IF('500DC'!F36="","ERR","")) &amp; IF(ISERROR(FIND($I$2,Lines!F36))=TRUE,"",IF('800DC'!F36="","ERR","")) &amp; IF(ISERROR(FIND($J$2,Lines!F36))=TRUE,"",IF('1000'!F36="","ERR",""))</f>
        <v/>
      </c>
      <c r="G36" s="108" t="str">
        <f>IF(ISERROR(FIND($B$2,Lines!G36))=TRUE,"",IF('750'!G36="","ERR","")) &amp; IF(ISERROR(FIND($C$2,Lines!G36))=TRUE,"",IF('500'!G36="","ERR","")) &amp; IF(ISERROR(FIND($D$2,Lines!G36))=TRUE,"",IF('330'!G36="","ERR","")) &amp; IF(ISERROR(FIND($E$2,Lines!G36))=TRUE,"",IF('220'!G36="","ERR",""))&amp; IF(ISERROR(FIND($F$2,Lines!G36))=TRUE,"",IF(AND('500DC'!G36="",'800DC'!G36=""),"ERR","")) &amp; IF(ISERROR(FIND($G$2,Lines!G36))=TRUE,"",IF('1000'!G36="","ERR","")) &amp; IF(ISERROR(FIND($H$2,Lines!G36))=TRUE,"",IF('500DC'!G36="","ERR","")) &amp; IF(ISERROR(FIND($I$2,Lines!G36))=TRUE,"",IF('800DC'!G36="","ERR","")) &amp; IF(ISERROR(FIND($J$2,Lines!G36))=TRUE,"",IF('1000'!G36="","ERR",""))</f>
        <v/>
      </c>
      <c r="H36" s="108" t="str">
        <f>IF(ISERROR(FIND($B$2,Lines!H36))=TRUE,"",IF('750'!H36="","ERR","")) &amp; IF(ISERROR(FIND($C$2,Lines!H36))=TRUE,"",IF('500'!H36="","ERR","")) &amp; IF(ISERROR(FIND($D$2,Lines!H36))=TRUE,"",IF('330'!H36="","ERR","")) &amp; IF(ISERROR(FIND($E$2,Lines!H36))=TRUE,"",IF('220'!H36="","ERR",""))&amp; IF(ISERROR(FIND($F$2,Lines!H36))=TRUE,"",IF(AND('500DC'!H36="",'800DC'!H36=""),"ERR","")) &amp; IF(ISERROR(FIND($G$2,Lines!H36))=TRUE,"",IF('1000'!H36="","ERR","")) &amp; IF(ISERROR(FIND($H$2,Lines!H36))=TRUE,"",IF('500DC'!H36="","ERR","")) &amp; IF(ISERROR(FIND($I$2,Lines!H36))=TRUE,"",IF('800DC'!H36="","ERR","")) &amp; IF(ISERROR(FIND($J$2,Lines!H36))=TRUE,"",IF('1000'!H36="","ERR",""))</f>
        <v/>
      </c>
      <c r="I36" s="108" t="str">
        <f>IF(ISERROR(FIND($B$2,Lines!I36))=TRUE,"",IF('750'!I36="","ERR","")) &amp; IF(ISERROR(FIND($C$2,Lines!I36))=TRUE,"",IF('500'!I36="","ERR","")) &amp; IF(ISERROR(FIND($D$2,Lines!I36))=TRUE,"",IF('330'!I36="","ERR","")) &amp; IF(ISERROR(FIND($E$2,Lines!I36))=TRUE,"",IF('220'!I36="","ERR",""))&amp; IF(ISERROR(FIND($F$2,Lines!I36))=TRUE,"",IF(AND('500DC'!I36="",'800DC'!I36=""),"ERR","")) &amp; IF(ISERROR(FIND($G$2,Lines!I36))=TRUE,"",IF('1000'!I36="","ERR","")) &amp; IF(ISERROR(FIND($H$2,Lines!I36))=TRUE,"",IF('500DC'!I36="","ERR","")) &amp; IF(ISERROR(FIND($I$2,Lines!I36))=TRUE,"",IF('800DC'!I36="","ERR","")) &amp; IF(ISERROR(FIND($J$2,Lines!I36))=TRUE,"",IF('1000'!I36="","ERR",""))</f>
        <v/>
      </c>
      <c r="J36" s="108" t="str">
        <f>IF(ISERROR(FIND($B$2,Lines!J36))=TRUE,"",IF('750'!J36="","ERR","")) &amp; IF(ISERROR(FIND($C$2,Lines!J36))=TRUE,"",IF('500'!J36="","ERR","")) &amp; IF(ISERROR(FIND($D$2,Lines!J36))=TRUE,"",IF('330'!J36="","ERR","")) &amp; IF(ISERROR(FIND($E$2,Lines!J36))=TRUE,"",IF('220'!J36="","ERR",""))&amp; IF(ISERROR(FIND($F$2,Lines!J36))=TRUE,"",IF(AND('500DC'!J36="",'800DC'!J36=""),"ERR","")) &amp; IF(ISERROR(FIND($G$2,Lines!J36))=TRUE,"",IF('1000'!J36="","ERR","")) &amp; IF(ISERROR(FIND($H$2,Lines!J36))=TRUE,"",IF('500DC'!J36="","ERR","")) &amp; IF(ISERROR(FIND($I$2,Lines!J36))=TRUE,"",IF('800DC'!J36="","ERR","")) &amp; IF(ISERROR(FIND($J$2,Lines!J36))=TRUE,"",IF('1000'!J36="","ERR",""))</f>
        <v/>
      </c>
      <c r="K36" s="108" t="str">
        <f>IF(ISERROR(FIND($B$2,Lines!K36))=TRUE,"",IF('750'!K36="","ERR","")) &amp; IF(ISERROR(FIND($C$2,Lines!K36))=TRUE,"",IF('500'!K36="","ERR","")) &amp; IF(ISERROR(FIND($D$2,Lines!K36))=TRUE,"",IF('330'!K36="","ERR","")) &amp; IF(ISERROR(FIND($E$2,Lines!K36))=TRUE,"",IF('220'!K36="","ERR",""))&amp; IF(ISERROR(FIND($F$2,Lines!K36))=TRUE,"",IF(AND('500DC'!K36="",'800DC'!K36=""),"ERR","")) &amp; IF(ISERROR(FIND($G$2,Lines!K36))=TRUE,"",IF('1000'!K36="","ERR","")) &amp; IF(ISERROR(FIND($H$2,Lines!K36))=TRUE,"",IF('500DC'!K36="","ERR","")) &amp; IF(ISERROR(FIND($I$2,Lines!K36))=TRUE,"",IF('800DC'!K36="","ERR","")) &amp; IF(ISERROR(FIND($J$2,Lines!K36))=TRUE,"",IF('1000'!K36="","ERR",""))</f>
        <v/>
      </c>
      <c r="L36" s="108" t="str">
        <f>IF(ISERROR(FIND($B$2,Lines!L36))=TRUE,"",IF('750'!L36="","ERR","")) &amp; IF(ISERROR(FIND($C$2,Lines!L36))=TRUE,"",IF('500'!L36="","ERR","")) &amp; IF(ISERROR(FIND($D$2,Lines!L36))=TRUE,"",IF('330'!L36="","ERR","")) &amp; IF(ISERROR(FIND($E$2,Lines!L36))=TRUE,"",IF('220'!L36="","ERR",""))&amp; IF(ISERROR(FIND($F$2,Lines!L36))=TRUE,"",IF(AND('500DC'!L36="",'800DC'!L36=""),"ERR","")) &amp; IF(ISERROR(FIND($G$2,Lines!L36))=TRUE,"",IF('1000'!L36="","ERR","")) &amp; IF(ISERROR(FIND($H$2,Lines!L36))=TRUE,"",IF('500DC'!L36="","ERR","")) &amp; IF(ISERROR(FIND($I$2,Lines!L36))=TRUE,"",IF('800DC'!L36="","ERR","")) &amp; IF(ISERROR(FIND($J$2,Lines!L36))=TRUE,"",IF('1000'!L36="","ERR",""))</f>
        <v/>
      </c>
      <c r="M36" s="108" t="str">
        <f>IF(ISERROR(FIND($B$2,Lines!M36))=TRUE,"",IF('750'!M36="","ERR","")) &amp; IF(ISERROR(FIND($C$2,Lines!M36))=TRUE,"",IF('500'!M36="","ERR","")) &amp; IF(ISERROR(FIND($D$2,Lines!M36))=TRUE,"",IF('330'!M36="","ERR","")) &amp; IF(ISERROR(FIND($E$2,Lines!M36))=TRUE,"",IF('220'!M36="","ERR",""))&amp; IF(ISERROR(FIND($F$2,Lines!M36))=TRUE,"",IF(AND('500DC'!M36="",'800DC'!M36=""),"ERR","")) &amp; IF(ISERROR(FIND($G$2,Lines!M36))=TRUE,"",IF('1000'!M36="","ERR","")) &amp; IF(ISERROR(FIND($H$2,Lines!M36))=TRUE,"",IF('500DC'!M36="","ERR","")) &amp; IF(ISERROR(FIND($I$2,Lines!M36))=TRUE,"",IF('800DC'!M36="","ERR","")) &amp; IF(ISERROR(FIND($J$2,Lines!M36))=TRUE,"",IF('1000'!M36="","ERR",""))</f>
        <v/>
      </c>
      <c r="N36" s="108" t="str">
        <f>IF(ISERROR(FIND($B$2,Lines!N36))=TRUE,"",IF('750'!N36="","ERR","")) &amp; IF(ISERROR(FIND($C$2,Lines!N36))=TRUE,"",IF('500'!N36="","ERR","")) &amp; IF(ISERROR(FIND($D$2,Lines!N36))=TRUE,"",IF('330'!N36="","ERR","")) &amp; IF(ISERROR(FIND($E$2,Lines!N36))=TRUE,"",IF('220'!N36="","ERR",""))&amp; IF(ISERROR(FIND($F$2,Lines!N36))=TRUE,"",IF(AND('500DC'!N36="",'800DC'!N36=""),"ERR","")) &amp; IF(ISERROR(FIND($G$2,Lines!N36))=TRUE,"",IF('1000'!N36="","ERR","")) &amp; IF(ISERROR(FIND($H$2,Lines!N36))=TRUE,"",IF('500DC'!N36="","ERR","")) &amp; IF(ISERROR(FIND($I$2,Lines!N36))=TRUE,"",IF('800DC'!N36="","ERR","")) &amp; IF(ISERROR(FIND($J$2,Lines!N36))=TRUE,"",IF('1000'!N36="","ERR",""))</f>
        <v/>
      </c>
      <c r="O36" s="108" t="str">
        <f>IF(ISERROR(FIND($B$2,Lines!O36))=TRUE,"",IF('750'!O36="","ERR","")) &amp; IF(ISERROR(FIND($C$2,Lines!O36))=TRUE,"",IF('500'!O36="","ERR","")) &amp; IF(ISERROR(FIND($D$2,Lines!O36))=TRUE,"",IF('330'!O36="","ERR","")) &amp; IF(ISERROR(FIND($E$2,Lines!O36))=TRUE,"",IF('220'!O36="","ERR",""))&amp; IF(ISERROR(FIND($F$2,Lines!O36))=TRUE,"",IF(AND('500DC'!O36="",'800DC'!O36=""),"ERR","")) &amp; IF(ISERROR(FIND($G$2,Lines!O36))=TRUE,"",IF('1000'!O36="","ERR","")) &amp; IF(ISERROR(FIND($H$2,Lines!O36))=TRUE,"",IF('500DC'!O36="","ERR","")) &amp; IF(ISERROR(FIND($I$2,Lines!O36))=TRUE,"",IF('800DC'!O36="","ERR","")) &amp; IF(ISERROR(FIND($J$2,Lines!O36))=TRUE,"",IF('1000'!O36="","ERR",""))</f>
        <v/>
      </c>
      <c r="P36" s="108" t="str">
        <f>IF(ISERROR(FIND($B$2,Lines!P36))=TRUE,"",IF('750'!P36="","ERR","")) &amp; IF(ISERROR(FIND($C$2,Lines!P36))=TRUE,"",IF('500'!P36="","ERR","")) &amp; IF(ISERROR(FIND($D$2,Lines!P36))=TRUE,"",IF('330'!P36="","ERR","")) &amp; IF(ISERROR(FIND($E$2,Lines!P36))=TRUE,"",IF('220'!P36="","ERR",""))&amp; IF(ISERROR(FIND($F$2,Lines!P36))=TRUE,"",IF(AND('500DC'!P36="",'800DC'!P36=""),"ERR","")) &amp; IF(ISERROR(FIND($G$2,Lines!P36))=TRUE,"",IF('1000'!P36="","ERR","")) &amp; IF(ISERROR(FIND($H$2,Lines!P36))=TRUE,"",IF('500DC'!P36="","ERR","")) &amp; IF(ISERROR(FIND($I$2,Lines!P36))=TRUE,"",IF('800DC'!P36="","ERR","")) &amp; IF(ISERROR(FIND($J$2,Lines!P36))=TRUE,"",IF('1000'!P36="","ERR",""))</f>
        <v/>
      </c>
      <c r="Q36" s="108" t="str">
        <f>IF(ISERROR(FIND($B$2,Lines!Q36))=TRUE,"",IF('750'!Q36="","ERR","")) &amp; IF(ISERROR(FIND($C$2,Lines!Q36))=TRUE,"",IF('500'!Q36="","ERR","")) &amp; IF(ISERROR(FIND($D$2,Lines!Q36))=TRUE,"",IF('330'!Q36="","ERR","")) &amp; IF(ISERROR(FIND($E$2,Lines!Q36))=TRUE,"",IF('220'!Q36="","ERR",""))&amp; IF(ISERROR(FIND($F$2,Lines!Q36))=TRUE,"",IF(AND('500DC'!Q36="",'800DC'!Q36=""),"ERR","")) &amp; IF(ISERROR(FIND($G$2,Lines!Q36))=TRUE,"",IF('1000'!Q36="","ERR","")) &amp; IF(ISERROR(FIND($H$2,Lines!Q36))=TRUE,"",IF('500DC'!Q36="","ERR","")) &amp; IF(ISERROR(FIND($I$2,Lines!Q36))=TRUE,"",IF('800DC'!Q36="","ERR","")) &amp; IF(ISERROR(FIND($J$2,Lines!Q36))=TRUE,"",IF('1000'!Q36="","ERR",""))</f>
        <v/>
      </c>
      <c r="R36" s="108" t="str">
        <f>IF(ISERROR(FIND($B$2,Lines!R36))=TRUE,"",IF('750'!R36="","ERR","")) &amp; IF(ISERROR(FIND($C$2,Lines!R36))=TRUE,"",IF('500'!R36="","ERR","")) &amp; IF(ISERROR(FIND($D$2,Lines!R36))=TRUE,"",IF('330'!R36="","ERR","")) &amp; IF(ISERROR(FIND($E$2,Lines!R36))=TRUE,"",IF('220'!R36="","ERR",""))&amp; IF(ISERROR(FIND($F$2,Lines!R36))=TRUE,"",IF(AND('500DC'!R36="",'800DC'!R36=""),"ERR","")) &amp; IF(ISERROR(FIND($G$2,Lines!R36))=TRUE,"",IF('1000'!R36="","ERR","")) &amp; IF(ISERROR(FIND($H$2,Lines!R36))=TRUE,"",IF('500DC'!R36="","ERR","")) &amp; IF(ISERROR(FIND($I$2,Lines!R36))=TRUE,"",IF('800DC'!R36="","ERR","")) &amp; IF(ISERROR(FIND($J$2,Lines!R36))=TRUE,"",IF('1000'!R36="","ERR",""))</f>
        <v/>
      </c>
      <c r="S36" s="108" t="str">
        <f>IF(ISERROR(FIND($B$2,Lines!S36))=TRUE,"",IF('750'!S36="","ERR","")) &amp; IF(ISERROR(FIND($C$2,Lines!S36))=TRUE,"",IF('500'!S36="","ERR","")) &amp; IF(ISERROR(FIND($D$2,Lines!S36))=TRUE,"",IF('330'!S36="","ERR","")) &amp; IF(ISERROR(FIND($E$2,Lines!S36))=TRUE,"",IF('220'!S36="","ERR",""))&amp; IF(ISERROR(FIND($F$2,Lines!S36))=TRUE,"",IF(AND('500DC'!S36="",'800DC'!S36=""),"ERR","")) &amp; IF(ISERROR(FIND($G$2,Lines!S36))=TRUE,"",IF('1000'!S36="","ERR","")) &amp; IF(ISERROR(FIND($H$2,Lines!S36))=TRUE,"",IF('500DC'!S36="","ERR","")) &amp; IF(ISERROR(FIND($I$2,Lines!S36))=TRUE,"",IF('800DC'!S36="","ERR","")) &amp; IF(ISERROR(FIND($J$2,Lines!S36))=TRUE,"",IF('1000'!S36="","ERR",""))</f>
        <v/>
      </c>
      <c r="T36" s="108" t="str">
        <f>IF(ISERROR(FIND($B$2,Lines!T36))=TRUE,"",IF('750'!T36="","ERR","")) &amp; IF(ISERROR(FIND($C$2,Lines!T36))=TRUE,"",IF('500'!T36="","ERR","")) &amp; IF(ISERROR(FIND($D$2,Lines!T36))=TRUE,"",IF('330'!T36="","ERR","")) &amp; IF(ISERROR(FIND($E$2,Lines!T36))=TRUE,"",IF('220'!T36="","ERR",""))&amp; IF(ISERROR(FIND($F$2,Lines!T36))=TRUE,"",IF(AND('500DC'!T36="",'800DC'!T36=""),"ERR","")) &amp; IF(ISERROR(FIND($G$2,Lines!T36))=TRUE,"",IF('1000'!T36="","ERR","")) &amp; IF(ISERROR(FIND($H$2,Lines!T36))=TRUE,"",IF('500DC'!T36="","ERR","")) &amp; IF(ISERROR(FIND($I$2,Lines!T36))=TRUE,"",IF('800DC'!T36="","ERR","")) &amp; IF(ISERROR(FIND($J$2,Lines!T36))=TRUE,"",IF('1000'!T36="","ERR",""))</f>
        <v/>
      </c>
      <c r="U36" s="108" t="str">
        <f>IF(ISERROR(FIND($B$2,Lines!U36))=TRUE,"",IF('750'!U36="","ERR","")) &amp; IF(ISERROR(FIND($C$2,Lines!U36))=TRUE,"",IF('500'!U36="","ERR","")) &amp; IF(ISERROR(FIND($D$2,Lines!U36))=TRUE,"",IF('330'!U36="","ERR","")) &amp; IF(ISERROR(FIND($E$2,Lines!U36))=TRUE,"",IF('220'!U36="","ERR",""))&amp; IF(ISERROR(FIND($F$2,Lines!U36))=TRUE,"",IF(AND('500DC'!U36="",'800DC'!U36=""),"ERR","")) &amp; IF(ISERROR(FIND($G$2,Lines!U36))=TRUE,"",IF('1000'!U36="","ERR","")) &amp; IF(ISERROR(FIND($H$2,Lines!U36))=TRUE,"",IF('500DC'!U36="","ERR","")) &amp; IF(ISERROR(FIND($I$2,Lines!U36))=TRUE,"",IF('800DC'!U36="","ERR","")) &amp; IF(ISERROR(FIND($J$2,Lines!U36))=TRUE,"",IF('1000'!U36="","ERR",""))</f>
        <v/>
      </c>
      <c r="V36" s="108" t="str">
        <f>IF(ISERROR(FIND($B$2,Lines!V36))=TRUE,"",IF('750'!V36="","ERR","")) &amp; IF(ISERROR(FIND($C$2,Lines!V36))=TRUE,"",IF('500'!V36="","ERR","")) &amp; IF(ISERROR(FIND($D$2,Lines!V36))=TRUE,"",IF('330'!V36="","ERR","")) &amp; IF(ISERROR(FIND($E$2,Lines!V36))=TRUE,"",IF('220'!V36="","ERR",""))&amp; IF(ISERROR(FIND($F$2,Lines!V36))=TRUE,"",IF(AND('500DC'!V36="",'800DC'!V36=""),"ERR","")) &amp; IF(ISERROR(FIND($G$2,Lines!V36))=TRUE,"",IF('1000'!V36="","ERR","")) &amp; IF(ISERROR(FIND($H$2,Lines!V36))=TRUE,"",IF('500DC'!V36="","ERR","")) &amp; IF(ISERROR(FIND($I$2,Lines!V36))=TRUE,"",IF('800DC'!V36="","ERR","")) &amp; IF(ISERROR(FIND($J$2,Lines!V36))=TRUE,"",IF('1000'!V36="","ERR",""))</f>
        <v/>
      </c>
      <c r="W36" s="109" t="str">
        <f>IF(ISERROR(FIND($B$2,Lines!W36))=TRUE,"",IF('750'!W36="","ERR","")) &amp; IF(ISERROR(FIND($C$2,Lines!W36))=TRUE,"",IF('500'!W36="","ERR","")) &amp; IF(ISERROR(FIND($D$2,Lines!W36))=TRUE,"",IF('330'!W36="","ERR","")) &amp; IF(ISERROR(FIND($E$2,Lines!W36))=TRUE,"",IF('220'!W36="","ERR",""))&amp; IF(ISERROR(FIND($F$2,Lines!W36))=TRUE,"",IF(AND('500DC'!W36="",'800DC'!W36=""),"ERR","")) &amp; IF(ISERROR(FIND($G$2,Lines!W36))=TRUE,"",IF('1000'!W36="","ERR","")) &amp; IF(ISERROR(FIND($H$2,Lines!W36))=TRUE,"",IF('500DC'!W36="","ERR","")) &amp; IF(ISERROR(FIND($I$2,Lines!W36))=TRUE,"",IF('800DC'!W36="","ERR","")) &amp; IF(ISERROR(FIND($J$2,Lines!W36))=TRUE,"",IF('1000'!W36="","ERR",""))</f>
        <v/>
      </c>
      <c r="X36" s="108" t="str">
        <f>IF(ISERROR(FIND($B$2,Lines!X36))=TRUE,"",IF('750'!X36="","ERR","")) &amp; IF(ISERROR(FIND($C$2,Lines!X36))=TRUE,"",IF('500'!X36="","ERR","")) &amp; IF(ISERROR(FIND($D$2,Lines!X36))=TRUE,"",IF('330'!X36="","ERR","")) &amp; IF(ISERROR(FIND($E$2,Lines!X36))=TRUE,"",IF('220'!X36="","ERR",""))&amp; IF(ISERROR(FIND($F$2,Lines!X36))=TRUE,"",IF(AND('500DC'!X36="",'800DC'!X36=""),"ERR","")) &amp; IF(ISERROR(FIND($G$2,Lines!X36))=TRUE,"",IF('1000'!X36="","ERR","")) &amp; IF(ISERROR(FIND($H$2,Lines!X36))=TRUE,"",IF('500DC'!X36="","ERR","")) &amp; IF(ISERROR(FIND($I$2,Lines!X36))=TRUE,"",IF('800DC'!X36="","ERR","")) &amp; IF(ISERROR(FIND($J$2,Lines!X36))=TRUE,"",IF('1000'!X36="","ERR",""))</f>
        <v/>
      </c>
      <c r="Y36" s="108" t="str">
        <f>IF(ISERROR(FIND($B$2,Lines!Y36))=TRUE,"",IF('750'!Y36="","ERR","")) &amp; IF(ISERROR(FIND($C$2,Lines!Y36))=TRUE,"",IF('500'!Y36="","ERR","")) &amp; IF(ISERROR(FIND($D$2,Lines!Y36))=TRUE,"",IF('330'!Y36="","ERR","")) &amp; IF(ISERROR(FIND($E$2,Lines!Y36))=TRUE,"",IF('220'!Y36="","ERR",""))&amp; IF(ISERROR(FIND($F$2,Lines!Y36))=TRUE,"",IF(AND('500DC'!Y36="",'800DC'!Y36=""),"ERR","")) &amp; IF(ISERROR(FIND($G$2,Lines!Y36))=TRUE,"",IF('1000'!Y36="","ERR","")) &amp; IF(ISERROR(FIND($H$2,Lines!Y36))=TRUE,"",IF('500DC'!Y36="","ERR","")) &amp; IF(ISERROR(FIND($I$2,Lines!Y36))=TRUE,"",IF('800DC'!Y36="","ERR","")) &amp; IF(ISERROR(FIND($J$2,Lines!Y36))=TRUE,"",IF('1000'!Y36="","ERR",""))</f>
        <v/>
      </c>
      <c r="Z36" s="108" t="str">
        <f>IF(ISERROR(FIND($B$2,Lines!Z36))=TRUE,"",IF('750'!Z36="","ERR","")) &amp; IF(ISERROR(FIND($C$2,Lines!Z36))=TRUE,"",IF('500'!Z36="","ERR","")) &amp; IF(ISERROR(FIND($D$2,Lines!Z36))=TRUE,"",IF('330'!Z36="","ERR","")) &amp; IF(ISERROR(FIND($E$2,Lines!Z36))=TRUE,"",IF('220'!Z36="","ERR",""))&amp; IF(ISERROR(FIND($F$2,Lines!Z36))=TRUE,"",IF(AND('500DC'!Z36="",'800DC'!Z36=""),"ERR","")) &amp; IF(ISERROR(FIND($G$2,Lines!Z36))=TRUE,"",IF('1000'!Z36="","ERR","")) &amp; IF(ISERROR(FIND($H$2,Lines!Z36))=TRUE,"",IF('500DC'!Z36="","ERR","")) &amp; IF(ISERROR(FIND($I$2,Lines!Z36))=TRUE,"",IF('800DC'!Z36="","ERR","")) &amp; IF(ISERROR(FIND($J$2,Lines!Z36))=TRUE,"",IF('1000'!Z36="","ERR",""))</f>
        <v/>
      </c>
      <c r="AA36" s="108" t="str">
        <f>IF(ISERROR(FIND($B$2,Lines!AA36))=TRUE,"",IF('750'!AA36="","ERR","")) &amp; IF(ISERROR(FIND($C$2,Lines!AA36))=TRUE,"",IF('500'!AA36="","ERR","")) &amp; IF(ISERROR(FIND($D$2,Lines!AA36))=TRUE,"",IF('330'!AA36="","ERR","")) &amp; IF(ISERROR(FIND($E$2,Lines!AA36))=TRUE,"",IF('220'!AA36="","ERR",""))&amp; IF(ISERROR(FIND($F$2,Lines!AA36))=TRUE,"",IF(AND('500DC'!AA36="",'800DC'!AA36=""),"ERR","")) &amp; IF(ISERROR(FIND($G$2,Lines!AA36))=TRUE,"",IF('1000'!AA36="","ERR","")) &amp; IF(ISERROR(FIND($H$2,Lines!AA36))=TRUE,"",IF('500DC'!AA36="","ERR","")) &amp; IF(ISERROR(FIND($I$2,Lines!AA36))=TRUE,"",IF('800DC'!AA36="","ERR","")) &amp; IF(ISERROR(FIND($J$2,Lines!AA36))=TRUE,"",IF('1000'!AA36="","ERR",""))</f>
        <v/>
      </c>
      <c r="AB36" s="108" t="str">
        <f>IF(ISERROR(FIND($B$2,Lines!AB36))=TRUE,"",IF('750'!AB36="","ERR","")) &amp; IF(ISERROR(FIND($C$2,Lines!AB36))=TRUE,"",IF('500'!AB36="","ERR","")) &amp; IF(ISERROR(FIND($D$2,Lines!AB36))=TRUE,"",IF('330'!AB36="","ERR","")) &amp; IF(ISERROR(FIND($E$2,Lines!AB36))=TRUE,"",IF('220'!AB36="","ERR",""))&amp; IF(ISERROR(FIND($F$2,Lines!AB36))=TRUE,"",IF(AND('500DC'!AB36="",'800DC'!AB36=""),"ERR","")) &amp; IF(ISERROR(FIND($G$2,Lines!AB36))=TRUE,"",IF('1000'!AB36="","ERR","")) &amp; IF(ISERROR(FIND($H$2,Lines!AB36))=TRUE,"",IF('500DC'!AB36="","ERR","")) &amp; IF(ISERROR(FIND($I$2,Lines!AB36))=TRUE,"",IF('800DC'!AB36="","ERR","")) &amp; IF(ISERROR(FIND($J$2,Lines!AB36))=TRUE,"",IF('1000'!AB36="","ERR",""))</f>
        <v/>
      </c>
      <c r="AC36" s="108" t="str">
        <f>IF(ISERROR(FIND($B$2,Lines!AC36))=TRUE,"",IF('750'!AC36="","ERR","")) &amp; IF(ISERROR(FIND($C$2,Lines!AC36))=TRUE,"",IF('500'!AC36="","ERR","")) &amp; IF(ISERROR(FIND($D$2,Lines!AC36))=TRUE,"",IF('330'!AC36="","ERR","")) &amp; IF(ISERROR(FIND($E$2,Lines!AC36))=TRUE,"",IF('220'!AC36="","ERR",""))&amp; IF(ISERROR(FIND($F$2,Lines!AC36))=TRUE,"",IF(AND('500DC'!AC36="",'800DC'!AC36=""),"ERR","")) &amp; IF(ISERROR(FIND($G$2,Lines!AC36))=TRUE,"",IF('1000'!AC36="","ERR","")) &amp; IF(ISERROR(FIND($H$2,Lines!AC36))=TRUE,"",IF('500DC'!AC36="","ERR","")) &amp; IF(ISERROR(FIND($I$2,Lines!AC36))=TRUE,"",IF('800DC'!AC36="","ERR","")) &amp; IF(ISERROR(FIND($J$2,Lines!AC36))=TRUE,"",IF('1000'!AC36="","ERR",""))</f>
        <v/>
      </c>
      <c r="AD36" s="108" t="str">
        <f>IF(ISERROR(FIND($B$2,Lines!AD36))=TRUE,"",IF('750'!AD36="","ERR","")) &amp; IF(ISERROR(FIND($C$2,Lines!AD36))=TRUE,"",IF('500'!AD36="","ERR","")) &amp; IF(ISERROR(FIND($D$2,Lines!AD36))=TRUE,"",IF('330'!AD36="","ERR","")) &amp; IF(ISERROR(FIND($E$2,Lines!AD36))=TRUE,"",IF('220'!AD36="","ERR",""))&amp; IF(ISERROR(FIND($F$2,Lines!AD36))=TRUE,"",IF(AND('500DC'!AD36="",'800DC'!AD36=""),"ERR","")) &amp; IF(ISERROR(FIND($G$2,Lines!AD36))=TRUE,"",IF('1000'!AD36="","ERR","")) &amp; IF(ISERROR(FIND($H$2,Lines!AD36))=TRUE,"",IF('500DC'!AD36="","ERR","")) &amp; IF(ISERROR(FIND($I$2,Lines!AD36))=TRUE,"",IF('800DC'!AD36="","ERR","")) &amp; IF(ISERROR(FIND($J$2,Lines!AD36))=TRUE,"",IF('1000'!AD36="","ERR",""))</f>
        <v/>
      </c>
      <c r="AE36" s="130" t="str">
        <f>IF(ISERROR(FIND($B$2,Lines!AE36))=TRUE,"",IF('750'!AE36="","ERR","")) &amp; IF(ISERROR(FIND($C$2,Lines!AE36))=TRUE,"",IF('500'!AE36="","ERR","")) &amp; IF(ISERROR(FIND($D$2,Lines!AE36))=TRUE,"",IF('330'!AE36="","ERR","")) &amp; IF(ISERROR(FIND($E$2,Lines!AE36))=TRUE,"",IF('220'!AE36="","ERR",""))&amp; IF(ISERROR(FIND($F$2,Lines!AE36))=TRUE,"",IF(AND('500DC'!AE36="",'800DC'!AE36=""),"ERR","")) &amp; IF(ISERROR(FIND($G$2,Lines!AE36))=TRUE,"",IF('1000'!AE36="","ERR","")) &amp; IF(ISERROR(FIND($H$2,Lines!AE36))=TRUE,"",IF('500DC'!AE36="","ERR","")) &amp; IF(ISERROR(FIND($I$2,Lines!AE36))=TRUE,"",IF('800DC'!AE36="","ERR","")) &amp; IF(ISERROR(FIND($J$2,Lines!AE36))=TRUE,"",IF('1000'!AE36="","ERR",""))</f>
        <v/>
      </c>
      <c r="AF36" s="131" t="str">
        <f>IF(ISERROR(FIND($B$2,Lines!AF36))=TRUE,"",IF('750'!AF36="","ERR","")) &amp; IF(ISERROR(FIND($C$2,Lines!AF36))=TRUE,"",IF('500'!AF36="","ERR","")) &amp; IF(ISERROR(FIND($D$2,Lines!AF36))=TRUE,"",IF('330'!AF36="","ERR","")) &amp; IF(ISERROR(FIND($E$2,Lines!AF36))=TRUE,"",IF('220'!AF36="","ERR",""))&amp; IF(ISERROR(FIND($F$2,Lines!AF36))=TRUE,"",IF(AND('500DC'!AF36="",'800DC'!AF36=""),"ERR","")) &amp; IF(ISERROR(FIND($G$2,Lines!AF36))=TRUE,"",IF('1000'!AF36="","ERR","")) &amp; IF(ISERROR(FIND($H$2,Lines!AF36))=TRUE,"",IF('500DC'!AF36="","ERR","")) &amp; IF(ISERROR(FIND($I$2,Lines!AF36))=TRUE,"",IF('800DC'!AF36="","ERR","")) &amp; IF(ISERROR(FIND($J$2,Lines!AF36))=TRUE,"",IF('1000'!AF36="","ERR",""))</f>
        <v/>
      </c>
      <c r="AG36" s="131" t="str">
        <f>IF(ISERROR(FIND($B$2,Lines!AG36))=TRUE,"",IF('750'!AG36="","ERR","")) &amp; IF(ISERROR(FIND($C$2,Lines!AG36))=TRUE,"",IF('500'!AG36="","ERR","")) &amp; IF(ISERROR(FIND($D$2,Lines!AG36))=TRUE,"",IF('330'!AG36="","ERR","")) &amp; IF(ISERROR(FIND($E$2,Lines!AG36))=TRUE,"",IF('220'!AG36="","ERR",""))&amp; IF(ISERROR(FIND($F$2,Lines!AG36))=TRUE,"",IF(AND('500DC'!AG36="",'800DC'!AG36=""),"ERR","")) &amp; IF(ISERROR(FIND($G$2,Lines!AG36))=TRUE,"",IF('1000'!AG36="","ERR","")) &amp; IF(ISERROR(FIND($H$2,Lines!AG36))=TRUE,"",IF('500DC'!AG36="","ERR","")) &amp; IF(ISERROR(FIND($I$2,Lines!AG36))=TRUE,"",IF('800DC'!AG36="","ERR","")) &amp; IF(ISERROR(FIND($J$2,Lines!AG36))=TRUE,"",IF('1000'!AG36="","ERR",""))</f>
        <v/>
      </c>
      <c r="AH36" s="116" t="str">
        <f>IF(ISERROR(FIND($B$2,Lines!AH36))=TRUE,"",IF('750'!AH36="","ERR","")) &amp; IF(ISERROR(FIND($C$2,Lines!AH36))=TRUE,"",IF('500'!AH36="","ERR","")) &amp; IF(ISERROR(FIND($D$2,Lines!AH36))=TRUE,"",IF('330'!AH36="","ERR","")) &amp; IF(ISERROR(FIND($E$2,Lines!AH36))=TRUE,"",IF('220'!AH36="","ERR",""))&amp; IF(ISERROR(FIND($F$2,Lines!AH36))=TRUE,"",IF(AND('500DC'!AH36="",'800DC'!AH36=""),"ERR","")) &amp; IF(ISERROR(FIND($G$2,Lines!AH36))=TRUE,"",IF('1000'!AH36="","ERR","")) &amp; IF(ISERROR(FIND($H$2,Lines!AH36))=TRUE,"",IF('500DC'!AH36="","ERR","")) &amp; IF(ISERROR(FIND($I$2,Lines!AH36))=TRUE,"",IF('800DC'!AH36="","ERR","")) &amp; IF(ISERROR(FIND($J$2,Lines!AH36))=TRUE,"",IF('1000'!AH36="","ERR",""))</f>
        <v/>
      </c>
      <c r="AI36" s="131" t="str">
        <f>IF(ISERROR(FIND($B$2,Lines!AI36))=TRUE,"",IF('750'!AI36="","ERR","")) &amp; IF(ISERROR(FIND($C$2,Lines!AI36))=TRUE,"",IF('500'!AI36="","ERR","")) &amp; IF(ISERROR(FIND($D$2,Lines!AI36))=TRUE,"",IF('330'!AI36="","ERR","")) &amp; IF(ISERROR(FIND($E$2,Lines!AI36))=TRUE,"",IF('220'!AI36="","ERR",""))&amp; IF(ISERROR(FIND($F$2,Lines!AI36))=TRUE,"",IF(AND('500DC'!AI36="",'800DC'!AI36=""),"ERR","")) &amp; IF(ISERROR(FIND($G$2,Lines!AI36))=TRUE,"",IF('1000'!AI36="","ERR","")) &amp; IF(ISERROR(FIND($H$2,Lines!AI36))=TRUE,"",IF('500DC'!AI36="","ERR","")) &amp; IF(ISERROR(FIND($I$2,Lines!AI36))=TRUE,"",IF('800DC'!AI36="","ERR","")) &amp; IF(ISERROR(FIND($J$2,Lines!AI36))=TRUE,"",IF('1000'!AI36="","ERR",""))</f>
        <v/>
      </c>
      <c r="AJ36" s="132" t="str">
        <f>IF(ISERROR(FIND($B$2,Lines!AJ36))=TRUE,"",IF('750'!AJ36="","ERR","")) &amp; IF(ISERROR(FIND($C$2,Lines!AJ36))=TRUE,"",IF('500'!AJ36="","ERR","")) &amp; IF(ISERROR(FIND($D$2,Lines!AJ36))=TRUE,"",IF('330'!AJ36="","ERR","")) &amp; IF(ISERROR(FIND($E$2,Lines!AJ36))=TRUE,"",IF('220'!AJ36="","ERR",""))&amp; IF(ISERROR(FIND($F$2,Lines!AJ36))=TRUE,"",IF(AND('500DC'!AJ36="",'800DC'!AJ36=""),"ERR","")) &amp; IF(ISERROR(FIND($G$2,Lines!AJ36))=TRUE,"",IF('1000'!AJ36="","ERR","")) &amp; IF(ISERROR(FIND($H$2,Lines!AJ36))=TRUE,"",IF('500DC'!AJ36="","ERR","")) &amp; IF(ISERROR(FIND($I$2,Lines!AJ36))=TRUE,"",IF('800DC'!AJ36="","ERR","")) &amp; IF(ISERROR(FIND($J$2,Lines!AJ36))=TRUE,"",IF('1000'!AJ36="","ERR",""))</f>
        <v/>
      </c>
      <c r="AK36" s="108" t="str">
        <f>IF(ISERROR(FIND($B$2,Lines!AK36))=TRUE,"",IF('750'!AK36="","ERR","")) &amp; IF(ISERROR(FIND($C$2,Lines!AK36))=TRUE,"",IF('500'!AK36="","ERR","")) &amp; IF(ISERROR(FIND($D$2,Lines!AK36))=TRUE,"",IF('330'!AK36="","ERR","")) &amp; IF(ISERROR(FIND($E$2,Lines!AK36))=TRUE,"",IF('220'!AK36="","ERR",""))&amp; IF(ISERROR(FIND($F$2,Lines!AK36))=TRUE,"",IF(AND('500DC'!AK36="",'800DC'!AK36=""),"ERR","")) &amp; IF(ISERROR(FIND($G$2,Lines!AK36))=TRUE,"",IF('1000'!AK36="","ERR","")) &amp; IF(ISERROR(FIND($H$2,Lines!AK36))=TRUE,"",IF('500DC'!AK36="","ERR","")) &amp; IF(ISERROR(FIND($I$2,Lines!AK36))=TRUE,"",IF('800DC'!AK36="","ERR","")) &amp; IF(ISERROR(FIND($J$2,Lines!AK36))=TRUE,"",IF('1000'!AK36="","ERR",""))</f>
        <v/>
      </c>
      <c r="AL36" s="108" t="str">
        <f>IF(ISERROR(FIND($B$2,Lines!AL36))=TRUE,"",IF('750'!AL36="","ERR","")) &amp; IF(ISERROR(FIND($C$2,Lines!AL36))=TRUE,"",IF('500'!AL36="","ERR","")) &amp; IF(ISERROR(FIND($D$2,Lines!AL36))=TRUE,"",IF('330'!AL36="","ERR","")) &amp; IF(ISERROR(FIND($E$2,Lines!AL36))=TRUE,"",IF('220'!AL36="","ERR",""))&amp; IF(ISERROR(FIND($F$2,Lines!AL36))=TRUE,"",IF(AND('500DC'!AL36="",'800DC'!AL36=""),"ERR","")) &amp; IF(ISERROR(FIND($G$2,Lines!AL36))=TRUE,"",IF('1000'!AL36="","ERR","")) &amp; IF(ISERROR(FIND($H$2,Lines!AL36))=TRUE,"",IF('500DC'!AL36="","ERR","")) &amp; IF(ISERROR(FIND($I$2,Lines!AL36))=TRUE,"",IF('800DC'!AL36="","ERR","")) &amp; IF(ISERROR(FIND($J$2,Lines!AL36))=TRUE,"",IF('1000'!AL36="","ERR",""))</f>
        <v/>
      </c>
      <c r="AM36" s="108" t="str">
        <f>IF(ISERROR(FIND($B$2,Lines!AM36))=TRUE,"",IF('750'!AM36="","ERR","")) &amp; IF(ISERROR(FIND($C$2,Lines!AM36))=TRUE,"",IF('500'!AM36="","ERR","")) &amp; IF(ISERROR(FIND($D$2,Lines!AM36))=TRUE,"",IF('330'!AM36="","ERR","")) &amp; IF(ISERROR(FIND($E$2,Lines!AM36))=TRUE,"",IF('220'!AM36="","ERR",""))&amp; IF(ISERROR(FIND($F$2,Lines!AM36))=TRUE,"",IF(AND('500DC'!AM36="",'800DC'!AM36=""),"ERR","")) &amp; IF(ISERROR(FIND($G$2,Lines!AM36))=TRUE,"",IF('1000'!AM36="","ERR","")) &amp; IF(ISERROR(FIND($H$2,Lines!AM36))=TRUE,"",IF('500DC'!AM36="","ERR","")) &amp; IF(ISERROR(FIND($I$2,Lines!AM36))=TRUE,"",IF('800DC'!AM36="","ERR","")) &amp; IF(ISERROR(FIND($J$2,Lines!AM36))=TRUE,"",IF('1000'!AM36="","ERR",""))</f>
        <v/>
      </c>
      <c r="AN36" s="108" t="str">
        <f>IF(ISERROR(FIND($B$2,Lines!AN36))=TRUE,"",IF('750'!AN36="","ERR","")) &amp; IF(ISERROR(FIND($C$2,Lines!AN36))=TRUE,"",IF('500'!AN36="","ERR","")) &amp; IF(ISERROR(FIND($D$2,Lines!AN36))=TRUE,"",IF('330'!AN36="","ERR","")) &amp; IF(ISERROR(FIND($E$2,Lines!AN36))=TRUE,"",IF('220'!AN36="","ERR",""))&amp; IF(ISERROR(FIND($F$2,Lines!AN36))=TRUE,"",IF(AND('500DC'!AN36="",'800DC'!AN36=""),"ERR","")) &amp; IF(ISERROR(FIND($G$2,Lines!AN36))=TRUE,"",IF('1000'!AN36="","ERR","")) &amp; IF(ISERROR(FIND($H$2,Lines!AN36))=TRUE,"",IF('500DC'!AN36="","ERR","")) &amp; IF(ISERROR(FIND($I$2,Lines!AN36))=TRUE,"",IF('800DC'!AN36="","ERR","")) &amp; IF(ISERROR(FIND($J$2,Lines!AN36))=TRUE,"",IF('1000'!AN36="","ERR",""))</f>
        <v/>
      </c>
      <c r="AO36" s="108" t="str">
        <f>IF(ISERROR(FIND($B$2,Lines!AO36))=TRUE,"",IF('750'!AO36="","ERR","")) &amp; IF(ISERROR(FIND($C$2,Lines!AO36))=TRUE,"",IF('500'!AO36="","ERR","")) &amp; IF(ISERROR(FIND($D$2,Lines!AO36))=TRUE,"",IF('330'!AO36="","ERR","")) &amp; IF(ISERROR(FIND($E$2,Lines!AO36))=TRUE,"",IF('220'!AO36="","ERR",""))&amp; IF(ISERROR(FIND($F$2,Lines!AO36))=TRUE,"",IF(AND('500DC'!AO36="",'800DC'!AO36=""),"ERR","")) &amp; IF(ISERROR(FIND($G$2,Lines!AO36))=TRUE,"",IF('1000'!AO36="","ERR","")) &amp; IF(ISERROR(FIND($H$2,Lines!AO36))=TRUE,"",IF('500DC'!AO36="","ERR","")) &amp; IF(ISERROR(FIND($I$2,Lines!AO36))=TRUE,"",IF('800DC'!AO36="","ERR","")) &amp; IF(ISERROR(FIND($J$2,Lines!AO36))=TRUE,"",IF('1000'!AO36="","ERR",""))</f>
        <v/>
      </c>
      <c r="AP36" s="108" t="str">
        <f>IF(ISERROR(FIND($B$2,Lines!AP36))=TRUE,"",IF('750'!AP36="","ERR","")) &amp; IF(ISERROR(FIND($C$2,Lines!AP36))=TRUE,"",IF('500'!AP36="","ERR","")) &amp; IF(ISERROR(FIND($D$2,Lines!AP36))=TRUE,"",IF('330'!AP36="","ERR","")) &amp; IF(ISERROR(FIND($E$2,Lines!AP36))=TRUE,"",IF('220'!AP36="","ERR",""))&amp; IF(ISERROR(FIND($F$2,Lines!AP36))=TRUE,"",IF(AND('500DC'!AP36="",'800DC'!AP36=""),"ERR","")) &amp; IF(ISERROR(FIND($G$2,Lines!AP36))=TRUE,"",IF('1000'!AP36="","ERR","")) &amp; IF(ISERROR(FIND($H$2,Lines!AP36))=TRUE,"",IF('500DC'!AP36="","ERR","")) &amp; IF(ISERROR(FIND($I$2,Lines!AP36))=TRUE,"",IF('800DC'!AP36="","ERR","")) &amp; IF(ISERROR(FIND($J$2,Lines!AP36))=TRUE,"",IF('1000'!AP36="","ERR",""))</f>
        <v/>
      </c>
      <c r="AQ36" s="108" t="str">
        <f>IF(ISERROR(FIND($B$2,Lines!AQ36))=TRUE,"",IF('750'!AQ36="","ERR","")) &amp; IF(ISERROR(FIND($C$2,Lines!AQ36))=TRUE,"",IF('500'!AQ36="","ERR","")) &amp; IF(ISERROR(FIND($D$2,Lines!AQ36))=TRUE,"",IF('330'!AQ36="","ERR","")) &amp; IF(ISERROR(FIND($E$2,Lines!AQ36))=TRUE,"",IF('220'!AQ36="","ERR",""))&amp; IF(ISERROR(FIND($F$2,Lines!AQ36))=TRUE,"",IF(AND('500DC'!AQ36="",'800DC'!AQ36=""),"ERR","")) &amp; IF(ISERROR(FIND($G$2,Lines!AQ36))=TRUE,"",IF('1000'!AQ36="","ERR","")) &amp; IF(ISERROR(FIND($H$2,Lines!AQ36))=TRUE,"",IF('500DC'!AQ36="","ERR","")) &amp; IF(ISERROR(FIND($I$2,Lines!AQ36))=TRUE,"",IF('800DC'!AQ36="","ERR","")) &amp; IF(ISERROR(FIND($J$2,Lines!AQ36))=TRUE,"",IF('1000'!AQ36="","ERR",""))</f>
        <v/>
      </c>
      <c r="AR36" s="108" t="str">
        <f>IF(ISERROR(FIND($B$2,Lines!AR36))=TRUE,"",IF('750'!AR36="","ERR","")) &amp; IF(ISERROR(FIND($C$2,Lines!AR36))=TRUE,"",IF('500'!AR36="","ERR","")) &amp; IF(ISERROR(FIND($D$2,Lines!AR36))=TRUE,"",IF('330'!AR36="","ERR","")) &amp; IF(ISERROR(FIND($E$2,Lines!AR36))=TRUE,"",IF('220'!AR36="","ERR",""))&amp; IF(ISERROR(FIND($F$2,Lines!AR36))=TRUE,"",IF(AND('500DC'!AR36="",'800DC'!AR36=""),"ERR","")) &amp; IF(ISERROR(FIND($G$2,Lines!AR36))=TRUE,"",IF('1000'!AR36="","ERR","")) &amp; IF(ISERROR(FIND($H$2,Lines!AR36))=TRUE,"",IF('500DC'!AR36="","ERR","")) &amp; IF(ISERROR(FIND($I$2,Lines!AR36))=TRUE,"",IF('800DC'!AR36="","ERR","")) &amp; IF(ISERROR(FIND($J$2,Lines!AR36))=TRUE,"",IF('1000'!AR36="","ERR",""))</f>
        <v/>
      </c>
      <c r="AS36" s="108" t="str">
        <f>IF(ISERROR(FIND($B$2,Lines!AS36))=TRUE,"",IF('750'!AS36="","ERR","")) &amp; IF(ISERROR(FIND($C$2,Lines!AS36))=TRUE,"",IF('500'!AS36="","ERR","")) &amp; IF(ISERROR(FIND($D$2,Lines!AS36))=TRUE,"",IF('330'!AS36="","ERR","")) &amp; IF(ISERROR(FIND($E$2,Lines!AS36))=TRUE,"",IF('220'!AS36="","ERR",""))&amp; IF(ISERROR(FIND($F$2,Lines!AS36))=TRUE,"",IF(AND('500DC'!AS36="",'800DC'!AS36=""),"ERR","")) &amp; IF(ISERROR(FIND($G$2,Lines!AS36))=TRUE,"",IF('1000'!AS36="","ERR","")) &amp; IF(ISERROR(FIND($H$2,Lines!AS36))=TRUE,"",IF('500DC'!AS36="","ERR","")) &amp; IF(ISERROR(FIND($I$2,Lines!AS36))=TRUE,"",IF('800DC'!AS36="","ERR","")) &amp; IF(ISERROR(FIND($J$2,Lines!AS36))=TRUE,"",IF('1000'!AS36="","ERR",""))</f>
        <v/>
      </c>
      <c r="AT36" s="108" t="str">
        <f>IF(ISERROR(FIND($B$2,Lines!AT36))=TRUE,"",IF('750'!AT36="","ERR","")) &amp; IF(ISERROR(FIND($C$2,Lines!AT36))=TRUE,"",IF('500'!AT36="","ERR","")) &amp; IF(ISERROR(FIND($D$2,Lines!AT36))=TRUE,"",IF('330'!AT36="","ERR","")) &amp; IF(ISERROR(FIND($E$2,Lines!AT36))=TRUE,"",IF('220'!AT36="","ERR",""))&amp; IF(ISERROR(FIND($F$2,Lines!AT36))=TRUE,"",IF(AND('500DC'!AT36="",'800DC'!AT36=""),"ERR","")) &amp; IF(ISERROR(FIND($G$2,Lines!AT36))=TRUE,"",IF('1000'!AT36="","ERR","")) &amp; IF(ISERROR(FIND($H$2,Lines!AT36))=TRUE,"",IF('500DC'!AT36="","ERR","")) &amp; IF(ISERROR(FIND($I$2,Lines!AT36))=TRUE,"",IF('800DC'!AT36="","ERR","")) &amp; IF(ISERROR(FIND($J$2,Lines!AT36))=TRUE,"",IF('1000'!AT36="","ERR",""))</f>
        <v/>
      </c>
    </row>
    <row r="37" spans="1:46" ht="20.25" customHeight="1">
      <c r="A37" s="2" t="s">
        <v>85</v>
      </c>
      <c r="B37" s="108" t="str">
        <f>IF(ISERROR(FIND($B$2,Lines!B37))=TRUE,"",IF('750'!B37="","ERR","")) &amp; IF(ISERROR(FIND($C$2,Lines!B37))=TRUE,"",IF('500'!B37="","ERR","")) &amp; IF(ISERROR(FIND($D$2,Lines!B37))=TRUE,"",IF('330'!B37="","ERR","")) &amp; IF(ISERROR(FIND($E$2,Lines!B37))=TRUE,"",IF('220'!B37="","ERR",""))&amp; IF(ISERROR(FIND($F$2,Lines!B37))=TRUE,"",IF(AND('500DC'!B37="",'800DC'!B37=""),"ERR","")) &amp; IF(ISERROR(FIND($G$2,Lines!B37))=TRUE,"",IF('1000'!B37="","ERR","")) &amp; IF(ISERROR(FIND($H$2,Lines!B37))=TRUE,"",IF('500DC'!B37="","ERR","")) &amp; IF(ISERROR(FIND($I$2,Lines!B37))=TRUE,"",IF('800DC'!B37="","ERR","")) &amp; IF(ISERROR(FIND($J$2,Lines!B37))=TRUE,"",IF('1000'!B37="","ERR",""))</f>
        <v/>
      </c>
      <c r="C37" s="108" t="str">
        <f>IF(ISERROR(FIND($B$2,Lines!C37))=TRUE,"",IF('750'!C37="","ERR","")) &amp; IF(ISERROR(FIND($C$2,Lines!C37))=TRUE,"",IF('500'!C37="","ERR","")) &amp; IF(ISERROR(FIND($D$2,Lines!C37))=TRUE,"",IF('330'!C37="","ERR","")) &amp; IF(ISERROR(FIND($E$2,Lines!C37))=TRUE,"",IF('220'!C37="","ERR",""))&amp; IF(ISERROR(FIND($F$2,Lines!C37))=TRUE,"",IF(AND('500DC'!C37="",'800DC'!C37=""),"ERR","")) &amp; IF(ISERROR(FIND($G$2,Lines!C37))=TRUE,"",IF('1000'!C37="","ERR","")) &amp; IF(ISERROR(FIND($H$2,Lines!C37))=TRUE,"",IF('500DC'!C37="","ERR","")) &amp; IF(ISERROR(FIND($I$2,Lines!C37))=TRUE,"",IF('800DC'!C37="","ERR","")) &amp; IF(ISERROR(FIND($J$2,Lines!C37))=TRUE,"",IF('1000'!C37="","ERR",""))</f>
        <v/>
      </c>
      <c r="D37" s="108" t="str">
        <f>IF(ISERROR(FIND($B$2,Lines!D37))=TRUE,"",IF('750'!D37="","ERR","")) &amp; IF(ISERROR(FIND($C$2,Lines!D37))=TRUE,"",IF('500'!D37="","ERR","")) &amp; IF(ISERROR(FIND($D$2,Lines!D37))=TRUE,"",IF('330'!D37="","ERR","")) &amp; IF(ISERROR(FIND($E$2,Lines!D37))=TRUE,"",IF('220'!D37="","ERR",""))&amp; IF(ISERROR(FIND($F$2,Lines!D37))=TRUE,"",IF(AND('500DC'!D37="",'800DC'!D37=""),"ERR","")) &amp; IF(ISERROR(FIND($G$2,Lines!D37))=TRUE,"",IF('1000'!D37="","ERR","")) &amp; IF(ISERROR(FIND($H$2,Lines!D37))=TRUE,"",IF('500DC'!D37="","ERR","")) &amp; IF(ISERROR(FIND($I$2,Lines!D37))=TRUE,"",IF('800DC'!D37="","ERR","")) &amp; IF(ISERROR(FIND($J$2,Lines!D37))=TRUE,"",IF('1000'!D37="","ERR",""))</f>
        <v/>
      </c>
      <c r="E37" s="108" t="str">
        <f>IF(ISERROR(FIND($B$2,Lines!E37))=TRUE,"",IF('750'!E37="","ERR","")) &amp; IF(ISERROR(FIND($C$2,Lines!E37))=TRUE,"",IF('500'!E37="","ERR","")) &amp; IF(ISERROR(FIND($D$2,Lines!E37))=TRUE,"",IF('330'!E37="","ERR","")) &amp; IF(ISERROR(FIND($E$2,Lines!E37))=TRUE,"",IF('220'!E37="","ERR",""))&amp; IF(ISERROR(FIND($F$2,Lines!E37))=TRUE,"",IF(AND('500DC'!E37="",'800DC'!E37=""),"ERR","")) &amp; IF(ISERROR(FIND($G$2,Lines!E37))=TRUE,"",IF('1000'!E37="","ERR","")) &amp; IF(ISERROR(FIND($H$2,Lines!E37))=TRUE,"",IF('500DC'!E37="","ERR","")) &amp; IF(ISERROR(FIND($I$2,Lines!E37))=TRUE,"",IF('800DC'!E37="","ERR","")) &amp; IF(ISERROR(FIND($J$2,Lines!E37))=TRUE,"",IF('1000'!E37="","ERR",""))</f>
        <v/>
      </c>
      <c r="F37" s="108" t="str">
        <f>IF(ISERROR(FIND($B$2,Lines!F37))=TRUE,"",IF('750'!F37="","ERR","")) &amp; IF(ISERROR(FIND($C$2,Lines!F37))=TRUE,"",IF('500'!F37="","ERR","")) &amp; IF(ISERROR(FIND($D$2,Lines!F37))=TRUE,"",IF('330'!F37="","ERR","")) &amp; IF(ISERROR(FIND($E$2,Lines!F37))=TRUE,"",IF('220'!F37="","ERR",""))&amp; IF(ISERROR(FIND($F$2,Lines!F37))=TRUE,"",IF(AND('500DC'!F37="",'800DC'!F37=""),"ERR","")) &amp; IF(ISERROR(FIND($G$2,Lines!F37))=TRUE,"",IF('1000'!F37="","ERR","")) &amp; IF(ISERROR(FIND($H$2,Lines!F37))=TRUE,"",IF('500DC'!F37="","ERR","")) &amp; IF(ISERROR(FIND($I$2,Lines!F37))=TRUE,"",IF('800DC'!F37="","ERR","")) &amp; IF(ISERROR(FIND($J$2,Lines!F37))=TRUE,"",IF('1000'!F37="","ERR",""))</f>
        <v/>
      </c>
      <c r="G37" s="108" t="str">
        <f>IF(ISERROR(FIND($B$2,Lines!G37))=TRUE,"",IF('750'!G37="","ERR","")) &amp; IF(ISERROR(FIND($C$2,Lines!G37))=TRUE,"",IF('500'!G37="","ERR","")) &amp; IF(ISERROR(FIND($D$2,Lines!G37))=TRUE,"",IF('330'!G37="","ERR","")) &amp; IF(ISERROR(FIND($E$2,Lines!G37))=TRUE,"",IF('220'!G37="","ERR",""))&amp; IF(ISERROR(FIND($F$2,Lines!G37))=TRUE,"",IF(AND('500DC'!G37="",'800DC'!G37=""),"ERR","")) &amp; IF(ISERROR(FIND($G$2,Lines!G37))=TRUE,"",IF('1000'!G37="","ERR","")) &amp; IF(ISERROR(FIND($H$2,Lines!G37))=TRUE,"",IF('500DC'!G37="","ERR","")) &amp; IF(ISERROR(FIND($I$2,Lines!G37))=TRUE,"",IF('800DC'!G37="","ERR","")) &amp; IF(ISERROR(FIND($J$2,Lines!G37))=TRUE,"",IF('1000'!G37="","ERR",""))</f>
        <v/>
      </c>
      <c r="H37" s="108" t="str">
        <f>IF(ISERROR(FIND($B$2,Lines!H37))=TRUE,"",IF('750'!H37="","ERR","")) &amp; IF(ISERROR(FIND($C$2,Lines!H37))=TRUE,"",IF('500'!H37="","ERR","")) &amp; IF(ISERROR(FIND($D$2,Lines!H37))=TRUE,"",IF('330'!H37="","ERR","")) &amp; IF(ISERROR(FIND($E$2,Lines!H37))=TRUE,"",IF('220'!H37="","ERR",""))&amp; IF(ISERROR(FIND($F$2,Lines!H37))=TRUE,"",IF(AND('500DC'!H37="",'800DC'!H37=""),"ERR","")) &amp; IF(ISERROR(FIND($G$2,Lines!H37))=TRUE,"",IF('1000'!H37="","ERR","")) &amp; IF(ISERROR(FIND($H$2,Lines!H37))=TRUE,"",IF('500DC'!H37="","ERR","")) &amp; IF(ISERROR(FIND($I$2,Lines!H37))=TRUE,"",IF('800DC'!H37="","ERR","")) &amp; IF(ISERROR(FIND($J$2,Lines!H37))=TRUE,"",IF('1000'!H37="","ERR",""))</f>
        <v/>
      </c>
      <c r="I37" s="108" t="str">
        <f>IF(ISERROR(FIND($B$2,Lines!I37))=TRUE,"",IF('750'!I37="","ERR","")) &amp; IF(ISERROR(FIND($C$2,Lines!I37))=TRUE,"",IF('500'!I37="","ERR","")) &amp; IF(ISERROR(FIND($D$2,Lines!I37))=TRUE,"",IF('330'!I37="","ERR","")) &amp; IF(ISERROR(FIND($E$2,Lines!I37))=TRUE,"",IF('220'!I37="","ERR",""))&amp; IF(ISERROR(FIND($F$2,Lines!I37))=TRUE,"",IF(AND('500DC'!I37="",'800DC'!I37=""),"ERR","")) &amp; IF(ISERROR(FIND($G$2,Lines!I37))=TRUE,"",IF('1000'!I37="","ERR","")) &amp; IF(ISERROR(FIND($H$2,Lines!I37))=TRUE,"",IF('500DC'!I37="","ERR","")) &amp; IF(ISERROR(FIND($I$2,Lines!I37))=TRUE,"",IF('800DC'!I37="","ERR","")) &amp; IF(ISERROR(FIND($J$2,Lines!I37))=TRUE,"",IF('1000'!I37="","ERR",""))</f>
        <v/>
      </c>
      <c r="J37" s="108" t="str">
        <f>IF(ISERROR(FIND($B$2,Lines!J37))=TRUE,"",IF('750'!J37="","ERR","")) &amp; IF(ISERROR(FIND($C$2,Lines!J37))=TRUE,"",IF('500'!J37="","ERR","")) &amp; IF(ISERROR(FIND($D$2,Lines!J37))=TRUE,"",IF('330'!J37="","ERR","")) &amp; IF(ISERROR(FIND($E$2,Lines!J37))=TRUE,"",IF('220'!J37="","ERR",""))&amp; IF(ISERROR(FIND($F$2,Lines!J37))=TRUE,"",IF(AND('500DC'!J37="",'800DC'!J37=""),"ERR","")) &amp; IF(ISERROR(FIND($G$2,Lines!J37))=TRUE,"",IF('1000'!J37="","ERR","")) &amp; IF(ISERROR(FIND($H$2,Lines!J37))=TRUE,"",IF('500DC'!J37="","ERR","")) &amp; IF(ISERROR(FIND($I$2,Lines!J37))=TRUE,"",IF('800DC'!J37="","ERR","")) &amp; IF(ISERROR(FIND($J$2,Lines!J37))=TRUE,"",IF('1000'!J37="","ERR",""))</f>
        <v/>
      </c>
      <c r="K37" s="108" t="str">
        <f>IF(ISERROR(FIND($B$2,Lines!K37))=TRUE,"",IF('750'!K37="","ERR","")) &amp; IF(ISERROR(FIND($C$2,Lines!K37))=TRUE,"",IF('500'!K37="","ERR","")) &amp; IF(ISERROR(FIND($D$2,Lines!K37))=TRUE,"",IF('330'!K37="","ERR","")) &amp; IF(ISERROR(FIND($E$2,Lines!K37))=TRUE,"",IF('220'!K37="","ERR",""))&amp; IF(ISERROR(FIND($F$2,Lines!K37))=TRUE,"",IF(AND('500DC'!K37="",'800DC'!K37=""),"ERR","")) &amp; IF(ISERROR(FIND($G$2,Lines!K37))=TRUE,"",IF('1000'!K37="","ERR","")) &amp; IF(ISERROR(FIND($H$2,Lines!K37))=TRUE,"",IF('500DC'!K37="","ERR","")) &amp; IF(ISERROR(FIND($I$2,Lines!K37))=TRUE,"",IF('800DC'!K37="","ERR","")) &amp; IF(ISERROR(FIND($J$2,Lines!K37))=TRUE,"",IF('1000'!K37="","ERR",""))</f>
        <v/>
      </c>
      <c r="L37" s="108" t="str">
        <f>IF(ISERROR(FIND($B$2,Lines!L37))=TRUE,"",IF('750'!L37="","ERR","")) &amp; IF(ISERROR(FIND($C$2,Lines!L37))=TRUE,"",IF('500'!L37="","ERR","")) &amp; IF(ISERROR(FIND($D$2,Lines!L37))=TRUE,"",IF('330'!L37="","ERR","")) &amp; IF(ISERROR(FIND($E$2,Lines!L37))=TRUE,"",IF('220'!L37="","ERR",""))&amp; IF(ISERROR(FIND($F$2,Lines!L37))=TRUE,"",IF(AND('500DC'!L37="",'800DC'!L37=""),"ERR","")) &amp; IF(ISERROR(FIND($G$2,Lines!L37))=TRUE,"",IF('1000'!L37="","ERR","")) &amp; IF(ISERROR(FIND($H$2,Lines!L37))=TRUE,"",IF('500DC'!L37="","ERR","")) &amp; IF(ISERROR(FIND($I$2,Lines!L37))=TRUE,"",IF('800DC'!L37="","ERR","")) &amp; IF(ISERROR(FIND($J$2,Lines!L37))=TRUE,"",IF('1000'!L37="","ERR",""))</f>
        <v/>
      </c>
      <c r="M37" s="108" t="str">
        <f>IF(ISERROR(FIND($B$2,Lines!M37))=TRUE,"",IF('750'!M37="","ERR","")) &amp; IF(ISERROR(FIND($C$2,Lines!M37))=TRUE,"",IF('500'!M37="","ERR","")) &amp; IF(ISERROR(FIND($D$2,Lines!M37))=TRUE,"",IF('330'!M37="","ERR","")) &amp; IF(ISERROR(FIND($E$2,Lines!M37))=TRUE,"",IF('220'!M37="","ERR",""))&amp; IF(ISERROR(FIND($F$2,Lines!M37))=TRUE,"",IF(AND('500DC'!M37="",'800DC'!M37=""),"ERR","")) &amp; IF(ISERROR(FIND($G$2,Lines!M37))=TRUE,"",IF('1000'!M37="","ERR","")) &amp; IF(ISERROR(FIND($H$2,Lines!M37))=TRUE,"",IF('500DC'!M37="","ERR","")) &amp; IF(ISERROR(FIND($I$2,Lines!M37))=TRUE,"",IF('800DC'!M37="","ERR","")) &amp; IF(ISERROR(FIND($J$2,Lines!M37))=TRUE,"",IF('1000'!M37="","ERR",""))</f>
        <v/>
      </c>
      <c r="N37" s="108" t="str">
        <f>IF(ISERROR(FIND($B$2,Lines!N37))=TRUE,"",IF('750'!N37="","ERR","")) &amp; IF(ISERROR(FIND($C$2,Lines!N37))=TRUE,"",IF('500'!N37="","ERR","")) &amp; IF(ISERROR(FIND($D$2,Lines!N37))=TRUE,"",IF('330'!N37="","ERR","")) &amp; IF(ISERROR(FIND($E$2,Lines!N37))=TRUE,"",IF('220'!N37="","ERR",""))&amp; IF(ISERROR(FIND($F$2,Lines!N37))=TRUE,"",IF(AND('500DC'!N37="",'800DC'!N37=""),"ERR","")) &amp; IF(ISERROR(FIND($G$2,Lines!N37))=TRUE,"",IF('1000'!N37="","ERR","")) &amp; IF(ISERROR(FIND($H$2,Lines!N37))=TRUE,"",IF('500DC'!N37="","ERR","")) &amp; IF(ISERROR(FIND($I$2,Lines!N37))=TRUE,"",IF('800DC'!N37="","ERR","")) &amp; IF(ISERROR(FIND($J$2,Lines!N37))=TRUE,"",IF('1000'!N37="","ERR",""))</f>
        <v/>
      </c>
      <c r="O37" s="108" t="str">
        <f>IF(ISERROR(FIND($B$2,Lines!O37))=TRUE,"",IF('750'!O37="","ERR","")) &amp; IF(ISERROR(FIND($C$2,Lines!O37))=TRUE,"",IF('500'!O37="","ERR","")) &amp; IF(ISERROR(FIND($D$2,Lines!O37))=TRUE,"",IF('330'!O37="","ERR","")) &amp; IF(ISERROR(FIND($E$2,Lines!O37))=TRUE,"",IF('220'!O37="","ERR",""))&amp; IF(ISERROR(FIND($F$2,Lines!O37))=TRUE,"",IF(AND('500DC'!O37="",'800DC'!O37=""),"ERR","")) &amp; IF(ISERROR(FIND($G$2,Lines!O37))=TRUE,"",IF('1000'!O37="","ERR","")) &amp; IF(ISERROR(FIND($H$2,Lines!O37))=TRUE,"",IF('500DC'!O37="","ERR","")) &amp; IF(ISERROR(FIND($I$2,Lines!O37))=TRUE,"",IF('800DC'!O37="","ERR","")) &amp; IF(ISERROR(FIND($J$2,Lines!O37))=TRUE,"",IF('1000'!O37="","ERR",""))</f>
        <v/>
      </c>
      <c r="P37" s="108" t="str">
        <f>IF(ISERROR(FIND($B$2,Lines!P37))=TRUE,"",IF('750'!P37="","ERR","")) &amp; IF(ISERROR(FIND($C$2,Lines!P37))=TRUE,"",IF('500'!P37="","ERR","")) &amp; IF(ISERROR(FIND($D$2,Lines!P37))=TRUE,"",IF('330'!P37="","ERR","")) &amp; IF(ISERROR(FIND($E$2,Lines!P37))=TRUE,"",IF('220'!P37="","ERR",""))&amp; IF(ISERROR(FIND($F$2,Lines!P37))=TRUE,"",IF(AND('500DC'!P37="",'800DC'!P37=""),"ERR","")) &amp; IF(ISERROR(FIND($G$2,Lines!P37))=TRUE,"",IF('1000'!P37="","ERR","")) &amp; IF(ISERROR(FIND($H$2,Lines!P37))=TRUE,"",IF('500DC'!P37="","ERR","")) &amp; IF(ISERROR(FIND($I$2,Lines!P37))=TRUE,"",IF('800DC'!P37="","ERR","")) &amp; IF(ISERROR(FIND($J$2,Lines!P37))=TRUE,"",IF('1000'!P37="","ERR",""))</f>
        <v/>
      </c>
      <c r="Q37" s="108" t="str">
        <f>IF(ISERROR(FIND($B$2,Lines!Q37))=TRUE,"",IF('750'!Q37="","ERR","")) &amp; IF(ISERROR(FIND($C$2,Lines!Q37))=TRUE,"",IF('500'!Q37="","ERR","")) &amp; IF(ISERROR(FIND($D$2,Lines!Q37))=TRUE,"",IF('330'!Q37="","ERR","")) &amp; IF(ISERROR(FIND($E$2,Lines!Q37))=TRUE,"",IF('220'!Q37="","ERR",""))&amp; IF(ISERROR(FIND($F$2,Lines!Q37))=TRUE,"",IF(AND('500DC'!Q37="",'800DC'!Q37=""),"ERR","")) &amp; IF(ISERROR(FIND($G$2,Lines!Q37))=TRUE,"",IF('1000'!Q37="","ERR","")) &amp; IF(ISERROR(FIND($H$2,Lines!Q37))=TRUE,"",IF('500DC'!Q37="","ERR","")) &amp; IF(ISERROR(FIND($I$2,Lines!Q37))=TRUE,"",IF('800DC'!Q37="","ERR","")) &amp; IF(ISERROR(FIND($J$2,Lines!Q37))=TRUE,"",IF('1000'!Q37="","ERR",""))</f>
        <v/>
      </c>
      <c r="R37" s="108" t="str">
        <f>IF(ISERROR(FIND($B$2,Lines!R37))=TRUE,"",IF('750'!R37="","ERR","")) &amp; IF(ISERROR(FIND($C$2,Lines!R37))=TRUE,"",IF('500'!R37="","ERR","")) &amp; IF(ISERROR(FIND($D$2,Lines!R37))=TRUE,"",IF('330'!R37="","ERR","")) &amp; IF(ISERROR(FIND($E$2,Lines!R37))=TRUE,"",IF('220'!R37="","ERR",""))&amp; IF(ISERROR(FIND($F$2,Lines!R37))=TRUE,"",IF(AND('500DC'!R37="",'800DC'!R37=""),"ERR","")) &amp; IF(ISERROR(FIND($G$2,Lines!R37))=TRUE,"",IF('1000'!R37="","ERR","")) &amp; IF(ISERROR(FIND($H$2,Lines!R37))=TRUE,"",IF('500DC'!R37="","ERR","")) &amp; IF(ISERROR(FIND($I$2,Lines!R37))=TRUE,"",IF('800DC'!R37="","ERR","")) &amp; IF(ISERROR(FIND($J$2,Lines!R37))=TRUE,"",IF('1000'!R37="","ERR",""))</f>
        <v/>
      </c>
      <c r="S37" s="108" t="str">
        <f>IF(ISERROR(FIND($B$2,Lines!S37))=TRUE,"",IF('750'!S37="","ERR","")) &amp; IF(ISERROR(FIND($C$2,Lines!S37))=TRUE,"",IF('500'!S37="","ERR","")) &amp; IF(ISERROR(FIND($D$2,Lines!S37))=TRUE,"",IF('330'!S37="","ERR","")) &amp; IF(ISERROR(FIND($E$2,Lines!S37))=TRUE,"",IF('220'!S37="","ERR",""))&amp; IF(ISERROR(FIND($F$2,Lines!S37))=TRUE,"",IF(AND('500DC'!S37="",'800DC'!S37=""),"ERR","")) &amp; IF(ISERROR(FIND($G$2,Lines!S37))=TRUE,"",IF('1000'!S37="","ERR","")) &amp; IF(ISERROR(FIND($H$2,Lines!S37))=TRUE,"",IF('500DC'!S37="","ERR","")) &amp; IF(ISERROR(FIND($I$2,Lines!S37))=TRUE,"",IF('800DC'!S37="","ERR","")) &amp; IF(ISERROR(FIND($J$2,Lines!S37))=TRUE,"",IF('1000'!S37="","ERR",""))</f>
        <v/>
      </c>
      <c r="T37" s="108" t="str">
        <f>IF(ISERROR(FIND($B$2,Lines!T37))=TRUE,"",IF('750'!T37="","ERR","")) &amp; IF(ISERROR(FIND($C$2,Lines!T37))=TRUE,"",IF('500'!T37="","ERR","")) &amp; IF(ISERROR(FIND($D$2,Lines!T37))=TRUE,"",IF('330'!T37="","ERR","")) &amp; IF(ISERROR(FIND($E$2,Lines!T37))=TRUE,"",IF('220'!T37="","ERR",""))&amp; IF(ISERROR(FIND($F$2,Lines!T37))=TRUE,"",IF(AND('500DC'!T37="",'800DC'!T37=""),"ERR","")) &amp; IF(ISERROR(FIND($G$2,Lines!T37))=TRUE,"",IF('1000'!T37="","ERR","")) &amp; IF(ISERROR(FIND($H$2,Lines!T37))=TRUE,"",IF('500DC'!T37="","ERR","")) &amp; IF(ISERROR(FIND($I$2,Lines!T37))=TRUE,"",IF('800DC'!T37="","ERR","")) &amp; IF(ISERROR(FIND($J$2,Lines!T37))=TRUE,"",IF('1000'!T37="","ERR",""))</f>
        <v/>
      </c>
      <c r="U37" s="108" t="str">
        <f>IF(ISERROR(FIND($B$2,Lines!U37))=TRUE,"",IF('750'!U37="","ERR","")) &amp; IF(ISERROR(FIND($C$2,Lines!U37))=TRUE,"",IF('500'!U37="","ERR","")) &amp; IF(ISERROR(FIND($D$2,Lines!U37))=TRUE,"",IF('330'!U37="","ERR","")) &amp; IF(ISERROR(FIND($E$2,Lines!U37))=TRUE,"",IF('220'!U37="","ERR",""))&amp; IF(ISERROR(FIND($F$2,Lines!U37))=TRUE,"",IF(AND('500DC'!U37="",'800DC'!U37=""),"ERR","")) &amp; IF(ISERROR(FIND($G$2,Lines!U37))=TRUE,"",IF('1000'!U37="","ERR","")) &amp; IF(ISERROR(FIND($H$2,Lines!U37))=TRUE,"",IF('500DC'!U37="","ERR","")) &amp; IF(ISERROR(FIND($I$2,Lines!U37))=TRUE,"",IF('800DC'!U37="","ERR","")) &amp; IF(ISERROR(FIND($J$2,Lines!U37))=TRUE,"",IF('1000'!U37="","ERR",""))</f>
        <v/>
      </c>
      <c r="V37" s="108" t="str">
        <f>IF(ISERROR(FIND($B$2,Lines!V37))=TRUE,"",IF('750'!V37="","ERR","")) &amp; IF(ISERROR(FIND($C$2,Lines!V37))=TRUE,"",IF('500'!V37="","ERR","")) &amp; IF(ISERROR(FIND($D$2,Lines!V37))=TRUE,"",IF('330'!V37="","ERR","")) &amp; IF(ISERROR(FIND($E$2,Lines!V37))=TRUE,"",IF('220'!V37="","ERR",""))&amp; IF(ISERROR(FIND($F$2,Lines!V37))=TRUE,"",IF(AND('500DC'!V37="",'800DC'!V37=""),"ERR","")) &amp; IF(ISERROR(FIND($G$2,Lines!V37))=TRUE,"",IF('1000'!V37="","ERR","")) &amp; IF(ISERROR(FIND($H$2,Lines!V37))=TRUE,"",IF('500DC'!V37="","ERR","")) &amp; IF(ISERROR(FIND($I$2,Lines!V37))=TRUE,"",IF('800DC'!V37="","ERR","")) &amp; IF(ISERROR(FIND($J$2,Lines!V37))=TRUE,"",IF('1000'!V37="","ERR",""))</f>
        <v/>
      </c>
      <c r="W37" s="109" t="str">
        <f>IF(ISERROR(FIND($B$2,Lines!W37))=TRUE,"",IF('750'!W37="","ERR","")) &amp; IF(ISERROR(FIND($C$2,Lines!W37))=TRUE,"",IF('500'!W37="","ERR","")) &amp; IF(ISERROR(FIND($D$2,Lines!W37))=TRUE,"",IF('330'!W37="","ERR","")) &amp; IF(ISERROR(FIND($E$2,Lines!W37))=TRUE,"",IF('220'!W37="","ERR",""))&amp; IF(ISERROR(FIND($F$2,Lines!W37))=TRUE,"",IF(AND('500DC'!W37="",'800DC'!W37=""),"ERR","")) &amp; IF(ISERROR(FIND($G$2,Lines!W37))=TRUE,"",IF('1000'!W37="","ERR","")) &amp; IF(ISERROR(FIND($H$2,Lines!W37))=TRUE,"",IF('500DC'!W37="","ERR","")) &amp; IF(ISERROR(FIND($I$2,Lines!W37))=TRUE,"",IF('800DC'!W37="","ERR","")) &amp; IF(ISERROR(FIND($J$2,Lines!W37))=TRUE,"",IF('1000'!W37="","ERR",""))</f>
        <v/>
      </c>
      <c r="X37" s="108" t="str">
        <f>IF(ISERROR(FIND($B$2,Lines!X37))=TRUE,"",IF('750'!X37="","ERR","")) &amp; IF(ISERROR(FIND($C$2,Lines!X37))=TRUE,"",IF('500'!X37="","ERR","")) &amp; IF(ISERROR(FIND($D$2,Lines!X37))=TRUE,"",IF('330'!X37="","ERR","")) &amp; IF(ISERROR(FIND($E$2,Lines!X37))=TRUE,"",IF('220'!X37="","ERR",""))&amp; IF(ISERROR(FIND($F$2,Lines!X37))=TRUE,"",IF(AND('500DC'!X37="",'800DC'!X37=""),"ERR","")) &amp; IF(ISERROR(FIND($G$2,Lines!X37))=TRUE,"",IF('1000'!X37="","ERR","")) &amp; IF(ISERROR(FIND($H$2,Lines!X37))=TRUE,"",IF('500DC'!X37="","ERR","")) &amp; IF(ISERROR(FIND($I$2,Lines!X37))=TRUE,"",IF('800DC'!X37="","ERR","")) &amp; IF(ISERROR(FIND($J$2,Lines!X37))=TRUE,"",IF('1000'!X37="","ERR",""))</f>
        <v/>
      </c>
      <c r="Y37" s="108" t="str">
        <f>IF(ISERROR(FIND($B$2,Lines!Y37))=TRUE,"",IF('750'!Y37="","ERR","")) &amp; IF(ISERROR(FIND($C$2,Lines!Y37))=TRUE,"",IF('500'!Y37="","ERR","")) &amp; IF(ISERROR(FIND($D$2,Lines!Y37))=TRUE,"",IF('330'!Y37="","ERR","")) &amp; IF(ISERROR(FIND($E$2,Lines!Y37))=TRUE,"",IF('220'!Y37="","ERR",""))&amp; IF(ISERROR(FIND($F$2,Lines!Y37))=TRUE,"",IF(AND('500DC'!Y37="",'800DC'!Y37=""),"ERR","")) &amp; IF(ISERROR(FIND($G$2,Lines!Y37))=TRUE,"",IF('1000'!Y37="","ERR","")) &amp; IF(ISERROR(FIND($H$2,Lines!Y37))=TRUE,"",IF('500DC'!Y37="","ERR","")) &amp; IF(ISERROR(FIND($I$2,Lines!Y37))=TRUE,"",IF('800DC'!Y37="","ERR","")) &amp; IF(ISERROR(FIND($J$2,Lines!Y37))=TRUE,"",IF('1000'!Y37="","ERR",""))</f>
        <v/>
      </c>
      <c r="Z37" s="108" t="str">
        <f>IF(ISERROR(FIND($B$2,Lines!Z37))=TRUE,"",IF('750'!Z37="","ERR","")) &amp; IF(ISERROR(FIND($C$2,Lines!Z37))=TRUE,"",IF('500'!Z37="","ERR","")) &amp; IF(ISERROR(FIND($D$2,Lines!Z37))=TRUE,"",IF('330'!Z37="","ERR","")) &amp; IF(ISERROR(FIND($E$2,Lines!Z37))=TRUE,"",IF('220'!Z37="","ERR",""))&amp; IF(ISERROR(FIND($F$2,Lines!Z37))=TRUE,"",IF(AND('500DC'!Z37="",'800DC'!Z37=""),"ERR","")) &amp; IF(ISERROR(FIND($G$2,Lines!Z37))=TRUE,"",IF('1000'!Z37="","ERR","")) &amp; IF(ISERROR(FIND($H$2,Lines!Z37))=TRUE,"",IF('500DC'!Z37="","ERR","")) &amp; IF(ISERROR(FIND($I$2,Lines!Z37))=TRUE,"",IF('800DC'!Z37="","ERR","")) &amp; IF(ISERROR(FIND($J$2,Lines!Z37))=TRUE,"",IF('1000'!Z37="","ERR",""))</f>
        <v/>
      </c>
      <c r="AA37" s="108" t="str">
        <f>IF(ISERROR(FIND($B$2,Lines!AA37))=TRUE,"",IF('750'!AA37="","ERR","")) &amp; IF(ISERROR(FIND($C$2,Lines!AA37))=TRUE,"",IF('500'!AA37="","ERR","")) &amp; IF(ISERROR(FIND($D$2,Lines!AA37))=TRUE,"",IF('330'!AA37="","ERR","")) &amp; IF(ISERROR(FIND($E$2,Lines!AA37))=TRUE,"",IF('220'!AA37="","ERR",""))&amp; IF(ISERROR(FIND($F$2,Lines!AA37))=TRUE,"",IF(AND('500DC'!AA37="",'800DC'!AA37=""),"ERR","")) &amp; IF(ISERROR(FIND($G$2,Lines!AA37))=TRUE,"",IF('1000'!AA37="","ERR","")) &amp; IF(ISERROR(FIND($H$2,Lines!AA37))=TRUE,"",IF('500DC'!AA37="","ERR","")) &amp; IF(ISERROR(FIND($I$2,Lines!AA37))=TRUE,"",IF('800DC'!AA37="","ERR","")) &amp; IF(ISERROR(FIND($J$2,Lines!AA37))=TRUE,"",IF('1000'!AA37="","ERR",""))</f>
        <v/>
      </c>
      <c r="AB37" s="108" t="str">
        <f>IF(ISERROR(FIND($B$2,Lines!AB37))=TRUE,"",IF('750'!AB37="","ERR","")) &amp; IF(ISERROR(FIND($C$2,Lines!AB37))=TRUE,"",IF('500'!AB37="","ERR","")) &amp; IF(ISERROR(FIND($D$2,Lines!AB37))=TRUE,"",IF('330'!AB37="","ERR","")) &amp; IF(ISERROR(FIND($E$2,Lines!AB37))=TRUE,"",IF('220'!AB37="","ERR",""))&amp; IF(ISERROR(FIND($F$2,Lines!AB37))=TRUE,"",IF(AND('500DC'!AB37="",'800DC'!AB37=""),"ERR","")) &amp; IF(ISERROR(FIND($G$2,Lines!AB37))=TRUE,"",IF('1000'!AB37="","ERR","")) &amp; IF(ISERROR(FIND($H$2,Lines!AB37))=TRUE,"",IF('500DC'!AB37="","ERR","")) &amp; IF(ISERROR(FIND($I$2,Lines!AB37))=TRUE,"",IF('800DC'!AB37="","ERR","")) &amp; IF(ISERROR(FIND($J$2,Lines!AB37))=TRUE,"",IF('1000'!AB37="","ERR",""))</f>
        <v/>
      </c>
      <c r="AC37" s="108" t="str">
        <f>IF(ISERROR(FIND($B$2,Lines!AC37))=TRUE,"",IF('750'!AC37="","ERR","")) &amp; IF(ISERROR(FIND($C$2,Lines!AC37))=TRUE,"",IF('500'!AC37="","ERR","")) &amp; IF(ISERROR(FIND($D$2,Lines!AC37))=TRUE,"",IF('330'!AC37="","ERR","")) &amp; IF(ISERROR(FIND($E$2,Lines!AC37))=TRUE,"",IF('220'!AC37="","ERR",""))&amp; IF(ISERROR(FIND($F$2,Lines!AC37))=TRUE,"",IF(AND('500DC'!AC37="",'800DC'!AC37=""),"ERR","")) &amp; IF(ISERROR(FIND($G$2,Lines!AC37))=TRUE,"",IF('1000'!AC37="","ERR","")) &amp; IF(ISERROR(FIND($H$2,Lines!AC37))=TRUE,"",IF('500DC'!AC37="","ERR","")) &amp; IF(ISERROR(FIND($I$2,Lines!AC37))=TRUE,"",IF('800DC'!AC37="","ERR","")) &amp; IF(ISERROR(FIND($J$2,Lines!AC37))=TRUE,"",IF('1000'!AC37="","ERR",""))</f>
        <v/>
      </c>
      <c r="AD37" s="108" t="str">
        <f>IF(ISERROR(FIND($B$2,Lines!AD37))=TRUE,"",IF('750'!AD37="","ERR","")) &amp; IF(ISERROR(FIND($C$2,Lines!AD37))=TRUE,"",IF('500'!AD37="","ERR","")) &amp; IF(ISERROR(FIND($D$2,Lines!AD37))=TRUE,"",IF('330'!AD37="","ERR","")) &amp; IF(ISERROR(FIND($E$2,Lines!AD37))=TRUE,"",IF('220'!AD37="","ERR",""))&amp; IF(ISERROR(FIND($F$2,Lines!AD37))=TRUE,"",IF(AND('500DC'!AD37="",'800DC'!AD37=""),"ERR","")) &amp; IF(ISERROR(FIND($G$2,Lines!AD37))=TRUE,"",IF('1000'!AD37="","ERR","")) &amp; IF(ISERROR(FIND($H$2,Lines!AD37))=TRUE,"",IF('500DC'!AD37="","ERR","")) &amp; IF(ISERROR(FIND($I$2,Lines!AD37))=TRUE,"",IF('800DC'!AD37="","ERR","")) &amp; IF(ISERROR(FIND($J$2,Lines!AD37))=TRUE,"",IF('1000'!AD37="","ERR",""))</f>
        <v/>
      </c>
      <c r="AE37" s="130" t="str">
        <f>IF(ISERROR(FIND($B$2,Lines!AE37))=TRUE,"",IF('750'!AE37="","ERR","")) &amp; IF(ISERROR(FIND($C$2,Lines!AE37))=TRUE,"",IF('500'!AE37="","ERR","")) &amp; IF(ISERROR(FIND($D$2,Lines!AE37))=TRUE,"",IF('330'!AE37="","ERR","")) &amp; IF(ISERROR(FIND($E$2,Lines!AE37))=TRUE,"",IF('220'!AE37="","ERR",""))&amp; IF(ISERROR(FIND($F$2,Lines!AE37))=TRUE,"",IF(AND('500DC'!AE37="",'800DC'!AE37=""),"ERR","")) &amp; IF(ISERROR(FIND($G$2,Lines!AE37))=TRUE,"",IF('1000'!AE37="","ERR","")) &amp; IF(ISERROR(FIND($H$2,Lines!AE37))=TRUE,"",IF('500DC'!AE37="","ERR","")) &amp; IF(ISERROR(FIND($I$2,Lines!AE37))=TRUE,"",IF('800DC'!AE37="","ERR","")) &amp; IF(ISERROR(FIND($J$2,Lines!AE37))=TRUE,"",IF('1000'!AE37="","ERR",""))</f>
        <v/>
      </c>
      <c r="AF37" s="131" t="str">
        <f>IF(ISERROR(FIND($B$2,Lines!AF37))=TRUE,"",IF('750'!AF37="","ERR","")) &amp; IF(ISERROR(FIND($C$2,Lines!AF37))=TRUE,"",IF('500'!AF37="","ERR","")) &amp; IF(ISERROR(FIND($D$2,Lines!AF37))=TRUE,"",IF('330'!AF37="","ERR","")) &amp; IF(ISERROR(FIND($E$2,Lines!AF37))=TRUE,"",IF('220'!AF37="","ERR",""))&amp; IF(ISERROR(FIND($F$2,Lines!AF37))=TRUE,"",IF(AND('500DC'!AF37="",'800DC'!AF37=""),"ERR","")) &amp; IF(ISERROR(FIND($G$2,Lines!AF37))=TRUE,"",IF('1000'!AF37="","ERR","")) &amp; IF(ISERROR(FIND($H$2,Lines!AF37))=TRUE,"",IF('500DC'!AF37="","ERR","")) &amp; IF(ISERROR(FIND($I$2,Lines!AF37))=TRUE,"",IF('800DC'!AF37="","ERR","")) &amp; IF(ISERROR(FIND($J$2,Lines!AF37))=TRUE,"",IF('1000'!AF37="","ERR",""))</f>
        <v/>
      </c>
      <c r="AG37" s="131" t="str">
        <f>IF(ISERROR(FIND($B$2,Lines!AG37))=TRUE,"",IF('750'!AG37="","ERR","")) &amp; IF(ISERROR(FIND($C$2,Lines!AG37))=TRUE,"",IF('500'!AG37="","ERR","")) &amp; IF(ISERROR(FIND($D$2,Lines!AG37))=TRUE,"",IF('330'!AG37="","ERR","")) &amp; IF(ISERROR(FIND($E$2,Lines!AG37))=TRUE,"",IF('220'!AG37="","ERR",""))&amp; IF(ISERROR(FIND($F$2,Lines!AG37))=TRUE,"",IF(AND('500DC'!AG37="",'800DC'!AG37=""),"ERR","")) &amp; IF(ISERROR(FIND($G$2,Lines!AG37))=TRUE,"",IF('1000'!AG37="","ERR","")) &amp; IF(ISERROR(FIND($H$2,Lines!AG37))=TRUE,"",IF('500DC'!AG37="","ERR","")) &amp; IF(ISERROR(FIND($I$2,Lines!AG37))=TRUE,"",IF('800DC'!AG37="","ERR","")) &amp; IF(ISERROR(FIND($J$2,Lines!AG37))=TRUE,"",IF('1000'!AG37="","ERR",""))</f>
        <v/>
      </c>
      <c r="AH37" s="131" t="str">
        <f>IF(ISERROR(FIND($B$2,Lines!AH37))=TRUE,"",IF('750'!AH37="","ERR","")) &amp; IF(ISERROR(FIND($C$2,Lines!AH37))=TRUE,"",IF('500'!AH37="","ERR","")) &amp; IF(ISERROR(FIND($D$2,Lines!AH37))=TRUE,"",IF('330'!AH37="","ERR","")) &amp; IF(ISERROR(FIND($E$2,Lines!AH37))=TRUE,"",IF('220'!AH37="","ERR",""))&amp; IF(ISERROR(FIND($F$2,Lines!AH37))=TRUE,"",IF(AND('500DC'!AH37="",'800DC'!AH37=""),"ERR","")) &amp; IF(ISERROR(FIND($G$2,Lines!AH37))=TRUE,"",IF('1000'!AH37="","ERR","")) &amp; IF(ISERROR(FIND($H$2,Lines!AH37))=TRUE,"",IF('500DC'!AH37="","ERR","")) &amp; IF(ISERROR(FIND($I$2,Lines!AH37))=TRUE,"",IF('800DC'!AH37="","ERR","")) &amp; IF(ISERROR(FIND($J$2,Lines!AH37))=TRUE,"",IF('1000'!AH37="","ERR",""))</f>
        <v/>
      </c>
      <c r="AI37" s="116" t="str">
        <f>IF(ISERROR(FIND($B$2,Lines!AI37))=TRUE,"",IF('750'!AI37="","ERR","")) &amp; IF(ISERROR(FIND($C$2,Lines!AI37))=TRUE,"",IF('500'!AI37="","ERR","")) &amp; IF(ISERROR(FIND($D$2,Lines!AI37))=TRUE,"",IF('330'!AI37="","ERR","")) &amp; IF(ISERROR(FIND($E$2,Lines!AI37))=TRUE,"",IF('220'!AI37="","ERR",""))&amp; IF(ISERROR(FIND($F$2,Lines!AI37))=TRUE,"",IF(AND('500DC'!AI37="",'800DC'!AI37=""),"ERR","")) &amp; IF(ISERROR(FIND($G$2,Lines!AI37))=TRUE,"",IF('1000'!AI37="","ERR","")) &amp; IF(ISERROR(FIND($H$2,Lines!AI37))=TRUE,"",IF('500DC'!AI37="","ERR","")) &amp; IF(ISERROR(FIND($I$2,Lines!AI37))=TRUE,"",IF('800DC'!AI37="","ERR","")) &amp; IF(ISERROR(FIND($J$2,Lines!AI37))=TRUE,"",IF('1000'!AI37="","ERR",""))</f>
        <v/>
      </c>
      <c r="AJ37" s="132" t="str">
        <f>IF(ISERROR(FIND($B$2,Lines!AJ37))=TRUE,"",IF('750'!AJ37="","ERR","")) &amp; IF(ISERROR(FIND($C$2,Lines!AJ37))=TRUE,"",IF('500'!AJ37="","ERR","")) &amp; IF(ISERROR(FIND($D$2,Lines!AJ37))=TRUE,"",IF('330'!AJ37="","ERR","")) &amp; IF(ISERROR(FIND($E$2,Lines!AJ37))=TRUE,"",IF('220'!AJ37="","ERR",""))&amp; IF(ISERROR(FIND($F$2,Lines!AJ37))=TRUE,"",IF(AND('500DC'!AJ37="",'800DC'!AJ37=""),"ERR","")) &amp; IF(ISERROR(FIND($G$2,Lines!AJ37))=TRUE,"",IF('1000'!AJ37="","ERR","")) &amp; IF(ISERROR(FIND($H$2,Lines!AJ37))=TRUE,"",IF('500DC'!AJ37="","ERR","")) &amp; IF(ISERROR(FIND($I$2,Lines!AJ37))=TRUE,"",IF('800DC'!AJ37="","ERR","")) &amp; IF(ISERROR(FIND($J$2,Lines!AJ37))=TRUE,"",IF('1000'!AJ37="","ERR",""))</f>
        <v/>
      </c>
      <c r="AK37" s="108" t="str">
        <f>IF(ISERROR(FIND($B$2,Lines!AK37))=TRUE,"",IF('750'!AK37="","ERR","")) &amp; IF(ISERROR(FIND($C$2,Lines!AK37))=TRUE,"",IF('500'!AK37="","ERR","")) &amp; IF(ISERROR(FIND($D$2,Lines!AK37))=TRUE,"",IF('330'!AK37="","ERR","")) &amp; IF(ISERROR(FIND($E$2,Lines!AK37))=TRUE,"",IF('220'!AK37="","ERR",""))&amp; IF(ISERROR(FIND($F$2,Lines!AK37))=TRUE,"",IF(AND('500DC'!AK37="",'800DC'!AK37=""),"ERR","")) &amp; IF(ISERROR(FIND($G$2,Lines!AK37))=TRUE,"",IF('1000'!AK37="","ERR","")) &amp; IF(ISERROR(FIND($H$2,Lines!AK37))=TRUE,"",IF('500DC'!AK37="","ERR","")) &amp; IF(ISERROR(FIND($I$2,Lines!AK37))=TRUE,"",IF('800DC'!AK37="","ERR","")) &amp; IF(ISERROR(FIND($J$2,Lines!AK37))=TRUE,"",IF('1000'!AK37="","ERR",""))</f>
        <v/>
      </c>
      <c r="AL37" s="108" t="str">
        <f>IF(ISERROR(FIND($B$2,Lines!AL37))=TRUE,"",IF('750'!AL37="","ERR","")) &amp; IF(ISERROR(FIND($C$2,Lines!AL37))=TRUE,"",IF('500'!AL37="","ERR","")) &amp; IF(ISERROR(FIND($D$2,Lines!AL37))=TRUE,"",IF('330'!AL37="","ERR","")) &amp; IF(ISERROR(FIND($E$2,Lines!AL37))=TRUE,"",IF('220'!AL37="","ERR",""))&amp; IF(ISERROR(FIND($F$2,Lines!AL37))=TRUE,"",IF(AND('500DC'!AL37="",'800DC'!AL37=""),"ERR","")) &amp; IF(ISERROR(FIND($G$2,Lines!AL37))=TRUE,"",IF('1000'!AL37="","ERR","")) &amp; IF(ISERROR(FIND($H$2,Lines!AL37))=TRUE,"",IF('500DC'!AL37="","ERR","")) &amp; IF(ISERROR(FIND($I$2,Lines!AL37))=TRUE,"",IF('800DC'!AL37="","ERR","")) &amp; IF(ISERROR(FIND($J$2,Lines!AL37))=TRUE,"",IF('1000'!AL37="","ERR",""))</f>
        <v/>
      </c>
      <c r="AM37" s="108" t="str">
        <f>IF(ISERROR(FIND($B$2,Lines!AM37))=TRUE,"",IF('750'!AM37="","ERR","")) &amp; IF(ISERROR(FIND($C$2,Lines!AM37))=TRUE,"",IF('500'!AM37="","ERR","")) &amp; IF(ISERROR(FIND($D$2,Lines!AM37))=TRUE,"",IF('330'!AM37="","ERR","")) &amp; IF(ISERROR(FIND($E$2,Lines!AM37))=TRUE,"",IF('220'!AM37="","ERR",""))&amp; IF(ISERROR(FIND($F$2,Lines!AM37))=TRUE,"",IF(AND('500DC'!AM37="",'800DC'!AM37=""),"ERR","")) &amp; IF(ISERROR(FIND($G$2,Lines!AM37))=TRUE,"",IF('1000'!AM37="","ERR","")) &amp; IF(ISERROR(FIND($H$2,Lines!AM37))=TRUE,"",IF('500DC'!AM37="","ERR","")) &amp; IF(ISERROR(FIND($I$2,Lines!AM37))=TRUE,"",IF('800DC'!AM37="","ERR","")) &amp; IF(ISERROR(FIND($J$2,Lines!AM37))=TRUE,"",IF('1000'!AM37="","ERR",""))</f>
        <v/>
      </c>
      <c r="AN37" s="108" t="str">
        <f>IF(ISERROR(FIND($B$2,Lines!AN37))=TRUE,"",IF('750'!AN37="","ERR","")) &amp; IF(ISERROR(FIND($C$2,Lines!AN37))=TRUE,"",IF('500'!AN37="","ERR","")) &amp; IF(ISERROR(FIND($D$2,Lines!AN37))=TRUE,"",IF('330'!AN37="","ERR","")) &amp; IF(ISERROR(FIND($E$2,Lines!AN37))=TRUE,"",IF('220'!AN37="","ERR",""))&amp; IF(ISERROR(FIND($F$2,Lines!AN37))=TRUE,"",IF(AND('500DC'!AN37="",'800DC'!AN37=""),"ERR","")) &amp; IF(ISERROR(FIND($G$2,Lines!AN37))=TRUE,"",IF('1000'!AN37="","ERR","")) &amp; IF(ISERROR(FIND($H$2,Lines!AN37))=TRUE,"",IF('500DC'!AN37="","ERR","")) &amp; IF(ISERROR(FIND($I$2,Lines!AN37))=TRUE,"",IF('800DC'!AN37="","ERR","")) &amp; IF(ISERROR(FIND($J$2,Lines!AN37))=TRUE,"",IF('1000'!AN37="","ERR",""))</f>
        <v/>
      </c>
      <c r="AO37" s="108" t="str">
        <f>IF(ISERROR(FIND($B$2,Lines!AO37))=TRUE,"",IF('750'!AO37="","ERR","")) &amp; IF(ISERROR(FIND($C$2,Lines!AO37))=TRUE,"",IF('500'!AO37="","ERR","")) &amp; IF(ISERROR(FIND($D$2,Lines!AO37))=TRUE,"",IF('330'!AO37="","ERR","")) &amp; IF(ISERROR(FIND($E$2,Lines!AO37))=TRUE,"",IF('220'!AO37="","ERR",""))&amp; IF(ISERROR(FIND($F$2,Lines!AO37))=TRUE,"",IF(AND('500DC'!AO37="",'800DC'!AO37=""),"ERR","")) &amp; IF(ISERROR(FIND($G$2,Lines!AO37))=TRUE,"",IF('1000'!AO37="","ERR","")) &amp; IF(ISERROR(FIND($H$2,Lines!AO37))=TRUE,"",IF('500DC'!AO37="","ERR","")) &amp; IF(ISERROR(FIND($I$2,Lines!AO37))=TRUE,"",IF('800DC'!AO37="","ERR","")) &amp; IF(ISERROR(FIND($J$2,Lines!AO37))=TRUE,"",IF('1000'!AO37="","ERR",""))</f>
        <v/>
      </c>
      <c r="AP37" s="108" t="str">
        <f>IF(ISERROR(FIND($B$2,Lines!AP37))=TRUE,"",IF('750'!AP37="","ERR","")) &amp; IF(ISERROR(FIND($C$2,Lines!AP37))=TRUE,"",IF('500'!AP37="","ERR","")) &amp; IF(ISERROR(FIND($D$2,Lines!AP37))=TRUE,"",IF('330'!AP37="","ERR","")) &amp; IF(ISERROR(FIND($E$2,Lines!AP37))=TRUE,"",IF('220'!AP37="","ERR",""))&amp; IF(ISERROR(FIND($F$2,Lines!AP37))=TRUE,"",IF(AND('500DC'!AP37="",'800DC'!AP37=""),"ERR","")) &amp; IF(ISERROR(FIND($G$2,Lines!AP37))=TRUE,"",IF('1000'!AP37="","ERR","")) &amp; IF(ISERROR(FIND($H$2,Lines!AP37))=TRUE,"",IF('500DC'!AP37="","ERR","")) &amp; IF(ISERROR(FIND($I$2,Lines!AP37))=TRUE,"",IF('800DC'!AP37="","ERR","")) &amp; IF(ISERROR(FIND($J$2,Lines!AP37))=TRUE,"",IF('1000'!AP37="","ERR",""))</f>
        <v/>
      </c>
      <c r="AQ37" s="108" t="str">
        <f>IF(ISERROR(FIND($B$2,Lines!AQ37))=TRUE,"",IF('750'!AQ37="","ERR","")) &amp; IF(ISERROR(FIND($C$2,Lines!AQ37))=TRUE,"",IF('500'!AQ37="","ERR","")) &amp; IF(ISERROR(FIND($D$2,Lines!AQ37))=TRUE,"",IF('330'!AQ37="","ERR","")) &amp; IF(ISERROR(FIND($E$2,Lines!AQ37))=TRUE,"",IF('220'!AQ37="","ERR",""))&amp; IF(ISERROR(FIND($F$2,Lines!AQ37))=TRUE,"",IF(AND('500DC'!AQ37="",'800DC'!AQ37=""),"ERR","")) &amp; IF(ISERROR(FIND($G$2,Lines!AQ37))=TRUE,"",IF('1000'!AQ37="","ERR","")) &amp; IF(ISERROR(FIND($H$2,Lines!AQ37))=TRUE,"",IF('500DC'!AQ37="","ERR","")) &amp; IF(ISERROR(FIND($I$2,Lines!AQ37))=TRUE,"",IF('800DC'!AQ37="","ERR","")) &amp; IF(ISERROR(FIND($J$2,Lines!AQ37))=TRUE,"",IF('1000'!AQ37="","ERR",""))</f>
        <v/>
      </c>
      <c r="AR37" s="108" t="str">
        <f>IF(ISERROR(FIND($B$2,Lines!AR37))=TRUE,"",IF('750'!AR37="","ERR","")) &amp; IF(ISERROR(FIND($C$2,Lines!AR37))=TRUE,"",IF('500'!AR37="","ERR","")) &amp; IF(ISERROR(FIND($D$2,Lines!AR37))=TRUE,"",IF('330'!AR37="","ERR","")) &amp; IF(ISERROR(FIND($E$2,Lines!AR37))=TRUE,"",IF('220'!AR37="","ERR",""))&amp; IF(ISERROR(FIND($F$2,Lines!AR37))=TRUE,"",IF(AND('500DC'!AR37="",'800DC'!AR37=""),"ERR","")) &amp; IF(ISERROR(FIND($G$2,Lines!AR37))=TRUE,"",IF('1000'!AR37="","ERR","")) &amp; IF(ISERROR(FIND($H$2,Lines!AR37))=TRUE,"",IF('500DC'!AR37="","ERR","")) &amp; IF(ISERROR(FIND($I$2,Lines!AR37))=TRUE,"",IF('800DC'!AR37="","ERR","")) &amp; IF(ISERROR(FIND($J$2,Lines!AR37))=TRUE,"",IF('1000'!AR37="","ERR",""))</f>
        <v/>
      </c>
      <c r="AS37" s="108" t="str">
        <f>IF(ISERROR(FIND($B$2,Lines!AS37))=TRUE,"",IF('750'!AS37="","ERR","")) &amp; IF(ISERROR(FIND($C$2,Lines!AS37))=TRUE,"",IF('500'!AS37="","ERR","")) &amp; IF(ISERROR(FIND($D$2,Lines!AS37))=TRUE,"",IF('330'!AS37="","ERR","")) &amp; IF(ISERROR(FIND($E$2,Lines!AS37))=TRUE,"",IF('220'!AS37="","ERR",""))&amp; IF(ISERROR(FIND($F$2,Lines!AS37))=TRUE,"",IF(AND('500DC'!AS37="",'800DC'!AS37=""),"ERR","")) &amp; IF(ISERROR(FIND($G$2,Lines!AS37))=TRUE,"",IF('1000'!AS37="","ERR","")) &amp; IF(ISERROR(FIND($H$2,Lines!AS37))=TRUE,"",IF('500DC'!AS37="","ERR","")) &amp; IF(ISERROR(FIND($I$2,Lines!AS37))=TRUE,"",IF('800DC'!AS37="","ERR","")) &amp; IF(ISERROR(FIND($J$2,Lines!AS37))=TRUE,"",IF('1000'!AS37="","ERR",""))</f>
        <v/>
      </c>
      <c r="AT37" s="108" t="str">
        <f>IF(ISERROR(FIND($B$2,Lines!AT37))=TRUE,"",IF('750'!AT37="","ERR","")) &amp; IF(ISERROR(FIND($C$2,Lines!AT37))=TRUE,"",IF('500'!AT37="","ERR","")) &amp; IF(ISERROR(FIND($D$2,Lines!AT37))=TRUE,"",IF('330'!AT37="","ERR","")) &amp; IF(ISERROR(FIND($E$2,Lines!AT37))=TRUE,"",IF('220'!AT37="","ERR",""))&amp; IF(ISERROR(FIND($F$2,Lines!AT37))=TRUE,"",IF(AND('500DC'!AT37="",'800DC'!AT37=""),"ERR","")) &amp; IF(ISERROR(FIND($G$2,Lines!AT37))=TRUE,"",IF('1000'!AT37="","ERR","")) &amp; IF(ISERROR(FIND($H$2,Lines!AT37))=TRUE,"",IF('500DC'!AT37="","ERR","")) &amp; IF(ISERROR(FIND($I$2,Lines!AT37))=TRUE,"",IF('800DC'!AT37="","ERR","")) &amp; IF(ISERROR(FIND($J$2,Lines!AT37))=TRUE,"",IF('1000'!AT37="","ERR",""))</f>
        <v/>
      </c>
    </row>
    <row r="38" spans="1:46" ht="20.25" customHeight="1">
      <c r="A38" s="2" t="s">
        <v>86</v>
      </c>
      <c r="B38" s="108" t="str">
        <f>IF(ISERROR(FIND($B$2,Lines!B38))=TRUE,"",IF('750'!B38="","ERR","")) &amp; IF(ISERROR(FIND($C$2,Lines!B38))=TRUE,"",IF('500'!B38="","ERR","")) &amp; IF(ISERROR(FIND($D$2,Lines!B38))=TRUE,"",IF('330'!B38="","ERR","")) &amp; IF(ISERROR(FIND($E$2,Lines!B38))=TRUE,"",IF('220'!B38="","ERR",""))&amp; IF(ISERROR(FIND($F$2,Lines!B38))=TRUE,"",IF(AND('500DC'!B38="",'800DC'!B38=""),"ERR","")) &amp; IF(ISERROR(FIND($G$2,Lines!B38))=TRUE,"",IF('1000'!B38="","ERR","")) &amp; IF(ISERROR(FIND($H$2,Lines!B38))=TRUE,"",IF('500DC'!B38="","ERR","")) &amp; IF(ISERROR(FIND($I$2,Lines!B38))=TRUE,"",IF('800DC'!B38="","ERR","")) &amp; IF(ISERROR(FIND($J$2,Lines!B38))=TRUE,"",IF('1000'!B38="","ERR",""))</f>
        <v/>
      </c>
      <c r="C38" s="108" t="str">
        <f>IF(ISERROR(FIND($B$2,Lines!C38))=TRUE,"",IF('750'!C38="","ERR","")) &amp; IF(ISERROR(FIND($C$2,Lines!C38))=TRUE,"",IF('500'!C38="","ERR","")) &amp; IF(ISERROR(FIND($D$2,Lines!C38))=TRUE,"",IF('330'!C38="","ERR","")) &amp; IF(ISERROR(FIND($E$2,Lines!C38))=TRUE,"",IF('220'!C38="","ERR",""))&amp; IF(ISERROR(FIND($F$2,Lines!C38))=TRUE,"",IF(AND('500DC'!C38="",'800DC'!C38=""),"ERR","")) &amp; IF(ISERROR(FIND($G$2,Lines!C38))=TRUE,"",IF('1000'!C38="","ERR","")) &amp; IF(ISERROR(FIND($H$2,Lines!C38))=TRUE,"",IF('500DC'!C38="","ERR","")) &amp; IF(ISERROR(FIND($I$2,Lines!C38))=TRUE,"",IF('800DC'!C38="","ERR","")) &amp; IF(ISERROR(FIND($J$2,Lines!C38))=TRUE,"",IF('1000'!C38="","ERR",""))</f>
        <v/>
      </c>
      <c r="D38" s="108" t="str">
        <f>IF(ISERROR(FIND($B$2,Lines!D38))=TRUE,"",IF('750'!D38="","ERR","")) &amp; IF(ISERROR(FIND($C$2,Lines!D38))=TRUE,"",IF('500'!D38="","ERR","")) &amp; IF(ISERROR(FIND($D$2,Lines!D38))=TRUE,"",IF('330'!D38="","ERR","")) &amp; IF(ISERROR(FIND($E$2,Lines!D38))=TRUE,"",IF('220'!D38="","ERR",""))&amp; IF(ISERROR(FIND($F$2,Lines!D38))=TRUE,"",IF(AND('500DC'!D38="",'800DC'!D38=""),"ERR","")) &amp; IF(ISERROR(FIND($G$2,Lines!D38))=TRUE,"",IF('1000'!D38="","ERR","")) &amp; IF(ISERROR(FIND($H$2,Lines!D38))=TRUE,"",IF('500DC'!D38="","ERR","")) &amp; IF(ISERROR(FIND($I$2,Lines!D38))=TRUE,"",IF('800DC'!D38="","ERR","")) &amp; IF(ISERROR(FIND($J$2,Lines!D38))=TRUE,"",IF('1000'!D38="","ERR",""))</f>
        <v/>
      </c>
      <c r="E38" s="108" t="str">
        <f>IF(ISERROR(FIND($B$2,Lines!E38))=TRUE,"",IF('750'!E38="","ERR","")) &amp; IF(ISERROR(FIND($C$2,Lines!E38))=TRUE,"",IF('500'!E38="","ERR","")) &amp; IF(ISERROR(FIND($D$2,Lines!E38))=TRUE,"",IF('330'!E38="","ERR","")) &amp; IF(ISERROR(FIND($E$2,Lines!E38))=TRUE,"",IF('220'!E38="","ERR",""))&amp; IF(ISERROR(FIND($F$2,Lines!E38))=TRUE,"",IF(AND('500DC'!E38="",'800DC'!E38=""),"ERR","")) &amp; IF(ISERROR(FIND($G$2,Lines!E38))=TRUE,"",IF('1000'!E38="","ERR","")) &amp; IF(ISERROR(FIND($H$2,Lines!E38))=TRUE,"",IF('500DC'!E38="","ERR","")) &amp; IF(ISERROR(FIND($I$2,Lines!E38))=TRUE,"",IF('800DC'!E38="","ERR","")) &amp; IF(ISERROR(FIND($J$2,Lines!E38))=TRUE,"",IF('1000'!E38="","ERR",""))</f>
        <v/>
      </c>
      <c r="F38" s="108" t="str">
        <f>IF(ISERROR(FIND($B$2,Lines!F38))=TRUE,"",IF('750'!F38="","ERR","")) &amp; IF(ISERROR(FIND($C$2,Lines!F38))=TRUE,"",IF('500'!F38="","ERR","")) &amp; IF(ISERROR(FIND($D$2,Lines!F38))=TRUE,"",IF('330'!F38="","ERR","")) &amp; IF(ISERROR(FIND($E$2,Lines!F38))=TRUE,"",IF('220'!F38="","ERR",""))&amp; IF(ISERROR(FIND($F$2,Lines!F38))=TRUE,"",IF(AND('500DC'!F38="",'800DC'!F38=""),"ERR","")) &amp; IF(ISERROR(FIND($G$2,Lines!F38))=TRUE,"",IF('1000'!F38="","ERR","")) &amp; IF(ISERROR(FIND($H$2,Lines!F38))=TRUE,"",IF('500DC'!F38="","ERR","")) &amp; IF(ISERROR(FIND($I$2,Lines!F38))=TRUE,"",IF('800DC'!F38="","ERR","")) &amp; IF(ISERROR(FIND($J$2,Lines!F38))=TRUE,"",IF('1000'!F38="","ERR",""))</f>
        <v/>
      </c>
      <c r="G38" s="108" t="str">
        <f>IF(ISERROR(FIND($B$2,Lines!G38))=TRUE,"",IF('750'!G38="","ERR","")) &amp; IF(ISERROR(FIND($C$2,Lines!G38))=TRUE,"",IF('500'!G38="","ERR","")) &amp; IF(ISERROR(FIND($D$2,Lines!G38))=TRUE,"",IF('330'!G38="","ERR","")) &amp; IF(ISERROR(FIND($E$2,Lines!G38))=TRUE,"",IF('220'!G38="","ERR",""))&amp; IF(ISERROR(FIND($F$2,Lines!G38))=TRUE,"",IF(AND('500DC'!G38="",'800DC'!G38=""),"ERR","")) &amp; IF(ISERROR(FIND($G$2,Lines!G38))=TRUE,"",IF('1000'!G38="","ERR","")) &amp; IF(ISERROR(FIND($H$2,Lines!G38))=TRUE,"",IF('500DC'!G38="","ERR","")) &amp; IF(ISERROR(FIND($I$2,Lines!G38))=TRUE,"",IF('800DC'!G38="","ERR","")) &amp; IF(ISERROR(FIND($J$2,Lines!G38))=TRUE,"",IF('1000'!G38="","ERR",""))</f>
        <v/>
      </c>
      <c r="H38" s="108" t="str">
        <f>IF(ISERROR(FIND($B$2,Lines!H38))=TRUE,"",IF('750'!H38="","ERR","")) &amp; IF(ISERROR(FIND($C$2,Lines!H38))=TRUE,"",IF('500'!H38="","ERR","")) &amp; IF(ISERROR(FIND($D$2,Lines!H38))=TRUE,"",IF('330'!H38="","ERR","")) &amp; IF(ISERROR(FIND($E$2,Lines!H38))=TRUE,"",IF('220'!H38="","ERR",""))&amp; IF(ISERROR(FIND($F$2,Lines!H38))=TRUE,"",IF(AND('500DC'!H38="",'800DC'!H38=""),"ERR","")) &amp; IF(ISERROR(FIND($G$2,Lines!H38))=TRUE,"",IF('1000'!H38="","ERR","")) &amp; IF(ISERROR(FIND($H$2,Lines!H38))=TRUE,"",IF('500DC'!H38="","ERR","")) &amp; IF(ISERROR(FIND($I$2,Lines!H38))=TRUE,"",IF('800DC'!H38="","ERR","")) &amp; IF(ISERROR(FIND($J$2,Lines!H38))=TRUE,"",IF('1000'!H38="","ERR",""))</f>
        <v/>
      </c>
      <c r="I38" s="108" t="str">
        <f>IF(ISERROR(FIND($B$2,Lines!I38))=TRUE,"",IF('750'!I38="","ERR","")) &amp; IF(ISERROR(FIND($C$2,Lines!I38))=TRUE,"",IF('500'!I38="","ERR","")) &amp; IF(ISERROR(FIND($D$2,Lines!I38))=TRUE,"",IF('330'!I38="","ERR","")) &amp; IF(ISERROR(FIND($E$2,Lines!I38))=TRUE,"",IF('220'!I38="","ERR",""))&amp; IF(ISERROR(FIND($F$2,Lines!I38))=TRUE,"",IF(AND('500DC'!I38="",'800DC'!I38=""),"ERR","")) &amp; IF(ISERROR(FIND($G$2,Lines!I38))=TRUE,"",IF('1000'!I38="","ERR","")) &amp; IF(ISERROR(FIND($H$2,Lines!I38))=TRUE,"",IF('500DC'!I38="","ERR","")) &amp; IF(ISERROR(FIND($I$2,Lines!I38))=TRUE,"",IF('800DC'!I38="","ERR","")) &amp; IF(ISERROR(FIND($J$2,Lines!I38))=TRUE,"",IF('1000'!I38="","ERR",""))</f>
        <v/>
      </c>
      <c r="J38" s="108" t="str">
        <f>IF(ISERROR(FIND($B$2,Lines!J38))=TRUE,"",IF('750'!J38="","ERR","")) &amp; IF(ISERROR(FIND($C$2,Lines!J38))=TRUE,"",IF('500'!J38="","ERR","")) &amp; IF(ISERROR(FIND($D$2,Lines!J38))=TRUE,"",IF('330'!J38="","ERR","")) &amp; IF(ISERROR(FIND($E$2,Lines!J38))=TRUE,"",IF('220'!J38="","ERR",""))&amp; IF(ISERROR(FIND($F$2,Lines!J38))=TRUE,"",IF(AND('500DC'!J38="",'800DC'!J38=""),"ERR","")) &amp; IF(ISERROR(FIND($G$2,Lines!J38))=TRUE,"",IF('1000'!J38="","ERR","")) &amp; IF(ISERROR(FIND($H$2,Lines!J38))=TRUE,"",IF('500DC'!J38="","ERR","")) &amp; IF(ISERROR(FIND($I$2,Lines!J38))=TRUE,"",IF('800DC'!J38="","ERR","")) &amp; IF(ISERROR(FIND($J$2,Lines!J38))=TRUE,"",IF('1000'!J38="","ERR",""))</f>
        <v/>
      </c>
      <c r="K38" s="108" t="str">
        <f>IF(ISERROR(FIND($B$2,Lines!K38))=TRUE,"",IF('750'!K38="","ERR","")) &amp; IF(ISERROR(FIND($C$2,Lines!K38))=TRUE,"",IF('500'!K38="","ERR","")) &amp; IF(ISERROR(FIND($D$2,Lines!K38))=TRUE,"",IF('330'!K38="","ERR","")) &amp; IF(ISERROR(FIND($E$2,Lines!K38))=TRUE,"",IF('220'!K38="","ERR",""))&amp; IF(ISERROR(FIND($F$2,Lines!K38))=TRUE,"",IF(AND('500DC'!K38="",'800DC'!K38=""),"ERR","")) &amp; IF(ISERROR(FIND($G$2,Lines!K38))=TRUE,"",IF('1000'!K38="","ERR","")) &amp; IF(ISERROR(FIND($H$2,Lines!K38))=TRUE,"",IF('500DC'!K38="","ERR","")) &amp; IF(ISERROR(FIND($I$2,Lines!K38))=TRUE,"",IF('800DC'!K38="","ERR","")) &amp; IF(ISERROR(FIND($J$2,Lines!K38))=TRUE,"",IF('1000'!K38="","ERR",""))</f>
        <v/>
      </c>
      <c r="L38" s="108" t="str">
        <f>IF(ISERROR(FIND($B$2,Lines!L38))=TRUE,"",IF('750'!L38="","ERR","")) &amp; IF(ISERROR(FIND($C$2,Lines!L38))=TRUE,"",IF('500'!L38="","ERR","")) &amp; IF(ISERROR(FIND($D$2,Lines!L38))=TRUE,"",IF('330'!L38="","ERR","")) &amp; IF(ISERROR(FIND($E$2,Lines!L38))=TRUE,"",IF('220'!L38="","ERR",""))&amp; IF(ISERROR(FIND($F$2,Lines!L38))=TRUE,"",IF(AND('500DC'!L38="",'800DC'!L38=""),"ERR","")) &amp; IF(ISERROR(FIND($G$2,Lines!L38))=TRUE,"",IF('1000'!L38="","ERR","")) &amp; IF(ISERROR(FIND($H$2,Lines!L38))=TRUE,"",IF('500DC'!L38="","ERR","")) &amp; IF(ISERROR(FIND($I$2,Lines!L38))=TRUE,"",IF('800DC'!L38="","ERR","")) &amp; IF(ISERROR(FIND($J$2,Lines!L38))=TRUE,"",IF('1000'!L38="","ERR",""))</f>
        <v/>
      </c>
      <c r="M38" s="108" t="str">
        <f>IF(ISERROR(FIND($B$2,Lines!M38))=TRUE,"",IF('750'!M38="","ERR","")) &amp; IF(ISERROR(FIND($C$2,Lines!M38))=TRUE,"",IF('500'!M38="","ERR","")) &amp; IF(ISERROR(FIND($D$2,Lines!M38))=TRUE,"",IF('330'!M38="","ERR","")) &amp; IF(ISERROR(FIND($E$2,Lines!M38))=TRUE,"",IF('220'!M38="","ERR",""))&amp; IF(ISERROR(FIND($F$2,Lines!M38))=TRUE,"",IF(AND('500DC'!M38="",'800DC'!M38=""),"ERR","")) &amp; IF(ISERROR(FIND($G$2,Lines!M38))=TRUE,"",IF('1000'!M38="","ERR","")) &amp; IF(ISERROR(FIND($H$2,Lines!M38))=TRUE,"",IF('500DC'!M38="","ERR","")) &amp; IF(ISERROR(FIND($I$2,Lines!M38))=TRUE,"",IF('800DC'!M38="","ERR","")) &amp; IF(ISERROR(FIND($J$2,Lines!M38))=TRUE,"",IF('1000'!M38="","ERR",""))</f>
        <v/>
      </c>
      <c r="N38" s="108" t="str">
        <f>IF(ISERROR(FIND($B$2,Lines!N38))=TRUE,"",IF('750'!N38="","ERR","")) &amp; IF(ISERROR(FIND($C$2,Lines!N38))=TRUE,"",IF('500'!N38="","ERR","")) &amp; IF(ISERROR(FIND($D$2,Lines!N38))=TRUE,"",IF('330'!N38="","ERR","")) &amp; IF(ISERROR(FIND($E$2,Lines!N38))=TRUE,"",IF('220'!N38="","ERR",""))&amp; IF(ISERROR(FIND($F$2,Lines!N38))=TRUE,"",IF(AND('500DC'!N38="",'800DC'!N38=""),"ERR","")) &amp; IF(ISERROR(FIND($G$2,Lines!N38))=TRUE,"",IF('1000'!N38="","ERR","")) &amp; IF(ISERROR(FIND($H$2,Lines!N38))=TRUE,"",IF('500DC'!N38="","ERR","")) &amp; IF(ISERROR(FIND($I$2,Lines!N38))=TRUE,"",IF('800DC'!N38="","ERR","")) &amp; IF(ISERROR(FIND($J$2,Lines!N38))=TRUE,"",IF('1000'!N38="","ERR",""))</f>
        <v/>
      </c>
      <c r="O38" s="108" t="str">
        <f>IF(ISERROR(FIND($B$2,Lines!O38))=TRUE,"",IF('750'!O38="","ERR","")) &amp; IF(ISERROR(FIND($C$2,Lines!O38))=TRUE,"",IF('500'!O38="","ERR","")) &amp; IF(ISERROR(FIND($D$2,Lines!O38))=TRUE,"",IF('330'!O38="","ERR","")) &amp; IF(ISERROR(FIND($E$2,Lines!O38))=TRUE,"",IF('220'!O38="","ERR",""))&amp; IF(ISERROR(FIND($F$2,Lines!O38))=TRUE,"",IF(AND('500DC'!O38="",'800DC'!O38=""),"ERR","")) &amp; IF(ISERROR(FIND($G$2,Lines!O38))=TRUE,"",IF('1000'!O38="","ERR","")) &amp; IF(ISERROR(FIND($H$2,Lines!O38))=TRUE,"",IF('500DC'!O38="","ERR","")) &amp; IF(ISERROR(FIND($I$2,Lines!O38))=TRUE,"",IF('800DC'!O38="","ERR","")) &amp; IF(ISERROR(FIND($J$2,Lines!O38))=TRUE,"",IF('1000'!O38="","ERR",""))</f>
        <v/>
      </c>
      <c r="P38" s="108" t="str">
        <f>IF(ISERROR(FIND($B$2,Lines!P38))=TRUE,"",IF('750'!P38="","ERR","")) &amp; IF(ISERROR(FIND($C$2,Lines!P38))=TRUE,"",IF('500'!P38="","ERR","")) &amp; IF(ISERROR(FIND($D$2,Lines!P38))=TRUE,"",IF('330'!P38="","ERR","")) &amp; IF(ISERROR(FIND($E$2,Lines!P38))=TRUE,"",IF('220'!P38="","ERR",""))&amp; IF(ISERROR(FIND($F$2,Lines!P38))=TRUE,"",IF(AND('500DC'!P38="",'800DC'!P38=""),"ERR","")) &amp; IF(ISERROR(FIND($G$2,Lines!P38))=TRUE,"",IF('1000'!P38="","ERR","")) &amp; IF(ISERROR(FIND($H$2,Lines!P38))=TRUE,"",IF('500DC'!P38="","ERR","")) &amp; IF(ISERROR(FIND($I$2,Lines!P38))=TRUE,"",IF('800DC'!P38="","ERR","")) &amp; IF(ISERROR(FIND($J$2,Lines!P38))=TRUE,"",IF('1000'!P38="","ERR",""))</f>
        <v/>
      </c>
      <c r="Q38" s="108" t="str">
        <f>IF(ISERROR(FIND($B$2,Lines!Q38))=TRUE,"",IF('750'!Q38="","ERR","")) &amp; IF(ISERROR(FIND($C$2,Lines!Q38))=TRUE,"",IF('500'!Q38="","ERR","")) &amp; IF(ISERROR(FIND($D$2,Lines!Q38))=TRUE,"",IF('330'!Q38="","ERR","")) &amp; IF(ISERROR(FIND($E$2,Lines!Q38))=TRUE,"",IF('220'!Q38="","ERR",""))&amp; IF(ISERROR(FIND($F$2,Lines!Q38))=TRUE,"",IF(AND('500DC'!Q38="",'800DC'!Q38=""),"ERR","")) &amp; IF(ISERROR(FIND($G$2,Lines!Q38))=TRUE,"",IF('1000'!Q38="","ERR","")) &amp; IF(ISERROR(FIND($H$2,Lines!Q38))=TRUE,"",IF('500DC'!Q38="","ERR","")) &amp; IF(ISERROR(FIND($I$2,Lines!Q38))=TRUE,"",IF('800DC'!Q38="","ERR","")) &amp; IF(ISERROR(FIND($J$2,Lines!Q38))=TRUE,"",IF('1000'!Q38="","ERR",""))</f>
        <v/>
      </c>
      <c r="R38" s="108" t="str">
        <f>IF(ISERROR(FIND($B$2,Lines!R38))=TRUE,"",IF('750'!R38="","ERR","")) &amp; IF(ISERROR(FIND($C$2,Lines!R38))=TRUE,"",IF('500'!R38="","ERR","")) &amp; IF(ISERROR(FIND($D$2,Lines!R38))=TRUE,"",IF('330'!R38="","ERR","")) &amp; IF(ISERROR(FIND($E$2,Lines!R38))=TRUE,"",IF('220'!R38="","ERR",""))&amp; IF(ISERROR(FIND($F$2,Lines!R38))=TRUE,"",IF(AND('500DC'!R38="",'800DC'!R38=""),"ERR","")) &amp; IF(ISERROR(FIND($G$2,Lines!R38))=TRUE,"",IF('1000'!R38="","ERR","")) &amp; IF(ISERROR(FIND($H$2,Lines!R38))=TRUE,"",IF('500DC'!R38="","ERR","")) &amp; IF(ISERROR(FIND($I$2,Lines!R38))=TRUE,"",IF('800DC'!R38="","ERR","")) &amp; IF(ISERROR(FIND($J$2,Lines!R38))=TRUE,"",IF('1000'!R38="","ERR",""))</f>
        <v/>
      </c>
      <c r="S38" s="108" t="str">
        <f>IF(ISERROR(FIND($B$2,Lines!S38))=TRUE,"",IF('750'!S38="","ERR","")) &amp; IF(ISERROR(FIND($C$2,Lines!S38))=TRUE,"",IF('500'!S38="","ERR","")) &amp; IF(ISERROR(FIND($D$2,Lines!S38))=TRUE,"",IF('330'!S38="","ERR","")) &amp; IF(ISERROR(FIND($E$2,Lines!S38))=TRUE,"",IF('220'!S38="","ERR",""))&amp; IF(ISERROR(FIND($F$2,Lines!S38))=TRUE,"",IF(AND('500DC'!S38="",'800DC'!S38=""),"ERR","")) &amp; IF(ISERROR(FIND($G$2,Lines!S38))=TRUE,"",IF('1000'!S38="","ERR","")) &amp; IF(ISERROR(FIND($H$2,Lines!S38))=TRUE,"",IF('500DC'!S38="","ERR","")) &amp; IF(ISERROR(FIND($I$2,Lines!S38))=TRUE,"",IF('800DC'!S38="","ERR","")) &amp; IF(ISERROR(FIND($J$2,Lines!S38))=TRUE,"",IF('1000'!S38="","ERR",""))</f>
        <v/>
      </c>
      <c r="T38" s="108" t="str">
        <f>IF(ISERROR(FIND($B$2,Lines!T38))=TRUE,"",IF('750'!T38="","ERR","")) &amp; IF(ISERROR(FIND($C$2,Lines!T38))=TRUE,"",IF('500'!T38="","ERR","")) &amp; IF(ISERROR(FIND($D$2,Lines!T38))=TRUE,"",IF('330'!T38="","ERR","")) &amp; IF(ISERROR(FIND($E$2,Lines!T38))=TRUE,"",IF('220'!T38="","ERR",""))&amp; IF(ISERROR(FIND($F$2,Lines!T38))=TRUE,"",IF(AND('500DC'!T38="",'800DC'!T38=""),"ERR","")) &amp; IF(ISERROR(FIND($G$2,Lines!T38))=TRUE,"",IF('1000'!T38="","ERR","")) &amp; IF(ISERROR(FIND($H$2,Lines!T38))=TRUE,"",IF('500DC'!T38="","ERR","")) &amp; IF(ISERROR(FIND($I$2,Lines!T38))=TRUE,"",IF('800DC'!T38="","ERR","")) &amp; IF(ISERROR(FIND($J$2,Lines!T38))=TRUE,"",IF('1000'!T38="","ERR",""))</f>
        <v/>
      </c>
      <c r="U38" s="108" t="str">
        <f>IF(ISERROR(FIND($B$2,Lines!U38))=TRUE,"",IF('750'!U38="","ERR","")) &amp; IF(ISERROR(FIND($C$2,Lines!U38))=TRUE,"",IF('500'!U38="","ERR","")) &amp; IF(ISERROR(FIND($D$2,Lines!U38))=TRUE,"",IF('330'!U38="","ERR","")) &amp; IF(ISERROR(FIND($E$2,Lines!U38))=TRUE,"",IF('220'!U38="","ERR",""))&amp; IF(ISERROR(FIND($F$2,Lines!U38))=TRUE,"",IF(AND('500DC'!U38="",'800DC'!U38=""),"ERR","")) &amp; IF(ISERROR(FIND($G$2,Lines!U38))=TRUE,"",IF('1000'!U38="","ERR","")) &amp; IF(ISERROR(FIND($H$2,Lines!U38))=TRUE,"",IF('500DC'!U38="","ERR","")) &amp; IF(ISERROR(FIND($I$2,Lines!U38))=TRUE,"",IF('800DC'!U38="","ERR","")) &amp; IF(ISERROR(FIND($J$2,Lines!U38))=TRUE,"",IF('1000'!U38="","ERR",""))</f>
        <v/>
      </c>
      <c r="V38" s="108" t="str">
        <f>IF(ISERROR(FIND($B$2,Lines!V38))=TRUE,"",IF('750'!V38="","ERR","")) &amp; IF(ISERROR(FIND($C$2,Lines!V38))=TRUE,"",IF('500'!V38="","ERR","")) &amp; IF(ISERROR(FIND($D$2,Lines!V38))=TRUE,"",IF('330'!V38="","ERR","")) &amp; IF(ISERROR(FIND($E$2,Lines!V38))=TRUE,"",IF('220'!V38="","ERR",""))&amp; IF(ISERROR(FIND($F$2,Lines!V38))=TRUE,"",IF(AND('500DC'!V38="",'800DC'!V38=""),"ERR","")) &amp; IF(ISERROR(FIND($G$2,Lines!V38))=TRUE,"",IF('1000'!V38="","ERR","")) &amp; IF(ISERROR(FIND($H$2,Lines!V38))=TRUE,"",IF('500DC'!V38="","ERR","")) &amp; IF(ISERROR(FIND($I$2,Lines!V38))=TRUE,"",IF('800DC'!V38="","ERR","")) &amp; IF(ISERROR(FIND($J$2,Lines!V38))=TRUE,"",IF('1000'!V38="","ERR",""))</f>
        <v/>
      </c>
      <c r="W38" s="109" t="str">
        <f>IF(ISERROR(FIND($B$2,Lines!W38))=TRUE,"",IF('750'!W38="","ERR","")) &amp; IF(ISERROR(FIND($C$2,Lines!W38))=TRUE,"",IF('500'!W38="","ERR","")) &amp; IF(ISERROR(FIND($D$2,Lines!W38))=TRUE,"",IF('330'!W38="","ERR","")) &amp; IF(ISERROR(FIND($E$2,Lines!W38))=TRUE,"",IF('220'!W38="","ERR",""))&amp; IF(ISERROR(FIND($F$2,Lines!W38))=TRUE,"",IF(AND('500DC'!W38="",'800DC'!W38=""),"ERR","")) &amp; IF(ISERROR(FIND($G$2,Lines!W38))=TRUE,"",IF('1000'!W38="","ERR","")) &amp; IF(ISERROR(FIND($H$2,Lines!W38))=TRUE,"",IF('500DC'!W38="","ERR","")) &amp; IF(ISERROR(FIND($I$2,Lines!W38))=TRUE,"",IF('800DC'!W38="","ERR","")) &amp; IF(ISERROR(FIND($J$2,Lines!W38))=TRUE,"",IF('1000'!W38="","ERR",""))</f>
        <v/>
      </c>
      <c r="X38" s="108" t="str">
        <f>IF(ISERROR(FIND($B$2,Lines!X38))=TRUE,"",IF('750'!X38="","ERR","")) &amp; IF(ISERROR(FIND($C$2,Lines!X38))=TRUE,"",IF('500'!X38="","ERR","")) &amp; IF(ISERROR(FIND($D$2,Lines!X38))=TRUE,"",IF('330'!X38="","ERR","")) &amp; IF(ISERROR(FIND($E$2,Lines!X38))=TRUE,"",IF('220'!X38="","ERR",""))&amp; IF(ISERROR(FIND($F$2,Lines!X38))=TRUE,"",IF(AND('500DC'!X38="",'800DC'!X38=""),"ERR","")) &amp; IF(ISERROR(FIND($G$2,Lines!X38))=TRUE,"",IF('1000'!X38="","ERR","")) &amp; IF(ISERROR(FIND($H$2,Lines!X38))=TRUE,"",IF('500DC'!X38="","ERR","")) &amp; IF(ISERROR(FIND($I$2,Lines!X38))=TRUE,"",IF('800DC'!X38="","ERR","")) &amp; IF(ISERROR(FIND($J$2,Lines!X38))=TRUE,"",IF('1000'!X38="","ERR",""))</f>
        <v/>
      </c>
      <c r="Y38" s="108" t="str">
        <f>IF(ISERROR(FIND($B$2,Lines!Y38))=TRUE,"",IF('750'!Y38="","ERR","")) &amp; IF(ISERROR(FIND($C$2,Lines!Y38))=TRUE,"",IF('500'!Y38="","ERR","")) &amp; IF(ISERROR(FIND($D$2,Lines!Y38))=TRUE,"",IF('330'!Y38="","ERR","")) &amp; IF(ISERROR(FIND($E$2,Lines!Y38))=TRUE,"",IF('220'!Y38="","ERR",""))&amp; IF(ISERROR(FIND($F$2,Lines!Y38))=TRUE,"",IF(AND('500DC'!Y38="",'800DC'!Y38=""),"ERR","")) &amp; IF(ISERROR(FIND($G$2,Lines!Y38))=TRUE,"",IF('1000'!Y38="","ERR","")) &amp; IF(ISERROR(FIND($H$2,Lines!Y38))=TRUE,"",IF('500DC'!Y38="","ERR","")) &amp; IF(ISERROR(FIND($I$2,Lines!Y38))=TRUE,"",IF('800DC'!Y38="","ERR","")) &amp; IF(ISERROR(FIND($J$2,Lines!Y38))=TRUE,"",IF('1000'!Y38="","ERR",""))</f>
        <v/>
      </c>
      <c r="Z38" s="108" t="str">
        <f>IF(ISERROR(FIND($B$2,Lines!Z38))=TRUE,"",IF('750'!Z38="","ERR","")) &amp; IF(ISERROR(FIND($C$2,Lines!Z38))=TRUE,"",IF('500'!Z38="","ERR","")) &amp; IF(ISERROR(FIND($D$2,Lines!Z38))=TRUE,"",IF('330'!Z38="","ERR","")) &amp; IF(ISERROR(FIND($E$2,Lines!Z38))=TRUE,"",IF('220'!Z38="","ERR",""))&amp; IF(ISERROR(FIND($F$2,Lines!Z38))=TRUE,"",IF(AND('500DC'!Z38="",'800DC'!Z38=""),"ERR","")) &amp; IF(ISERROR(FIND($G$2,Lines!Z38))=TRUE,"",IF('1000'!Z38="","ERR","")) &amp; IF(ISERROR(FIND($H$2,Lines!Z38))=TRUE,"",IF('500DC'!Z38="","ERR","")) &amp; IF(ISERROR(FIND($I$2,Lines!Z38))=TRUE,"",IF('800DC'!Z38="","ERR","")) &amp; IF(ISERROR(FIND($J$2,Lines!Z38))=TRUE,"",IF('1000'!Z38="","ERR",""))</f>
        <v/>
      </c>
      <c r="AA38" s="108" t="str">
        <f>IF(ISERROR(FIND($B$2,Lines!AA38))=TRUE,"",IF('750'!AA38="","ERR","")) &amp; IF(ISERROR(FIND($C$2,Lines!AA38))=TRUE,"",IF('500'!AA38="","ERR","")) &amp; IF(ISERROR(FIND($D$2,Lines!AA38))=TRUE,"",IF('330'!AA38="","ERR","")) &amp; IF(ISERROR(FIND($E$2,Lines!AA38))=TRUE,"",IF('220'!AA38="","ERR",""))&amp; IF(ISERROR(FIND($F$2,Lines!AA38))=TRUE,"",IF(AND('500DC'!AA38="",'800DC'!AA38=""),"ERR","")) &amp; IF(ISERROR(FIND($G$2,Lines!AA38))=TRUE,"",IF('1000'!AA38="","ERR","")) &amp; IF(ISERROR(FIND($H$2,Lines!AA38))=TRUE,"",IF('500DC'!AA38="","ERR","")) &amp; IF(ISERROR(FIND($I$2,Lines!AA38))=TRUE,"",IF('800DC'!AA38="","ERR","")) &amp; IF(ISERROR(FIND($J$2,Lines!AA38))=TRUE,"",IF('1000'!AA38="","ERR",""))</f>
        <v/>
      </c>
      <c r="AB38" s="108" t="str">
        <f>IF(ISERROR(FIND($B$2,Lines!AB38))=TRUE,"",IF('750'!AB38="","ERR","")) &amp; IF(ISERROR(FIND($C$2,Lines!AB38))=TRUE,"",IF('500'!AB38="","ERR","")) &amp; IF(ISERROR(FIND($D$2,Lines!AB38))=TRUE,"",IF('330'!AB38="","ERR","")) &amp; IF(ISERROR(FIND($E$2,Lines!AB38))=TRUE,"",IF('220'!AB38="","ERR",""))&amp; IF(ISERROR(FIND($F$2,Lines!AB38))=TRUE,"",IF(AND('500DC'!AB38="",'800DC'!AB38=""),"ERR","")) &amp; IF(ISERROR(FIND($G$2,Lines!AB38))=TRUE,"",IF('1000'!AB38="","ERR","")) &amp; IF(ISERROR(FIND($H$2,Lines!AB38))=TRUE,"",IF('500DC'!AB38="","ERR","")) &amp; IF(ISERROR(FIND($I$2,Lines!AB38))=TRUE,"",IF('800DC'!AB38="","ERR","")) &amp; IF(ISERROR(FIND($J$2,Lines!AB38))=TRUE,"",IF('1000'!AB38="","ERR",""))</f>
        <v/>
      </c>
      <c r="AC38" s="108" t="str">
        <f>IF(ISERROR(FIND($B$2,Lines!AC38))=TRUE,"",IF('750'!AC38="","ERR","")) &amp; IF(ISERROR(FIND($C$2,Lines!AC38))=TRUE,"",IF('500'!AC38="","ERR","")) &amp; IF(ISERROR(FIND($D$2,Lines!AC38))=TRUE,"",IF('330'!AC38="","ERR","")) &amp; IF(ISERROR(FIND($E$2,Lines!AC38))=TRUE,"",IF('220'!AC38="","ERR",""))&amp; IF(ISERROR(FIND($F$2,Lines!AC38))=TRUE,"",IF(AND('500DC'!AC38="",'800DC'!AC38=""),"ERR","")) &amp; IF(ISERROR(FIND($G$2,Lines!AC38))=TRUE,"",IF('1000'!AC38="","ERR","")) &amp; IF(ISERROR(FIND($H$2,Lines!AC38))=TRUE,"",IF('500DC'!AC38="","ERR","")) &amp; IF(ISERROR(FIND($I$2,Lines!AC38))=TRUE,"",IF('800DC'!AC38="","ERR","")) &amp; IF(ISERROR(FIND($J$2,Lines!AC38))=TRUE,"",IF('1000'!AC38="","ERR",""))</f>
        <v/>
      </c>
      <c r="AD38" s="108" t="str">
        <f>IF(ISERROR(FIND($B$2,Lines!AD38))=TRUE,"",IF('750'!AD38="","ERR","")) &amp; IF(ISERROR(FIND($C$2,Lines!AD38))=TRUE,"",IF('500'!AD38="","ERR","")) &amp; IF(ISERROR(FIND($D$2,Lines!AD38))=TRUE,"",IF('330'!AD38="","ERR","")) &amp; IF(ISERROR(FIND($E$2,Lines!AD38))=TRUE,"",IF('220'!AD38="","ERR",""))&amp; IF(ISERROR(FIND($F$2,Lines!AD38))=TRUE,"",IF(AND('500DC'!AD38="",'800DC'!AD38=""),"ERR","")) &amp; IF(ISERROR(FIND($G$2,Lines!AD38))=TRUE,"",IF('1000'!AD38="","ERR","")) &amp; IF(ISERROR(FIND($H$2,Lines!AD38))=TRUE,"",IF('500DC'!AD38="","ERR","")) &amp; IF(ISERROR(FIND($I$2,Lines!AD38))=TRUE,"",IF('800DC'!AD38="","ERR","")) &amp; IF(ISERROR(FIND($J$2,Lines!AD38))=TRUE,"",IF('1000'!AD38="","ERR",""))</f>
        <v/>
      </c>
      <c r="AE38" s="133" t="str">
        <f>IF(ISERROR(FIND($B$2,Lines!AE38))=TRUE,"",IF('750'!AE38="","ERR","")) &amp; IF(ISERROR(FIND($C$2,Lines!AE38))=TRUE,"",IF('500'!AE38="","ERR","")) &amp; IF(ISERROR(FIND($D$2,Lines!AE38))=TRUE,"",IF('330'!AE38="","ERR","")) &amp; IF(ISERROR(FIND($E$2,Lines!AE38))=TRUE,"",IF('220'!AE38="","ERR",""))&amp; IF(ISERROR(FIND($F$2,Lines!AE38))=TRUE,"",IF(AND('500DC'!AE38="",'800DC'!AE38=""),"ERR","")) &amp; IF(ISERROR(FIND($G$2,Lines!AE38))=TRUE,"",IF('1000'!AE38="","ERR","")) &amp; IF(ISERROR(FIND($H$2,Lines!AE38))=TRUE,"",IF('500DC'!AE38="","ERR","")) &amp; IF(ISERROR(FIND($I$2,Lines!AE38))=TRUE,"",IF('800DC'!AE38="","ERR","")) &amp; IF(ISERROR(FIND($J$2,Lines!AE38))=TRUE,"",IF('1000'!AE38="","ERR",""))</f>
        <v/>
      </c>
      <c r="AF38" s="134" t="str">
        <f>IF(ISERROR(FIND($B$2,Lines!AF38))=TRUE,"",IF('750'!AF38="","ERR","")) &amp; IF(ISERROR(FIND($C$2,Lines!AF38))=TRUE,"",IF('500'!AF38="","ERR","")) &amp; IF(ISERROR(FIND($D$2,Lines!AF38))=TRUE,"",IF('330'!AF38="","ERR","")) &amp; IF(ISERROR(FIND($E$2,Lines!AF38))=TRUE,"",IF('220'!AF38="","ERR",""))&amp; IF(ISERROR(FIND($F$2,Lines!AF38))=TRUE,"",IF(AND('500DC'!AF38="",'800DC'!AF38=""),"ERR","")) &amp; IF(ISERROR(FIND($G$2,Lines!AF38))=TRUE,"",IF('1000'!AF38="","ERR","")) &amp; IF(ISERROR(FIND($H$2,Lines!AF38))=TRUE,"",IF('500DC'!AF38="","ERR","")) &amp; IF(ISERROR(FIND($I$2,Lines!AF38))=TRUE,"",IF('800DC'!AF38="","ERR","")) &amp; IF(ISERROR(FIND($J$2,Lines!AF38))=TRUE,"",IF('1000'!AF38="","ERR",""))</f>
        <v/>
      </c>
      <c r="AG38" s="134" t="str">
        <f>IF(ISERROR(FIND($B$2,Lines!AG38))=TRUE,"",IF('750'!AG38="","ERR","")) &amp; IF(ISERROR(FIND($C$2,Lines!AG38))=TRUE,"",IF('500'!AG38="","ERR","")) &amp; IF(ISERROR(FIND($D$2,Lines!AG38))=TRUE,"",IF('330'!AG38="","ERR","")) &amp; IF(ISERROR(FIND($E$2,Lines!AG38))=TRUE,"",IF('220'!AG38="","ERR",""))&amp; IF(ISERROR(FIND($F$2,Lines!AG38))=TRUE,"",IF(AND('500DC'!AG38="",'800DC'!AG38=""),"ERR","")) &amp; IF(ISERROR(FIND($G$2,Lines!AG38))=TRUE,"",IF('1000'!AG38="","ERR","")) &amp; IF(ISERROR(FIND($H$2,Lines!AG38))=TRUE,"",IF('500DC'!AG38="","ERR","")) &amp; IF(ISERROR(FIND($I$2,Lines!AG38))=TRUE,"",IF('800DC'!AG38="","ERR","")) &amp; IF(ISERROR(FIND($J$2,Lines!AG38))=TRUE,"",IF('1000'!AG38="","ERR",""))</f>
        <v/>
      </c>
      <c r="AH38" s="134" t="str">
        <f>IF(ISERROR(FIND($B$2,Lines!AH38))=TRUE,"",IF('750'!AH38="","ERR","")) &amp; IF(ISERROR(FIND($C$2,Lines!AH38))=TRUE,"",IF('500'!AH38="","ERR","")) &amp; IF(ISERROR(FIND($D$2,Lines!AH38))=TRUE,"",IF('330'!AH38="","ERR","")) &amp; IF(ISERROR(FIND($E$2,Lines!AH38))=TRUE,"",IF('220'!AH38="","ERR",""))&amp; IF(ISERROR(FIND($F$2,Lines!AH38))=TRUE,"",IF(AND('500DC'!AH38="",'800DC'!AH38=""),"ERR","")) &amp; IF(ISERROR(FIND($G$2,Lines!AH38))=TRUE,"",IF('1000'!AH38="","ERR","")) &amp; IF(ISERROR(FIND($H$2,Lines!AH38))=TRUE,"",IF('500DC'!AH38="","ERR","")) &amp; IF(ISERROR(FIND($I$2,Lines!AH38))=TRUE,"",IF('800DC'!AH38="","ERR","")) &amp; IF(ISERROR(FIND($J$2,Lines!AH38))=TRUE,"",IF('1000'!AH38="","ERR",""))</f>
        <v/>
      </c>
      <c r="AI38" s="134" t="str">
        <f>IF(ISERROR(FIND($B$2,Lines!AI38))=TRUE,"",IF('750'!AI38="","ERR","")) &amp; IF(ISERROR(FIND($C$2,Lines!AI38))=TRUE,"",IF('500'!AI38="","ERR","")) &amp; IF(ISERROR(FIND($D$2,Lines!AI38))=TRUE,"",IF('330'!AI38="","ERR","")) &amp; IF(ISERROR(FIND($E$2,Lines!AI38))=TRUE,"",IF('220'!AI38="","ERR",""))&amp; IF(ISERROR(FIND($F$2,Lines!AI38))=TRUE,"",IF(AND('500DC'!AI38="",'800DC'!AI38=""),"ERR","")) &amp; IF(ISERROR(FIND($G$2,Lines!AI38))=TRUE,"",IF('1000'!AI38="","ERR","")) &amp; IF(ISERROR(FIND($H$2,Lines!AI38))=TRUE,"",IF('500DC'!AI38="","ERR","")) &amp; IF(ISERROR(FIND($I$2,Lines!AI38))=TRUE,"",IF('800DC'!AI38="","ERR","")) &amp; IF(ISERROR(FIND($J$2,Lines!AI38))=TRUE,"",IF('1000'!AI38="","ERR",""))</f>
        <v/>
      </c>
      <c r="AJ38" s="121" t="str">
        <f>IF(ISERROR(FIND($B$2,Lines!AJ38))=TRUE,"",IF('750'!AJ38="","ERR","")) &amp; IF(ISERROR(FIND($C$2,Lines!AJ38))=TRUE,"",IF('500'!AJ38="","ERR","")) &amp; IF(ISERROR(FIND($D$2,Lines!AJ38))=TRUE,"",IF('330'!AJ38="","ERR","")) &amp; IF(ISERROR(FIND($E$2,Lines!AJ38))=TRUE,"",IF('220'!AJ38="","ERR",""))&amp; IF(ISERROR(FIND($F$2,Lines!AJ38))=TRUE,"",IF(AND('500DC'!AJ38="",'800DC'!AJ38=""),"ERR","")) &amp; IF(ISERROR(FIND($G$2,Lines!AJ38))=TRUE,"",IF('1000'!AJ38="","ERR","")) &amp; IF(ISERROR(FIND($H$2,Lines!AJ38))=TRUE,"",IF('500DC'!AJ38="","ERR","")) &amp; IF(ISERROR(FIND($I$2,Lines!AJ38))=TRUE,"",IF('800DC'!AJ38="","ERR","")) &amp; IF(ISERROR(FIND($J$2,Lines!AJ38))=TRUE,"",IF('1000'!AJ38="","ERR",""))</f>
        <v/>
      </c>
      <c r="AK38" s="108" t="str">
        <f>IF(ISERROR(FIND($B$2,Lines!AK38))=TRUE,"",IF('750'!AK38="","ERR","")) &amp; IF(ISERROR(FIND($C$2,Lines!AK38))=TRUE,"",IF('500'!AK38="","ERR","")) &amp; IF(ISERROR(FIND($D$2,Lines!AK38))=TRUE,"",IF('330'!AK38="","ERR","")) &amp; IF(ISERROR(FIND($E$2,Lines!AK38))=TRUE,"",IF('220'!AK38="","ERR",""))&amp; IF(ISERROR(FIND($F$2,Lines!AK38))=TRUE,"",IF(AND('500DC'!AK38="",'800DC'!AK38=""),"ERR","")) &amp; IF(ISERROR(FIND($G$2,Lines!AK38))=TRUE,"",IF('1000'!AK38="","ERR","")) &amp; IF(ISERROR(FIND($H$2,Lines!AK38))=TRUE,"",IF('500DC'!AK38="","ERR","")) &amp; IF(ISERROR(FIND($I$2,Lines!AK38))=TRUE,"",IF('800DC'!AK38="","ERR","")) &amp; IF(ISERROR(FIND($J$2,Lines!AK38))=TRUE,"",IF('1000'!AK38="","ERR",""))</f>
        <v/>
      </c>
      <c r="AL38" s="108" t="str">
        <f>IF(ISERROR(FIND($B$2,Lines!AL38))=TRUE,"",IF('750'!AL38="","ERR","")) &amp; IF(ISERROR(FIND($C$2,Lines!AL38))=TRUE,"",IF('500'!AL38="","ERR","")) &amp; IF(ISERROR(FIND($D$2,Lines!AL38))=TRUE,"",IF('330'!AL38="","ERR","")) &amp; IF(ISERROR(FIND($E$2,Lines!AL38))=TRUE,"",IF('220'!AL38="","ERR",""))&amp; IF(ISERROR(FIND($F$2,Lines!AL38))=TRUE,"",IF(AND('500DC'!AL38="",'800DC'!AL38=""),"ERR","")) &amp; IF(ISERROR(FIND($G$2,Lines!AL38))=TRUE,"",IF('1000'!AL38="","ERR","")) &amp; IF(ISERROR(FIND($H$2,Lines!AL38))=TRUE,"",IF('500DC'!AL38="","ERR","")) &amp; IF(ISERROR(FIND($I$2,Lines!AL38))=TRUE,"",IF('800DC'!AL38="","ERR","")) &amp; IF(ISERROR(FIND($J$2,Lines!AL38))=TRUE,"",IF('1000'!AL38="","ERR",""))</f>
        <v/>
      </c>
      <c r="AM38" s="108" t="str">
        <f>IF(ISERROR(FIND($B$2,Lines!AM38))=TRUE,"",IF('750'!AM38="","ERR","")) &amp; IF(ISERROR(FIND($C$2,Lines!AM38))=TRUE,"",IF('500'!AM38="","ERR","")) &amp; IF(ISERROR(FIND($D$2,Lines!AM38))=TRUE,"",IF('330'!AM38="","ERR","")) &amp; IF(ISERROR(FIND($E$2,Lines!AM38))=TRUE,"",IF('220'!AM38="","ERR",""))&amp; IF(ISERROR(FIND($F$2,Lines!AM38))=TRUE,"",IF(AND('500DC'!AM38="",'800DC'!AM38=""),"ERR","")) &amp; IF(ISERROR(FIND($G$2,Lines!AM38))=TRUE,"",IF('1000'!AM38="","ERR","")) &amp; IF(ISERROR(FIND($H$2,Lines!AM38))=TRUE,"",IF('500DC'!AM38="","ERR","")) &amp; IF(ISERROR(FIND($I$2,Lines!AM38))=TRUE,"",IF('800DC'!AM38="","ERR","")) &amp; IF(ISERROR(FIND($J$2,Lines!AM38))=TRUE,"",IF('1000'!AM38="","ERR",""))</f>
        <v/>
      </c>
      <c r="AN38" s="108" t="str">
        <f>IF(ISERROR(FIND($B$2,Lines!AN38))=TRUE,"",IF('750'!AN38="","ERR","")) &amp; IF(ISERROR(FIND($C$2,Lines!AN38))=TRUE,"",IF('500'!AN38="","ERR","")) &amp; IF(ISERROR(FIND($D$2,Lines!AN38))=TRUE,"",IF('330'!AN38="","ERR","")) &amp; IF(ISERROR(FIND($E$2,Lines!AN38))=TRUE,"",IF('220'!AN38="","ERR",""))&amp; IF(ISERROR(FIND($F$2,Lines!AN38))=TRUE,"",IF(AND('500DC'!AN38="",'800DC'!AN38=""),"ERR","")) &amp; IF(ISERROR(FIND($G$2,Lines!AN38))=TRUE,"",IF('1000'!AN38="","ERR","")) &amp; IF(ISERROR(FIND($H$2,Lines!AN38))=TRUE,"",IF('500DC'!AN38="","ERR","")) &amp; IF(ISERROR(FIND($I$2,Lines!AN38))=TRUE,"",IF('800DC'!AN38="","ERR","")) &amp; IF(ISERROR(FIND($J$2,Lines!AN38))=TRUE,"",IF('1000'!AN38="","ERR",""))</f>
        <v/>
      </c>
      <c r="AO38" s="108" t="str">
        <f>IF(ISERROR(FIND($B$2,Lines!AO38))=TRUE,"",IF('750'!AO38="","ERR","")) &amp; IF(ISERROR(FIND($C$2,Lines!AO38))=TRUE,"",IF('500'!AO38="","ERR","")) &amp; IF(ISERROR(FIND($D$2,Lines!AO38))=TRUE,"",IF('330'!AO38="","ERR","")) &amp; IF(ISERROR(FIND($E$2,Lines!AO38))=TRUE,"",IF('220'!AO38="","ERR",""))&amp; IF(ISERROR(FIND($F$2,Lines!AO38))=TRUE,"",IF(AND('500DC'!AO38="",'800DC'!AO38=""),"ERR","")) &amp; IF(ISERROR(FIND($G$2,Lines!AO38))=TRUE,"",IF('1000'!AO38="","ERR","")) &amp; IF(ISERROR(FIND($H$2,Lines!AO38))=TRUE,"",IF('500DC'!AO38="","ERR","")) &amp; IF(ISERROR(FIND($I$2,Lines!AO38))=TRUE,"",IF('800DC'!AO38="","ERR","")) &amp; IF(ISERROR(FIND($J$2,Lines!AO38))=TRUE,"",IF('1000'!AO38="","ERR",""))</f>
        <v/>
      </c>
      <c r="AP38" s="108" t="str">
        <f>IF(ISERROR(FIND($B$2,Lines!AP38))=TRUE,"",IF('750'!AP38="","ERR","")) &amp; IF(ISERROR(FIND($C$2,Lines!AP38))=TRUE,"",IF('500'!AP38="","ERR","")) &amp; IF(ISERROR(FIND($D$2,Lines!AP38))=TRUE,"",IF('330'!AP38="","ERR","")) &amp; IF(ISERROR(FIND($E$2,Lines!AP38))=TRUE,"",IF('220'!AP38="","ERR",""))&amp; IF(ISERROR(FIND($F$2,Lines!AP38))=TRUE,"",IF(AND('500DC'!AP38="",'800DC'!AP38=""),"ERR","")) &amp; IF(ISERROR(FIND($G$2,Lines!AP38))=TRUE,"",IF('1000'!AP38="","ERR","")) &amp; IF(ISERROR(FIND($H$2,Lines!AP38))=TRUE,"",IF('500DC'!AP38="","ERR","")) &amp; IF(ISERROR(FIND($I$2,Lines!AP38))=TRUE,"",IF('800DC'!AP38="","ERR","")) &amp; IF(ISERROR(FIND($J$2,Lines!AP38))=TRUE,"",IF('1000'!AP38="","ERR",""))</f>
        <v/>
      </c>
      <c r="AQ38" s="108" t="str">
        <f>IF(ISERROR(FIND($B$2,Lines!AQ38))=TRUE,"",IF('750'!AQ38="","ERR","")) &amp; IF(ISERROR(FIND($C$2,Lines!AQ38))=TRUE,"",IF('500'!AQ38="","ERR","")) &amp; IF(ISERROR(FIND($D$2,Lines!AQ38))=TRUE,"",IF('330'!AQ38="","ERR","")) &amp; IF(ISERROR(FIND($E$2,Lines!AQ38))=TRUE,"",IF('220'!AQ38="","ERR",""))&amp; IF(ISERROR(FIND($F$2,Lines!AQ38))=TRUE,"",IF(AND('500DC'!AQ38="",'800DC'!AQ38=""),"ERR","")) &amp; IF(ISERROR(FIND($G$2,Lines!AQ38))=TRUE,"",IF('1000'!AQ38="","ERR","")) &amp; IF(ISERROR(FIND($H$2,Lines!AQ38))=TRUE,"",IF('500DC'!AQ38="","ERR","")) &amp; IF(ISERROR(FIND($I$2,Lines!AQ38))=TRUE,"",IF('800DC'!AQ38="","ERR","")) &amp; IF(ISERROR(FIND($J$2,Lines!AQ38))=TRUE,"",IF('1000'!AQ38="","ERR",""))</f>
        <v/>
      </c>
      <c r="AR38" s="108" t="str">
        <f>IF(ISERROR(FIND($B$2,Lines!AR38))=TRUE,"",IF('750'!AR38="","ERR","")) &amp; IF(ISERROR(FIND($C$2,Lines!AR38))=TRUE,"",IF('500'!AR38="","ERR","")) &amp; IF(ISERROR(FIND($D$2,Lines!AR38))=TRUE,"",IF('330'!AR38="","ERR","")) &amp; IF(ISERROR(FIND($E$2,Lines!AR38))=TRUE,"",IF('220'!AR38="","ERR",""))&amp; IF(ISERROR(FIND($F$2,Lines!AR38))=TRUE,"",IF(AND('500DC'!AR38="",'800DC'!AR38=""),"ERR","")) &amp; IF(ISERROR(FIND($G$2,Lines!AR38))=TRUE,"",IF('1000'!AR38="","ERR","")) &amp; IF(ISERROR(FIND($H$2,Lines!AR38))=TRUE,"",IF('500DC'!AR38="","ERR","")) &amp; IF(ISERROR(FIND($I$2,Lines!AR38))=TRUE,"",IF('800DC'!AR38="","ERR","")) &amp; IF(ISERROR(FIND($J$2,Lines!AR38))=TRUE,"",IF('1000'!AR38="","ERR",""))</f>
        <v/>
      </c>
      <c r="AS38" s="108" t="str">
        <f>IF(ISERROR(FIND($B$2,Lines!AS38))=TRUE,"",IF('750'!AS38="","ERR","")) &amp; IF(ISERROR(FIND($C$2,Lines!AS38))=TRUE,"",IF('500'!AS38="","ERR","")) &amp; IF(ISERROR(FIND($D$2,Lines!AS38))=TRUE,"",IF('330'!AS38="","ERR","")) &amp; IF(ISERROR(FIND($E$2,Lines!AS38))=TRUE,"",IF('220'!AS38="","ERR",""))&amp; IF(ISERROR(FIND($F$2,Lines!AS38))=TRUE,"",IF(AND('500DC'!AS38="",'800DC'!AS38=""),"ERR","")) &amp; IF(ISERROR(FIND($G$2,Lines!AS38))=TRUE,"",IF('1000'!AS38="","ERR","")) &amp; IF(ISERROR(FIND($H$2,Lines!AS38))=TRUE,"",IF('500DC'!AS38="","ERR","")) &amp; IF(ISERROR(FIND($I$2,Lines!AS38))=TRUE,"",IF('800DC'!AS38="","ERR","")) &amp; IF(ISERROR(FIND($J$2,Lines!AS38))=TRUE,"",IF('1000'!AS38="","ERR",""))</f>
        <v/>
      </c>
      <c r="AT38" s="108" t="str">
        <f>IF(ISERROR(FIND($B$2,Lines!AT38))=TRUE,"",IF('750'!AT38="","ERR","")) &amp; IF(ISERROR(FIND($C$2,Lines!AT38))=TRUE,"",IF('500'!AT38="","ERR","")) &amp; IF(ISERROR(FIND($D$2,Lines!AT38))=TRUE,"",IF('330'!AT38="","ERR","")) &amp; IF(ISERROR(FIND($E$2,Lines!AT38))=TRUE,"",IF('220'!AT38="","ERR",""))&amp; IF(ISERROR(FIND($F$2,Lines!AT38))=TRUE,"",IF(AND('500DC'!AT38="",'800DC'!AT38=""),"ERR","")) &amp; IF(ISERROR(FIND($G$2,Lines!AT38))=TRUE,"",IF('1000'!AT38="","ERR","")) &amp; IF(ISERROR(FIND($H$2,Lines!AT38))=TRUE,"",IF('500DC'!AT38="","ERR","")) &amp; IF(ISERROR(FIND($I$2,Lines!AT38))=TRUE,"",IF('800DC'!AT38="","ERR","")) &amp; IF(ISERROR(FIND($J$2,Lines!AT38))=TRUE,"",IF('1000'!AT38="","ERR",""))</f>
        <v/>
      </c>
    </row>
    <row r="39" spans="1:46" ht="20.25" customHeight="1">
      <c r="A39" s="2" t="s">
        <v>87</v>
      </c>
      <c r="B39" s="108" t="str">
        <f>IF(ISERROR(FIND($B$2,Lines!B39))=TRUE,"",IF('750'!B39="","ERR","")) &amp; IF(ISERROR(FIND($C$2,Lines!B39))=TRUE,"",IF('500'!B39="","ERR","")) &amp; IF(ISERROR(FIND($D$2,Lines!B39))=TRUE,"",IF('330'!B39="","ERR","")) &amp; IF(ISERROR(FIND($E$2,Lines!B39))=TRUE,"",IF('220'!B39="","ERR",""))&amp; IF(ISERROR(FIND($F$2,Lines!B39))=TRUE,"",IF(AND('500DC'!B39="",'800DC'!B39=""),"ERR","")) &amp; IF(ISERROR(FIND($G$2,Lines!B39))=TRUE,"",IF('1000'!B39="","ERR","")) &amp; IF(ISERROR(FIND($H$2,Lines!B39))=TRUE,"",IF('500DC'!B39="","ERR","")) &amp; IF(ISERROR(FIND($I$2,Lines!B39))=TRUE,"",IF('800DC'!B39="","ERR","")) &amp; IF(ISERROR(FIND($J$2,Lines!B39))=TRUE,"",IF('1000'!B39="","ERR",""))</f>
        <v/>
      </c>
      <c r="C39" s="108" t="str">
        <f>IF(ISERROR(FIND($B$2,Lines!C39))=TRUE,"",IF('750'!C39="","ERR","")) &amp; IF(ISERROR(FIND($C$2,Lines!C39))=TRUE,"",IF('500'!C39="","ERR","")) &amp; IF(ISERROR(FIND($D$2,Lines!C39))=TRUE,"",IF('330'!C39="","ERR","")) &amp; IF(ISERROR(FIND($E$2,Lines!C39))=TRUE,"",IF('220'!C39="","ERR",""))&amp; IF(ISERROR(FIND($F$2,Lines!C39))=TRUE,"",IF(AND('500DC'!C39="",'800DC'!C39=""),"ERR","")) &amp; IF(ISERROR(FIND($G$2,Lines!C39))=TRUE,"",IF('1000'!C39="","ERR","")) &amp; IF(ISERROR(FIND($H$2,Lines!C39))=TRUE,"",IF('500DC'!C39="","ERR","")) &amp; IF(ISERROR(FIND($I$2,Lines!C39))=TRUE,"",IF('800DC'!C39="","ERR","")) &amp; IF(ISERROR(FIND($J$2,Lines!C39))=TRUE,"",IF('1000'!C39="","ERR",""))</f>
        <v/>
      </c>
      <c r="D39" s="108" t="str">
        <f>IF(ISERROR(FIND($B$2,Lines!D39))=TRUE,"",IF('750'!D39="","ERR","")) &amp; IF(ISERROR(FIND($C$2,Lines!D39))=TRUE,"",IF('500'!D39="","ERR","")) &amp; IF(ISERROR(FIND($D$2,Lines!D39))=TRUE,"",IF('330'!D39="","ERR","")) &amp; IF(ISERROR(FIND($E$2,Lines!D39))=TRUE,"",IF('220'!D39="","ERR",""))&amp; IF(ISERROR(FIND($F$2,Lines!D39))=TRUE,"",IF(AND('500DC'!D39="",'800DC'!D39=""),"ERR","")) &amp; IF(ISERROR(FIND($G$2,Lines!D39))=TRUE,"",IF('1000'!D39="","ERR","")) &amp; IF(ISERROR(FIND($H$2,Lines!D39))=TRUE,"",IF('500DC'!D39="","ERR","")) &amp; IF(ISERROR(FIND($I$2,Lines!D39))=TRUE,"",IF('800DC'!D39="","ERR","")) &amp; IF(ISERROR(FIND($J$2,Lines!D39))=TRUE,"",IF('1000'!D39="","ERR",""))</f>
        <v/>
      </c>
      <c r="E39" s="108" t="str">
        <f>IF(ISERROR(FIND($B$2,Lines!E39))=TRUE,"",IF('750'!E39="","ERR","")) &amp; IF(ISERROR(FIND($C$2,Lines!E39))=TRUE,"",IF('500'!E39="","ERR","")) &amp; IF(ISERROR(FIND($D$2,Lines!E39))=TRUE,"",IF('330'!E39="","ERR","")) &amp; IF(ISERROR(FIND($E$2,Lines!E39))=TRUE,"",IF('220'!E39="","ERR",""))&amp; IF(ISERROR(FIND($F$2,Lines!E39))=TRUE,"",IF(AND('500DC'!E39="",'800DC'!E39=""),"ERR","")) &amp; IF(ISERROR(FIND($G$2,Lines!E39))=TRUE,"",IF('1000'!E39="","ERR","")) &amp; IF(ISERROR(FIND($H$2,Lines!E39))=TRUE,"",IF('500DC'!E39="","ERR","")) &amp; IF(ISERROR(FIND($I$2,Lines!E39))=TRUE,"",IF('800DC'!E39="","ERR","")) &amp; IF(ISERROR(FIND($J$2,Lines!E39))=TRUE,"",IF('1000'!E39="","ERR",""))</f>
        <v/>
      </c>
      <c r="F39" s="108" t="str">
        <f>IF(ISERROR(FIND($B$2,Lines!F39))=TRUE,"",IF('750'!F39="","ERR","")) &amp; IF(ISERROR(FIND($C$2,Lines!F39))=TRUE,"",IF('500'!F39="","ERR","")) &amp; IF(ISERROR(FIND($D$2,Lines!F39))=TRUE,"",IF('330'!F39="","ERR","")) &amp; IF(ISERROR(FIND($E$2,Lines!F39))=TRUE,"",IF('220'!F39="","ERR",""))&amp; IF(ISERROR(FIND($F$2,Lines!F39))=TRUE,"",IF(AND('500DC'!F39="",'800DC'!F39=""),"ERR","")) &amp; IF(ISERROR(FIND($G$2,Lines!F39))=TRUE,"",IF('1000'!F39="","ERR","")) &amp; IF(ISERROR(FIND($H$2,Lines!F39))=TRUE,"",IF('500DC'!F39="","ERR","")) &amp; IF(ISERROR(FIND($I$2,Lines!F39))=TRUE,"",IF('800DC'!F39="","ERR","")) &amp; IF(ISERROR(FIND($J$2,Lines!F39))=TRUE,"",IF('1000'!F39="","ERR",""))</f>
        <v/>
      </c>
      <c r="G39" s="108" t="str">
        <f>IF(ISERROR(FIND($B$2,Lines!G39))=TRUE,"",IF('750'!G39="","ERR","")) &amp; IF(ISERROR(FIND($C$2,Lines!G39))=TRUE,"",IF('500'!G39="","ERR","")) &amp; IF(ISERROR(FIND($D$2,Lines!G39))=TRUE,"",IF('330'!G39="","ERR","")) &amp; IF(ISERROR(FIND($E$2,Lines!G39))=TRUE,"",IF('220'!G39="","ERR",""))&amp; IF(ISERROR(FIND($F$2,Lines!G39))=TRUE,"",IF(AND('500DC'!G39="",'800DC'!G39=""),"ERR","")) &amp; IF(ISERROR(FIND($G$2,Lines!G39))=TRUE,"",IF('1000'!G39="","ERR","")) &amp; IF(ISERROR(FIND($H$2,Lines!G39))=TRUE,"",IF('500DC'!G39="","ERR","")) &amp; IF(ISERROR(FIND($I$2,Lines!G39))=TRUE,"",IF('800DC'!G39="","ERR","")) &amp; IF(ISERROR(FIND($J$2,Lines!G39))=TRUE,"",IF('1000'!G39="","ERR",""))</f>
        <v/>
      </c>
      <c r="H39" s="108" t="str">
        <f>IF(ISERROR(FIND($B$2,Lines!H39))=TRUE,"",IF('750'!H39="","ERR","")) &amp; IF(ISERROR(FIND($C$2,Lines!H39))=TRUE,"",IF('500'!H39="","ERR","")) &amp; IF(ISERROR(FIND($D$2,Lines!H39))=TRUE,"",IF('330'!H39="","ERR","")) &amp; IF(ISERROR(FIND($E$2,Lines!H39))=TRUE,"",IF('220'!H39="","ERR",""))&amp; IF(ISERROR(FIND($F$2,Lines!H39))=TRUE,"",IF(AND('500DC'!H39="",'800DC'!H39=""),"ERR","")) &amp; IF(ISERROR(FIND($G$2,Lines!H39))=TRUE,"",IF('1000'!H39="","ERR","")) &amp; IF(ISERROR(FIND($H$2,Lines!H39))=TRUE,"",IF('500DC'!H39="","ERR","")) &amp; IF(ISERROR(FIND($I$2,Lines!H39))=TRUE,"",IF('800DC'!H39="","ERR","")) &amp; IF(ISERROR(FIND($J$2,Lines!H39))=TRUE,"",IF('1000'!H39="","ERR",""))</f>
        <v/>
      </c>
      <c r="I39" s="108" t="str">
        <f>IF(ISERROR(FIND($B$2,Lines!I39))=TRUE,"",IF('750'!I39="","ERR","")) &amp; IF(ISERROR(FIND($C$2,Lines!I39))=TRUE,"",IF('500'!I39="","ERR","")) &amp; IF(ISERROR(FIND($D$2,Lines!I39))=TRUE,"",IF('330'!I39="","ERR","")) &amp; IF(ISERROR(FIND($E$2,Lines!I39))=TRUE,"",IF('220'!I39="","ERR",""))&amp; IF(ISERROR(FIND($F$2,Lines!I39))=TRUE,"",IF(AND('500DC'!I39="",'800DC'!I39=""),"ERR","")) &amp; IF(ISERROR(FIND($G$2,Lines!I39))=TRUE,"",IF('1000'!I39="","ERR","")) &amp; IF(ISERROR(FIND($H$2,Lines!I39))=TRUE,"",IF('500DC'!I39="","ERR","")) &amp; IF(ISERROR(FIND($I$2,Lines!I39))=TRUE,"",IF('800DC'!I39="","ERR","")) &amp; IF(ISERROR(FIND($J$2,Lines!I39))=TRUE,"",IF('1000'!I39="","ERR",""))</f>
        <v/>
      </c>
      <c r="J39" s="108" t="str">
        <f>IF(ISERROR(FIND($B$2,Lines!J39))=TRUE,"",IF('750'!J39="","ERR","")) &amp; IF(ISERROR(FIND($C$2,Lines!J39))=TRUE,"",IF('500'!J39="","ERR","")) &amp; IF(ISERROR(FIND($D$2,Lines!J39))=TRUE,"",IF('330'!J39="","ERR","")) &amp; IF(ISERROR(FIND($E$2,Lines!J39))=TRUE,"",IF('220'!J39="","ERR",""))&amp; IF(ISERROR(FIND($F$2,Lines!J39))=TRUE,"",IF(AND('500DC'!J39="",'800DC'!J39=""),"ERR","")) &amp; IF(ISERROR(FIND($G$2,Lines!J39))=TRUE,"",IF('1000'!J39="","ERR","")) &amp; IF(ISERROR(FIND($H$2,Lines!J39))=TRUE,"",IF('500DC'!J39="","ERR","")) &amp; IF(ISERROR(FIND($I$2,Lines!J39))=TRUE,"",IF('800DC'!J39="","ERR","")) &amp; IF(ISERROR(FIND($J$2,Lines!J39))=TRUE,"",IF('1000'!J39="","ERR",""))</f>
        <v/>
      </c>
      <c r="K39" s="108" t="str">
        <f>IF(ISERROR(FIND($B$2,Lines!K39))=TRUE,"",IF('750'!K39="","ERR","")) &amp; IF(ISERROR(FIND($C$2,Lines!K39))=TRUE,"",IF('500'!K39="","ERR","")) &amp; IF(ISERROR(FIND($D$2,Lines!K39))=TRUE,"",IF('330'!K39="","ERR","")) &amp; IF(ISERROR(FIND($E$2,Lines!K39))=TRUE,"",IF('220'!K39="","ERR",""))&amp; IF(ISERROR(FIND($F$2,Lines!K39))=TRUE,"",IF(AND('500DC'!K39="",'800DC'!K39=""),"ERR","")) &amp; IF(ISERROR(FIND($G$2,Lines!K39))=TRUE,"",IF('1000'!K39="","ERR","")) &amp; IF(ISERROR(FIND($H$2,Lines!K39))=TRUE,"",IF('500DC'!K39="","ERR","")) &amp; IF(ISERROR(FIND($I$2,Lines!K39))=TRUE,"",IF('800DC'!K39="","ERR","")) &amp; IF(ISERROR(FIND($J$2,Lines!K39))=TRUE,"",IF('1000'!K39="","ERR",""))</f>
        <v/>
      </c>
      <c r="L39" s="108" t="str">
        <f>IF(ISERROR(FIND($B$2,Lines!L39))=TRUE,"",IF('750'!L39="","ERR","")) &amp; IF(ISERROR(FIND($C$2,Lines!L39))=TRUE,"",IF('500'!L39="","ERR","")) &amp; IF(ISERROR(FIND($D$2,Lines!L39))=TRUE,"",IF('330'!L39="","ERR","")) &amp; IF(ISERROR(FIND($E$2,Lines!L39))=TRUE,"",IF('220'!L39="","ERR",""))&amp; IF(ISERROR(FIND($F$2,Lines!L39))=TRUE,"",IF(AND('500DC'!L39="",'800DC'!L39=""),"ERR","")) &amp; IF(ISERROR(FIND($G$2,Lines!L39))=TRUE,"",IF('1000'!L39="","ERR","")) &amp; IF(ISERROR(FIND($H$2,Lines!L39))=TRUE,"",IF('500DC'!L39="","ERR","")) &amp; IF(ISERROR(FIND($I$2,Lines!L39))=TRUE,"",IF('800DC'!L39="","ERR","")) &amp; IF(ISERROR(FIND($J$2,Lines!L39))=TRUE,"",IF('1000'!L39="","ERR",""))</f>
        <v/>
      </c>
      <c r="M39" s="108" t="str">
        <f>IF(ISERROR(FIND($B$2,Lines!M39))=TRUE,"",IF('750'!M39="","ERR","")) &amp; IF(ISERROR(FIND($C$2,Lines!M39))=TRUE,"",IF('500'!M39="","ERR","")) &amp; IF(ISERROR(FIND($D$2,Lines!M39))=TRUE,"",IF('330'!M39="","ERR","")) &amp; IF(ISERROR(FIND($E$2,Lines!M39))=TRUE,"",IF('220'!M39="","ERR",""))&amp; IF(ISERROR(FIND($F$2,Lines!M39))=TRUE,"",IF(AND('500DC'!M39="",'800DC'!M39=""),"ERR","")) &amp; IF(ISERROR(FIND($G$2,Lines!M39))=TRUE,"",IF('1000'!M39="","ERR","")) &amp; IF(ISERROR(FIND($H$2,Lines!M39))=TRUE,"",IF('500DC'!M39="","ERR","")) &amp; IF(ISERROR(FIND($I$2,Lines!M39))=TRUE,"",IF('800DC'!M39="","ERR","")) &amp; IF(ISERROR(FIND($J$2,Lines!M39))=TRUE,"",IF('1000'!M39="","ERR",""))</f>
        <v/>
      </c>
      <c r="N39" s="108" t="str">
        <f>IF(ISERROR(FIND($B$2,Lines!N39))=TRUE,"",IF('750'!N39="","ERR","")) &amp; IF(ISERROR(FIND($C$2,Lines!N39))=TRUE,"",IF('500'!N39="","ERR","")) &amp; IF(ISERROR(FIND($D$2,Lines!N39))=TRUE,"",IF('330'!N39="","ERR","")) &amp; IF(ISERROR(FIND($E$2,Lines!N39))=TRUE,"",IF('220'!N39="","ERR",""))&amp; IF(ISERROR(FIND($F$2,Lines!N39))=TRUE,"",IF(AND('500DC'!N39="",'800DC'!N39=""),"ERR","")) &amp; IF(ISERROR(FIND($G$2,Lines!N39))=TRUE,"",IF('1000'!N39="","ERR","")) &amp; IF(ISERROR(FIND($H$2,Lines!N39))=TRUE,"",IF('500DC'!N39="","ERR","")) &amp; IF(ISERROR(FIND($I$2,Lines!N39))=TRUE,"",IF('800DC'!N39="","ERR","")) &amp; IF(ISERROR(FIND($J$2,Lines!N39))=TRUE,"",IF('1000'!N39="","ERR",""))</f>
        <v/>
      </c>
      <c r="O39" s="108" t="str">
        <f>IF(ISERROR(FIND($B$2,Lines!O39))=TRUE,"",IF('750'!O39="","ERR","")) &amp; IF(ISERROR(FIND($C$2,Lines!O39))=TRUE,"",IF('500'!O39="","ERR","")) &amp; IF(ISERROR(FIND($D$2,Lines!O39))=TRUE,"",IF('330'!O39="","ERR","")) &amp; IF(ISERROR(FIND($E$2,Lines!O39))=TRUE,"",IF('220'!O39="","ERR",""))&amp; IF(ISERROR(FIND($F$2,Lines!O39))=TRUE,"",IF(AND('500DC'!O39="",'800DC'!O39=""),"ERR","")) &amp; IF(ISERROR(FIND($G$2,Lines!O39))=TRUE,"",IF('1000'!O39="","ERR","")) &amp; IF(ISERROR(FIND($H$2,Lines!O39))=TRUE,"",IF('500DC'!O39="","ERR","")) &amp; IF(ISERROR(FIND($I$2,Lines!O39))=TRUE,"",IF('800DC'!O39="","ERR","")) &amp; IF(ISERROR(FIND($J$2,Lines!O39))=TRUE,"",IF('1000'!O39="","ERR",""))</f>
        <v/>
      </c>
      <c r="P39" s="108" t="str">
        <f>IF(ISERROR(FIND($B$2,Lines!P39))=TRUE,"",IF('750'!P39="","ERR","")) &amp; IF(ISERROR(FIND($C$2,Lines!P39))=TRUE,"",IF('500'!P39="","ERR","")) &amp; IF(ISERROR(FIND($D$2,Lines!P39))=TRUE,"",IF('330'!P39="","ERR","")) &amp; IF(ISERROR(FIND($E$2,Lines!P39))=TRUE,"",IF('220'!P39="","ERR",""))&amp; IF(ISERROR(FIND($F$2,Lines!P39))=TRUE,"",IF(AND('500DC'!P39="",'800DC'!P39=""),"ERR","")) &amp; IF(ISERROR(FIND($G$2,Lines!P39))=TRUE,"",IF('1000'!P39="","ERR","")) &amp; IF(ISERROR(FIND($H$2,Lines!P39))=TRUE,"",IF('500DC'!P39="","ERR","")) &amp; IF(ISERROR(FIND($I$2,Lines!P39))=TRUE,"",IF('800DC'!P39="","ERR","")) &amp; IF(ISERROR(FIND($J$2,Lines!P39))=TRUE,"",IF('1000'!P39="","ERR",""))</f>
        <v/>
      </c>
      <c r="Q39" s="108" t="str">
        <f>IF(ISERROR(FIND($B$2,Lines!Q39))=TRUE,"",IF('750'!Q39="","ERR","")) &amp; IF(ISERROR(FIND($C$2,Lines!Q39))=TRUE,"",IF('500'!Q39="","ERR","")) &amp; IF(ISERROR(FIND($D$2,Lines!Q39))=TRUE,"",IF('330'!Q39="","ERR","")) &amp; IF(ISERROR(FIND($E$2,Lines!Q39))=TRUE,"",IF('220'!Q39="","ERR",""))&amp; IF(ISERROR(FIND($F$2,Lines!Q39))=TRUE,"",IF(AND('500DC'!Q39="",'800DC'!Q39=""),"ERR","")) &amp; IF(ISERROR(FIND($G$2,Lines!Q39))=TRUE,"",IF('1000'!Q39="","ERR","")) &amp; IF(ISERROR(FIND($H$2,Lines!Q39))=TRUE,"",IF('500DC'!Q39="","ERR","")) &amp; IF(ISERROR(FIND($I$2,Lines!Q39))=TRUE,"",IF('800DC'!Q39="","ERR","")) &amp; IF(ISERROR(FIND($J$2,Lines!Q39))=TRUE,"",IF('1000'!Q39="","ERR",""))</f>
        <v/>
      </c>
      <c r="R39" s="108" t="str">
        <f>IF(ISERROR(FIND($B$2,Lines!R39))=TRUE,"",IF('750'!R39="","ERR","")) &amp; IF(ISERROR(FIND($C$2,Lines!R39))=TRUE,"",IF('500'!R39="","ERR","")) &amp; IF(ISERROR(FIND($D$2,Lines!R39))=TRUE,"",IF('330'!R39="","ERR","")) &amp; IF(ISERROR(FIND($E$2,Lines!R39))=TRUE,"",IF('220'!R39="","ERR",""))&amp; IF(ISERROR(FIND($F$2,Lines!R39))=TRUE,"",IF(AND('500DC'!R39="",'800DC'!R39=""),"ERR","")) &amp; IF(ISERROR(FIND($G$2,Lines!R39))=TRUE,"",IF('1000'!R39="","ERR","")) &amp; IF(ISERROR(FIND($H$2,Lines!R39))=TRUE,"",IF('500DC'!R39="","ERR","")) &amp; IF(ISERROR(FIND($I$2,Lines!R39))=TRUE,"",IF('800DC'!R39="","ERR","")) &amp; IF(ISERROR(FIND($J$2,Lines!R39))=TRUE,"",IF('1000'!R39="","ERR",""))</f>
        <v/>
      </c>
      <c r="S39" s="108" t="str">
        <f>IF(ISERROR(FIND($B$2,Lines!S39))=TRUE,"",IF('750'!S39="","ERR","")) &amp; IF(ISERROR(FIND($C$2,Lines!S39))=TRUE,"",IF('500'!S39="","ERR","")) &amp; IF(ISERROR(FIND($D$2,Lines!S39))=TRUE,"",IF('330'!S39="","ERR","")) &amp; IF(ISERROR(FIND($E$2,Lines!S39))=TRUE,"",IF('220'!S39="","ERR",""))&amp; IF(ISERROR(FIND($F$2,Lines!S39))=TRUE,"",IF(AND('500DC'!S39="",'800DC'!S39=""),"ERR","")) &amp; IF(ISERROR(FIND($G$2,Lines!S39))=TRUE,"",IF('1000'!S39="","ERR","")) &amp; IF(ISERROR(FIND($H$2,Lines!S39))=TRUE,"",IF('500DC'!S39="","ERR","")) &amp; IF(ISERROR(FIND($I$2,Lines!S39))=TRUE,"",IF('800DC'!S39="","ERR","")) &amp; IF(ISERROR(FIND($J$2,Lines!S39))=TRUE,"",IF('1000'!S39="","ERR",""))</f>
        <v/>
      </c>
      <c r="T39" s="108" t="str">
        <f>IF(ISERROR(FIND($B$2,Lines!T39))=TRUE,"",IF('750'!T39="","ERR","")) &amp; IF(ISERROR(FIND($C$2,Lines!T39))=TRUE,"",IF('500'!T39="","ERR","")) &amp; IF(ISERROR(FIND($D$2,Lines!T39))=TRUE,"",IF('330'!T39="","ERR","")) &amp; IF(ISERROR(FIND($E$2,Lines!T39))=TRUE,"",IF('220'!T39="","ERR",""))&amp; IF(ISERROR(FIND($F$2,Lines!T39))=TRUE,"",IF(AND('500DC'!T39="",'800DC'!T39=""),"ERR","")) &amp; IF(ISERROR(FIND($G$2,Lines!T39))=TRUE,"",IF('1000'!T39="","ERR","")) &amp; IF(ISERROR(FIND($H$2,Lines!T39))=TRUE,"",IF('500DC'!T39="","ERR","")) &amp; IF(ISERROR(FIND($I$2,Lines!T39))=TRUE,"",IF('800DC'!T39="","ERR","")) &amp; IF(ISERROR(FIND($J$2,Lines!T39))=TRUE,"",IF('1000'!T39="","ERR",""))</f>
        <v/>
      </c>
      <c r="U39" s="108" t="str">
        <f>IF(ISERROR(FIND($B$2,Lines!U39))=TRUE,"",IF('750'!U39="","ERR","")) &amp; IF(ISERROR(FIND($C$2,Lines!U39))=TRUE,"",IF('500'!U39="","ERR","")) &amp; IF(ISERROR(FIND($D$2,Lines!U39))=TRUE,"",IF('330'!U39="","ERR","")) &amp; IF(ISERROR(FIND($E$2,Lines!U39))=TRUE,"",IF('220'!U39="","ERR",""))&amp; IF(ISERROR(FIND($F$2,Lines!U39))=TRUE,"",IF(AND('500DC'!U39="",'800DC'!U39=""),"ERR","")) &amp; IF(ISERROR(FIND($G$2,Lines!U39))=TRUE,"",IF('1000'!U39="","ERR","")) &amp; IF(ISERROR(FIND($H$2,Lines!U39))=TRUE,"",IF('500DC'!U39="","ERR","")) &amp; IF(ISERROR(FIND($I$2,Lines!U39))=TRUE,"",IF('800DC'!U39="","ERR","")) &amp; IF(ISERROR(FIND($J$2,Lines!U39))=TRUE,"",IF('1000'!U39="","ERR",""))</f>
        <v/>
      </c>
      <c r="V39" s="108" t="str">
        <f>IF(ISERROR(FIND($B$2,Lines!V39))=TRUE,"",IF('750'!V39="","ERR","")) &amp; IF(ISERROR(FIND($C$2,Lines!V39))=TRUE,"",IF('500'!V39="","ERR","")) &amp; IF(ISERROR(FIND($D$2,Lines!V39))=TRUE,"",IF('330'!V39="","ERR","")) &amp; IF(ISERROR(FIND($E$2,Lines!V39))=TRUE,"",IF('220'!V39="","ERR",""))&amp; IF(ISERROR(FIND($F$2,Lines!V39))=TRUE,"",IF(AND('500DC'!V39="",'800DC'!V39=""),"ERR","")) &amp; IF(ISERROR(FIND($G$2,Lines!V39))=TRUE,"",IF('1000'!V39="","ERR","")) &amp; IF(ISERROR(FIND($H$2,Lines!V39))=TRUE,"",IF('500DC'!V39="","ERR","")) &amp; IF(ISERROR(FIND($I$2,Lines!V39))=TRUE,"",IF('800DC'!V39="","ERR","")) &amp; IF(ISERROR(FIND($J$2,Lines!V39))=TRUE,"",IF('1000'!V39="","ERR",""))</f>
        <v/>
      </c>
      <c r="W39" s="109" t="str">
        <f>IF(ISERROR(FIND($B$2,Lines!W39))=TRUE,"",IF('750'!W39="","ERR","")) &amp; IF(ISERROR(FIND($C$2,Lines!W39))=TRUE,"",IF('500'!W39="","ERR","")) &amp; IF(ISERROR(FIND($D$2,Lines!W39))=TRUE,"",IF('330'!W39="","ERR","")) &amp; IF(ISERROR(FIND($E$2,Lines!W39))=TRUE,"",IF('220'!W39="","ERR",""))&amp; IF(ISERROR(FIND($F$2,Lines!W39))=TRUE,"",IF(AND('500DC'!W39="",'800DC'!W39=""),"ERR","")) &amp; IF(ISERROR(FIND($G$2,Lines!W39))=TRUE,"",IF('1000'!W39="","ERR","")) &amp; IF(ISERROR(FIND($H$2,Lines!W39))=TRUE,"",IF('500DC'!W39="","ERR","")) &amp; IF(ISERROR(FIND($I$2,Lines!W39))=TRUE,"",IF('800DC'!W39="","ERR","")) &amp; IF(ISERROR(FIND($J$2,Lines!W39))=TRUE,"",IF('1000'!W39="","ERR",""))</f>
        <v/>
      </c>
      <c r="X39" s="108" t="str">
        <f>IF(ISERROR(FIND($B$2,Lines!X39))=TRUE,"",IF('750'!X39="","ERR","")) &amp; IF(ISERROR(FIND($C$2,Lines!X39))=TRUE,"",IF('500'!X39="","ERR","")) &amp; IF(ISERROR(FIND($D$2,Lines!X39))=TRUE,"",IF('330'!X39="","ERR","")) &amp; IF(ISERROR(FIND($E$2,Lines!X39))=TRUE,"",IF('220'!X39="","ERR",""))&amp; IF(ISERROR(FIND($F$2,Lines!X39))=TRUE,"",IF(AND('500DC'!X39="",'800DC'!X39=""),"ERR","")) &amp; IF(ISERROR(FIND($G$2,Lines!X39))=TRUE,"",IF('1000'!X39="","ERR","")) &amp; IF(ISERROR(FIND($H$2,Lines!X39))=TRUE,"",IF('500DC'!X39="","ERR","")) &amp; IF(ISERROR(FIND($I$2,Lines!X39))=TRUE,"",IF('800DC'!X39="","ERR","")) &amp; IF(ISERROR(FIND($J$2,Lines!X39))=TRUE,"",IF('1000'!X39="","ERR",""))</f>
        <v/>
      </c>
      <c r="Y39" s="108" t="str">
        <f>IF(ISERROR(FIND($B$2,Lines!Y39))=TRUE,"",IF('750'!Y39="","ERR","")) &amp; IF(ISERROR(FIND($C$2,Lines!Y39))=TRUE,"",IF('500'!Y39="","ERR","")) &amp; IF(ISERROR(FIND($D$2,Lines!Y39))=TRUE,"",IF('330'!Y39="","ERR","")) &amp; IF(ISERROR(FIND($E$2,Lines!Y39))=TRUE,"",IF('220'!Y39="","ERR",""))&amp; IF(ISERROR(FIND($F$2,Lines!Y39))=TRUE,"",IF(AND('500DC'!Y39="",'800DC'!Y39=""),"ERR","")) &amp; IF(ISERROR(FIND($G$2,Lines!Y39))=TRUE,"",IF('1000'!Y39="","ERR","")) &amp; IF(ISERROR(FIND($H$2,Lines!Y39))=TRUE,"",IF('500DC'!Y39="","ERR","")) &amp; IF(ISERROR(FIND($I$2,Lines!Y39))=TRUE,"",IF('800DC'!Y39="","ERR","")) &amp; IF(ISERROR(FIND($J$2,Lines!Y39))=TRUE,"",IF('1000'!Y39="","ERR",""))</f>
        <v/>
      </c>
      <c r="Z39" s="108" t="str">
        <f>IF(ISERROR(FIND($B$2,Lines!Z39))=TRUE,"",IF('750'!Z39="","ERR","")) &amp; IF(ISERROR(FIND($C$2,Lines!Z39))=TRUE,"",IF('500'!Z39="","ERR","")) &amp; IF(ISERROR(FIND($D$2,Lines!Z39))=TRUE,"",IF('330'!Z39="","ERR","")) &amp; IF(ISERROR(FIND($E$2,Lines!Z39))=TRUE,"",IF('220'!Z39="","ERR",""))&amp; IF(ISERROR(FIND($F$2,Lines!Z39))=TRUE,"",IF(AND('500DC'!Z39="",'800DC'!Z39=""),"ERR","")) &amp; IF(ISERROR(FIND($G$2,Lines!Z39))=TRUE,"",IF('1000'!Z39="","ERR","")) &amp; IF(ISERROR(FIND($H$2,Lines!Z39))=TRUE,"",IF('500DC'!Z39="","ERR","")) &amp; IF(ISERROR(FIND($I$2,Lines!Z39))=TRUE,"",IF('800DC'!Z39="","ERR","")) &amp; IF(ISERROR(FIND($J$2,Lines!Z39))=TRUE,"",IF('1000'!Z39="","ERR",""))</f>
        <v/>
      </c>
      <c r="AA39" s="108" t="str">
        <f>IF(ISERROR(FIND($B$2,Lines!AA39))=TRUE,"",IF('750'!AA39="","ERR","")) &amp; IF(ISERROR(FIND($C$2,Lines!AA39))=TRUE,"",IF('500'!AA39="","ERR","")) &amp; IF(ISERROR(FIND($D$2,Lines!AA39))=TRUE,"",IF('330'!AA39="","ERR","")) &amp; IF(ISERROR(FIND($E$2,Lines!AA39))=TRUE,"",IF('220'!AA39="","ERR",""))&amp; IF(ISERROR(FIND($F$2,Lines!AA39))=TRUE,"",IF(AND('500DC'!AA39="",'800DC'!AA39=""),"ERR","")) &amp; IF(ISERROR(FIND($G$2,Lines!AA39))=TRUE,"",IF('1000'!AA39="","ERR","")) &amp; IF(ISERROR(FIND($H$2,Lines!AA39))=TRUE,"",IF('500DC'!AA39="","ERR","")) &amp; IF(ISERROR(FIND($I$2,Lines!AA39))=TRUE,"",IF('800DC'!AA39="","ERR","")) &amp; IF(ISERROR(FIND($J$2,Lines!AA39))=TRUE,"",IF('1000'!AA39="","ERR",""))</f>
        <v/>
      </c>
      <c r="AB39" s="108" t="str">
        <f>IF(ISERROR(FIND($B$2,Lines!AB39))=TRUE,"",IF('750'!AB39="","ERR","")) &amp; IF(ISERROR(FIND($C$2,Lines!AB39))=TRUE,"",IF('500'!AB39="","ERR","")) &amp; IF(ISERROR(FIND($D$2,Lines!AB39))=TRUE,"",IF('330'!AB39="","ERR","")) &amp; IF(ISERROR(FIND($E$2,Lines!AB39))=TRUE,"",IF('220'!AB39="","ERR",""))&amp; IF(ISERROR(FIND($F$2,Lines!AB39))=TRUE,"",IF(AND('500DC'!AB39="",'800DC'!AB39=""),"ERR","")) &amp; IF(ISERROR(FIND($G$2,Lines!AB39))=TRUE,"",IF('1000'!AB39="","ERR","")) &amp; IF(ISERROR(FIND($H$2,Lines!AB39))=TRUE,"",IF('500DC'!AB39="","ERR","")) &amp; IF(ISERROR(FIND($I$2,Lines!AB39))=TRUE,"",IF('800DC'!AB39="","ERR","")) &amp; IF(ISERROR(FIND($J$2,Lines!AB39))=TRUE,"",IF('1000'!AB39="","ERR",""))</f>
        <v/>
      </c>
      <c r="AC39" s="108" t="str">
        <f>IF(ISERROR(FIND($B$2,Lines!AC39))=TRUE,"",IF('750'!AC39="","ERR","")) &amp; IF(ISERROR(FIND($C$2,Lines!AC39))=TRUE,"",IF('500'!AC39="","ERR","")) &amp; IF(ISERROR(FIND($D$2,Lines!AC39))=TRUE,"",IF('330'!AC39="","ERR","")) &amp; IF(ISERROR(FIND($E$2,Lines!AC39))=TRUE,"",IF('220'!AC39="","ERR",""))&amp; IF(ISERROR(FIND($F$2,Lines!AC39))=TRUE,"",IF(AND('500DC'!AC39="",'800DC'!AC39=""),"ERR","")) &amp; IF(ISERROR(FIND($G$2,Lines!AC39))=TRUE,"",IF('1000'!AC39="","ERR","")) &amp; IF(ISERROR(FIND($H$2,Lines!AC39))=TRUE,"",IF('500DC'!AC39="","ERR","")) &amp; IF(ISERROR(FIND($I$2,Lines!AC39))=TRUE,"",IF('800DC'!AC39="","ERR","")) &amp; IF(ISERROR(FIND($J$2,Lines!AC39))=TRUE,"",IF('1000'!AC39="","ERR",""))</f>
        <v/>
      </c>
      <c r="AD39" s="108" t="str">
        <f>IF(ISERROR(FIND($B$2,Lines!AD39))=TRUE,"",IF('750'!AD39="","ERR","")) &amp; IF(ISERROR(FIND($C$2,Lines!AD39))=TRUE,"",IF('500'!AD39="","ERR","")) &amp; IF(ISERROR(FIND($D$2,Lines!AD39))=TRUE,"",IF('330'!AD39="","ERR","")) &amp; IF(ISERROR(FIND($E$2,Lines!AD39))=TRUE,"",IF('220'!AD39="","ERR",""))&amp; IF(ISERROR(FIND($F$2,Lines!AD39))=TRUE,"",IF(AND('500DC'!AD39="",'800DC'!AD39=""),"ERR","")) &amp; IF(ISERROR(FIND($G$2,Lines!AD39))=TRUE,"",IF('1000'!AD39="","ERR","")) &amp; IF(ISERROR(FIND($H$2,Lines!AD39))=TRUE,"",IF('500DC'!AD39="","ERR","")) &amp; IF(ISERROR(FIND($I$2,Lines!AD39))=TRUE,"",IF('800DC'!AD39="","ERR","")) &amp; IF(ISERROR(FIND($J$2,Lines!AD39))=TRUE,"",IF('1000'!AD39="","ERR",""))</f>
        <v/>
      </c>
      <c r="AE39" s="108" t="str">
        <f>IF(ISERROR(FIND($B$2,Lines!AE39))=TRUE,"",IF('750'!AE39="","ERR","")) &amp; IF(ISERROR(FIND($C$2,Lines!AE39))=TRUE,"",IF('500'!AE39="","ERR","")) &amp; IF(ISERROR(FIND($D$2,Lines!AE39))=TRUE,"",IF('330'!AE39="","ERR","")) &amp; IF(ISERROR(FIND($E$2,Lines!AE39))=TRUE,"",IF('220'!AE39="","ERR",""))&amp; IF(ISERROR(FIND($F$2,Lines!AE39))=TRUE,"",IF(AND('500DC'!AE39="",'800DC'!AE39=""),"ERR","")) &amp; IF(ISERROR(FIND($G$2,Lines!AE39))=TRUE,"",IF('1000'!AE39="","ERR","")) &amp; IF(ISERROR(FIND($H$2,Lines!AE39))=TRUE,"",IF('500DC'!AE39="","ERR","")) &amp; IF(ISERROR(FIND($I$2,Lines!AE39))=TRUE,"",IF('800DC'!AE39="","ERR","")) &amp; IF(ISERROR(FIND($J$2,Lines!AE39))=TRUE,"",IF('1000'!AE39="","ERR",""))</f>
        <v/>
      </c>
      <c r="AF39" s="108" t="str">
        <f>IF(ISERROR(FIND($B$2,Lines!AF39))=TRUE,"",IF('750'!AF39="","ERR","")) &amp; IF(ISERROR(FIND($C$2,Lines!AF39))=TRUE,"",IF('500'!AF39="","ERR","")) &amp; IF(ISERROR(FIND($D$2,Lines!AF39))=TRUE,"",IF('330'!AF39="","ERR","")) &amp; IF(ISERROR(FIND($E$2,Lines!AF39))=TRUE,"",IF('220'!AF39="","ERR",""))&amp; IF(ISERROR(FIND($F$2,Lines!AF39))=TRUE,"",IF(AND('500DC'!AF39="",'800DC'!AF39=""),"ERR","")) &amp; IF(ISERROR(FIND($G$2,Lines!AF39))=TRUE,"",IF('1000'!AF39="","ERR","")) &amp; IF(ISERROR(FIND($H$2,Lines!AF39))=TRUE,"",IF('500DC'!AF39="","ERR","")) &amp; IF(ISERROR(FIND($I$2,Lines!AF39))=TRUE,"",IF('800DC'!AF39="","ERR","")) &amp; IF(ISERROR(FIND($J$2,Lines!AF39))=TRUE,"",IF('1000'!AF39="","ERR",""))</f>
        <v/>
      </c>
      <c r="AG39" s="108" t="str">
        <f>IF(ISERROR(FIND($B$2,Lines!AG39))=TRUE,"",IF('750'!AG39="","ERR","")) &amp; IF(ISERROR(FIND($C$2,Lines!AG39))=TRUE,"",IF('500'!AG39="","ERR","")) &amp; IF(ISERROR(FIND($D$2,Lines!AG39))=TRUE,"",IF('330'!AG39="","ERR","")) &amp; IF(ISERROR(FIND($E$2,Lines!AG39))=TRUE,"",IF('220'!AG39="","ERR",""))&amp; IF(ISERROR(FIND($F$2,Lines!AG39))=TRUE,"",IF(AND('500DC'!AG39="",'800DC'!AG39=""),"ERR","")) &amp; IF(ISERROR(FIND($G$2,Lines!AG39))=TRUE,"",IF('1000'!AG39="","ERR","")) &amp; IF(ISERROR(FIND($H$2,Lines!AG39))=TRUE,"",IF('500DC'!AG39="","ERR","")) &amp; IF(ISERROR(FIND($I$2,Lines!AG39))=TRUE,"",IF('800DC'!AG39="","ERR","")) &amp; IF(ISERROR(FIND($J$2,Lines!AG39))=TRUE,"",IF('1000'!AG39="","ERR",""))</f>
        <v/>
      </c>
      <c r="AH39" s="108" t="str">
        <f>IF(ISERROR(FIND($B$2,Lines!AH39))=TRUE,"",IF('750'!AH39="","ERR","")) &amp; IF(ISERROR(FIND($C$2,Lines!AH39))=TRUE,"",IF('500'!AH39="","ERR","")) &amp; IF(ISERROR(FIND($D$2,Lines!AH39))=TRUE,"",IF('330'!AH39="","ERR","")) &amp; IF(ISERROR(FIND($E$2,Lines!AH39))=TRUE,"",IF('220'!AH39="","ERR",""))&amp; IF(ISERROR(FIND($F$2,Lines!AH39))=TRUE,"",IF(AND('500DC'!AH39="",'800DC'!AH39=""),"ERR","")) &amp; IF(ISERROR(FIND($G$2,Lines!AH39))=TRUE,"",IF('1000'!AH39="","ERR","")) &amp; IF(ISERROR(FIND($H$2,Lines!AH39))=TRUE,"",IF('500DC'!AH39="","ERR","")) &amp; IF(ISERROR(FIND($I$2,Lines!AH39))=TRUE,"",IF('800DC'!AH39="","ERR","")) &amp; IF(ISERROR(FIND($J$2,Lines!AH39))=TRUE,"",IF('1000'!AH39="","ERR",""))</f>
        <v/>
      </c>
      <c r="AI39" s="108" t="str">
        <f>IF(ISERROR(FIND($B$2,Lines!AI39))=TRUE,"",IF('750'!AI39="","ERR","")) &amp; IF(ISERROR(FIND($C$2,Lines!AI39))=TRUE,"",IF('500'!AI39="","ERR","")) &amp; IF(ISERROR(FIND($D$2,Lines!AI39))=TRUE,"",IF('330'!AI39="","ERR","")) &amp; IF(ISERROR(FIND($E$2,Lines!AI39))=TRUE,"",IF('220'!AI39="","ERR",""))&amp; IF(ISERROR(FIND($F$2,Lines!AI39))=TRUE,"",IF(AND('500DC'!AI39="",'800DC'!AI39=""),"ERR","")) &amp; IF(ISERROR(FIND($G$2,Lines!AI39))=TRUE,"",IF('1000'!AI39="","ERR","")) &amp; IF(ISERROR(FIND($H$2,Lines!AI39))=TRUE,"",IF('500DC'!AI39="","ERR","")) &amp; IF(ISERROR(FIND($I$2,Lines!AI39))=TRUE,"",IF('800DC'!AI39="","ERR","")) &amp; IF(ISERROR(FIND($J$2,Lines!AI39))=TRUE,"",IF('1000'!AI39="","ERR",""))</f>
        <v/>
      </c>
      <c r="AJ39" s="108" t="str">
        <f>IF(ISERROR(FIND($B$2,Lines!AJ39))=TRUE,"",IF('750'!AJ39="","ERR","")) &amp; IF(ISERROR(FIND($C$2,Lines!AJ39))=TRUE,"",IF('500'!AJ39="","ERR","")) &amp; IF(ISERROR(FIND($D$2,Lines!AJ39))=TRUE,"",IF('330'!AJ39="","ERR","")) &amp; IF(ISERROR(FIND($E$2,Lines!AJ39))=TRUE,"",IF('220'!AJ39="","ERR",""))&amp; IF(ISERROR(FIND($F$2,Lines!AJ39))=TRUE,"",IF(AND('500DC'!AJ39="",'800DC'!AJ39=""),"ERR","")) &amp; IF(ISERROR(FIND($G$2,Lines!AJ39))=TRUE,"",IF('1000'!AJ39="","ERR","")) &amp; IF(ISERROR(FIND($H$2,Lines!AJ39))=TRUE,"",IF('500DC'!AJ39="","ERR","")) &amp; IF(ISERROR(FIND($I$2,Lines!AJ39))=TRUE,"",IF('800DC'!AJ39="","ERR","")) &amp; IF(ISERROR(FIND($J$2,Lines!AJ39))=TRUE,"",IF('1000'!AJ39="","ERR",""))</f>
        <v/>
      </c>
      <c r="AK39" s="112" t="str">
        <f>IF(ISERROR(FIND($B$2,Lines!AK39))=TRUE,"",IF('750'!AK39="","ERR","")) &amp; IF(ISERROR(FIND($C$2,Lines!AK39))=TRUE,"",IF('500'!AK39="","ERR","")) &amp; IF(ISERROR(FIND($D$2,Lines!AK39))=TRUE,"",IF('330'!AK39="","ERR","")) &amp; IF(ISERROR(FIND($E$2,Lines!AK39))=TRUE,"",IF('220'!AK39="","ERR",""))&amp; IF(ISERROR(FIND($F$2,Lines!AK39))=TRUE,"",IF(AND('500DC'!AK39="",'800DC'!AK39=""),"ERR","")) &amp; IF(ISERROR(FIND($G$2,Lines!AK39))=TRUE,"",IF('1000'!AK39="","ERR","")) &amp; IF(ISERROR(FIND($H$2,Lines!AK39))=TRUE,"",IF('500DC'!AK39="","ERR","")) &amp; IF(ISERROR(FIND($I$2,Lines!AK39))=TRUE,"",IF('800DC'!AK39="","ERR","")) &amp; IF(ISERROR(FIND($J$2,Lines!AK39))=TRUE,"",IF('1000'!AK39="","ERR",""))</f>
        <v/>
      </c>
      <c r="AL39" s="135" t="str">
        <f>IF(ISERROR(FIND($B$2,Lines!AL39))=TRUE,"",IF('750'!AL39="","ERR","")) &amp; IF(ISERROR(FIND($C$2,Lines!AL39))=TRUE,"",IF('500'!AL39="","ERR","")) &amp; IF(ISERROR(FIND($D$2,Lines!AL39))=TRUE,"",IF('330'!AL39="","ERR","")) &amp; IF(ISERROR(FIND($E$2,Lines!AL39))=TRUE,"",IF('220'!AL39="","ERR",""))&amp; IF(ISERROR(FIND($F$2,Lines!AL39))=TRUE,"",IF(AND('500DC'!AL39="",'800DC'!AL39=""),"ERR","")) &amp; IF(ISERROR(FIND($G$2,Lines!AL39))=TRUE,"",IF('1000'!AL39="","ERR","")) &amp; IF(ISERROR(FIND($H$2,Lines!AL39))=TRUE,"",IF('500DC'!AL39="","ERR","")) &amp; IF(ISERROR(FIND($I$2,Lines!AL39))=TRUE,"",IF('800DC'!AL39="","ERR","")) &amp; IF(ISERROR(FIND($J$2,Lines!AL39))=TRUE,"",IF('1000'!AL39="","ERR",""))</f>
        <v/>
      </c>
      <c r="AM39" s="135" t="str">
        <f>IF(ISERROR(FIND($B$2,Lines!AM39))=TRUE,"",IF('750'!AM39="","ERR","")) &amp; IF(ISERROR(FIND($C$2,Lines!AM39))=TRUE,"",IF('500'!AM39="","ERR","")) &amp; IF(ISERROR(FIND($D$2,Lines!AM39))=TRUE,"",IF('330'!AM39="","ERR","")) &amp; IF(ISERROR(FIND($E$2,Lines!AM39))=TRUE,"",IF('220'!AM39="","ERR",""))&amp; IF(ISERROR(FIND($F$2,Lines!AM39))=TRUE,"",IF(AND('500DC'!AM39="",'800DC'!AM39=""),"ERR","")) &amp; IF(ISERROR(FIND($G$2,Lines!AM39))=TRUE,"",IF('1000'!AM39="","ERR","")) &amp; IF(ISERROR(FIND($H$2,Lines!AM39))=TRUE,"",IF('500DC'!AM39="","ERR","")) &amp; IF(ISERROR(FIND($I$2,Lines!AM39))=TRUE,"",IF('800DC'!AM39="","ERR","")) &amp; IF(ISERROR(FIND($J$2,Lines!AM39))=TRUE,"",IF('1000'!AM39="","ERR",""))</f>
        <v/>
      </c>
      <c r="AN39" s="135" t="str">
        <f>IF(ISERROR(FIND($B$2,Lines!AN39))=TRUE,"",IF('750'!AN39="","ERR","")) &amp; IF(ISERROR(FIND($C$2,Lines!AN39))=TRUE,"",IF('500'!AN39="","ERR","")) &amp; IF(ISERROR(FIND($D$2,Lines!AN39))=TRUE,"",IF('330'!AN39="","ERR","")) &amp; IF(ISERROR(FIND($E$2,Lines!AN39))=TRUE,"",IF('220'!AN39="","ERR",""))&amp; IF(ISERROR(FIND($F$2,Lines!AN39))=TRUE,"",IF(AND('500DC'!AN39="",'800DC'!AN39=""),"ERR","")) &amp; IF(ISERROR(FIND($G$2,Lines!AN39))=TRUE,"",IF('1000'!AN39="","ERR","")) &amp; IF(ISERROR(FIND($H$2,Lines!AN39))=TRUE,"",IF('500DC'!AN39="","ERR","")) &amp; IF(ISERROR(FIND($I$2,Lines!AN39))=TRUE,"",IF('800DC'!AN39="","ERR","")) &amp; IF(ISERROR(FIND($J$2,Lines!AN39))=TRUE,"",IF('1000'!AN39="","ERR",""))</f>
        <v/>
      </c>
      <c r="AO39" s="136" t="str">
        <f>IF(ISERROR(FIND($B$2,Lines!AO39))=TRUE,"",IF('750'!AO39="","ERR","")) &amp; IF(ISERROR(FIND($C$2,Lines!AO39))=TRUE,"",IF('500'!AO39="","ERR","")) &amp; IF(ISERROR(FIND($D$2,Lines!AO39))=TRUE,"",IF('330'!AO39="","ERR","")) &amp; IF(ISERROR(FIND($E$2,Lines!AO39))=TRUE,"",IF('220'!AO39="","ERR",""))&amp; IF(ISERROR(FIND($F$2,Lines!AO39))=TRUE,"",IF(AND('500DC'!AO39="",'800DC'!AO39=""),"ERR","")) &amp; IF(ISERROR(FIND($G$2,Lines!AO39))=TRUE,"",IF('1000'!AO39="","ERR","")) &amp; IF(ISERROR(FIND($H$2,Lines!AO39))=TRUE,"",IF('500DC'!AO39="","ERR","")) &amp; IF(ISERROR(FIND($I$2,Lines!AO39))=TRUE,"",IF('800DC'!AO39="","ERR","")) &amp; IF(ISERROR(FIND($J$2,Lines!AO39))=TRUE,"",IF('1000'!AO39="","ERR",""))</f>
        <v/>
      </c>
      <c r="AP39" s="108" t="str">
        <f>IF(ISERROR(FIND($B$2,Lines!AP39))=TRUE,"",IF('750'!AP39="","ERR","")) &amp; IF(ISERROR(FIND($C$2,Lines!AP39))=TRUE,"",IF('500'!AP39="","ERR","")) &amp; IF(ISERROR(FIND($D$2,Lines!AP39))=TRUE,"",IF('330'!AP39="","ERR","")) &amp; IF(ISERROR(FIND($E$2,Lines!AP39))=TRUE,"",IF('220'!AP39="","ERR",""))&amp; IF(ISERROR(FIND($F$2,Lines!AP39))=TRUE,"",IF(AND('500DC'!AP39="",'800DC'!AP39=""),"ERR","")) &amp; IF(ISERROR(FIND($G$2,Lines!AP39))=TRUE,"",IF('1000'!AP39="","ERR","")) &amp; IF(ISERROR(FIND($H$2,Lines!AP39))=TRUE,"",IF('500DC'!AP39="","ERR","")) &amp; IF(ISERROR(FIND($I$2,Lines!AP39))=TRUE,"",IF('800DC'!AP39="","ERR","")) &amp; IF(ISERROR(FIND($J$2,Lines!AP39))=TRUE,"",IF('1000'!AP39="","ERR",""))</f>
        <v/>
      </c>
      <c r="AQ39" s="108" t="str">
        <f>IF(ISERROR(FIND($B$2,Lines!AQ39))=TRUE,"",IF('750'!AQ39="","ERR","")) &amp; IF(ISERROR(FIND($C$2,Lines!AQ39))=TRUE,"",IF('500'!AQ39="","ERR","")) &amp; IF(ISERROR(FIND($D$2,Lines!AQ39))=TRUE,"",IF('330'!AQ39="","ERR","")) &amp; IF(ISERROR(FIND($E$2,Lines!AQ39))=TRUE,"",IF('220'!AQ39="","ERR",""))&amp; IF(ISERROR(FIND($F$2,Lines!AQ39))=TRUE,"",IF(AND('500DC'!AQ39="",'800DC'!AQ39=""),"ERR","")) &amp; IF(ISERROR(FIND($G$2,Lines!AQ39))=TRUE,"",IF('1000'!AQ39="","ERR","")) &amp; IF(ISERROR(FIND($H$2,Lines!AQ39))=TRUE,"",IF('500DC'!AQ39="","ERR","")) &amp; IF(ISERROR(FIND($I$2,Lines!AQ39))=TRUE,"",IF('800DC'!AQ39="","ERR","")) &amp; IF(ISERROR(FIND($J$2,Lines!AQ39))=TRUE,"",IF('1000'!AQ39="","ERR",""))</f>
        <v/>
      </c>
      <c r="AR39" s="108" t="str">
        <f>IF(ISERROR(FIND($B$2,Lines!AR39))=TRUE,"",IF('750'!AR39="","ERR","")) &amp; IF(ISERROR(FIND($C$2,Lines!AR39))=TRUE,"",IF('500'!AR39="","ERR","")) &amp; IF(ISERROR(FIND($D$2,Lines!AR39))=TRUE,"",IF('330'!AR39="","ERR","")) &amp; IF(ISERROR(FIND($E$2,Lines!AR39))=TRUE,"",IF('220'!AR39="","ERR",""))&amp; IF(ISERROR(FIND($F$2,Lines!AR39))=TRUE,"",IF(AND('500DC'!AR39="",'800DC'!AR39=""),"ERR","")) &amp; IF(ISERROR(FIND($G$2,Lines!AR39))=TRUE,"",IF('1000'!AR39="","ERR","")) &amp; IF(ISERROR(FIND($H$2,Lines!AR39))=TRUE,"",IF('500DC'!AR39="","ERR","")) &amp; IF(ISERROR(FIND($I$2,Lines!AR39))=TRUE,"",IF('800DC'!AR39="","ERR","")) &amp; IF(ISERROR(FIND($J$2,Lines!AR39))=TRUE,"",IF('1000'!AR39="","ERR",""))</f>
        <v/>
      </c>
      <c r="AS39" s="108" t="str">
        <f>IF(ISERROR(FIND($B$2,Lines!AS39))=TRUE,"",IF('750'!AS39="","ERR","")) &amp; IF(ISERROR(FIND($C$2,Lines!AS39))=TRUE,"",IF('500'!AS39="","ERR","")) &amp; IF(ISERROR(FIND($D$2,Lines!AS39))=TRUE,"",IF('330'!AS39="","ERR","")) &amp; IF(ISERROR(FIND($E$2,Lines!AS39))=TRUE,"",IF('220'!AS39="","ERR",""))&amp; IF(ISERROR(FIND($F$2,Lines!AS39))=TRUE,"",IF(AND('500DC'!AS39="",'800DC'!AS39=""),"ERR","")) &amp; IF(ISERROR(FIND($G$2,Lines!AS39))=TRUE,"",IF('1000'!AS39="","ERR","")) &amp; IF(ISERROR(FIND($H$2,Lines!AS39))=TRUE,"",IF('500DC'!AS39="","ERR","")) &amp; IF(ISERROR(FIND($I$2,Lines!AS39))=TRUE,"",IF('800DC'!AS39="","ERR","")) &amp; IF(ISERROR(FIND($J$2,Lines!AS39))=TRUE,"",IF('1000'!AS39="","ERR",""))</f>
        <v/>
      </c>
      <c r="AT39" s="108" t="str">
        <f>IF(ISERROR(FIND($B$2,Lines!AT39))=TRUE,"",IF('750'!AT39="","ERR","")) &amp; IF(ISERROR(FIND($C$2,Lines!AT39))=TRUE,"",IF('500'!AT39="","ERR","")) &amp; IF(ISERROR(FIND($D$2,Lines!AT39))=TRUE,"",IF('330'!AT39="","ERR","")) &amp; IF(ISERROR(FIND($E$2,Lines!AT39))=TRUE,"",IF('220'!AT39="","ERR",""))&amp; IF(ISERROR(FIND($F$2,Lines!AT39))=TRUE,"",IF(AND('500DC'!AT39="",'800DC'!AT39=""),"ERR","")) &amp; IF(ISERROR(FIND($G$2,Lines!AT39))=TRUE,"",IF('1000'!AT39="","ERR","")) &amp; IF(ISERROR(FIND($H$2,Lines!AT39))=TRUE,"",IF('500DC'!AT39="","ERR","")) &amp; IF(ISERROR(FIND($I$2,Lines!AT39))=TRUE,"",IF('800DC'!AT39="","ERR","")) &amp; IF(ISERROR(FIND($J$2,Lines!AT39))=TRUE,"",IF('1000'!AT39="","ERR",""))</f>
        <v/>
      </c>
    </row>
    <row r="40" spans="1:46" ht="20.25" customHeight="1">
      <c r="A40" s="2" t="s">
        <v>88</v>
      </c>
      <c r="B40" s="108" t="str">
        <f>IF(ISERROR(FIND($B$2,Lines!B40))=TRUE,"",IF('750'!B40="","ERR","")) &amp; IF(ISERROR(FIND($C$2,Lines!B40))=TRUE,"",IF('500'!B40="","ERR","")) &amp; IF(ISERROR(FIND($D$2,Lines!B40))=TRUE,"",IF('330'!B40="","ERR","")) &amp; IF(ISERROR(FIND($E$2,Lines!B40))=TRUE,"",IF('220'!B40="","ERR",""))&amp; IF(ISERROR(FIND($F$2,Lines!B40))=TRUE,"",IF(AND('500DC'!B40="",'800DC'!B40=""),"ERR","")) &amp; IF(ISERROR(FIND($G$2,Lines!B40))=TRUE,"",IF('1000'!B40="","ERR","")) &amp; IF(ISERROR(FIND($H$2,Lines!B40))=TRUE,"",IF('500DC'!B40="","ERR","")) &amp; IF(ISERROR(FIND($I$2,Lines!B40))=TRUE,"",IF('800DC'!B40="","ERR","")) &amp; IF(ISERROR(FIND($J$2,Lines!B40))=TRUE,"",IF('1000'!B40="","ERR",""))</f>
        <v/>
      </c>
      <c r="C40" s="108" t="str">
        <f>IF(ISERROR(FIND($B$2,Lines!C40))=TRUE,"",IF('750'!C40="","ERR","")) &amp; IF(ISERROR(FIND($C$2,Lines!C40))=TRUE,"",IF('500'!C40="","ERR","")) &amp; IF(ISERROR(FIND($D$2,Lines!C40))=TRUE,"",IF('330'!C40="","ERR","")) &amp; IF(ISERROR(FIND($E$2,Lines!C40))=TRUE,"",IF('220'!C40="","ERR",""))&amp; IF(ISERROR(FIND($F$2,Lines!C40))=TRUE,"",IF(AND('500DC'!C40="",'800DC'!C40=""),"ERR","")) &amp; IF(ISERROR(FIND($G$2,Lines!C40))=TRUE,"",IF('1000'!C40="","ERR","")) &amp; IF(ISERROR(FIND($H$2,Lines!C40))=TRUE,"",IF('500DC'!C40="","ERR","")) &amp; IF(ISERROR(FIND($I$2,Lines!C40))=TRUE,"",IF('800DC'!C40="","ERR","")) &amp; IF(ISERROR(FIND($J$2,Lines!C40))=TRUE,"",IF('1000'!C40="","ERR",""))</f>
        <v/>
      </c>
      <c r="D40" s="108" t="str">
        <f>IF(ISERROR(FIND($B$2,Lines!D40))=TRUE,"",IF('750'!D40="","ERR","")) &amp; IF(ISERROR(FIND($C$2,Lines!D40))=TRUE,"",IF('500'!D40="","ERR","")) &amp; IF(ISERROR(FIND($D$2,Lines!D40))=TRUE,"",IF('330'!D40="","ERR","")) &amp; IF(ISERROR(FIND($E$2,Lines!D40))=TRUE,"",IF('220'!D40="","ERR",""))&amp; IF(ISERROR(FIND($F$2,Lines!D40))=TRUE,"",IF(AND('500DC'!D40="",'800DC'!D40=""),"ERR","")) &amp; IF(ISERROR(FIND($G$2,Lines!D40))=TRUE,"",IF('1000'!D40="","ERR","")) &amp; IF(ISERROR(FIND($H$2,Lines!D40))=TRUE,"",IF('500DC'!D40="","ERR","")) &amp; IF(ISERROR(FIND($I$2,Lines!D40))=TRUE,"",IF('800DC'!D40="","ERR","")) &amp; IF(ISERROR(FIND($J$2,Lines!D40))=TRUE,"",IF('1000'!D40="","ERR",""))</f>
        <v/>
      </c>
      <c r="E40" s="108" t="str">
        <f>IF(ISERROR(FIND($B$2,Lines!E40))=TRUE,"",IF('750'!E40="","ERR","")) &amp; IF(ISERROR(FIND($C$2,Lines!E40))=TRUE,"",IF('500'!E40="","ERR","")) &amp; IF(ISERROR(FIND($D$2,Lines!E40))=TRUE,"",IF('330'!E40="","ERR","")) &amp; IF(ISERROR(FIND($E$2,Lines!E40))=TRUE,"",IF('220'!E40="","ERR",""))&amp; IF(ISERROR(FIND($F$2,Lines!E40))=TRUE,"",IF(AND('500DC'!E40="",'800DC'!E40=""),"ERR","")) &amp; IF(ISERROR(FIND($G$2,Lines!E40))=TRUE,"",IF('1000'!E40="","ERR","")) &amp; IF(ISERROR(FIND($H$2,Lines!E40))=TRUE,"",IF('500DC'!E40="","ERR","")) &amp; IF(ISERROR(FIND($I$2,Lines!E40))=TRUE,"",IF('800DC'!E40="","ERR","")) &amp; IF(ISERROR(FIND($J$2,Lines!E40))=TRUE,"",IF('1000'!E40="","ERR",""))</f>
        <v/>
      </c>
      <c r="F40" s="108" t="str">
        <f>IF(ISERROR(FIND($B$2,Lines!F40))=TRUE,"",IF('750'!F40="","ERR","")) &amp; IF(ISERROR(FIND($C$2,Lines!F40))=TRUE,"",IF('500'!F40="","ERR","")) &amp; IF(ISERROR(FIND($D$2,Lines!F40))=TRUE,"",IF('330'!F40="","ERR","")) &amp; IF(ISERROR(FIND($E$2,Lines!F40))=TRUE,"",IF('220'!F40="","ERR",""))&amp; IF(ISERROR(FIND($F$2,Lines!F40))=TRUE,"",IF(AND('500DC'!F40="",'800DC'!F40=""),"ERR","")) &amp; IF(ISERROR(FIND($G$2,Lines!F40))=TRUE,"",IF('1000'!F40="","ERR","")) &amp; IF(ISERROR(FIND($H$2,Lines!F40))=TRUE,"",IF('500DC'!F40="","ERR","")) &amp; IF(ISERROR(FIND($I$2,Lines!F40))=TRUE,"",IF('800DC'!F40="","ERR","")) &amp; IF(ISERROR(FIND($J$2,Lines!F40))=TRUE,"",IF('1000'!F40="","ERR",""))</f>
        <v/>
      </c>
      <c r="G40" s="108" t="str">
        <f>IF(ISERROR(FIND($B$2,Lines!G40))=TRUE,"",IF('750'!G40="","ERR","")) &amp; IF(ISERROR(FIND($C$2,Lines!G40))=TRUE,"",IF('500'!G40="","ERR","")) &amp; IF(ISERROR(FIND($D$2,Lines!G40))=TRUE,"",IF('330'!G40="","ERR","")) &amp; IF(ISERROR(FIND($E$2,Lines!G40))=TRUE,"",IF('220'!G40="","ERR",""))&amp; IF(ISERROR(FIND($F$2,Lines!G40))=TRUE,"",IF(AND('500DC'!G40="",'800DC'!G40=""),"ERR","")) &amp; IF(ISERROR(FIND($G$2,Lines!G40))=TRUE,"",IF('1000'!G40="","ERR","")) &amp; IF(ISERROR(FIND($H$2,Lines!G40))=TRUE,"",IF('500DC'!G40="","ERR","")) &amp; IF(ISERROR(FIND($I$2,Lines!G40))=TRUE,"",IF('800DC'!G40="","ERR","")) &amp; IF(ISERROR(FIND($J$2,Lines!G40))=TRUE,"",IF('1000'!G40="","ERR",""))</f>
        <v/>
      </c>
      <c r="H40" s="108" t="str">
        <f>IF(ISERROR(FIND($B$2,Lines!H40))=TRUE,"",IF('750'!H40="","ERR","")) &amp; IF(ISERROR(FIND($C$2,Lines!H40))=TRUE,"",IF('500'!H40="","ERR","")) &amp; IF(ISERROR(FIND($D$2,Lines!H40))=TRUE,"",IF('330'!H40="","ERR","")) &amp; IF(ISERROR(FIND($E$2,Lines!H40))=TRUE,"",IF('220'!H40="","ERR",""))&amp; IF(ISERROR(FIND($F$2,Lines!H40))=TRUE,"",IF(AND('500DC'!H40="",'800DC'!H40=""),"ERR","")) &amp; IF(ISERROR(FIND($G$2,Lines!H40))=TRUE,"",IF('1000'!H40="","ERR","")) &amp; IF(ISERROR(FIND($H$2,Lines!H40))=TRUE,"",IF('500DC'!H40="","ERR","")) &amp; IF(ISERROR(FIND($I$2,Lines!H40))=TRUE,"",IF('800DC'!H40="","ERR","")) &amp; IF(ISERROR(FIND($J$2,Lines!H40))=TRUE,"",IF('1000'!H40="","ERR",""))</f>
        <v/>
      </c>
      <c r="I40" s="108" t="str">
        <f>IF(ISERROR(FIND($B$2,Lines!I40))=TRUE,"",IF('750'!I40="","ERR","")) &amp; IF(ISERROR(FIND($C$2,Lines!I40))=TRUE,"",IF('500'!I40="","ERR","")) &amp; IF(ISERROR(FIND($D$2,Lines!I40))=TRUE,"",IF('330'!I40="","ERR","")) &amp; IF(ISERROR(FIND($E$2,Lines!I40))=TRUE,"",IF('220'!I40="","ERR",""))&amp; IF(ISERROR(FIND($F$2,Lines!I40))=TRUE,"",IF(AND('500DC'!I40="",'800DC'!I40=""),"ERR","")) &amp; IF(ISERROR(FIND($G$2,Lines!I40))=TRUE,"",IF('1000'!I40="","ERR","")) &amp; IF(ISERROR(FIND($H$2,Lines!I40))=TRUE,"",IF('500DC'!I40="","ERR","")) &amp; IF(ISERROR(FIND($I$2,Lines!I40))=TRUE,"",IF('800DC'!I40="","ERR","")) &amp; IF(ISERROR(FIND($J$2,Lines!I40))=TRUE,"",IF('1000'!I40="","ERR",""))</f>
        <v/>
      </c>
      <c r="J40" s="108" t="str">
        <f>IF(ISERROR(FIND($B$2,Lines!J40))=TRUE,"",IF('750'!J40="","ERR","")) &amp; IF(ISERROR(FIND($C$2,Lines!J40))=TRUE,"",IF('500'!J40="","ERR","")) &amp; IF(ISERROR(FIND($D$2,Lines!J40))=TRUE,"",IF('330'!J40="","ERR","")) &amp; IF(ISERROR(FIND($E$2,Lines!J40))=TRUE,"",IF('220'!J40="","ERR",""))&amp; IF(ISERROR(FIND($F$2,Lines!J40))=TRUE,"",IF(AND('500DC'!J40="",'800DC'!J40=""),"ERR","")) &amp; IF(ISERROR(FIND($G$2,Lines!J40))=TRUE,"",IF('1000'!J40="","ERR","")) &amp; IF(ISERROR(FIND($H$2,Lines!J40))=TRUE,"",IF('500DC'!J40="","ERR","")) &amp; IF(ISERROR(FIND($I$2,Lines!J40))=TRUE,"",IF('800DC'!J40="","ERR","")) &amp; IF(ISERROR(FIND($J$2,Lines!J40))=TRUE,"",IF('1000'!J40="","ERR",""))</f>
        <v/>
      </c>
      <c r="K40" s="108" t="str">
        <f>IF(ISERROR(FIND($B$2,Lines!K40))=TRUE,"",IF('750'!K40="","ERR","")) &amp; IF(ISERROR(FIND($C$2,Lines!K40))=TRUE,"",IF('500'!K40="","ERR","")) &amp; IF(ISERROR(FIND($D$2,Lines!K40))=TRUE,"",IF('330'!K40="","ERR","")) &amp; IF(ISERROR(FIND($E$2,Lines!K40))=TRUE,"",IF('220'!K40="","ERR",""))&amp; IF(ISERROR(FIND($F$2,Lines!K40))=TRUE,"",IF(AND('500DC'!K40="",'800DC'!K40=""),"ERR","")) &amp; IF(ISERROR(FIND($G$2,Lines!K40))=TRUE,"",IF('1000'!K40="","ERR","")) &amp; IF(ISERROR(FIND($H$2,Lines!K40))=TRUE,"",IF('500DC'!K40="","ERR","")) &amp; IF(ISERROR(FIND($I$2,Lines!K40))=TRUE,"",IF('800DC'!K40="","ERR","")) &amp; IF(ISERROR(FIND($J$2,Lines!K40))=TRUE,"",IF('1000'!K40="","ERR",""))</f>
        <v/>
      </c>
      <c r="L40" s="108" t="str">
        <f>IF(ISERROR(FIND($B$2,Lines!L40))=TRUE,"",IF('750'!L40="","ERR","")) &amp; IF(ISERROR(FIND($C$2,Lines!L40))=TRUE,"",IF('500'!L40="","ERR","")) &amp; IF(ISERROR(FIND($D$2,Lines!L40))=TRUE,"",IF('330'!L40="","ERR","")) &amp; IF(ISERROR(FIND($E$2,Lines!L40))=TRUE,"",IF('220'!L40="","ERR",""))&amp; IF(ISERROR(FIND($F$2,Lines!L40))=TRUE,"",IF(AND('500DC'!L40="",'800DC'!L40=""),"ERR","")) &amp; IF(ISERROR(FIND($G$2,Lines!L40))=TRUE,"",IF('1000'!L40="","ERR","")) &amp; IF(ISERROR(FIND($H$2,Lines!L40))=TRUE,"",IF('500DC'!L40="","ERR","")) &amp; IF(ISERROR(FIND($I$2,Lines!L40))=TRUE,"",IF('800DC'!L40="","ERR","")) &amp; IF(ISERROR(FIND($J$2,Lines!L40))=TRUE,"",IF('1000'!L40="","ERR",""))</f>
        <v/>
      </c>
      <c r="M40" s="108" t="str">
        <f>IF(ISERROR(FIND($B$2,Lines!M40))=TRUE,"",IF('750'!M40="","ERR","")) &amp; IF(ISERROR(FIND($C$2,Lines!M40))=TRUE,"",IF('500'!M40="","ERR","")) &amp; IF(ISERROR(FIND($D$2,Lines!M40))=TRUE,"",IF('330'!M40="","ERR","")) &amp; IF(ISERROR(FIND($E$2,Lines!M40))=TRUE,"",IF('220'!M40="","ERR",""))&amp; IF(ISERROR(FIND($F$2,Lines!M40))=TRUE,"",IF(AND('500DC'!M40="",'800DC'!M40=""),"ERR","")) &amp; IF(ISERROR(FIND($G$2,Lines!M40))=TRUE,"",IF('1000'!M40="","ERR","")) &amp; IF(ISERROR(FIND($H$2,Lines!M40))=TRUE,"",IF('500DC'!M40="","ERR","")) &amp; IF(ISERROR(FIND($I$2,Lines!M40))=TRUE,"",IF('800DC'!M40="","ERR","")) &amp; IF(ISERROR(FIND($J$2,Lines!M40))=TRUE,"",IF('1000'!M40="","ERR",""))</f>
        <v/>
      </c>
      <c r="N40" s="108" t="str">
        <f>IF(ISERROR(FIND($B$2,Lines!N40))=TRUE,"",IF('750'!N40="","ERR","")) &amp; IF(ISERROR(FIND($C$2,Lines!N40))=TRUE,"",IF('500'!N40="","ERR","")) &amp; IF(ISERROR(FIND($D$2,Lines!N40))=TRUE,"",IF('330'!N40="","ERR","")) &amp; IF(ISERROR(FIND($E$2,Lines!N40))=TRUE,"",IF('220'!N40="","ERR",""))&amp; IF(ISERROR(FIND($F$2,Lines!N40))=TRUE,"",IF(AND('500DC'!N40="",'800DC'!N40=""),"ERR","")) &amp; IF(ISERROR(FIND($G$2,Lines!N40))=TRUE,"",IF('1000'!N40="","ERR","")) &amp; IF(ISERROR(FIND($H$2,Lines!N40))=TRUE,"",IF('500DC'!N40="","ERR","")) &amp; IF(ISERROR(FIND($I$2,Lines!N40))=TRUE,"",IF('800DC'!N40="","ERR","")) &amp; IF(ISERROR(FIND($J$2,Lines!N40))=TRUE,"",IF('1000'!N40="","ERR",""))</f>
        <v/>
      </c>
      <c r="O40" s="108" t="str">
        <f>IF(ISERROR(FIND($B$2,Lines!O40))=TRUE,"",IF('750'!O40="","ERR","")) &amp; IF(ISERROR(FIND($C$2,Lines!O40))=TRUE,"",IF('500'!O40="","ERR","")) &amp; IF(ISERROR(FIND($D$2,Lines!O40))=TRUE,"",IF('330'!O40="","ERR","")) &amp; IF(ISERROR(FIND($E$2,Lines!O40))=TRUE,"",IF('220'!O40="","ERR",""))&amp; IF(ISERROR(FIND($F$2,Lines!O40))=TRUE,"",IF(AND('500DC'!O40="",'800DC'!O40=""),"ERR","")) &amp; IF(ISERROR(FIND($G$2,Lines!O40))=TRUE,"",IF('1000'!O40="","ERR","")) &amp; IF(ISERROR(FIND($H$2,Lines!O40))=TRUE,"",IF('500DC'!O40="","ERR","")) &amp; IF(ISERROR(FIND($I$2,Lines!O40))=TRUE,"",IF('800DC'!O40="","ERR","")) &amp; IF(ISERROR(FIND($J$2,Lines!O40))=TRUE,"",IF('1000'!O40="","ERR",""))</f>
        <v/>
      </c>
      <c r="P40" s="108" t="str">
        <f>IF(ISERROR(FIND($B$2,Lines!P40))=TRUE,"",IF('750'!P40="","ERR","")) &amp; IF(ISERROR(FIND($C$2,Lines!P40))=TRUE,"",IF('500'!P40="","ERR","")) &amp; IF(ISERROR(FIND($D$2,Lines!P40))=TRUE,"",IF('330'!P40="","ERR","")) &amp; IF(ISERROR(FIND($E$2,Lines!P40))=TRUE,"",IF('220'!P40="","ERR",""))&amp; IF(ISERROR(FIND($F$2,Lines!P40))=TRUE,"",IF(AND('500DC'!P40="",'800DC'!P40=""),"ERR","")) &amp; IF(ISERROR(FIND($G$2,Lines!P40))=TRUE,"",IF('1000'!P40="","ERR","")) &amp; IF(ISERROR(FIND($H$2,Lines!P40))=TRUE,"",IF('500DC'!P40="","ERR","")) &amp; IF(ISERROR(FIND($I$2,Lines!P40))=TRUE,"",IF('800DC'!P40="","ERR","")) &amp; IF(ISERROR(FIND($J$2,Lines!P40))=TRUE,"",IF('1000'!P40="","ERR",""))</f>
        <v/>
      </c>
      <c r="Q40" s="108" t="str">
        <f>IF(ISERROR(FIND($B$2,Lines!Q40))=TRUE,"",IF('750'!Q40="","ERR","")) &amp; IF(ISERROR(FIND($C$2,Lines!Q40))=TRUE,"",IF('500'!Q40="","ERR","")) &amp; IF(ISERROR(FIND($D$2,Lines!Q40))=TRUE,"",IF('330'!Q40="","ERR","")) &amp; IF(ISERROR(FIND($E$2,Lines!Q40))=TRUE,"",IF('220'!Q40="","ERR",""))&amp; IF(ISERROR(FIND($F$2,Lines!Q40))=TRUE,"",IF(AND('500DC'!Q40="",'800DC'!Q40=""),"ERR","")) &amp; IF(ISERROR(FIND($G$2,Lines!Q40))=TRUE,"",IF('1000'!Q40="","ERR","")) &amp; IF(ISERROR(FIND($H$2,Lines!Q40))=TRUE,"",IF('500DC'!Q40="","ERR","")) &amp; IF(ISERROR(FIND($I$2,Lines!Q40))=TRUE,"",IF('800DC'!Q40="","ERR","")) &amp; IF(ISERROR(FIND($J$2,Lines!Q40))=TRUE,"",IF('1000'!Q40="","ERR",""))</f>
        <v/>
      </c>
      <c r="R40" s="108" t="str">
        <f>IF(ISERROR(FIND($B$2,Lines!R40))=TRUE,"",IF('750'!R40="","ERR","")) &amp; IF(ISERROR(FIND($C$2,Lines!R40))=TRUE,"",IF('500'!R40="","ERR","")) &amp; IF(ISERROR(FIND($D$2,Lines!R40))=TRUE,"",IF('330'!R40="","ERR","")) &amp; IF(ISERROR(FIND($E$2,Lines!R40))=TRUE,"",IF('220'!R40="","ERR",""))&amp; IF(ISERROR(FIND($F$2,Lines!R40))=TRUE,"",IF(AND('500DC'!R40="",'800DC'!R40=""),"ERR","")) &amp; IF(ISERROR(FIND($G$2,Lines!R40))=TRUE,"",IF('1000'!R40="","ERR","")) &amp; IF(ISERROR(FIND($H$2,Lines!R40))=TRUE,"",IF('500DC'!R40="","ERR","")) &amp; IF(ISERROR(FIND($I$2,Lines!R40))=TRUE,"",IF('800DC'!R40="","ERR","")) &amp; IF(ISERROR(FIND($J$2,Lines!R40))=TRUE,"",IF('1000'!R40="","ERR",""))</f>
        <v/>
      </c>
      <c r="S40" s="108" t="str">
        <f>IF(ISERROR(FIND($B$2,Lines!S40))=TRUE,"",IF('750'!S40="","ERR","")) &amp; IF(ISERROR(FIND($C$2,Lines!S40))=TRUE,"",IF('500'!S40="","ERR","")) &amp; IF(ISERROR(FIND($D$2,Lines!S40))=TRUE,"",IF('330'!S40="","ERR","")) &amp; IF(ISERROR(FIND($E$2,Lines!S40))=TRUE,"",IF('220'!S40="","ERR",""))&amp; IF(ISERROR(FIND($F$2,Lines!S40))=TRUE,"",IF(AND('500DC'!S40="",'800DC'!S40=""),"ERR","")) &amp; IF(ISERROR(FIND($G$2,Lines!S40))=TRUE,"",IF('1000'!S40="","ERR","")) &amp; IF(ISERROR(FIND($H$2,Lines!S40))=TRUE,"",IF('500DC'!S40="","ERR","")) &amp; IF(ISERROR(FIND($I$2,Lines!S40))=TRUE,"",IF('800DC'!S40="","ERR","")) &amp; IF(ISERROR(FIND($J$2,Lines!S40))=TRUE,"",IF('1000'!S40="","ERR",""))</f>
        <v/>
      </c>
      <c r="T40" s="108" t="str">
        <f>IF(ISERROR(FIND($B$2,Lines!T40))=TRUE,"",IF('750'!T40="","ERR","")) &amp; IF(ISERROR(FIND($C$2,Lines!T40))=TRUE,"",IF('500'!T40="","ERR","")) &amp; IF(ISERROR(FIND($D$2,Lines!T40))=TRUE,"",IF('330'!T40="","ERR","")) &amp; IF(ISERROR(FIND($E$2,Lines!T40))=TRUE,"",IF('220'!T40="","ERR",""))&amp; IF(ISERROR(FIND($F$2,Lines!T40))=TRUE,"",IF(AND('500DC'!T40="",'800DC'!T40=""),"ERR","")) &amp; IF(ISERROR(FIND($G$2,Lines!T40))=TRUE,"",IF('1000'!T40="","ERR","")) &amp; IF(ISERROR(FIND($H$2,Lines!T40))=TRUE,"",IF('500DC'!T40="","ERR","")) &amp; IF(ISERROR(FIND($I$2,Lines!T40))=TRUE,"",IF('800DC'!T40="","ERR","")) &amp; IF(ISERROR(FIND($J$2,Lines!T40))=TRUE,"",IF('1000'!T40="","ERR",""))</f>
        <v/>
      </c>
      <c r="U40" s="108" t="str">
        <f>IF(ISERROR(FIND($B$2,Lines!U40))=TRUE,"",IF('750'!U40="","ERR","")) &amp; IF(ISERROR(FIND($C$2,Lines!U40))=TRUE,"",IF('500'!U40="","ERR","")) &amp; IF(ISERROR(FIND($D$2,Lines!U40))=TRUE,"",IF('330'!U40="","ERR","")) &amp; IF(ISERROR(FIND($E$2,Lines!U40))=TRUE,"",IF('220'!U40="","ERR",""))&amp; IF(ISERROR(FIND($F$2,Lines!U40))=TRUE,"",IF(AND('500DC'!U40="",'800DC'!U40=""),"ERR","")) &amp; IF(ISERROR(FIND($G$2,Lines!U40))=TRUE,"",IF('1000'!U40="","ERR","")) &amp; IF(ISERROR(FIND($H$2,Lines!U40))=TRUE,"",IF('500DC'!U40="","ERR","")) &amp; IF(ISERROR(FIND($I$2,Lines!U40))=TRUE,"",IF('800DC'!U40="","ERR","")) &amp; IF(ISERROR(FIND($J$2,Lines!U40))=TRUE,"",IF('1000'!U40="","ERR",""))</f>
        <v/>
      </c>
      <c r="V40" s="108" t="str">
        <f>IF(ISERROR(FIND($B$2,Lines!V40))=TRUE,"",IF('750'!V40="","ERR","")) &amp; IF(ISERROR(FIND($C$2,Lines!V40))=TRUE,"",IF('500'!V40="","ERR","")) &amp; IF(ISERROR(FIND($D$2,Lines!V40))=TRUE,"",IF('330'!V40="","ERR","")) &amp; IF(ISERROR(FIND($E$2,Lines!V40))=TRUE,"",IF('220'!V40="","ERR",""))&amp; IF(ISERROR(FIND($F$2,Lines!V40))=TRUE,"",IF(AND('500DC'!V40="",'800DC'!V40=""),"ERR","")) &amp; IF(ISERROR(FIND($G$2,Lines!V40))=TRUE,"",IF('1000'!V40="","ERR","")) &amp; IF(ISERROR(FIND($H$2,Lines!V40))=TRUE,"",IF('500DC'!V40="","ERR","")) &amp; IF(ISERROR(FIND($I$2,Lines!V40))=TRUE,"",IF('800DC'!V40="","ERR","")) &amp; IF(ISERROR(FIND($J$2,Lines!V40))=TRUE,"",IF('1000'!V40="","ERR",""))</f>
        <v/>
      </c>
      <c r="W40" s="109" t="str">
        <f>IF(ISERROR(FIND($B$2,Lines!W40))=TRUE,"",IF('750'!W40="","ERR","")) &amp; IF(ISERROR(FIND($C$2,Lines!W40))=TRUE,"",IF('500'!W40="","ERR","")) &amp; IF(ISERROR(FIND($D$2,Lines!W40))=TRUE,"",IF('330'!W40="","ERR","")) &amp; IF(ISERROR(FIND($E$2,Lines!W40))=TRUE,"",IF('220'!W40="","ERR",""))&amp; IF(ISERROR(FIND($F$2,Lines!W40))=TRUE,"",IF(AND('500DC'!W40="",'800DC'!W40=""),"ERR","")) &amp; IF(ISERROR(FIND($G$2,Lines!W40))=TRUE,"",IF('1000'!W40="","ERR","")) &amp; IF(ISERROR(FIND($H$2,Lines!W40))=TRUE,"",IF('500DC'!W40="","ERR","")) &amp; IF(ISERROR(FIND($I$2,Lines!W40))=TRUE,"",IF('800DC'!W40="","ERR","")) &amp; IF(ISERROR(FIND($J$2,Lines!W40))=TRUE,"",IF('1000'!W40="","ERR",""))</f>
        <v/>
      </c>
      <c r="X40" s="108" t="str">
        <f>IF(ISERROR(FIND($B$2,Lines!X40))=TRUE,"",IF('750'!X40="","ERR","")) &amp; IF(ISERROR(FIND($C$2,Lines!X40))=TRUE,"",IF('500'!X40="","ERR","")) &amp; IF(ISERROR(FIND($D$2,Lines!X40))=TRUE,"",IF('330'!X40="","ERR","")) &amp; IF(ISERROR(FIND($E$2,Lines!X40))=TRUE,"",IF('220'!X40="","ERR",""))&amp; IF(ISERROR(FIND($F$2,Lines!X40))=TRUE,"",IF(AND('500DC'!X40="",'800DC'!X40=""),"ERR","")) &amp; IF(ISERROR(FIND($G$2,Lines!X40))=TRUE,"",IF('1000'!X40="","ERR","")) &amp; IF(ISERROR(FIND($H$2,Lines!X40))=TRUE,"",IF('500DC'!X40="","ERR","")) &amp; IF(ISERROR(FIND($I$2,Lines!X40))=TRUE,"",IF('800DC'!X40="","ERR","")) &amp; IF(ISERROR(FIND($J$2,Lines!X40))=TRUE,"",IF('1000'!X40="","ERR",""))</f>
        <v/>
      </c>
      <c r="Y40" s="108" t="str">
        <f>IF(ISERROR(FIND($B$2,Lines!Y40))=TRUE,"",IF('750'!Y40="","ERR","")) &amp; IF(ISERROR(FIND($C$2,Lines!Y40))=TRUE,"",IF('500'!Y40="","ERR","")) &amp; IF(ISERROR(FIND($D$2,Lines!Y40))=TRUE,"",IF('330'!Y40="","ERR","")) &amp; IF(ISERROR(FIND($E$2,Lines!Y40))=TRUE,"",IF('220'!Y40="","ERR",""))&amp; IF(ISERROR(FIND($F$2,Lines!Y40))=TRUE,"",IF(AND('500DC'!Y40="",'800DC'!Y40=""),"ERR","")) &amp; IF(ISERROR(FIND($G$2,Lines!Y40))=TRUE,"",IF('1000'!Y40="","ERR","")) &amp; IF(ISERROR(FIND($H$2,Lines!Y40))=TRUE,"",IF('500DC'!Y40="","ERR","")) &amp; IF(ISERROR(FIND($I$2,Lines!Y40))=TRUE,"",IF('800DC'!Y40="","ERR","")) &amp; IF(ISERROR(FIND($J$2,Lines!Y40))=TRUE,"",IF('1000'!Y40="","ERR",""))</f>
        <v/>
      </c>
      <c r="Z40" s="108" t="str">
        <f>IF(ISERROR(FIND($B$2,Lines!Z40))=TRUE,"",IF('750'!Z40="","ERR","")) &amp; IF(ISERROR(FIND($C$2,Lines!Z40))=TRUE,"",IF('500'!Z40="","ERR","")) &amp; IF(ISERROR(FIND($D$2,Lines!Z40))=TRUE,"",IF('330'!Z40="","ERR","")) &amp; IF(ISERROR(FIND($E$2,Lines!Z40))=TRUE,"",IF('220'!Z40="","ERR",""))&amp; IF(ISERROR(FIND($F$2,Lines!Z40))=TRUE,"",IF(AND('500DC'!Z40="",'800DC'!Z40=""),"ERR","")) &amp; IF(ISERROR(FIND($G$2,Lines!Z40))=TRUE,"",IF('1000'!Z40="","ERR","")) &amp; IF(ISERROR(FIND($H$2,Lines!Z40))=TRUE,"",IF('500DC'!Z40="","ERR","")) &amp; IF(ISERROR(FIND($I$2,Lines!Z40))=TRUE,"",IF('800DC'!Z40="","ERR","")) &amp; IF(ISERROR(FIND($J$2,Lines!Z40))=TRUE,"",IF('1000'!Z40="","ERR",""))</f>
        <v/>
      </c>
      <c r="AA40" s="108" t="str">
        <f>IF(ISERROR(FIND($B$2,Lines!AA40))=TRUE,"",IF('750'!AA40="","ERR","")) &amp; IF(ISERROR(FIND($C$2,Lines!AA40))=TRUE,"",IF('500'!AA40="","ERR","")) &amp; IF(ISERROR(FIND($D$2,Lines!AA40))=TRUE,"",IF('330'!AA40="","ERR","")) &amp; IF(ISERROR(FIND($E$2,Lines!AA40))=TRUE,"",IF('220'!AA40="","ERR",""))&amp; IF(ISERROR(FIND($F$2,Lines!AA40))=TRUE,"",IF(AND('500DC'!AA40="",'800DC'!AA40=""),"ERR","")) &amp; IF(ISERROR(FIND($G$2,Lines!AA40))=TRUE,"",IF('1000'!AA40="","ERR","")) &amp; IF(ISERROR(FIND($H$2,Lines!AA40))=TRUE,"",IF('500DC'!AA40="","ERR","")) &amp; IF(ISERROR(FIND($I$2,Lines!AA40))=TRUE,"",IF('800DC'!AA40="","ERR","")) &amp; IF(ISERROR(FIND($J$2,Lines!AA40))=TRUE,"",IF('1000'!AA40="","ERR",""))</f>
        <v/>
      </c>
      <c r="AB40" s="108" t="str">
        <f>IF(ISERROR(FIND($B$2,Lines!AB40))=TRUE,"",IF('750'!AB40="","ERR","")) &amp; IF(ISERROR(FIND($C$2,Lines!AB40))=TRUE,"",IF('500'!AB40="","ERR","")) &amp; IF(ISERROR(FIND($D$2,Lines!AB40))=TRUE,"",IF('330'!AB40="","ERR","")) &amp; IF(ISERROR(FIND($E$2,Lines!AB40))=TRUE,"",IF('220'!AB40="","ERR",""))&amp; IF(ISERROR(FIND($F$2,Lines!AB40))=TRUE,"",IF(AND('500DC'!AB40="",'800DC'!AB40=""),"ERR","")) &amp; IF(ISERROR(FIND($G$2,Lines!AB40))=TRUE,"",IF('1000'!AB40="","ERR","")) &amp; IF(ISERROR(FIND($H$2,Lines!AB40))=TRUE,"",IF('500DC'!AB40="","ERR","")) &amp; IF(ISERROR(FIND($I$2,Lines!AB40))=TRUE,"",IF('800DC'!AB40="","ERR","")) &amp; IF(ISERROR(FIND($J$2,Lines!AB40))=TRUE,"",IF('1000'!AB40="","ERR",""))</f>
        <v/>
      </c>
      <c r="AC40" s="108" t="str">
        <f>IF(ISERROR(FIND($B$2,Lines!AC40))=TRUE,"",IF('750'!AC40="","ERR","")) &amp; IF(ISERROR(FIND($C$2,Lines!AC40))=TRUE,"",IF('500'!AC40="","ERR","")) &amp; IF(ISERROR(FIND($D$2,Lines!AC40))=TRUE,"",IF('330'!AC40="","ERR","")) &amp; IF(ISERROR(FIND($E$2,Lines!AC40))=TRUE,"",IF('220'!AC40="","ERR",""))&amp; IF(ISERROR(FIND($F$2,Lines!AC40))=TRUE,"",IF(AND('500DC'!AC40="",'800DC'!AC40=""),"ERR","")) &amp; IF(ISERROR(FIND($G$2,Lines!AC40))=TRUE,"",IF('1000'!AC40="","ERR","")) &amp; IF(ISERROR(FIND($H$2,Lines!AC40))=TRUE,"",IF('500DC'!AC40="","ERR","")) &amp; IF(ISERROR(FIND($I$2,Lines!AC40))=TRUE,"",IF('800DC'!AC40="","ERR","")) &amp; IF(ISERROR(FIND($J$2,Lines!AC40))=TRUE,"",IF('1000'!AC40="","ERR",""))</f>
        <v/>
      </c>
      <c r="AD40" s="108" t="str">
        <f>IF(ISERROR(FIND($B$2,Lines!AD40))=TRUE,"",IF('750'!AD40="","ERR","")) &amp; IF(ISERROR(FIND($C$2,Lines!AD40))=TRUE,"",IF('500'!AD40="","ERR","")) &amp; IF(ISERROR(FIND($D$2,Lines!AD40))=TRUE,"",IF('330'!AD40="","ERR","")) &amp; IF(ISERROR(FIND($E$2,Lines!AD40))=TRUE,"",IF('220'!AD40="","ERR",""))&amp; IF(ISERROR(FIND($F$2,Lines!AD40))=TRUE,"",IF(AND('500DC'!AD40="",'800DC'!AD40=""),"ERR","")) &amp; IF(ISERROR(FIND($G$2,Lines!AD40))=TRUE,"",IF('1000'!AD40="","ERR","")) &amp; IF(ISERROR(FIND($H$2,Lines!AD40))=TRUE,"",IF('500DC'!AD40="","ERR","")) &amp; IF(ISERROR(FIND($I$2,Lines!AD40))=TRUE,"",IF('800DC'!AD40="","ERR","")) &amp; IF(ISERROR(FIND($J$2,Lines!AD40))=TRUE,"",IF('1000'!AD40="","ERR",""))</f>
        <v/>
      </c>
      <c r="AE40" s="108" t="str">
        <f>IF(ISERROR(FIND($B$2,Lines!AE40))=TRUE,"",IF('750'!AE40="","ERR","")) &amp; IF(ISERROR(FIND($C$2,Lines!AE40))=TRUE,"",IF('500'!AE40="","ERR","")) &amp; IF(ISERROR(FIND($D$2,Lines!AE40))=TRUE,"",IF('330'!AE40="","ERR","")) &amp; IF(ISERROR(FIND($E$2,Lines!AE40))=TRUE,"",IF('220'!AE40="","ERR",""))&amp; IF(ISERROR(FIND($F$2,Lines!AE40))=TRUE,"",IF(AND('500DC'!AE40="",'800DC'!AE40=""),"ERR","")) &amp; IF(ISERROR(FIND($G$2,Lines!AE40))=TRUE,"",IF('1000'!AE40="","ERR","")) &amp; IF(ISERROR(FIND($H$2,Lines!AE40))=TRUE,"",IF('500DC'!AE40="","ERR","")) &amp; IF(ISERROR(FIND($I$2,Lines!AE40))=TRUE,"",IF('800DC'!AE40="","ERR","")) &amp; IF(ISERROR(FIND($J$2,Lines!AE40))=TRUE,"",IF('1000'!AE40="","ERR",""))</f>
        <v/>
      </c>
      <c r="AF40" s="108" t="str">
        <f>IF(ISERROR(FIND($B$2,Lines!AF40))=TRUE,"",IF('750'!AF40="","ERR","")) &amp; IF(ISERROR(FIND($C$2,Lines!AF40))=TRUE,"",IF('500'!AF40="","ERR","")) &amp; IF(ISERROR(FIND($D$2,Lines!AF40))=TRUE,"",IF('330'!AF40="","ERR","")) &amp; IF(ISERROR(FIND($E$2,Lines!AF40))=TRUE,"",IF('220'!AF40="","ERR",""))&amp; IF(ISERROR(FIND($F$2,Lines!AF40))=TRUE,"",IF(AND('500DC'!AF40="",'800DC'!AF40=""),"ERR","")) &amp; IF(ISERROR(FIND($G$2,Lines!AF40))=TRUE,"",IF('1000'!AF40="","ERR","")) &amp; IF(ISERROR(FIND($H$2,Lines!AF40))=TRUE,"",IF('500DC'!AF40="","ERR","")) &amp; IF(ISERROR(FIND($I$2,Lines!AF40))=TRUE,"",IF('800DC'!AF40="","ERR","")) &amp; IF(ISERROR(FIND($J$2,Lines!AF40))=TRUE,"",IF('1000'!AF40="","ERR",""))</f>
        <v/>
      </c>
      <c r="AG40" s="108" t="str">
        <f>IF(ISERROR(FIND($B$2,Lines!AG40))=TRUE,"",IF('750'!AG40="","ERR","")) &amp; IF(ISERROR(FIND($C$2,Lines!AG40))=TRUE,"",IF('500'!AG40="","ERR","")) &amp; IF(ISERROR(FIND($D$2,Lines!AG40))=TRUE,"",IF('330'!AG40="","ERR","")) &amp; IF(ISERROR(FIND($E$2,Lines!AG40))=TRUE,"",IF('220'!AG40="","ERR",""))&amp; IF(ISERROR(FIND($F$2,Lines!AG40))=TRUE,"",IF(AND('500DC'!AG40="",'800DC'!AG40=""),"ERR","")) &amp; IF(ISERROR(FIND($G$2,Lines!AG40))=TRUE,"",IF('1000'!AG40="","ERR","")) &amp; IF(ISERROR(FIND($H$2,Lines!AG40))=TRUE,"",IF('500DC'!AG40="","ERR","")) &amp; IF(ISERROR(FIND($I$2,Lines!AG40))=TRUE,"",IF('800DC'!AG40="","ERR","")) &amp; IF(ISERROR(FIND($J$2,Lines!AG40))=TRUE,"",IF('1000'!AG40="","ERR",""))</f>
        <v/>
      </c>
      <c r="AH40" s="108" t="str">
        <f>IF(ISERROR(FIND($B$2,Lines!AH40))=TRUE,"",IF('750'!AH40="","ERR","")) &amp; IF(ISERROR(FIND($C$2,Lines!AH40))=TRUE,"",IF('500'!AH40="","ERR","")) &amp; IF(ISERROR(FIND($D$2,Lines!AH40))=TRUE,"",IF('330'!AH40="","ERR","")) &amp; IF(ISERROR(FIND($E$2,Lines!AH40))=TRUE,"",IF('220'!AH40="","ERR",""))&amp; IF(ISERROR(FIND($F$2,Lines!AH40))=TRUE,"",IF(AND('500DC'!AH40="",'800DC'!AH40=""),"ERR","")) &amp; IF(ISERROR(FIND($G$2,Lines!AH40))=TRUE,"",IF('1000'!AH40="","ERR","")) &amp; IF(ISERROR(FIND($H$2,Lines!AH40))=TRUE,"",IF('500DC'!AH40="","ERR","")) &amp; IF(ISERROR(FIND($I$2,Lines!AH40))=TRUE,"",IF('800DC'!AH40="","ERR","")) &amp; IF(ISERROR(FIND($J$2,Lines!AH40))=TRUE,"",IF('1000'!AH40="","ERR",""))</f>
        <v/>
      </c>
      <c r="AI40" s="108" t="str">
        <f>IF(ISERROR(FIND($B$2,Lines!AI40))=TRUE,"",IF('750'!AI40="","ERR","")) &amp; IF(ISERROR(FIND($C$2,Lines!AI40))=TRUE,"",IF('500'!AI40="","ERR","")) &amp; IF(ISERROR(FIND($D$2,Lines!AI40))=TRUE,"",IF('330'!AI40="","ERR","")) &amp; IF(ISERROR(FIND($E$2,Lines!AI40))=TRUE,"",IF('220'!AI40="","ERR",""))&amp; IF(ISERROR(FIND($F$2,Lines!AI40))=TRUE,"",IF(AND('500DC'!AI40="",'800DC'!AI40=""),"ERR","")) &amp; IF(ISERROR(FIND($G$2,Lines!AI40))=TRUE,"",IF('1000'!AI40="","ERR","")) &amp; IF(ISERROR(FIND($H$2,Lines!AI40))=TRUE,"",IF('500DC'!AI40="","ERR","")) &amp; IF(ISERROR(FIND($I$2,Lines!AI40))=TRUE,"",IF('800DC'!AI40="","ERR","")) &amp; IF(ISERROR(FIND($J$2,Lines!AI40))=TRUE,"",IF('1000'!AI40="","ERR",""))</f>
        <v/>
      </c>
      <c r="AJ40" s="108" t="str">
        <f>IF(ISERROR(FIND($B$2,Lines!AJ40))=TRUE,"",IF('750'!AJ40="","ERR","")) &amp; IF(ISERROR(FIND($C$2,Lines!AJ40))=TRUE,"",IF('500'!AJ40="","ERR","")) &amp; IF(ISERROR(FIND($D$2,Lines!AJ40))=TRUE,"",IF('330'!AJ40="","ERR","")) &amp; IF(ISERROR(FIND($E$2,Lines!AJ40))=TRUE,"",IF('220'!AJ40="","ERR",""))&amp; IF(ISERROR(FIND($F$2,Lines!AJ40))=TRUE,"",IF(AND('500DC'!AJ40="",'800DC'!AJ40=""),"ERR","")) &amp; IF(ISERROR(FIND($G$2,Lines!AJ40))=TRUE,"",IF('1000'!AJ40="","ERR","")) &amp; IF(ISERROR(FIND($H$2,Lines!AJ40))=TRUE,"",IF('500DC'!AJ40="","ERR","")) &amp; IF(ISERROR(FIND($I$2,Lines!AJ40))=TRUE,"",IF('800DC'!AJ40="","ERR","")) &amp; IF(ISERROR(FIND($J$2,Lines!AJ40))=TRUE,"",IF('1000'!AJ40="","ERR",""))</f>
        <v/>
      </c>
      <c r="AK40" s="137" t="str">
        <f>IF(ISERROR(FIND($B$2,Lines!AK40))=TRUE,"",IF('750'!AK40="","ERR","")) &amp; IF(ISERROR(FIND($C$2,Lines!AK40))=TRUE,"",IF('500'!AK40="","ERR","")) &amp; IF(ISERROR(FIND($D$2,Lines!AK40))=TRUE,"",IF('330'!AK40="","ERR","")) &amp; IF(ISERROR(FIND($E$2,Lines!AK40))=TRUE,"",IF('220'!AK40="","ERR",""))&amp; IF(ISERROR(FIND($F$2,Lines!AK40))=TRUE,"",IF(AND('500DC'!AK40="",'800DC'!AK40=""),"ERR","")) &amp; IF(ISERROR(FIND($G$2,Lines!AK40))=TRUE,"",IF('1000'!AK40="","ERR","")) &amp; IF(ISERROR(FIND($H$2,Lines!AK40))=TRUE,"",IF('500DC'!AK40="","ERR","")) &amp; IF(ISERROR(FIND($I$2,Lines!AK40))=TRUE,"",IF('800DC'!AK40="","ERR","")) &amp; IF(ISERROR(FIND($J$2,Lines!AK40))=TRUE,"",IF('1000'!AK40="","ERR",""))</f>
        <v/>
      </c>
      <c r="AL40" s="116" t="str">
        <f>IF(ISERROR(FIND($B$2,Lines!AL40))=TRUE,"",IF('750'!AL40="","ERR","")) &amp; IF(ISERROR(FIND($C$2,Lines!AL40))=TRUE,"",IF('500'!AL40="","ERR","")) &amp; IF(ISERROR(FIND($D$2,Lines!AL40))=TRUE,"",IF('330'!AL40="","ERR","")) &amp; IF(ISERROR(FIND($E$2,Lines!AL40))=TRUE,"",IF('220'!AL40="","ERR",""))&amp; IF(ISERROR(FIND($F$2,Lines!AL40))=TRUE,"",IF(AND('500DC'!AL40="",'800DC'!AL40=""),"ERR","")) &amp; IF(ISERROR(FIND($G$2,Lines!AL40))=TRUE,"",IF('1000'!AL40="","ERR","")) &amp; IF(ISERROR(FIND($H$2,Lines!AL40))=TRUE,"",IF('500DC'!AL40="","ERR","")) &amp; IF(ISERROR(FIND($I$2,Lines!AL40))=TRUE,"",IF('800DC'!AL40="","ERR","")) &amp; IF(ISERROR(FIND($J$2,Lines!AL40))=TRUE,"",IF('1000'!AL40="","ERR",""))</f>
        <v/>
      </c>
      <c r="AM40" s="138" t="str">
        <f>IF(ISERROR(FIND($B$2,Lines!AM40))=TRUE,"",IF('750'!AM40="","ERR","")) &amp; IF(ISERROR(FIND($C$2,Lines!AM40))=TRUE,"",IF('500'!AM40="","ERR","")) &amp; IF(ISERROR(FIND($D$2,Lines!AM40))=TRUE,"",IF('330'!AM40="","ERR","")) &amp; IF(ISERROR(FIND($E$2,Lines!AM40))=TRUE,"",IF('220'!AM40="","ERR",""))&amp; IF(ISERROR(FIND($F$2,Lines!AM40))=TRUE,"",IF(AND('500DC'!AM40="",'800DC'!AM40=""),"ERR","")) &amp; IF(ISERROR(FIND($G$2,Lines!AM40))=TRUE,"",IF('1000'!AM40="","ERR","")) &amp; IF(ISERROR(FIND($H$2,Lines!AM40))=TRUE,"",IF('500DC'!AM40="","ERR","")) &amp; IF(ISERROR(FIND($I$2,Lines!AM40))=TRUE,"",IF('800DC'!AM40="","ERR","")) &amp; IF(ISERROR(FIND($J$2,Lines!AM40))=TRUE,"",IF('1000'!AM40="","ERR",""))</f>
        <v/>
      </c>
      <c r="AN40" s="138" t="str">
        <f>IF(ISERROR(FIND($B$2,Lines!AN40))=TRUE,"",IF('750'!AN40="","ERR","")) &amp; IF(ISERROR(FIND($C$2,Lines!AN40))=TRUE,"",IF('500'!AN40="","ERR","")) &amp; IF(ISERROR(FIND($D$2,Lines!AN40))=TRUE,"",IF('330'!AN40="","ERR","")) &amp; IF(ISERROR(FIND($E$2,Lines!AN40))=TRUE,"",IF('220'!AN40="","ERR",""))&amp; IF(ISERROR(FIND($F$2,Lines!AN40))=TRUE,"",IF(AND('500DC'!AN40="",'800DC'!AN40=""),"ERR","")) &amp; IF(ISERROR(FIND($G$2,Lines!AN40))=TRUE,"",IF('1000'!AN40="","ERR","")) &amp; IF(ISERROR(FIND($H$2,Lines!AN40))=TRUE,"",IF('500DC'!AN40="","ERR","")) &amp; IF(ISERROR(FIND($I$2,Lines!AN40))=TRUE,"",IF('800DC'!AN40="","ERR","")) &amp; IF(ISERROR(FIND($J$2,Lines!AN40))=TRUE,"",IF('1000'!AN40="","ERR",""))</f>
        <v/>
      </c>
      <c r="AO40" s="139" t="str">
        <f>IF(ISERROR(FIND($B$2,Lines!AO40))=TRUE,"",IF('750'!AO40="","ERR","")) &amp; IF(ISERROR(FIND($C$2,Lines!AO40))=TRUE,"",IF('500'!AO40="","ERR","")) &amp; IF(ISERROR(FIND($D$2,Lines!AO40))=TRUE,"",IF('330'!AO40="","ERR","")) &amp; IF(ISERROR(FIND($E$2,Lines!AO40))=TRUE,"",IF('220'!AO40="","ERR",""))&amp; IF(ISERROR(FIND($F$2,Lines!AO40))=TRUE,"",IF(AND('500DC'!AO40="",'800DC'!AO40=""),"ERR","")) &amp; IF(ISERROR(FIND($G$2,Lines!AO40))=TRUE,"",IF('1000'!AO40="","ERR","")) &amp; IF(ISERROR(FIND($H$2,Lines!AO40))=TRUE,"",IF('500DC'!AO40="","ERR","")) &amp; IF(ISERROR(FIND($I$2,Lines!AO40))=TRUE,"",IF('800DC'!AO40="","ERR","")) &amp; IF(ISERROR(FIND($J$2,Lines!AO40))=TRUE,"",IF('1000'!AO40="","ERR",""))</f>
        <v/>
      </c>
      <c r="AP40" s="108" t="str">
        <f>IF(ISERROR(FIND($B$2,Lines!AP40))=TRUE,"",IF('750'!AP40="","ERR","")) &amp; IF(ISERROR(FIND($C$2,Lines!AP40))=TRUE,"",IF('500'!AP40="","ERR","")) &amp; IF(ISERROR(FIND($D$2,Lines!AP40))=TRUE,"",IF('330'!AP40="","ERR","")) &amp; IF(ISERROR(FIND($E$2,Lines!AP40))=TRUE,"",IF('220'!AP40="","ERR",""))&amp; IF(ISERROR(FIND($F$2,Lines!AP40))=TRUE,"",IF(AND('500DC'!AP40="",'800DC'!AP40=""),"ERR","")) &amp; IF(ISERROR(FIND($G$2,Lines!AP40))=TRUE,"",IF('1000'!AP40="","ERR","")) &amp; IF(ISERROR(FIND($H$2,Lines!AP40))=TRUE,"",IF('500DC'!AP40="","ERR","")) &amp; IF(ISERROR(FIND($I$2,Lines!AP40))=TRUE,"",IF('800DC'!AP40="","ERR","")) &amp; IF(ISERROR(FIND($J$2,Lines!AP40))=TRUE,"",IF('1000'!AP40="","ERR",""))</f>
        <v/>
      </c>
      <c r="AQ40" s="108" t="str">
        <f>IF(ISERROR(FIND($B$2,Lines!AQ40))=TRUE,"",IF('750'!AQ40="","ERR","")) &amp; IF(ISERROR(FIND($C$2,Lines!AQ40))=TRUE,"",IF('500'!AQ40="","ERR","")) &amp; IF(ISERROR(FIND($D$2,Lines!AQ40))=TRUE,"",IF('330'!AQ40="","ERR","")) &amp; IF(ISERROR(FIND($E$2,Lines!AQ40))=TRUE,"",IF('220'!AQ40="","ERR",""))&amp; IF(ISERROR(FIND($F$2,Lines!AQ40))=TRUE,"",IF(AND('500DC'!AQ40="",'800DC'!AQ40=""),"ERR","")) &amp; IF(ISERROR(FIND($G$2,Lines!AQ40))=TRUE,"",IF('1000'!AQ40="","ERR","")) &amp; IF(ISERROR(FIND($H$2,Lines!AQ40))=TRUE,"",IF('500DC'!AQ40="","ERR","")) &amp; IF(ISERROR(FIND($I$2,Lines!AQ40))=TRUE,"",IF('800DC'!AQ40="","ERR","")) &amp; IF(ISERROR(FIND($J$2,Lines!AQ40))=TRUE,"",IF('1000'!AQ40="","ERR",""))</f>
        <v/>
      </c>
      <c r="AR40" s="108" t="str">
        <f>IF(ISERROR(FIND($B$2,Lines!AR40))=TRUE,"",IF('750'!AR40="","ERR","")) &amp; IF(ISERROR(FIND($C$2,Lines!AR40))=TRUE,"",IF('500'!AR40="","ERR","")) &amp; IF(ISERROR(FIND($D$2,Lines!AR40))=TRUE,"",IF('330'!AR40="","ERR","")) &amp; IF(ISERROR(FIND($E$2,Lines!AR40))=TRUE,"",IF('220'!AR40="","ERR",""))&amp; IF(ISERROR(FIND($F$2,Lines!AR40))=TRUE,"",IF(AND('500DC'!AR40="",'800DC'!AR40=""),"ERR","")) &amp; IF(ISERROR(FIND($G$2,Lines!AR40))=TRUE,"",IF('1000'!AR40="","ERR","")) &amp; IF(ISERROR(FIND($H$2,Lines!AR40))=TRUE,"",IF('500DC'!AR40="","ERR","")) &amp; IF(ISERROR(FIND($I$2,Lines!AR40))=TRUE,"",IF('800DC'!AR40="","ERR","")) &amp; IF(ISERROR(FIND($J$2,Lines!AR40))=TRUE,"",IF('1000'!AR40="","ERR",""))</f>
        <v/>
      </c>
      <c r="AS40" s="108" t="str">
        <f>IF(ISERROR(FIND($B$2,Lines!AS40))=TRUE,"",IF('750'!AS40="","ERR","")) &amp; IF(ISERROR(FIND($C$2,Lines!AS40))=TRUE,"",IF('500'!AS40="","ERR","")) &amp; IF(ISERROR(FIND($D$2,Lines!AS40))=TRUE,"",IF('330'!AS40="","ERR","")) &amp; IF(ISERROR(FIND($E$2,Lines!AS40))=TRUE,"",IF('220'!AS40="","ERR",""))&amp; IF(ISERROR(FIND($F$2,Lines!AS40))=TRUE,"",IF(AND('500DC'!AS40="",'800DC'!AS40=""),"ERR","")) &amp; IF(ISERROR(FIND($G$2,Lines!AS40))=TRUE,"",IF('1000'!AS40="","ERR","")) &amp; IF(ISERROR(FIND($H$2,Lines!AS40))=TRUE,"",IF('500DC'!AS40="","ERR","")) &amp; IF(ISERROR(FIND($I$2,Lines!AS40))=TRUE,"",IF('800DC'!AS40="","ERR","")) &amp; IF(ISERROR(FIND($J$2,Lines!AS40))=TRUE,"",IF('1000'!AS40="","ERR",""))</f>
        <v/>
      </c>
      <c r="AT40" s="108" t="str">
        <f>IF(ISERROR(FIND($B$2,Lines!AT40))=TRUE,"",IF('750'!AT40="","ERR","")) &amp; IF(ISERROR(FIND($C$2,Lines!AT40))=TRUE,"",IF('500'!AT40="","ERR","")) &amp; IF(ISERROR(FIND($D$2,Lines!AT40))=TRUE,"",IF('330'!AT40="","ERR","")) &amp; IF(ISERROR(FIND($E$2,Lines!AT40))=TRUE,"",IF('220'!AT40="","ERR",""))&amp; IF(ISERROR(FIND($F$2,Lines!AT40))=TRUE,"",IF(AND('500DC'!AT40="",'800DC'!AT40=""),"ERR","")) &amp; IF(ISERROR(FIND($G$2,Lines!AT40))=TRUE,"",IF('1000'!AT40="","ERR","")) &amp; IF(ISERROR(FIND($H$2,Lines!AT40))=TRUE,"",IF('500DC'!AT40="","ERR","")) &amp; IF(ISERROR(FIND($I$2,Lines!AT40))=TRUE,"",IF('800DC'!AT40="","ERR","")) &amp; IF(ISERROR(FIND($J$2,Lines!AT40))=TRUE,"",IF('1000'!AT40="","ERR",""))</f>
        <v/>
      </c>
    </row>
    <row r="41" spans="1:46" ht="20.25" customHeight="1">
      <c r="A41" s="2" t="s">
        <v>89</v>
      </c>
      <c r="B41" s="108" t="str">
        <f>IF(ISERROR(FIND($B$2,Lines!B41))=TRUE,"",IF('750'!B41="","ERR","")) &amp; IF(ISERROR(FIND($C$2,Lines!B41))=TRUE,"",IF('500'!B41="","ERR","")) &amp; IF(ISERROR(FIND($D$2,Lines!B41))=TRUE,"",IF('330'!B41="","ERR","")) &amp; IF(ISERROR(FIND($E$2,Lines!B41))=TRUE,"",IF('220'!B41="","ERR",""))&amp; IF(ISERROR(FIND($F$2,Lines!B41))=TRUE,"",IF(AND('500DC'!B41="",'800DC'!B41=""),"ERR","")) &amp; IF(ISERROR(FIND($G$2,Lines!B41))=TRUE,"",IF('1000'!B41="","ERR","")) &amp; IF(ISERROR(FIND($H$2,Lines!B41))=TRUE,"",IF('500DC'!B41="","ERR","")) &amp; IF(ISERROR(FIND($I$2,Lines!B41))=TRUE,"",IF('800DC'!B41="","ERR","")) &amp; IF(ISERROR(FIND($J$2,Lines!B41))=TRUE,"",IF('1000'!B41="","ERR",""))</f>
        <v/>
      </c>
      <c r="C41" s="108" t="str">
        <f>IF(ISERROR(FIND($B$2,Lines!C41))=TRUE,"",IF('750'!C41="","ERR","")) &amp; IF(ISERROR(FIND($C$2,Lines!C41))=TRUE,"",IF('500'!C41="","ERR","")) &amp; IF(ISERROR(FIND($D$2,Lines!C41))=TRUE,"",IF('330'!C41="","ERR","")) &amp; IF(ISERROR(FIND($E$2,Lines!C41))=TRUE,"",IF('220'!C41="","ERR",""))&amp; IF(ISERROR(FIND($F$2,Lines!C41))=TRUE,"",IF(AND('500DC'!C41="",'800DC'!C41=""),"ERR","")) &amp; IF(ISERROR(FIND($G$2,Lines!C41))=TRUE,"",IF('1000'!C41="","ERR","")) &amp; IF(ISERROR(FIND($H$2,Lines!C41))=TRUE,"",IF('500DC'!C41="","ERR","")) &amp; IF(ISERROR(FIND($I$2,Lines!C41))=TRUE,"",IF('800DC'!C41="","ERR","")) &amp; IF(ISERROR(FIND($J$2,Lines!C41))=TRUE,"",IF('1000'!C41="","ERR",""))</f>
        <v/>
      </c>
      <c r="D41" s="108" t="str">
        <f>IF(ISERROR(FIND($B$2,Lines!D41))=TRUE,"",IF('750'!D41="","ERR","")) &amp; IF(ISERROR(FIND($C$2,Lines!D41))=TRUE,"",IF('500'!D41="","ERR","")) &amp; IF(ISERROR(FIND($D$2,Lines!D41))=TRUE,"",IF('330'!D41="","ERR","")) &amp; IF(ISERROR(FIND($E$2,Lines!D41))=TRUE,"",IF('220'!D41="","ERR",""))&amp; IF(ISERROR(FIND($F$2,Lines!D41))=TRUE,"",IF(AND('500DC'!D41="",'800DC'!D41=""),"ERR","")) &amp; IF(ISERROR(FIND($G$2,Lines!D41))=TRUE,"",IF('1000'!D41="","ERR","")) &amp; IF(ISERROR(FIND($H$2,Lines!D41))=TRUE,"",IF('500DC'!D41="","ERR","")) &amp; IF(ISERROR(FIND($I$2,Lines!D41))=TRUE,"",IF('800DC'!D41="","ERR","")) &amp; IF(ISERROR(FIND($J$2,Lines!D41))=TRUE,"",IF('1000'!D41="","ERR",""))</f>
        <v/>
      </c>
      <c r="E41" s="108" t="str">
        <f>IF(ISERROR(FIND($B$2,Lines!E41))=TRUE,"",IF('750'!E41="","ERR","")) &amp; IF(ISERROR(FIND($C$2,Lines!E41))=TRUE,"",IF('500'!E41="","ERR","")) &amp; IF(ISERROR(FIND($D$2,Lines!E41))=TRUE,"",IF('330'!E41="","ERR","")) &amp; IF(ISERROR(FIND($E$2,Lines!E41))=TRUE,"",IF('220'!E41="","ERR",""))&amp; IF(ISERROR(FIND($F$2,Lines!E41))=TRUE,"",IF(AND('500DC'!E41="",'800DC'!E41=""),"ERR","")) &amp; IF(ISERROR(FIND($G$2,Lines!E41))=TRUE,"",IF('1000'!E41="","ERR","")) &amp; IF(ISERROR(FIND($H$2,Lines!E41))=TRUE,"",IF('500DC'!E41="","ERR","")) &amp; IF(ISERROR(FIND($I$2,Lines!E41))=TRUE,"",IF('800DC'!E41="","ERR","")) &amp; IF(ISERROR(FIND($J$2,Lines!E41))=TRUE,"",IF('1000'!E41="","ERR",""))</f>
        <v/>
      </c>
      <c r="F41" s="108" t="str">
        <f>IF(ISERROR(FIND($B$2,Lines!F41))=TRUE,"",IF('750'!F41="","ERR","")) &amp; IF(ISERROR(FIND($C$2,Lines!F41))=TRUE,"",IF('500'!F41="","ERR","")) &amp; IF(ISERROR(FIND($D$2,Lines!F41))=TRUE,"",IF('330'!F41="","ERR","")) &amp; IF(ISERROR(FIND($E$2,Lines!F41))=TRUE,"",IF('220'!F41="","ERR",""))&amp; IF(ISERROR(FIND($F$2,Lines!F41))=TRUE,"",IF(AND('500DC'!F41="",'800DC'!F41=""),"ERR","")) &amp; IF(ISERROR(FIND($G$2,Lines!F41))=TRUE,"",IF('1000'!F41="","ERR","")) &amp; IF(ISERROR(FIND($H$2,Lines!F41))=TRUE,"",IF('500DC'!F41="","ERR","")) &amp; IF(ISERROR(FIND($I$2,Lines!F41))=TRUE,"",IF('800DC'!F41="","ERR","")) &amp; IF(ISERROR(FIND($J$2,Lines!F41))=TRUE,"",IF('1000'!F41="","ERR",""))</f>
        <v/>
      </c>
      <c r="G41" s="108" t="str">
        <f>IF(ISERROR(FIND($B$2,Lines!G41))=TRUE,"",IF('750'!G41="","ERR","")) &amp; IF(ISERROR(FIND($C$2,Lines!G41))=TRUE,"",IF('500'!G41="","ERR","")) &amp; IF(ISERROR(FIND($D$2,Lines!G41))=TRUE,"",IF('330'!G41="","ERR","")) &amp; IF(ISERROR(FIND($E$2,Lines!G41))=TRUE,"",IF('220'!G41="","ERR",""))&amp; IF(ISERROR(FIND($F$2,Lines!G41))=TRUE,"",IF(AND('500DC'!G41="",'800DC'!G41=""),"ERR","")) &amp; IF(ISERROR(FIND($G$2,Lines!G41))=TRUE,"",IF('1000'!G41="","ERR","")) &amp; IF(ISERROR(FIND($H$2,Lines!G41))=TRUE,"",IF('500DC'!G41="","ERR","")) &amp; IF(ISERROR(FIND($I$2,Lines!G41))=TRUE,"",IF('800DC'!G41="","ERR","")) &amp; IF(ISERROR(FIND($J$2,Lines!G41))=TRUE,"",IF('1000'!G41="","ERR",""))</f>
        <v/>
      </c>
      <c r="H41" s="108" t="str">
        <f>IF(ISERROR(FIND($B$2,Lines!H41))=TRUE,"",IF('750'!H41="","ERR","")) &amp; IF(ISERROR(FIND($C$2,Lines!H41))=TRUE,"",IF('500'!H41="","ERR","")) &amp; IF(ISERROR(FIND($D$2,Lines!H41))=TRUE,"",IF('330'!H41="","ERR","")) &amp; IF(ISERROR(FIND($E$2,Lines!H41))=TRUE,"",IF('220'!H41="","ERR",""))&amp; IF(ISERROR(FIND($F$2,Lines!H41))=TRUE,"",IF(AND('500DC'!H41="",'800DC'!H41=""),"ERR","")) &amp; IF(ISERROR(FIND($G$2,Lines!H41))=TRUE,"",IF('1000'!H41="","ERR","")) &amp; IF(ISERROR(FIND($H$2,Lines!H41))=TRUE,"",IF('500DC'!H41="","ERR","")) &amp; IF(ISERROR(FIND($I$2,Lines!H41))=TRUE,"",IF('800DC'!H41="","ERR","")) &amp; IF(ISERROR(FIND($J$2,Lines!H41))=TRUE,"",IF('1000'!H41="","ERR",""))</f>
        <v/>
      </c>
      <c r="I41" s="108" t="str">
        <f>IF(ISERROR(FIND($B$2,Lines!I41))=TRUE,"",IF('750'!I41="","ERR","")) &amp; IF(ISERROR(FIND($C$2,Lines!I41))=TRUE,"",IF('500'!I41="","ERR","")) &amp; IF(ISERROR(FIND($D$2,Lines!I41))=TRUE,"",IF('330'!I41="","ERR","")) &amp; IF(ISERROR(FIND($E$2,Lines!I41))=TRUE,"",IF('220'!I41="","ERR",""))&amp; IF(ISERROR(FIND($F$2,Lines!I41))=TRUE,"",IF(AND('500DC'!I41="",'800DC'!I41=""),"ERR","")) &amp; IF(ISERROR(FIND($G$2,Lines!I41))=TRUE,"",IF('1000'!I41="","ERR","")) &amp; IF(ISERROR(FIND($H$2,Lines!I41))=TRUE,"",IF('500DC'!I41="","ERR","")) &amp; IF(ISERROR(FIND($I$2,Lines!I41))=TRUE,"",IF('800DC'!I41="","ERR","")) &amp; IF(ISERROR(FIND($J$2,Lines!I41))=TRUE,"",IF('1000'!I41="","ERR",""))</f>
        <v/>
      </c>
      <c r="J41" s="108" t="str">
        <f>IF(ISERROR(FIND($B$2,Lines!J41))=TRUE,"",IF('750'!J41="","ERR","")) &amp; IF(ISERROR(FIND($C$2,Lines!J41))=TRUE,"",IF('500'!J41="","ERR","")) &amp; IF(ISERROR(FIND($D$2,Lines!J41))=TRUE,"",IF('330'!J41="","ERR","")) &amp; IF(ISERROR(FIND($E$2,Lines!J41))=TRUE,"",IF('220'!J41="","ERR",""))&amp; IF(ISERROR(FIND($F$2,Lines!J41))=TRUE,"",IF(AND('500DC'!J41="",'800DC'!J41=""),"ERR","")) &amp; IF(ISERROR(FIND($G$2,Lines!J41))=TRUE,"",IF('1000'!J41="","ERR","")) &amp; IF(ISERROR(FIND($H$2,Lines!J41))=TRUE,"",IF('500DC'!J41="","ERR","")) &amp; IF(ISERROR(FIND($I$2,Lines!J41))=TRUE,"",IF('800DC'!J41="","ERR","")) &amp; IF(ISERROR(FIND($J$2,Lines!J41))=TRUE,"",IF('1000'!J41="","ERR",""))</f>
        <v/>
      </c>
      <c r="K41" s="108" t="str">
        <f>IF(ISERROR(FIND($B$2,Lines!K41))=TRUE,"",IF('750'!K41="","ERR","")) &amp; IF(ISERROR(FIND($C$2,Lines!K41))=TRUE,"",IF('500'!K41="","ERR","")) &amp; IF(ISERROR(FIND($D$2,Lines!K41))=TRUE,"",IF('330'!K41="","ERR","")) &amp; IF(ISERROR(FIND($E$2,Lines!K41))=TRUE,"",IF('220'!K41="","ERR",""))&amp; IF(ISERROR(FIND($F$2,Lines!K41))=TRUE,"",IF(AND('500DC'!K41="",'800DC'!K41=""),"ERR","")) &amp; IF(ISERROR(FIND($G$2,Lines!K41))=TRUE,"",IF('1000'!K41="","ERR","")) &amp; IF(ISERROR(FIND($H$2,Lines!K41))=TRUE,"",IF('500DC'!K41="","ERR","")) &amp; IF(ISERROR(FIND($I$2,Lines!K41))=TRUE,"",IF('800DC'!K41="","ERR","")) &amp; IF(ISERROR(FIND($J$2,Lines!K41))=TRUE,"",IF('1000'!K41="","ERR",""))</f>
        <v/>
      </c>
      <c r="L41" s="108" t="str">
        <f>IF(ISERROR(FIND($B$2,Lines!L41))=TRUE,"",IF('750'!L41="","ERR","")) &amp; IF(ISERROR(FIND($C$2,Lines!L41))=TRUE,"",IF('500'!L41="","ERR","")) &amp; IF(ISERROR(FIND($D$2,Lines!L41))=TRUE,"",IF('330'!L41="","ERR","")) &amp; IF(ISERROR(FIND($E$2,Lines!L41))=TRUE,"",IF('220'!L41="","ERR",""))&amp; IF(ISERROR(FIND($F$2,Lines!L41))=TRUE,"",IF(AND('500DC'!L41="",'800DC'!L41=""),"ERR","")) &amp; IF(ISERROR(FIND($G$2,Lines!L41))=TRUE,"",IF('1000'!L41="","ERR","")) &amp; IF(ISERROR(FIND($H$2,Lines!L41))=TRUE,"",IF('500DC'!L41="","ERR","")) &amp; IF(ISERROR(FIND($I$2,Lines!L41))=TRUE,"",IF('800DC'!L41="","ERR","")) &amp; IF(ISERROR(FIND($J$2,Lines!L41))=TRUE,"",IF('1000'!L41="","ERR",""))</f>
        <v/>
      </c>
      <c r="M41" s="108" t="str">
        <f>IF(ISERROR(FIND($B$2,Lines!M41))=TRUE,"",IF('750'!M41="","ERR","")) &amp; IF(ISERROR(FIND($C$2,Lines!M41))=TRUE,"",IF('500'!M41="","ERR","")) &amp; IF(ISERROR(FIND($D$2,Lines!M41))=TRUE,"",IF('330'!M41="","ERR","")) &amp; IF(ISERROR(FIND($E$2,Lines!M41))=TRUE,"",IF('220'!M41="","ERR",""))&amp; IF(ISERROR(FIND($F$2,Lines!M41))=TRUE,"",IF(AND('500DC'!M41="",'800DC'!M41=""),"ERR","")) &amp; IF(ISERROR(FIND($G$2,Lines!M41))=TRUE,"",IF('1000'!M41="","ERR","")) &amp; IF(ISERROR(FIND($H$2,Lines!M41))=TRUE,"",IF('500DC'!M41="","ERR","")) &amp; IF(ISERROR(FIND($I$2,Lines!M41))=TRUE,"",IF('800DC'!M41="","ERR","")) &amp; IF(ISERROR(FIND($J$2,Lines!M41))=TRUE,"",IF('1000'!M41="","ERR",""))</f>
        <v/>
      </c>
      <c r="N41" s="108" t="str">
        <f>IF(ISERROR(FIND($B$2,Lines!N41))=TRUE,"",IF('750'!N41="","ERR","")) &amp; IF(ISERROR(FIND($C$2,Lines!N41))=TRUE,"",IF('500'!N41="","ERR","")) &amp; IF(ISERROR(FIND($D$2,Lines!N41))=TRUE,"",IF('330'!N41="","ERR","")) &amp; IF(ISERROR(FIND($E$2,Lines!N41))=TRUE,"",IF('220'!N41="","ERR",""))&amp; IF(ISERROR(FIND($F$2,Lines!N41))=TRUE,"",IF(AND('500DC'!N41="",'800DC'!N41=""),"ERR","")) &amp; IF(ISERROR(FIND($G$2,Lines!N41))=TRUE,"",IF('1000'!N41="","ERR","")) &amp; IF(ISERROR(FIND($H$2,Lines!N41))=TRUE,"",IF('500DC'!N41="","ERR","")) &amp; IF(ISERROR(FIND($I$2,Lines!N41))=TRUE,"",IF('800DC'!N41="","ERR","")) &amp; IF(ISERROR(FIND($J$2,Lines!N41))=TRUE,"",IF('1000'!N41="","ERR",""))</f>
        <v/>
      </c>
      <c r="O41" s="108" t="str">
        <f>IF(ISERROR(FIND($B$2,Lines!O41))=TRUE,"",IF('750'!O41="","ERR","")) &amp; IF(ISERROR(FIND($C$2,Lines!O41))=TRUE,"",IF('500'!O41="","ERR","")) &amp; IF(ISERROR(FIND($D$2,Lines!O41))=TRUE,"",IF('330'!O41="","ERR","")) &amp; IF(ISERROR(FIND($E$2,Lines!O41))=TRUE,"",IF('220'!O41="","ERR",""))&amp; IF(ISERROR(FIND($F$2,Lines!O41))=TRUE,"",IF(AND('500DC'!O41="",'800DC'!O41=""),"ERR","")) &amp; IF(ISERROR(FIND($G$2,Lines!O41))=TRUE,"",IF('1000'!O41="","ERR","")) &amp; IF(ISERROR(FIND($H$2,Lines!O41))=TRUE,"",IF('500DC'!O41="","ERR","")) &amp; IF(ISERROR(FIND($I$2,Lines!O41))=TRUE,"",IF('800DC'!O41="","ERR","")) &amp; IF(ISERROR(FIND($J$2,Lines!O41))=TRUE,"",IF('1000'!O41="","ERR",""))</f>
        <v/>
      </c>
      <c r="P41" s="108" t="str">
        <f>IF(ISERROR(FIND($B$2,Lines!P41))=TRUE,"",IF('750'!P41="","ERR","")) &amp; IF(ISERROR(FIND($C$2,Lines!P41))=TRUE,"",IF('500'!P41="","ERR","")) &amp; IF(ISERROR(FIND($D$2,Lines!P41))=TRUE,"",IF('330'!P41="","ERR","")) &amp; IF(ISERROR(FIND($E$2,Lines!P41))=TRUE,"",IF('220'!P41="","ERR",""))&amp; IF(ISERROR(FIND($F$2,Lines!P41))=TRUE,"",IF(AND('500DC'!P41="",'800DC'!P41=""),"ERR","")) &amp; IF(ISERROR(FIND($G$2,Lines!P41))=TRUE,"",IF('1000'!P41="","ERR","")) &amp; IF(ISERROR(FIND($H$2,Lines!P41))=TRUE,"",IF('500DC'!P41="","ERR","")) &amp; IF(ISERROR(FIND($I$2,Lines!P41))=TRUE,"",IF('800DC'!P41="","ERR","")) &amp; IF(ISERROR(FIND($J$2,Lines!P41))=TRUE,"",IF('1000'!P41="","ERR",""))</f>
        <v/>
      </c>
      <c r="Q41" s="108" t="str">
        <f>IF(ISERROR(FIND($B$2,Lines!Q41))=TRUE,"",IF('750'!Q41="","ERR","")) &amp; IF(ISERROR(FIND($C$2,Lines!Q41))=TRUE,"",IF('500'!Q41="","ERR","")) &amp; IF(ISERROR(FIND($D$2,Lines!Q41))=TRUE,"",IF('330'!Q41="","ERR","")) &amp; IF(ISERROR(FIND($E$2,Lines!Q41))=TRUE,"",IF('220'!Q41="","ERR",""))&amp; IF(ISERROR(FIND($F$2,Lines!Q41))=TRUE,"",IF(AND('500DC'!Q41="",'800DC'!Q41=""),"ERR","")) &amp; IF(ISERROR(FIND($G$2,Lines!Q41))=TRUE,"",IF('1000'!Q41="","ERR","")) &amp; IF(ISERROR(FIND($H$2,Lines!Q41))=TRUE,"",IF('500DC'!Q41="","ERR","")) &amp; IF(ISERROR(FIND($I$2,Lines!Q41))=TRUE,"",IF('800DC'!Q41="","ERR","")) &amp; IF(ISERROR(FIND($J$2,Lines!Q41))=TRUE,"",IF('1000'!Q41="","ERR",""))</f>
        <v/>
      </c>
      <c r="R41" s="108" t="str">
        <f>IF(ISERROR(FIND($B$2,Lines!R41))=TRUE,"",IF('750'!R41="","ERR","")) &amp; IF(ISERROR(FIND($C$2,Lines!R41))=TRUE,"",IF('500'!R41="","ERR","")) &amp; IF(ISERROR(FIND($D$2,Lines!R41))=TRUE,"",IF('330'!R41="","ERR","")) &amp; IF(ISERROR(FIND($E$2,Lines!R41))=TRUE,"",IF('220'!R41="","ERR",""))&amp; IF(ISERROR(FIND($F$2,Lines!R41))=TRUE,"",IF(AND('500DC'!R41="",'800DC'!R41=""),"ERR","")) &amp; IF(ISERROR(FIND($G$2,Lines!R41))=TRUE,"",IF('1000'!R41="","ERR","")) &amp; IF(ISERROR(FIND($H$2,Lines!R41))=TRUE,"",IF('500DC'!R41="","ERR","")) &amp; IF(ISERROR(FIND($I$2,Lines!R41))=TRUE,"",IF('800DC'!R41="","ERR","")) &amp; IF(ISERROR(FIND($J$2,Lines!R41))=TRUE,"",IF('1000'!R41="","ERR",""))</f>
        <v/>
      </c>
      <c r="S41" s="108" t="str">
        <f>IF(ISERROR(FIND($B$2,Lines!S41))=TRUE,"",IF('750'!S41="","ERR","")) &amp; IF(ISERROR(FIND($C$2,Lines!S41))=TRUE,"",IF('500'!S41="","ERR","")) &amp; IF(ISERROR(FIND($D$2,Lines!S41))=TRUE,"",IF('330'!S41="","ERR","")) &amp; IF(ISERROR(FIND($E$2,Lines!S41))=TRUE,"",IF('220'!S41="","ERR",""))&amp; IF(ISERROR(FIND($F$2,Lines!S41))=TRUE,"",IF(AND('500DC'!S41="",'800DC'!S41=""),"ERR","")) &amp; IF(ISERROR(FIND($G$2,Lines!S41))=TRUE,"",IF('1000'!S41="","ERR","")) &amp; IF(ISERROR(FIND($H$2,Lines!S41))=TRUE,"",IF('500DC'!S41="","ERR","")) &amp; IF(ISERROR(FIND($I$2,Lines!S41))=TRUE,"",IF('800DC'!S41="","ERR","")) &amp; IF(ISERROR(FIND($J$2,Lines!S41))=TRUE,"",IF('1000'!S41="","ERR",""))</f>
        <v/>
      </c>
      <c r="T41" s="108" t="str">
        <f>IF(ISERROR(FIND($B$2,Lines!T41))=TRUE,"",IF('750'!T41="","ERR","")) &amp; IF(ISERROR(FIND($C$2,Lines!T41))=TRUE,"",IF('500'!T41="","ERR","")) &amp; IF(ISERROR(FIND($D$2,Lines!T41))=TRUE,"",IF('330'!T41="","ERR","")) &amp; IF(ISERROR(FIND($E$2,Lines!T41))=TRUE,"",IF('220'!T41="","ERR",""))&amp; IF(ISERROR(FIND($F$2,Lines!T41))=TRUE,"",IF(AND('500DC'!T41="",'800DC'!T41=""),"ERR","")) &amp; IF(ISERROR(FIND($G$2,Lines!T41))=TRUE,"",IF('1000'!T41="","ERR","")) &amp; IF(ISERROR(FIND($H$2,Lines!T41))=TRUE,"",IF('500DC'!T41="","ERR","")) &amp; IF(ISERROR(FIND($I$2,Lines!T41))=TRUE,"",IF('800DC'!T41="","ERR","")) &amp; IF(ISERROR(FIND($J$2,Lines!T41))=TRUE,"",IF('1000'!T41="","ERR",""))</f>
        <v/>
      </c>
      <c r="U41" s="108" t="str">
        <f>IF(ISERROR(FIND($B$2,Lines!U41))=TRUE,"",IF('750'!U41="","ERR","")) &amp; IF(ISERROR(FIND($C$2,Lines!U41))=TRUE,"",IF('500'!U41="","ERR","")) &amp; IF(ISERROR(FIND($D$2,Lines!U41))=TRUE,"",IF('330'!U41="","ERR","")) &amp; IF(ISERROR(FIND($E$2,Lines!U41))=TRUE,"",IF('220'!U41="","ERR",""))&amp; IF(ISERROR(FIND($F$2,Lines!U41))=TRUE,"",IF(AND('500DC'!U41="",'800DC'!U41=""),"ERR","")) &amp; IF(ISERROR(FIND($G$2,Lines!U41))=TRUE,"",IF('1000'!U41="","ERR","")) &amp; IF(ISERROR(FIND($H$2,Lines!U41))=TRUE,"",IF('500DC'!U41="","ERR","")) &amp; IF(ISERROR(FIND($I$2,Lines!U41))=TRUE,"",IF('800DC'!U41="","ERR","")) &amp; IF(ISERROR(FIND($J$2,Lines!U41))=TRUE,"",IF('1000'!U41="","ERR",""))</f>
        <v/>
      </c>
      <c r="V41" s="108" t="str">
        <f>IF(ISERROR(FIND($B$2,Lines!V41))=TRUE,"",IF('750'!V41="","ERR","")) &amp; IF(ISERROR(FIND($C$2,Lines!V41))=TRUE,"",IF('500'!V41="","ERR","")) &amp; IF(ISERROR(FIND($D$2,Lines!V41))=TRUE,"",IF('330'!V41="","ERR","")) &amp; IF(ISERROR(FIND($E$2,Lines!V41))=TRUE,"",IF('220'!V41="","ERR",""))&amp; IF(ISERROR(FIND($F$2,Lines!V41))=TRUE,"",IF(AND('500DC'!V41="",'800DC'!V41=""),"ERR","")) &amp; IF(ISERROR(FIND($G$2,Lines!V41))=TRUE,"",IF('1000'!V41="","ERR","")) &amp; IF(ISERROR(FIND($H$2,Lines!V41))=TRUE,"",IF('500DC'!V41="","ERR","")) &amp; IF(ISERROR(FIND($I$2,Lines!V41))=TRUE,"",IF('800DC'!V41="","ERR","")) &amp; IF(ISERROR(FIND($J$2,Lines!V41))=TRUE,"",IF('1000'!V41="","ERR",""))</f>
        <v/>
      </c>
      <c r="W41" s="109" t="str">
        <f>IF(ISERROR(FIND($B$2,Lines!W41))=TRUE,"",IF('750'!W41="","ERR","")) &amp; IF(ISERROR(FIND($C$2,Lines!W41))=TRUE,"",IF('500'!W41="","ERR","")) &amp; IF(ISERROR(FIND($D$2,Lines!W41))=TRUE,"",IF('330'!W41="","ERR","")) &amp; IF(ISERROR(FIND($E$2,Lines!W41))=TRUE,"",IF('220'!W41="","ERR",""))&amp; IF(ISERROR(FIND($F$2,Lines!W41))=TRUE,"",IF(AND('500DC'!W41="",'800DC'!W41=""),"ERR","")) &amp; IF(ISERROR(FIND($G$2,Lines!W41))=TRUE,"",IF('1000'!W41="","ERR","")) &amp; IF(ISERROR(FIND($H$2,Lines!W41))=TRUE,"",IF('500DC'!W41="","ERR","")) &amp; IF(ISERROR(FIND($I$2,Lines!W41))=TRUE,"",IF('800DC'!W41="","ERR","")) &amp; IF(ISERROR(FIND($J$2,Lines!W41))=TRUE,"",IF('1000'!W41="","ERR",""))</f>
        <v/>
      </c>
      <c r="X41" s="108" t="str">
        <f>IF(ISERROR(FIND($B$2,Lines!X41))=TRUE,"",IF('750'!X41="","ERR","")) &amp; IF(ISERROR(FIND($C$2,Lines!X41))=TRUE,"",IF('500'!X41="","ERR","")) &amp; IF(ISERROR(FIND($D$2,Lines!X41))=TRUE,"",IF('330'!X41="","ERR","")) &amp; IF(ISERROR(FIND($E$2,Lines!X41))=TRUE,"",IF('220'!X41="","ERR",""))&amp; IF(ISERROR(FIND($F$2,Lines!X41))=TRUE,"",IF(AND('500DC'!X41="",'800DC'!X41=""),"ERR","")) &amp; IF(ISERROR(FIND($G$2,Lines!X41))=TRUE,"",IF('1000'!X41="","ERR","")) &amp; IF(ISERROR(FIND($H$2,Lines!X41))=TRUE,"",IF('500DC'!X41="","ERR","")) &amp; IF(ISERROR(FIND($I$2,Lines!X41))=TRUE,"",IF('800DC'!X41="","ERR","")) &amp; IF(ISERROR(FIND($J$2,Lines!X41))=TRUE,"",IF('1000'!X41="","ERR",""))</f>
        <v/>
      </c>
      <c r="Y41" s="108" t="str">
        <f>IF(ISERROR(FIND($B$2,Lines!Y41))=TRUE,"",IF('750'!Y41="","ERR","")) &amp; IF(ISERROR(FIND($C$2,Lines!Y41))=TRUE,"",IF('500'!Y41="","ERR","")) &amp; IF(ISERROR(FIND($D$2,Lines!Y41))=TRUE,"",IF('330'!Y41="","ERR","")) &amp; IF(ISERROR(FIND($E$2,Lines!Y41))=TRUE,"",IF('220'!Y41="","ERR",""))&amp; IF(ISERROR(FIND($F$2,Lines!Y41))=TRUE,"",IF(AND('500DC'!Y41="",'800DC'!Y41=""),"ERR","")) &amp; IF(ISERROR(FIND($G$2,Lines!Y41))=TRUE,"",IF('1000'!Y41="","ERR","")) &amp; IF(ISERROR(FIND($H$2,Lines!Y41))=TRUE,"",IF('500DC'!Y41="","ERR","")) &amp; IF(ISERROR(FIND($I$2,Lines!Y41))=TRUE,"",IF('800DC'!Y41="","ERR","")) &amp; IF(ISERROR(FIND($J$2,Lines!Y41))=TRUE,"",IF('1000'!Y41="","ERR",""))</f>
        <v/>
      </c>
      <c r="Z41" s="108" t="str">
        <f>IF(ISERROR(FIND($B$2,Lines!Z41))=TRUE,"",IF('750'!Z41="","ERR","")) &amp; IF(ISERROR(FIND($C$2,Lines!Z41))=TRUE,"",IF('500'!Z41="","ERR","")) &amp; IF(ISERROR(FIND($D$2,Lines!Z41))=TRUE,"",IF('330'!Z41="","ERR","")) &amp; IF(ISERROR(FIND($E$2,Lines!Z41))=TRUE,"",IF('220'!Z41="","ERR",""))&amp; IF(ISERROR(FIND($F$2,Lines!Z41))=TRUE,"",IF(AND('500DC'!Z41="",'800DC'!Z41=""),"ERR","")) &amp; IF(ISERROR(FIND($G$2,Lines!Z41))=TRUE,"",IF('1000'!Z41="","ERR","")) &amp; IF(ISERROR(FIND($H$2,Lines!Z41))=TRUE,"",IF('500DC'!Z41="","ERR","")) &amp; IF(ISERROR(FIND($I$2,Lines!Z41))=TRUE,"",IF('800DC'!Z41="","ERR","")) &amp; IF(ISERROR(FIND($J$2,Lines!Z41))=TRUE,"",IF('1000'!Z41="","ERR",""))</f>
        <v/>
      </c>
      <c r="AA41" s="108" t="str">
        <f>IF(ISERROR(FIND($B$2,Lines!AA41))=TRUE,"",IF('750'!AA41="","ERR","")) &amp; IF(ISERROR(FIND($C$2,Lines!AA41))=TRUE,"",IF('500'!AA41="","ERR","")) &amp; IF(ISERROR(FIND($D$2,Lines!AA41))=TRUE,"",IF('330'!AA41="","ERR","")) &amp; IF(ISERROR(FIND($E$2,Lines!AA41))=TRUE,"",IF('220'!AA41="","ERR",""))&amp; IF(ISERROR(FIND($F$2,Lines!AA41))=TRUE,"",IF(AND('500DC'!AA41="",'800DC'!AA41=""),"ERR","")) &amp; IF(ISERROR(FIND($G$2,Lines!AA41))=TRUE,"",IF('1000'!AA41="","ERR","")) &amp; IF(ISERROR(FIND($H$2,Lines!AA41))=TRUE,"",IF('500DC'!AA41="","ERR","")) &amp; IF(ISERROR(FIND($I$2,Lines!AA41))=TRUE,"",IF('800DC'!AA41="","ERR","")) &amp; IF(ISERROR(FIND($J$2,Lines!AA41))=TRUE,"",IF('1000'!AA41="","ERR",""))</f>
        <v/>
      </c>
      <c r="AB41" s="108" t="str">
        <f>IF(ISERROR(FIND($B$2,Lines!AB41))=TRUE,"",IF('750'!AB41="","ERR","")) &amp; IF(ISERROR(FIND($C$2,Lines!AB41))=TRUE,"",IF('500'!AB41="","ERR","")) &amp; IF(ISERROR(FIND($D$2,Lines!AB41))=TRUE,"",IF('330'!AB41="","ERR","")) &amp; IF(ISERROR(FIND($E$2,Lines!AB41))=TRUE,"",IF('220'!AB41="","ERR",""))&amp; IF(ISERROR(FIND($F$2,Lines!AB41))=TRUE,"",IF(AND('500DC'!AB41="",'800DC'!AB41=""),"ERR","")) &amp; IF(ISERROR(FIND($G$2,Lines!AB41))=TRUE,"",IF('1000'!AB41="","ERR","")) &amp; IF(ISERROR(FIND($H$2,Lines!AB41))=TRUE,"",IF('500DC'!AB41="","ERR","")) &amp; IF(ISERROR(FIND($I$2,Lines!AB41))=TRUE,"",IF('800DC'!AB41="","ERR","")) &amp; IF(ISERROR(FIND($J$2,Lines!AB41))=TRUE,"",IF('1000'!AB41="","ERR",""))</f>
        <v/>
      </c>
      <c r="AC41" s="108" t="str">
        <f>IF(ISERROR(FIND($B$2,Lines!AC41))=TRUE,"",IF('750'!AC41="","ERR","")) &amp; IF(ISERROR(FIND($C$2,Lines!AC41))=TRUE,"",IF('500'!AC41="","ERR","")) &amp; IF(ISERROR(FIND($D$2,Lines!AC41))=TRUE,"",IF('330'!AC41="","ERR","")) &amp; IF(ISERROR(FIND($E$2,Lines!AC41))=TRUE,"",IF('220'!AC41="","ERR",""))&amp; IF(ISERROR(FIND($F$2,Lines!AC41))=TRUE,"",IF(AND('500DC'!AC41="",'800DC'!AC41=""),"ERR","")) &amp; IF(ISERROR(FIND($G$2,Lines!AC41))=TRUE,"",IF('1000'!AC41="","ERR","")) &amp; IF(ISERROR(FIND($H$2,Lines!AC41))=TRUE,"",IF('500DC'!AC41="","ERR","")) &amp; IF(ISERROR(FIND($I$2,Lines!AC41))=TRUE,"",IF('800DC'!AC41="","ERR","")) &amp; IF(ISERROR(FIND($J$2,Lines!AC41))=TRUE,"",IF('1000'!AC41="","ERR",""))</f>
        <v/>
      </c>
      <c r="AD41" s="108" t="str">
        <f>IF(ISERROR(FIND($B$2,Lines!AD41))=TRUE,"",IF('750'!AD41="","ERR","")) &amp; IF(ISERROR(FIND($C$2,Lines!AD41))=TRUE,"",IF('500'!AD41="","ERR","")) &amp; IF(ISERROR(FIND($D$2,Lines!AD41))=TRUE,"",IF('330'!AD41="","ERR","")) &amp; IF(ISERROR(FIND($E$2,Lines!AD41))=TRUE,"",IF('220'!AD41="","ERR",""))&amp; IF(ISERROR(FIND($F$2,Lines!AD41))=TRUE,"",IF(AND('500DC'!AD41="",'800DC'!AD41=""),"ERR","")) &amp; IF(ISERROR(FIND($G$2,Lines!AD41))=TRUE,"",IF('1000'!AD41="","ERR","")) &amp; IF(ISERROR(FIND($H$2,Lines!AD41))=TRUE,"",IF('500DC'!AD41="","ERR","")) &amp; IF(ISERROR(FIND($I$2,Lines!AD41))=TRUE,"",IF('800DC'!AD41="","ERR","")) &amp; IF(ISERROR(FIND($J$2,Lines!AD41))=TRUE,"",IF('1000'!AD41="","ERR",""))</f>
        <v/>
      </c>
      <c r="AE41" s="108" t="str">
        <f>IF(ISERROR(FIND($B$2,Lines!AE41))=TRUE,"",IF('750'!AE41="","ERR","")) &amp; IF(ISERROR(FIND($C$2,Lines!AE41))=TRUE,"",IF('500'!AE41="","ERR","")) &amp; IF(ISERROR(FIND($D$2,Lines!AE41))=TRUE,"",IF('330'!AE41="","ERR","")) &amp; IF(ISERROR(FIND($E$2,Lines!AE41))=TRUE,"",IF('220'!AE41="","ERR",""))&amp; IF(ISERROR(FIND($F$2,Lines!AE41))=TRUE,"",IF(AND('500DC'!AE41="",'800DC'!AE41=""),"ERR","")) &amp; IF(ISERROR(FIND($G$2,Lines!AE41))=TRUE,"",IF('1000'!AE41="","ERR","")) &amp; IF(ISERROR(FIND($H$2,Lines!AE41))=TRUE,"",IF('500DC'!AE41="","ERR","")) &amp; IF(ISERROR(FIND($I$2,Lines!AE41))=TRUE,"",IF('800DC'!AE41="","ERR","")) &amp; IF(ISERROR(FIND($J$2,Lines!AE41))=TRUE,"",IF('1000'!AE41="","ERR",""))</f>
        <v/>
      </c>
      <c r="AF41" s="108" t="str">
        <f>IF(ISERROR(FIND($B$2,Lines!AF41))=TRUE,"",IF('750'!AF41="","ERR","")) &amp; IF(ISERROR(FIND($C$2,Lines!AF41))=TRUE,"",IF('500'!AF41="","ERR","")) &amp; IF(ISERROR(FIND($D$2,Lines!AF41))=TRUE,"",IF('330'!AF41="","ERR","")) &amp; IF(ISERROR(FIND($E$2,Lines!AF41))=TRUE,"",IF('220'!AF41="","ERR",""))&amp; IF(ISERROR(FIND($F$2,Lines!AF41))=TRUE,"",IF(AND('500DC'!AF41="",'800DC'!AF41=""),"ERR","")) &amp; IF(ISERROR(FIND($G$2,Lines!AF41))=TRUE,"",IF('1000'!AF41="","ERR","")) &amp; IF(ISERROR(FIND($H$2,Lines!AF41))=TRUE,"",IF('500DC'!AF41="","ERR","")) &amp; IF(ISERROR(FIND($I$2,Lines!AF41))=TRUE,"",IF('800DC'!AF41="","ERR","")) &amp; IF(ISERROR(FIND($J$2,Lines!AF41))=TRUE,"",IF('1000'!AF41="","ERR",""))</f>
        <v/>
      </c>
      <c r="AG41" s="108" t="str">
        <f>IF(ISERROR(FIND($B$2,Lines!AG41))=TRUE,"",IF('750'!AG41="","ERR","")) &amp; IF(ISERROR(FIND($C$2,Lines!AG41))=TRUE,"",IF('500'!AG41="","ERR","")) &amp; IF(ISERROR(FIND($D$2,Lines!AG41))=TRUE,"",IF('330'!AG41="","ERR","")) &amp; IF(ISERROR(FIND($E$2,Lines!AG41))=TRUE,"",IF('220'!AG41="","ERR",""))&amp; IF(ISERROR(FIND($F$2,Lines!AG41))=TRUE,"",IF(AND('500DC'!AG41="",'800DC'!AG41=""),"ERR","")) &amp; IF(ISERROR(FIND($G$2,Lines!AG41))=TRUE,"",IF('1000'!AG41="","ERR","")) &amp; IF(ISERROR(FIND($H$2,Lines!AG41))=TRUE,"",IF('500DC'!AG41="","ERR","")) &amp; IF(ISERROR(FIND($I$2,Lines!AG41))=TRUE,"",IF('800DC'!AG41="","ERR","")) &amp; IF(ISERROR(FIND($J$2,Lines!AG41))=TRUE,"",IF('1000'!AG41="","ERR",""))</f>
        <v/>
      </c>
      <c r="AH41" s="108" t="str">
        <f>IF(ISERROR(FIND($B$2,Lines!AH41))=TRUE,"",IF('750'!AH41="","ERR","")) &amp; IF(ISERROR(FIND($C$2,Lines!AH41))=TRUE,"",IF('500'!AH41="","ERR","")) &amp; IF(ISERROR(FIND($D$2,Lines!AH41))=TRUE,"",IF('330'!AH41="","ERR","")) &amp; IF(ISERROR(FIND($E$2,Lines!AH41))=TRUE,"",IF('220'!AH41="","ERR",""))&amp; IF(ISERROR(FIND($F$2,Lines!AH41))=TRUE,"",IF(AND('500DC'!AH41="",'800DC'!AH41=""),"ERR","")) &amp; IF(ISERROR(FIND($G$2,Lines!AH41))=TRUE,"",IF('1000'!AH41="","ERR","")) &amp; IF(ISERROR(FIND($H$2,Lines!AH41))=TRUE,"",IF('500DC'!AH41="","ERR","")) &amp; IF(ISERROR(FIND($I$2,Lines!AH41))=TRUE,"",IF('800DC'!AH41="","ERR","")) &amp; IF(ISERROR(FIND($J$2,Lines!AH41))=TRUE,"",IF('1000'!AH41="","ERR",""))</f>
        <v/>
      </c>
      <c r="AI41" s="108" t="str">
        <f>IF(ISERROR(FIND($B$2,Lines!AI41))=TRUE,"",IF('750'!AI41="","ERR","")) &amp; IF(ISERROR(FIND($C$2,Lines!AI41))=TRUE,"",IF('500'!AI41="","ERR","")) &amp; IF(ISERROR(FIND($D$2,Lines!AI41))=TRUE,"",IF('330'!AI41="","ERR","")) &amp; IF(ISERROR(FIND($E$2,Lines!AI41))=TRUE,"",IF('220'!AI41="","ERR",""))&amp; IF(ISERROR(FIND($F$2,Lines!AI41))=TRUE,"",IF(AND('500DC'!AI41="",'800DC'!AI41=""),"ERR","")) &amp; IF(ISERROR(FIND($G$2,Lines!AI41))=TRUE,"",IF('1000'!AI41="","ERR","")) &amp; IF(ISERROR(FIND($H$2,Lines!AI41))=TRUE,"",IF('500DC'!AI41="","ERR","")) &amp; IF(ISERROR(FIND($I$2,Lines!AI41))=TRUE,"",IF('800DC'!AI41="","ERR","")) &amp; IF(ISERROR(FIND($J$2,Lines!AI41))=TRUE,"",IF('1000'!AI41="","ERR",""))</f>
        <v/>
      </c>
      <c r="AJ41" s="108" t="str">
        <f>IF(ISERROR(FIND($B$2,Lines!AJ41))=TRUE,"",IF('750'!AJ41="","ERR","")) &amp; IF(ISERROR(FIND($C$2,Lines!AJ41))=TRUE,"",IF('500'!AJ41="","ERR","")) &amp; IF(ISERROR(FIND($D$2,Lines!AJ41))=TRUE,"",IF('330'!AJ41="","ERR","")) &amp; IF(ISERROR(FIND($E$2,Lines!AJ41))=TRUE,"",IF('220'!AJ41="","ERR",""))&amp; IF(ISERROR(FIND($F$2,Lines!AJ41))=TRUE,"",IF(AND('500DC'!AJ41="",'800DC'!AJ41=""),"ERR","")) &amp; IF(ISERROR(FIND($G$2,Lines!AJ41))=TRUE,"",IF('1000'!AJ41="","ERR","")) &amp; IF(ISERROR(FIND($H$2,Lines!AJ41))=TRUE,"",IF('500DC'!AJ41="","ERR","")) &amp; IF(ISERROR(FIND($I$2,Lines!AJ41))=TRUE,"",IF('800DC'!AJ41="","ERR","")) &amp; IF(ISERROR(FIND($J$2,Lines!AJ41))=TRUE,"",IF('1000'!AJ41="","ERR",""))</f>
        <v/>
      </c>
      <c r="AK41" s="137" t="str">
        <f>IF(ISERROR(FIND($B$2,Lines!AK41))=TRUE,"",IF('750'!AK41="","ERR","")) &amp; IF(ISERROR(FIND($C$2,Lines!AK41))=TRUE,"",IF('500'!AK41="","ERR","")) &amp; IF(ISERROR(FIND($D$2,Lines!AK41))=TRUE,"",IF('330'!AK41="","ERR","")) &amp; IF(ISERROR(FIND($E$2,Lines!AK41))=TRUE,"",IF('220'!AK41="","ERR",""))&amp; IF(ISERROR(FIND($F$2,Lines!AK41))=TRUE,"",IF(AND('500DC'!AK41="",'800DC'!AK41=""),"ERR","")) &amp; IF(ISERROR(FIND($G$2,Lines!AK41))=TRUE,"",IF('1000'!AK41="","ERR","")) &amp; IF(ISERROR(FIND($H$2,Lines!AK41))=TRUE,"",IF('500DC'!AK41="","ERR","")) &amp; IF(ISERROR(FIND($I$2,Lines!AK41))=TRUE,"",IF('800DC'!AK41="","ERR","")) &amp; IF(ISERROR(FIND($J$2,Lines!AK41))=TRUE,"",IF('1000'!AK41="","ERR",""))</f>
        <v/>
      </c>
      <c r="AL41" s="138" t="str">
        <f>IF(ISERROR(FIND($B$2,Lines!AL41))=TRUE,"",IF('750'!AL41="","ERR","")) &amp; IF(ISERROR(FIND($C$2,Lines!AL41))=TRUE,"",IF('500'!AL41="","ERR","")) &amp; IF(ISERROR(FIND($D$2,Lines!AL41))=TRUE,"",IF('330'!AL41="","ERR","")) &amp; IF(ISERROR(FIND($E$2,Lines!AL41))=TRUE,"",IF('220'!AL41="","ERR",""))&amp; IF(ISERROR(FIND($F$2,Lines!AL41))=TRUE,"",IF(AND('500DC'!AL41="",'800DC'!AL41=""),"ERR","")) &amp; IF(ISERROR(FIND($G$2,Lines!AL41))=TRUE,"",IF('1000'!AL41="","ERR","")) &amp; IF(ISERROR(FIND($H$2,Lines!AL41))=TRUE,"",IF('500DC'!AL41="","ERR","")) &amp; IF(ISERROR(FIND($I$2,Lines!AL41))=TRUE,"",IF('800DC'!AL41="","ERR","")) &amp; IF(ISERROR(FIND($J$2,Lines!AL41))=TRUE,"",IF('1000'!AL41="","ERR",""))</f>
        <v/>
      </c>
      <c r="AM41" s="116" t="str">
        <f>IF(ISERROR(FIND($B$2,Lines!AM41))=TRUE,"",IF('750'!AM41="","ERR","")) &amp; IF(ISERROR(FIND($C$2,Lines!AM41))=TRUE,"",IF('500'!AM41="","ERR","")) &amp; IF(ISERROR(FIND($D$2,Lines!AM41))=TRUE,"",IF('330'!AM41="","ERR","")) &amp; IF(ISERROR(FIND($E$2,Lines!AM41))=TRUE,"",IF('220'!AM41="","ERR",""))&amp; IF(ISERROR(FIND($F$2,Lines!AM41))=TRUE,"",IF(AND('500DC'!AM41="",'800DC'!AM41=""),"ERR","")) &amp; IF(ISERROR(FIND($G$2,Lines!AM41))=TRUE,"",IF('1000'!AM41="","ERR","")) &amp; IF(ISERROR(FIND($H$2,Lines!AM41))=TRUE,"",IF('500DC'!AM41="","ERR","")) &amp; IF(ISERROR(FIND($I$2,Lines!AM41))=TRUE,"",IF('800DC'!AM41="","ERR","")) &amp; IF(ISERROR(FIND($J$2,Lines!AM41))=TRUE,"",IF('1000'!AM41="","ERR",""))</f>
        <v/>
      </c>
      <c r="AN41" s="138" t="str">
        <f>IF(ISERROR(FIND($B$2,Lines!AN41))=TRUE,"",IF('750'!AN41="","ERR","")) &amp; IF(ISERROR(FIND($C$2,Lines!AN41))=TRUE,"",IF('500'!AN41="","ERR","")) &amp; IF(ISERROR(FIND($D$2,Lines!AN41))=TRUE,"",IF('330'!AN41="","ERR","")) &amp; IF(ISERROR(FIND($E$2,Lines!AN41))=TRUE,"",IF('220'!AN41="","ERR",""))&amp; IF(ISERROR(FIND($F$2,Lines!AN41))=TRUE,"",IF(AND('500DC'!AN41="",'800DC'!AN41=""),"ERR","")) &amp; IF(ISERROR(FIND($G$2,Lines!AN41))=TRUE,"",IF('1000'!AN41="","ERR","")) &amp; IF(ISERROR(FIND($H$2,Lines!AN41))=TRUE,"",IF('500DC'!AN41="","ERR","")) &amp; IF(ISERROR(FIND($I$2,Lines!AN41))=TRUE,"",IF('800DC'!AN41="","ERR","")) &amp; IF(ISERROR(FIND($J$2,Lines!AN41))=TRUE,"",IF('1000'!AN41="","ERR",""))</f>
        <v/>
      </c>
      <c r="AO41" s="139" t="str">
        <f>IF(ISERROR(FIND($B$2,Lines!AO41))=TRUE,"",IF('750'!AO41="","ERR","")) &amp; IF(ISERROR(FIND($C$2,Lines!AO41))=TRUE,"",IF('500'!AO41="","ERR","")) &amp; IF(ISERROR(FIND($D$2,Lines!AO41))=TRUE,"",IF('330'!AO41="","ERR","")) &amp; IF(ISERROR(FIND($E$2,Lines!AO41))=TRUE,"",IF('220'!AO41="","ERR",""))&amp; IF(ISERROR(FIND($F$2,Lines!AO41))=TRUE,"",IF(AND('500DC'!AO41="",'800DC'!AO41=""),"ERR","")) &amp; IF(ISERROR(FIND($G$2,Lines!AO41))=TRUE,"",IF('1000'!AO41="","ERR","")) &amp; IF(ISERROR(FIND($H$2,Lines!AO41))=TRUE,"",IF('500DC'!AO41="","ERR","")) &amp; IF(ISERROR(FIND($I$2,Lines!AO41))=TRUE,"",IF('800DC'!AO41="","ERR","")) &amp; IF(ISERROR(FIND($J$2,Lines!AO41))=TRUE,"",IF('1000'!AO41="","ERR",""))</f>
        <v/>
      </c>
      <c r="AP41" s="108" t="str">
        <f>IF(ISERROR(FIND($B$2,Lines!AP41))=TRUE,"",IF('750'!AP41="","ERR","")) &amp; IF(ISERROR(FIND($C$2,Lines!AP41))=TRUE,"",IF('500'!AP41="","ERR","")) &amp; IF(ISERROR(FIND($D$2,Lines!AP41))=TRUE,"",IF('330'!AP41="","ERR","")) &amp; IF(ISERROR(FIND($E$2,Lines!AP41))=TRUE,"",IF('220'!AP41="","ERR",""))&amp; IF(ISERROR(FIND($F$2,Lines!AP41))=TRUE,"",IF(AND('500DC'!AP41="",'800DC'!AP41=""),"ERR","")) &amp; IF(ISERROR(FIND($G$2,Lines!AP41))=TRUE,"",IF('1000'!AP41="","ERR","")) &amp; IF(ISERROR(FIND($H$2,Lines!AP41))=TRUE,"",IF('500DC'!AP41="","ERR","")) &amp; IF(ISERROR(FIND($I$2,Lines!AP41))=TRUE,"",IF('800DC'!AP41="","ERR","")) &amp; IF(ISERROR(FIND($J$2,Lines!AP41))=TRUE,"",IF('1000'!AP41="","ERR",""))</f>
        <v/>
      </c>
      <c r="AQ41" s="108" t="str">
        <f>IF(ISERROR(FIND($B$2,Lines!AQ41))=TRUE,"",IF('750'!AQ41="","ERR","")) &amp; IF(ISERROR(FIND($C$2,Lines!AQ41))=TRUE,"",IF('500'!AQ41="","ERR","")) &amp; IF(ISERROR(FIND($D$2,Lines!AQ41))=TRUE,"",IF('330'!AQ41="","ERR","")) &amp; IF(ISERROR(FIND($E$2,Lines!AQ41))=TRUE,"",IF('220'!AQ41="","ERR",""))&amp; IF(ISERROR(FIND($F$2,Lines!AQ41))=TRUE,"",IF(AND('500DC'!AQ41="",'800DC'!AQ41=""),"ERR","")) &amp; IF(ISERROR(FIND($G$2,Lines!AQ41))=TRUE,"",IF('1000'!AQ41="","ERR","")) &amp; IF(ISERROR(FIND($H$2,Lines!AQ41))=TRUE,"",IF('500DC'!AQ41="","ERR","")) &amp; IF(ISERROR(FIND($I$2,Lines!AQ41))=TRUE,"",IF('800DC'!AQ41="","ERR","")) &amp; IF(ISERROR(FIND($J$2,Lines!AQ41))=TRUE,"",IF('1000'!AQ41="","ERR",""))</f>
        <v/>
      </c>
      <c r="AR41" s="108" t="str">
        <f>IF(ISERROR(FIND($B$2,Lines!AR41))=TRUE,"",IF('750'!AR41="","ERR","")) &amp; IF(ISERROR(FIND($C$2,Lines!AR41))=TRUE,"",IF('500'!AR41="","ERR","")) &amp; IF(ISERROR(FIND($D$2,Lines!AR41))=TRUE,"",IF('330'!AR41="","ERR","")) &amp; IF(ISERROR(FIND($E$2,Lines!AR41))=TRUE,"",IF('220'!AR41="","ERR",""))&amp; IF(ISERROR(FIND($F$2,Lines!AR41))=TRUE,"",IF(AND('500DC'!AR41="",'800DC'!AR41=""),"ERR","")) &amp; IF(ISERROR(FIND($G$2,Lines!AR41))=TRUE,"",IF('1000'!AR41="","ERR","")) &amp; IF(ISERROR(FIND($H$2,Lines!AR41))=TRUE,"",IF('500DC'!AR41="","ERR","")) &amp; IF(ISERROR(FIND($I$2,Lines!AR41))=TRUE,"",IF('800DC'!AR41="","ERR","")) &amp; IF(ISERROR(FIND($J$2,Lines!AR41))=TRUE,"",IF('1000'!AR41="","ERR",""))</f>
        <v/>
      </c>
      <c r="AS41" s="108" t="str">
        <f>IF(ISERROR(FIND($B$2,Lines!AS41))=TRUE,"",IF('750'!AS41="","ERR","")) &amp; IF(ISERROR(FIND($C$2,Lines!AS41))=TRUE,"",IF('500'!AS41="","ERR","")) &amp; IF(ISERROR(FIND($D$2,Lines!AS41))=TRUE,"",IF('330'!AS41="","ERR","")) &amp; IF(ISERROR(FIND($E$2,Lines!AS41))=TRUE,"",IF('220'!AS41="","ERR",""))&amp; IF(ISERROR(FIND($F$2,Lines!AS41))=TRUE,"",IF(AND('500DC'!AS41="",'800DC'!AS41=""),"ERR","")) &amp; IF(ISERROR(FIND($G$2,Lines!AS41))=TRUE,"",IF('1000'!AS41="","ERR","")) &amp; IF(ISERROR(FIND($H$2,Lines!AS41))=TRUE,"",IF('500DC'!AS41="","ERR","")) &amp; IF(ISERROR(FIND($I$2,Lines!AS41))=TRUE,"",IF('800DC'!AS41="","ERR","")) &amp; IF(ISERROR(FIND($J$2,Lines!AS41))=TRUE,"",IF('1000'!AS41="","ERR",""))</f>
        <v/>
      </c>
      <c r="AT41" s="108" t="str">
        <f>IF(ISERROR(FIND($B$2,Lines!AT41))=TRUE,"",IF('750'!AT41="","ERR","")) &amp; IF(ISERROR(FIND($C$2,Lines!AT41))=TRUE,"",IF('500'!AT41="","ERR","")) &amp; IF(ISERROR(FIND($D$2,Lines!AT41))=TRUE,"",IF('330'!AT41="","ERR","")) &amp; IF(ISERROR(FIND($E$2,Lines!AT41))=TRUE,"",IF('220'!AT41="","ERR",""))&amp; IF(ISERROR(FIND($F$2,Lines!AT41))=TRUE,"",IF(AND('500DC'!AT41="",'800DC'!AT41=""),"ERR","")) &amp; IF(ISERROR(FIND($G$2,Lines!AT41))=TRUE,"",IF('1000'!AT41="","ERR","")) &amp; IF(ISERROR(FIND($H$2,Lines!AT41))=TRUE,"",IF('500DC'!AT41="","ERR","")) &amp; IF(ISERROR(FIND($I$2,Lines!AT41))=TRUE,"",IF('800DC'!AT41="","ERR","")) &amp; IF(ISERROR(FIND($J$2,Lines!AT41))=TRUE,"",IF('1000'!AT41="","ERR",""))</f>
        <v/>
      </c>
    </row>
    <row r="42" spans="1:46" ht="20.25" customHeight="1">
      <c r="A42" s="2" t="s">
        <v>90</v>
      </c>
      <c r="B42" s="108" t="str">
        <f>IF(ISERROR(FIND($B$2,Lines!B42))=TRUE,"",IF('750'!B42="","ERR","")) &amp; IF(ISERROR(FIND($C$2,Lines!B42))=TRUE,"",IF('500'!B42="","ERR","")) &amp; IF(ISERROR(FIND($D$2,Lines!B42))=TRUE,"",IF('330'!B42="","ERR","")) &amp; IF(ISERROR(FIND($E$2,Lines!B42))=TRUE,"",IF('220'!B42="","ERR",""))&amp; IF(ISERROR(FIND($F$2,Lines!B42))=TRUE,"",IF(AND('500DC'!B42="",'800DC'!B42=""),"ERR","")) &amp; IF(ISERROR(FIND($G$2,Lines!B42))=TRUE,"",IF('1000'!B42="","ERR","")) &amp; IF(ISERROR(FIND($H$2,Lines!B42))=TRUE,"",IF('500DC'!B42="","ERR","")) &amp; IF(ISERROR(FIND($I$2,Lines!B42))=TRUE,"",IF('800DC'!B42="","ERR","")) &amp; IF(ISERROR(FIND($J$2,Lines!B42))=TRUE,"",IF('1000'!B42="","ERR",""))</f>
        <v/>
      </c>
      <c r="C42" s="108" t="str">
        <f>IF(ISERROR(FIND($B$2,Lines!C42))=TRUE,"",IF('750'!C42="","ERR","")) &amp; IF(ISERROR(FIND($C$2,Lines!C42))=TRUE,"",IF('500'!C42="","ERR","")) &amp; IF(ISERROR(FIND($D$2,Lines!C42))=TRUE,"",IF('330'!C42="","ERR","")) &amp; IF(ISERROR(FIND($E$2,Lines!C42))=TRUE,"",IF('220'!C42="","ERR",""))&amp; IF(ISERROR(FIND($F$2,Lines!C42))=TRUE,"",IF(AND('500DC'!C42="",'800DC'!C42=""),"ERR","")) &amp; IF(ISERROR(FIND($G$2,Lines!C42))=TRUE,"",IF('1000'!C42="","ERR","")) &amp; IF(ISERROR(FIND($H$2,Lines!C42))=TRUE,"",IF('500DC'!C42="","ERR","")) &amp; IF(ISERROR(FIND($I$2,Lines!C42))=TRUE,"",IF('800DC'!C42="","ERR","")) &amp; IF(ISERROR(FIND($J$2,Lines!C42))=TRUE,"",IF('1000'!C42="","ERR",""))</f>
        <v/>
      </c>
      <c r="D42" s="108" t="str">
        <f>IF(ISERROR(FIND($B$2,Lines!D42))=TRUE,"",IF('750'!D42="","ERR","")) &amp; IF(ISERROR(FIND($C$2,Lines!D42))=TRUE,"",IF('500'!D42="","ERR","")) &amp; IF(ISERROR(FIND($D$2,Lines!D42))=TRUE,"",IF('330'!D42="","ERR","")) &amp; IF(ISERROR(FIND($E$2,Lines!D42))=TRUE,"",IF('220'!D42="","ERR",""))&amp; IF(ISERROR(FIND($F$2,Lines!D42))=TRUE,"",IF(AND('500DC'!D42="",'800DC'!D42=""),"ERR","")) &amp; IF(ISERROR(FIND($G$2,Lines!D42))=TRUE,"",IF('1000'!D42="","ERR","")) &amp; IF(ISERROR(FIND($H$2,Lines!D42))=TRUE,"",IF('500DC'!D42="","ERR","")) &amp; IF(ISERROR(FIND($I$2,Lines!D42))=TRUE,"",IF('800DC'!D42="","ERR","")) &amp; IF(ISERROR(FIND($J$2,Lines!D42))=TRUE,"",IF('1000'!D42="","ERR",""))</f>
        <v/>
      </c>
      <c r="E42" s="108" t="str">
        <f>IF(ISERROR(FIND($B$2,Lines!E42))=TRUE,"",IF('750'!E42="","ERR","")) &amp; IF(ISERROR(FIND($C$2,Lines!E42))=TRUE,"",IF('500'!E42="","ERR","")) &amp; IF(ISERROR(FIND($D$2,Lines!E42))=TRUE,"",IF('330'!E42="","ERR","")) &amp; IF(ISERROR(FIND($E$2,Lines!E42))=TRUE,"",IF('220'!E42="","ERR",""))&amp; IF(ISERROR(FIND($F$2,Lines!E42))=TRUE,"",IF(AND('500DC'!E42="",'800DC'!E42=""),"ERR","")) &amp; IF(ISERROR(FIND($G$2,Lines!E42))=TRUE,"",IF('1000'!E42="","ERR","")) &amp; IF(ISERROR(FIND($H$2,Lines!E42))=TRUE,"",IF('500DC'!E42="","ERR","")) &amp; IF(ISERROR(FIND($I$2,Lines!E42))=TRUE,"",IF('800DC'!E42="","ERR","")) &amp; IF(ISERROR(FIND($J$2,Lines!E42))=TRUE,"",IF('1000'!E42="","ERR",""))</f>
        <v/>
      </c>
      <c r="F42" s="108" t="str">
        <f>IF(ISERROR(FIND($B$2,Lines!F42))=TRUE,"",IF('750'!F42="","ERR","")) &amp; IF(ISERROR(FIND($C$2,Lines!F42))=TRUE,"",IF('500'!F42="","ERR","")) &amp; IF(ISERROR(FIND($D$2,Lines!F42))=TRUE,"",IF('330'!F42="","ERR","")) &amp; IF(ISERROR(FIND($E$2,Lines!F42))=TRUE,"",IF('220'!F42="","ERR",""))&amp; IF(ISERROR(FIND($F$2,Lines!F42))=TRUE,"",IF(AND('500DC'!F42="",'800DC'!F42=""),"ERR","")) &amp; IF(ISERROR(FIND($G$2,Lines!F42))=TRUE,"",IF('1000'!F42="","ERR","")) &amp; IF(ISERROR(FIND($H$2,Lines!F42))=TRUE,"",IF('500DC'!F42="","ERR","")) &amp; IF(ISERROR(FIND($I$2,Lines!F42))=TRUE,"",IF('800DC'!F42="","ERR","")) &amp; IF(ISERROR(FIND($J$2,Lines!F42))=TRUE,"",IF('1000'!F42="","ERR",""))</f>
        <v/>
      </c>
      <c r="G42" s="108" t="str">
        <f>IF(ISERROR(FIND($B$2,Lines!G42))=TRUE,"",IF('750'!G42="","ERR","")) &amp; IF(ISERROR(FIND($C$2,Lines!G42))=TRUE,"",IF('500'!G42="","ERR","")) &amp; IF(ISERROR(FIND($D$2,Lines!G42))=TRUE,"",IF('330'!G42="","ERR","")) &amp; IF(ISERROR(FIND($E$2,Lines!G42))=TRUE,"",IF('220'!G42="","ERR",""))&amp; IF(ISERROR(FIND($F$2,Lines!G42))=TRUE,"",IF(AND('500DC'!G42="",'800DC'!G42=""),"ERR","")) &amp; IF(ISERROR(FIND($G$2,Lines!G42))=TRUE,"",IF('1000'!G42="","ERR","")) &amp; IF(ISERROR(FIND($H$2,Lines!G42))=TRUE,"",IF('500DC'!G42="","ERR","")) &amp; IF(ISERROR(FIND($I$2,Lines!G42))=TRUE,"",IF('800DC'!G42="","ERR","")) &amp; IF(ISERROR(FIND($J$2,Lines!G42))=TRUE,"",IF('1000'!G42="","ERR",""))</f>
        <v/>
      </c>
      <c r="H42" s="108" t="str">
        <f>IF(ISERROR(FIND($B$2,Lines!H42))=TRUE,"",IF('750'!H42="","ERR","")) &amp; IF(ISERROR(FIND($C$2,Lines!H42))=TRUE,"",IF('500'!H42="","ERR","")) &amp; IF(ISERROR(FIND($D$2,Lines!H42))=TRUE,"",IF('330'!H42="","ERR","")) &amp; IF(ISERROR(FIND($E$2,Lines!H42))=TRUE,"",IF('220'!H42="","ERR",""))&amp; IF(ISERROR(FIND($F$2,Lines!H42))=TRUE,"",IF(AND('500DC'!H42="",'800DC'!H42=""),"ERR","")) &amp; IF(ISERROR(FIND($G$2,Lines!H42))=TRUE,"",IF('1000'!H42="","ERR","")) &amp; IF(ISERROR(FIND($H$2,Lines!H42))=TRUE,"",IF('500DC'!H42="","ERR","")) &amp; IF(ISERROR(FIND($I$2,Lines!H42))=TRUE,"",IF('800DC'!H42="","ERR","")) &amp; IF(ISERROR(FIND($J$2,Lines!H42))=TRUE,"",IF('1000'!H42="","ERR",""))</f>
        <v/>
      </c>
      <c r="I42" s="108" t="str">
        <f>IF(ISERROR(FIND($B$2,Lines!I42))=TRUE,"",IF('750'!I42="","ERR","")) &amp; IF(ISERROR(FIND($C$2,Lines!I42))=TRUE,"",IF('500'!I42="","ERR","")) &amp; IF(ISERROR(FIND($D$2,Lines!I42))=TRUE,"",IF('330'!I42="","ERR","")) &amp; IF(ISERROR(FIND($E$2,Lines!I42))=TRUE,"",IF('220'!I42="","ERR",""))&amp; IF(ISERROR(FIND($F$2,Lines!I42))=TRUE,"",IF(AND('500DC'!I42="",'800DC'!I42=""),"ERR","")) &amp; IF(ISERROR(FIND($G$2,Lines!I42))=TRUE,"",IF('1000'!I42="","ERR","")) &amp; IF(ISERROR(FIND($H$2,Lines!I42))=TRUE,"",IF('500DC'!I42="","ERR","")) &amp; IF(ISERROR(FIND($I$2,Lines!I42))=TRUE,"",IF('800DC'!I42="","ERR","")) &amp; IF(ISERROR(FIND($J$2,Lines!I42))=TRUE,"",IF('1000'!I42="","ERR",""))</f>
        <v/>
      </c>
      <c r="J42" s="108" t="str">
        <f>IF(ISERROR(FIND($B$2,Lines!J42))=TRUE,"",IF('750'!J42="","ERR","")) &amp; IF(ISERROR(FIND($C$2,Lines!J42))=TRUE,"",IF('500'!J42="","ERR","")) &amp; IF(ISERROR(FIND($D$2,Lines!J42))=TRUE,"",IF('330'!J42="","ERR","")) &amp; IF(ISERROR(FIND($E$2,Lines!J42))=TRUE,"",IF('220'!J42="","ERR",""))&amp; IF(ISERROR(FIND($F$2,Lines!J42))=TRUE,"",IF(AND('500DC'!J42="",'800DC'!J42=""),"ERR","")) &amp; IF(ISERROR(FIND($G$2,Lines!J42))=TRUE,"",IF('1000'!J42="","ERR","")) &amp; IF(ISERROR(FIND($H$2,Lines!J42))=TRUE,"",IF('500DC'!J42="","ERR","")) &amp; IF(ISERROR(FIND($I$2,Lines!J42))=TRUE,"",IF('800DC'!J42="","ERR","")) &amp; IF(ISERROR(FIND($J$2,Lines!J42))=TRUE,"",IF('1000'!J42="","ERR",""))</f>
        <v/>
      </c>
      <c r="K42" s="108" t="str">
        <f>IF(ISERROR(FIND($B$2,Lines!K42))=TRUE,"",IF('750'!K42="","ERR","")) &amp; IF(ISERROR(FIND($C$2,Lines!K42))=TRUE,"",IF('500'!K42="","ERR","")) &amp; IF(ISERROR(FIND($D$2,Lines!K42))=TRUE,"",IF('330'!K42="","ERR","")) &amp; IF(ISERROR(FIND($E$2,Lines!K42))=TRUE,"",IF('220'!K42="","ERR",""))&amp; IF(ISERROR(FIND($F$2,Lines!K42))=TRUE,"",IF(AND('500DC'!K42="",'800DC'!K42=""),"ERR","")) &amp; IF(ISERROR(FIND($G$2,Lines!K42))=TRUE,"",IF('1000'!K42="","ERR","")) &amp; IF(ISERROR(FIND($H$2,Lines!K42))=TRUE,"",IF('500DC'!K42="","ERR","")) &amp; IF(ISERROR(FIND($I$2,Lines!K42))=TRUE,"",IF('800DC'!K42="","ERR","")) &amp; IF(ISERROR(FIND($J$2,Lines!K42))=TRUE,"",IF('1000'!K42="","ERR",""))</f>
        <v/>
      </c>
      <c r="L42" s="108" t="str">
        <f>IF(ISERROR(FIND($B$2,Lines!L42))=TRUE,"",IF('750'!L42="","ERR","")) &amp; IF(ISERROR(FIND($C$2,Lines!L42))=TRUE,"",IF('500'!L42="","ERR","")) &amp; IF(ISERROR(FIND($D$2,Lines!L42))=TRUE,"",IF('330'!L42="","ERR","")) &amp; IF(ISERROR(FIND($E$2,Lines!L42))=TRUE,"",IF('220'!L42="","ERR",""))&amp; IF(ISERROR(FIND($F$2,Lines!L42))=TRUE,"",IF(AND('500DC'!L42="",'800DC'!L42=""),"ERR","")) &amp; IF(ISERROR(FIND($G$2,Lines!L42))=TRUE,"",IF('1000'!L42="","ERR","")) &amp; IF(ISERROR(FIND($H$2,Lines!L42))=TRUE,"",IF('500DC'!L42="","ERR","")) &amp; IF(ISERROR(FIND($I$2,Lines!L42))=TRUE,"",IF('800DC'!L42="","ERR","")) &amp; IF(ISERROR(FIND($J$2,Lines!L42))=TRUE,"",IF('1000'!L42="","ERR",""))</f>
        <v/>
      </c>
      <c r="M42" s="108" t="str">
        <f>IF(ISERROR(FIND($B$2,Lines!M42))=TRUE,"",IF('750'!M42="","ERR","")) &amp; IF(ISERROR(FIND($C$2,Lines!M42))=TRUE,"",IF('500'!M42="","ERR","")) &amp; IF(ISERROR(FIND($D$2,Lines!M42))=TRUE,"",IF('330'!M42="","ERR","")) &amp; IF(ISERROR(FIND($E$2,Lines!M42))=TRUE,"",IF('220'!M42="","ERR",""))&amp; IF(ISERROR(FIND($F$2,Lines!M42))=TRUE,"",IF(AND('500DC'!M42="",'800DC'!M42=""),"ERR","")) &amp; IF(ISERROR(FIND($G$2,Lines!M42))=TRUE,"",IF('1000'!M42="","ERR","")) &amp; IF(ISERROR(FIND($H$2,Lines!M42))=TRUE,"",IF('500DC'!M42="","ERR","")) &amp; IF(ISERROR(FIND($I$2,Lines!M42))=TRUE,"",IF('800DC'!M42="","ERR","")) &amp; IF(ISERROR(FIND($J$2,Lines!M42))=TRUE,"",IF('1000'!M42="","ERR",""))</f>
        <v/>
      </c>
      <c r="N42" s="108" t="str">
        <f>IF(ISERROR(FIND($B$2,Lines!N42))=TRUE,"",IF('750'!N42="","ERR","")) &amp; IF(ISERROR(FIND($C$2,Lines!N42))=TRUE,"",IF('500'!N42="","ERR","")) &amp; IF(ISERROR(FIND($D$2,Lines!N42))=TRUE,"",IF('330'!N42="","ERR","")) &amp; IF(ISERROR(FIND($E$2,Lines!N42))=TRUE,"",IF('220'!N42="","ERR",""))&amp; IF(ISERROR(FIND($F$2,Lines!N42))=TRUE,"",IF(AND('500DC'!N42="",'800DC'!N42=""),"ERR","")) &amp; IF(ISERROR(FIND($G$2,Lines!N42))=TRUE,"",IF('1000'!N42="","ERR","")) &amp; IF(ISERROR(FIND($H$2,Lines!N42))=TRUE,"",IF('500DC'!N42="","ERR","")) &amp; IF(ISERROR(FIND($I$2,Lines!N42))=TRUE,"",IF('800DC'!N42="","ERR","")) &amp; IF(ISERROR(FIND($J$2,Lines!N42))=TRUE,"",IF('1000'!N42="","ERR",""))</f>
        <v/>
      </c>
      <c r="O42" s="108" t="str">
        <f>IF(ISERROR(FIND($B$2,Lines!O42))=TRUE,"",IF('750'!O42="","ERR","")) &amp; IF(ISERROR(FIND($C$2,Lines!O42))=TRUE,"",IF('500'!O42="","ERR","")) &amp; IF(ISERROR(FIND($D$2,Lines!O42))=TRUE,"",IF('330'!O42="","ERR","")) &amp; IF(ISERROR(FIND($E$2,Lines!O42))=TRUE,"",IF('220'!O42="","ERR",""))&amp; IF(ISERROR(FIND($F$2,Lines!O42))=TRUE,"",IF(AND('500DC'!O42="",'800DC'!O42=""),"ERR","")) &amp; IF(ISERROR(FIND($G$2,Lines!O42))=TRUE,"",IF('1000'!O42="","ERR","")) &amp; IF(ISERROR(FIND($H$2,Lines!O42))=TRUE,"",IF('500DC'!O42="","ERR","")) &amp; IF(ISERROR(FIND($I$2,Lines!O42))=TRUE,"",IF('800DC'!O42="","ERR","")) &amp; IF(ISERROR(FIND($J$2,Lines!O42))=TRUE,"",IF('1000'!O42="","ERR",""))</f>
        <v/>
      </c>
      <c r="P42" s="108" t="str">
        <f>IF(ISERROR(FIND($B$2,Lines!P42))=TRUE,"",IF('750'!P42="","ERR","")) &amp; IF(ISERROR(FIND($C$2,Lines!P42))=TRUE,"",IF('500'!P42="","ERR","")) &amp; IF(ISERROR(FIND($D$2,Lines!P42))=TRUE,"",IF('330'!P42="","ERR","")) &amp; IF(ISERROR(FIND($E$2,Lines!P42))=TRUE,"",IF('220'!P42="","ERR",""))&amp; IF(ISERROR(FIND($F$2,Lines!P42))=TRUE,"",IF(AND('500DC'!P42="",'800DC'!P42=""),"ERR","")) &amp; IF(ISERROR(FIND($G$2,Lines!P42))=TRUE,"",IF('1000'!P42="","ERR","")) &amp; IF(ISERROR(FIND($H$2,Lines!P42))=TRUE,"",IF('500DC'!P42="","ERR","")) &amp; IF(ISERROR(FIND($I$2,Lines!P42))=TRUE,"",IF('800DC'!P42="","ERR","")) &amp; IF(ISERROR(FIND($J$2,Lines!P42))=TRUE,"",IF('1000'!P42="","ERR",""))</f>
        <v/>
      </c>
      <c r="Q42" s="108" t="str">
        <f>IF(ISERROR(FIND($B$2,Lines!Q42))=TRUE,"",IF('750'!Q42="","ERR","")) &amp; IF(ISERROR(FIND($C$2,Lines!Q42))=TRUE,"",IF('500'!Q42="","ERR","")) &amp; IF(ISERROR(FIND($D$2,Lines!Q42))=TRUE,"",IF('330'!Q42="","ERR","")) &amp; IF(ISERROR(FIND($E$2,Lines!Q42))=TRUE,"",IF('220'!Q42="","ERR",""))&amp; IF(ISERROR(FIND($F$2,Lines!Q42))=TRUE,"",IF(AND('500DC'!Q42="",'800DC'!Q42=""),"ERR","")) &amp; IF(ISERROR(FIND($G$2,Lines!Q42))=TRUE,"",IF('1000'!Q42="","ERR","")) &amp; IF(ISERROR(FIND($H$2,Lines!Q42))=TRUE,"",IF('500DC'!Q42="","ERR","")) &amp; IF(ISERROR(FIND($I$2,Lines!Q42))=TRUE,"",IF('800DC'!Q42="","ERR","")) &amp; IF(ISERROR(FIND($J$2,Lines!Q42))=TRUE,"",IF('1000'!Q42="","ERR",""))</f>
        <v/>
      </c>
      <c r="R42" s="108" t="str">
        <f>IF(ISERROR(FIND($B$2,Lines!R42))=TRUE,"",IF('750'!R42="","ERR","")) &amp; IF(ISERROR(FIND($C$2,Lines!R42))=TRUE,"",IF('500'!R42="","ERR","")) &amp; IF(ISERROR(FIND($D$2,Lines!R42))=TRUE,"",IF('330'!R42="","ERR","")) &amp; IF(ISERROR(FIND($E$2,Lines!R42))=TRUE,"",IF('220'!R42="","ERR",""))&amp; IF(ISERROR(FIND($F$2,Lines!R42))=TRUE,"",IF(AND('500DC'!R42="",'800DC'!R42=""),"ERR","")) &amp; IF(ISERROR(FIND($G$2,Lines!R42))=TRUE,"",IF('1000'!R42="","ERR","")) &amp; IF(ISERROR(FIND($H$2,Lines!R42))=TRUE,"",IF('500DC'!R42="","ERR","")) &amp; IF(ISERROR(FIND($I$2,Lines!R42))=TRUE,"",IF('800DC'!R42="","ERR","")) &amp; IF(ISERROR(FIND($J$2,Lines!R42))=TRUE,"",IF('1000'!R42="","ERR",""))</f>
        <v/>
      </c>
      <c r="S42" s="108" t="str">
        <f>IF(ISERROR(FIND($B$2,Lines!S42))=TRUE,"",IF('750'!S42="","ERR","")) &amp; IF(ISERROR(FIND($C$2,Lines!S42))=TRUE,"",IF('500'!S42="","ERR","")) &amp; IF(ISERROR(FIND($D$2,Lines!S42))=TRUE,"",IF('330'!S42="","ERR","")) &amp; IF(ISERROR(FIND($E$2,Lines!S42))=TRUE,"",IF('220'!S42="","ERR",""))&amp; IF(ISERROR(FIND($F$2,Lines!S42))=TRUE,"",IF(AND('500DC'!S42="",'800DC'!S42=""),"ERR","")) &amp; IF(ISERROR(FIND($G$2,Lines!S42))=TRUE,"",IF('1000'!S42="","ERR","")) &amp; IF(ISERROR(FIND($H$2,Lines!S42))=TRUE,"",IF('500DC'!S42="","ERR","")) &amp; IF(ISERROR(FIND($I$2,Lines!S42))=TRUE,"",IF('800DC'!S42="","ERR","")) &amp; IF(ISERROR(FIND($J$2,Lines!S42))=TRUE,"",IF('1000'!S42="","ERR",""))</f>
        <v/>
      </c>
      <c r="T42" s="108" t="str">
        <f>IF(ISERROR(FIND($B$2,Lines!T42))=TRUE,"",IF('750'!T42="","ERR","")) &amp; IF(ISERROR(FIND($C$2,Lines!T42))=TRUE,"",IF('500'!T42="","ERR","")) &amp; IF(ISERROR(FIND($D$2,Lines!T42))=TRUE,"",IF('330'!T42="","ERR","")) &amp; IF(ISERROR(FIND($E$2,Lines!T42))=TRUE,"",IF('220'!T42="","ERR",""))&amp; IF(ISERROR(FIND($F$2,Lines!T42))=TRUE,"",IF(AND('500DC'!T42="",'800DC'!T42=""),"ERR","")) &amp; IF(ISERROR(FIND($G$2,Lines!T42))=TRUE,"",IF('1000'!T42="","ERR","")) &amp; IF(ISERROR(FIND($H$2,Lines!T42))=TRUE,"",IF('500DC'!T42="","ERR","")) &amp; IF(ISERROR(FIND($I$2,Lines!T42))=TRUE,"",IF('800DC'!T42="","ERR","")) &amp; IF(ISERROR(FIND($J$2,Lines!T42))=TRUE,"",IF('1000'!T42="","ERR",""))</f>
        <v/>
      </c>
      <c r="U42" s="108" t="str">
        <f>IF(ISERROR(FIND($B$2,Lines!U42))=TRUE,"",IF('750'!U42="","ERR","")) &amp; IF(ISERROR(FIND($C$2,Lines!U42))=TRUE,"",IF('500'!U42="","ERR","")) &amp; IF(ISERROR(FIND($D$2,Lines!U42))=TRUE,"",IF('330'!U42="","ERR","")) &amp; IF(ISERROR(FIND($E$2,Lines!U42))=TRUE,"",IF('220'!U42="","ERR",""))&amp; IF(ISERROR(FIND($F$2,Lines!U42))=TRUE,"",IF(AND('500DC'!U42="",'800DC'!U42=""),"ERR","")) &amp; IF(ISERROR(FIND($G$2,Lines!U42))=TRUE,"",IF('1000'!U42="","ERR","")) &amp; IF(ISERROR(FIND($H$2,Lines!U42))=TRUE,"",IF('500DC'!U42="","ERR","")) &amp; IF(ISERROR(FIND($I$2,Lines!U42))=TRUE,"",IF('800DC'!U42="","ERR","")) &amp; IF(ISERROR(FIND($J$2,Lines!U42))=TRUE,"",IF('1000'!U42="","ERR",""))</f>
        <v/>
      </c>
      <c r="V42" s="108" t="str">
        <f>IF(ISERROR(FIND($B$2,Lines!V42))=TRUE,"",IF('750'!V42="","ERR","")) &amp; IF(ISERROR(FIND($C$2,Lines!V42))=TRUE,"",IF('500'!V42="","ERR","")) &amp; IF(ISERROR(FIND($D$2,Lines!V42))=TRUE,"",IF('330'!V42="","ERR","")) &amp; IF(ISERROR(FIND($E$2,Lines!V42))=TRUE,"",IF('220'!V42="","ERR",""))&amp; IF(ISERROR(FIND($F$2,Lines!V42))=TRUE,"",IF(AND('500DC'!V42="",'800DC'!V42=""),"ERR","")) &amp; IF(ISERROR(FIND($G$2,Lines!V42))=TRUE,"",IF('1000'!V42="","ERR","")) &amp; IF(ISERROR(FIND($H$2,Lines!V42))=TRUE,"",IF('500DC'!V42="","ERR","")) &amp; IF(ISERROR(FIND($I$2,Lines!V42))=TRUE,"",IF('800DC'!V42="","ERR","")) &amp; IF(ISERROR(FIND($J$2,Lines!V42))=TRUE,"",IF('1000'!V42="","ERR",""))</f>
        <v/>
      </c>
      <c r="W42" s="109" t="str">
        <f>IF(ISERROR(FIND($B$2,Lines!W42))=TRUE,"",IF('750'!W42="","ERR","")) &amp; IF(ISERROR(FIND($C$2,Lines!W42))=TRUE,"",IF('500'!W42="","ERR","")) &amp; IF(ISERROR(FIND($D$2,Lines!W42))=TRUE,"",IF('330'!W42="","ERR","")) &amp; IF(ISERROR(FIND($E$2,Lines!W42))=TRUE,"",IF('220'!W42="","ERR",""))&amp; IF(ISERROR(FIND($F$2,Lines!W42))=TRUE,"",IF(AND('500DC'!W42="",'800DC'!W42=""),"ERR","")) &amp; IF(ISERROR(FIND($G$2,Lines!W42))=TRUE,"",IF('1000'!W42="","ERR","")) &amp; IF(ISERROR(FIND($H$2,Lines!W42))=TRUE,"",IF('500DC'!W42="","ERR","")) &amp; IF(ISERROR(FIND($I$2,Lines!W42))=TRUE,"",IF('800DC'!W42="","ERR","")) &amp; IF(ISERROR(FIND($J$2,Lines!W42))=TRUE,"",IF('1000'!W42="","ERR",""))</f>
        <v/>
      </c>
      <c r="X42" s="108" t="str">
        <f>IF(ISERROR(FIND($B$2,Lines!X42))=TRUE,"",IF('750'!X42="","ERR","")) &amp; IF(ISERROR(FIND($C$2,Lines!X42))=TRUE,"",IF('500'!X42="","ERR","")) &amp; IF(ISERROR(FIND($D$2,Lines!X42))=TRUE,"",IF('330'!X42="","ERR","")) &amp; IF(ISERROR(FIND($E$2,Lines!X42))=TRUE,"",IF('220'!X42="","ERR",""))&amp; IF(ISERROR(FIND($F$2,Lines!X42))=TRUE,"",IF(AND('500DC'!X42="",'800DC'!X42=""),"ERR","")) &amp; IF(ISERROR(FIND($G$2,Lines!X42))=TRUE,"",IF('1000'!X42="","ERR","")) &amp; IF(ISERROR(FIND($H$2,Lines!X42))=TRUE,"",IF('500DC'!X42="","ERR","")) &amp; IF(ISERROR(FIND($I$2,Lines!X42))=TRUE,"",IF('800DC'!X42="","ERR","")) &amp; IF(ISERROR(FIND($J$2,Lines!X42))=TRUE,"",IF('1000'!X42="","ERR",""))</f>
        <v/>
      </c>
      <c r="Y42" s="108" t="str">
        <f>IF(ISERROR(FIND($B$2,Lines!Y42))=TRUE,"",IF('750'!Y42="","ERR","")) &amp; IF(ISERROR(FIND($C$2,Lines!Y42))=TRUE,"",IF('500'!Y42="","ERR","")) &amp; IF(ISERROR(FIND($D$2,Lines!Y42))=TRUE,"",IF('330'!Y42="","ERR","")) &amp; IF(ISERROR(FIND($E$2,Lines!Y42))=TRUE,"",IF('220'!Y42="","ERR",""))&amp; IF(ISERROR(FIND($F$2,Lines!Y42))=TRUE,"",IF(AND('500DC'!Y42="",'800DC'!Y42=""),"ERR","")) &amp; IF(ISERROR(FIND($G$2,Lines!Y42))=TRUE,"",IF('1000'!Y42="","ERR","")) &amp; IF(ISERROR(FIND($H$2,Lines!Y42))=TRUE,"",IF('500DC'!Y42="","ERR","")) &amp; IF(ISERROR(FIND($I$2,Lines!Y42))=TRUE,"",IF('800DC'!Y42="","ERR","")) &amp; IF(ISERROR(FIND($J$2,Lines!Y42))=TRUE,"",IF('1000'!Y42="","ERR",""))</f>
        <v/>
      </c>
      <c r="Z42" s="108" t="str">
        <f>IF(ISERROR(FIND($B$2,Lines!Z42))=TRUE,"",IF('750'!Z42="","ERR","")) &amp; IF(ISERROR(FIND($C$2,Lines!Z42))=TRUE,"",IF('500'!Z42="","ERR","")) &amp; IF(ISERROR(FIND($D$2,Lines!Z42))=TRUE,"",IF('330'!Z42="","ERR","")) &amp; IF(ISERROR(FIND($E$2,Lines!Z42))=TRUE,"",IF('220'!Z42="","ERR",""))&amp; IF(ISERROR(FIND($F$2,Lines!Z42))=TRUE,"",IF(AND('500DC'!Z42="",'800DC'!Z42=""),"ERR","")) &amp; IF(ISERROR(FIND($G$2,Lines!Z42))=TRUE,"",IF('1000'!Z42="","ERR","")) &amp; IF(ISERROR(FIND($H$2,Lines!Z42))=TRUE,"",IF('500DC'!Z42="","ERR","")) &amp; IF(ISERROR(FIND($I$2,Lines!Z42))=TRUE,"",IF('800DC'!Z42="","ERR","")) &amp; IF(ISERROR(FIND($J$2,Lines!Z42))=TRUE,"",IF('1000'!Z42="","ERR",""))</f>
        <v/>
      </c>
      <c r="AA42" s="108" t="str">
        <f>IF(ISERROR(FIND($B$2,Lines!AA42))=TRUE,"",IF('750'!AA42="","ERR","")) &amp; IF(ISERROR(FIND($C$2,Lines!AA42))=TRUE,"",IF('500'!AA42="","ERR","")) &amp; IF(ISERROR(FIND($D$2,Lines!AA42))=TRUE,"",IF('330'!AA42="","ERR","")) &amp; IF(ISERROR(FIND($E$2,Lines!AA42))=TRUE,"",IF('220'!AA42="","ERR",""))&amp; IF(ISERROR(FIND($F$2,Lines!AA42))=TRUE,"",IF(AND('500DC'!AA42="",'800DC'!AA42=""),"ERR","")) &amp; IF(ISERROR(FIND($G$2,Lines!AA42))=TRUE,"",IF('1000'!AA42="","ERR","")) &amp; IF(ISERROR(FIND($H$2,Lines!AA42))=TRUE,"",IF('500DC'!AA42="","ERR","")) &amp; IF(ISERROR(FIND($I$2,Lines!AA42))=TRUE,"",IF('800DC'!AA42="","ERR","")) &amp; IF(ISERROR(FIND($J$2,Lines!AA42))=TRUE,"",IF('1000'!AA42="","ERR",""))</f>
        <v/>
      </c>
      <c r="AB42" s="108" t="str">
        <f>IF(ISERROR(FIND($B$2,Lines!AB42))=TRUE,"",IF('750'!AB42="","ERR","")) &amp; IF(ISERROR(FIND($C$2,Lines!AB42))=TRUE,"",IF('500'!AB42="","ERR","")) &amp; IF(ISERROR(FIND($D$2,Lines!AB42))=TRUE,"",IF('330'!AB42="","ERR","")) &amp; IF(ISERROR(FIND($E$2,Lines!AB42))=TRUE,"",IF('220'!AB42="","ERR",""))&amp; IF(ISERROR(FIND($F$2,Lines!AB42))=TRUE,"",IF(AND('500DC'!AB42="",'800DC'!AB42=""),"ERR","")) &amp; IF(ISERROR(FIND($G$2,Lines!AB42))=TRUE,"",IF('1000'!AB42="","ERR","")) &amp; IF(ISERROR(FIND($H$2,Lines!AB42))=TRUE,"",IF('500DC'!AB42="","ERR","")) &amp; IF(ISERROR(FIND($I$2,Lines!AB42))=TRUE,"",IF('800DC'!AB42="","ERR","")) &amp; IF(ISERROR(FIND($J$2,Lines!AB42))=TRUE,"",IF('1000'!AB42="","ERR",""))</f>
        <v/>
      </c>
      <c r="AC42" s="108" t="str">
        <f>IF(ISERROR(FIND($B$2,Lines!AC42))=TRUE,"",IF('750'!AC42="","ERR","")) &amp; IF(ISERROR(FIND($C$2,Lines!AC42))=TRUE,"",IF('500'!AC42="","ERR","")) &amp; IF(ISERROR(FIND($D$2,Lines!AC42))=TRUE,"",IF('330'!AC42="","ERR","")) &amp; IF(ISERROR(FIND($E$2,Lines!AC42))=TRUE,"",IF('220'!AC42="","ERR",""))&amp; IF(ISERROR(FIND($F$2,Lines!AC42))=TRUE,"",IF(AND('500DC'!AC42="",'800DC'!AC42=""),"ERR","")) &amp; IF(ISERROR(FIND($G$2,Lines!AC42))=TRUE,"",IF('1000'!AC42="","ERR","")) &amp; IF(ISERROR(FIND($H$2,Lines!AC42))=TRUE,"",IF('500DC'!AC42="","ERR","")) &amp; IF(ISERROR(FIND($I$2,Lines!AC42))=TRUE,"",IF('800DC'!AC42="","ERR","")) &amp; IF(ISERROR(FIND($J$2,Lines!AC42))=TRUE,"",IF('1000'!AC42="","ERR",""))</f>
        <v/>
      </c>
      <c r="AD42" s="108" t="str">
        <f>IF(ISERROR(FIND($B$2,Lines!AD42))=TRUE,"",IF('750'!AD42="","ERR","")) &amp; IF(ISERROR(FIND($C$2,Lines!AD42))=TRUE,"",IF('500'!AD42="","ERR","")) &amp; IF(ISERROR(FIND($D$2,Lines!AD42))=TRUE,"",IF('330'!AD42="","ERR","")) &amp; IF(ISERROR(FIND($E$2,Lines!AD42))=TRUE,"",IF('220'!AD42="","ERR",""))&amp; IF(ISERROR(FIND($F$2,Lines!AD42))=TRUE,"",IF(AND('500DC'!AD42="",'800DC'!AD42=""),"ERR","")) &amp; IF(ISERROR(FIND($G$2,Lines!AD42))=TRUE,"",IF('1000'!AD42="","ERR","")) &amp; IF(ISERROR(FIND($H$2,Lines!AD42))=TRUE,"",IF('500DC'!AD42="","ERR","")) &amp; IF(ISERROR(FIND($I$2,Lines!AD42))=TRUE,"",IF('800DC'!AD42="","ERR","")) &amp; IF(ISERROR(FIND($J$2,Lines!AD42))=TRUE,"",IF('1000'!AD42="","ERR",""))</f>
        <v/>
      </c>
      <c r="AE42" s="108" t="str">
        <f>IF(ISERROR(FIND($B$2,Lines!AE42))=TRUE,"",IF('750'!AE42="","ERR","")) &amp; IF(ISERROR(FIND($C$2,Lines!AE42))=TRUE,"",IF('500'!AE42="","ERR","")) &amp; IF(ISERROR(FIND($D$2,Lines!AE42))=TRUE,"",IF('330'!AE42="","ERR","")) &amp; IF(ISERROR(FIND($E$2,Lines!AE42))=TRUE,"",IF('220'!AE42="","ERR",""))&amp; IF(ISERROR(FIND($F$2,Lines!AE42))=TRUE,"",IF(AND('500DC'!AE42="",'800DC'!AE42=""),"ERR","")) &amp; IF(ISERROR(FIND($G$2,Lines!AE42))=TRUE,"",IF('1000'!AE42="","ERR","")) &amp; IF(ISERROR(FIND($H$2,Lines!AE42))=TRUE,"",IF('500DC'!AE42="","ERR","")) &amp; IF(ISERROR(FIND($I$2,Lines!AE42))=TRUE,"",IF('800DC'!AE42="","ERR","")) &amp; IF(ISERROR(FIND($J$2,Lines!AE42))=TRUE,"",IF('1000'!AE42="","ERR",""))</f>
        <v/>
      </c>
      <c r="AF42" s="108" t="str">
        <f>IF(ISERROR(FIND($B$2,Lines!AF42))=TRUE,"",IF('750'!AF42="","ERR","")) &amp; IF(ISERROR(FIND($C$2,Lines!AF42))=TRUE,"",IF('500'!AF42="","ERR","")) &amp; IF(ISERROR(FIND($D$2,Lines!AF42))=TRUE,"",IF('330'!AF42="","ERR","")) &amp; IF(ISERROR(FIND($E$2,Lines!AF42))=TRUE,"",IF('220'!AF42="","ERR",""))&amp; IF(ISERROR(FIND($F$2,Lines!AF42))=TRUE,"",IF(AND('500DC'!AF42="",'800DC'!AF42=""),"ERR","")) &amp; IF(ISERROR(FIND($G$2,Lines!AF42))=TRUE,"",IF('1000'!AF42="","ERR","")) &amp; IF(ISERROR(FIND($H$2,Lines!AF42))=TRUE,"",IF('500DC'!AF42="","ERR","")) &amp; IF(ISERROR(FIND($I$2,Lines!AF42))=TRUE,"",IF('800DC'!AF42="","ERR","")) &amp; IF(ISERROR(FIND($J$2,Lines!AF42))=TRUE,"",IF('1000'!AF42="","ERR",""))</f>
        <v>ERR</v>
      </c>
      <c r="AG42" s="108" t="str">
        <f>IF(ISERROR(FIND($B$2,Lines!AG42))=TRUE,"",IF('750'!AG42="","ERR","")) &amp; IF(ISERROR(FIND($C$2,Lines!AG42))=TRUE,"",IF('500'!AG42="","ERR","")) &amp; IF(ISERROR(FIND($D$2,Lines!AG42))=TRUE,"",IF('330'!AG42="","ERR","")) &amp; IF(ISERROR(FIND($E$2,Lines!AG42))=TRUE,"",IF('220'!AG42="","ERR",""))&amp; IF(ISERROR(FIND($F$2,Lines!AG42))=TRUE,"",IF(AND('500DC'!AG42="",'800DC'!AG42=""),"ERR","")) &amp; IF(ISERROR(FIND($G$2,Lines!AG42))=TRUE,"",IF('1000'!AG42="","ERR","")) &amp; IF(ISERROR(FIND($H$2,Lines!AG42))=TRUE,"",IF('500DC'!AG42="","ERR","")) &amp; IF(ISERROR(FIND($I$2,Lines!AG42))=TRUE,"",IF('800DC'!AG42="","ERR","")) &amp; IF(ISERROR(FIND($J$2,Lines!AG42))=TRUE,"",IF('1000'!AG42="","ERR",""))</f>
        <v/>
      </c>
      <c r="AH42" s="108" t="str">
        <f>IF(ISERROR(FIND($B$2,Lines!AH42))=TRUE,"",IF('750'!AH42="","ERR","")) &amp; IF(ISERROR(FIND($C$2,Lines!AH42))=TRUE,"",IF('500'!AH42="","ERR","")) &amp; IF(ISERROR(FIND($D$2,Lines!AH42))=TRUE,"",IF('330'!AH42="","ERR","")) &amp; IF(ISERROR(FIND($E$2,Lines!AH42))=TRUE,"",IF('220'!AH42="","ERR",""))&amp; IF(ISERROR(FIND($F$2,Lines!AH42))=TRUE,"",IF(AND('500DC'!AH42="",'800DC'!AH42=""),"ERR","")) &amp; IF(ISERROR(FIND($G$2,Lines!AH42))=TRUE,"",IF('1000'!AH42="","ERR","")) &amp; IF(ISERROR(FIND($H$2,Lines!AH42))=TRUE,"",IF('500DC'!AH42="","ERR","")) &amp; IF(ISERROR(FIND($I$2,Lines!AH42))=TRUE,"",IF('800DC'!AH42="","ERR","")) &amp; IF(ISERROR(FIND($J$2,Lines!AH42))=TRUE,"",IF('1000'!AH42="","ERR",""))</f>
        <v/>
      </c>
      <c r="AI42" s="108" t="str">
        <f>IF(ISERROR(FIND($B$2,Lines!AI42))=TRUE,"",IF('750'!AI42="","ERR","")) &amp; IF(ISERROR(FIND($C$2,Lines!AI42))=TRUE,"",IF('500'!AI42="","ERR","")) &amp; IF(ISERROR(FIND($D$2,Lines!AI42))=TRUE,"",IF('330'!AI42="","ERR","")) &amp; IF(ISERROR(FIND($E$2,Lines!AI42))=TRUE,"",IF('220'!AI42="","ERR",""))&amp; IF(ISERROR(FIND($F$2,Lines!AI42))=TRUE,"",IF(AND('500DC'!AI42="",'800DC'!AI42=""),"ERR","")) &amp; IF(ISERROR(FIND($G$2,Lines!AI42))=TRUE,"",IF('1000'!AI42="","ERR","")) &amp; IF(ISERROR(FIND($H$2,Lines!AI42))=TRUE,"",IF('500DC'!AI42="","ERR","")) &amp; IF(ISERROR(FIND($I$2,Lines!AI42))=TRUE,"",IF('800DC'!AI42="","ERR","")) &amp; IF(ISERROR(FIND($J$2,Lines!AI42))=TRUE,"",IF('1000'!AI42="","ERR",""))</f>
        <v/>
      </c>
      <c r="AJ42" s="108" t="str">
        <f>IF(ISERROR(FIND($B$2,Lines!AJ42))=TRUE,"",IF('750'!AJ42="","ERR","")) &amp; IF(ISERROR(FIND($C$2,Lines!AJ42))=TRUE,"",IF('500'!AJ42="","ERR","")) &amp; IF(ISERROR(FIND($D$2,Lines!AJ42))=TRUE,"",IF('330'!AJ42="","ERR","")) &amp; IF(ISERROR(FIND($E$2,Lines!AJ42))=TRUE,"",IF('220'!AJ42="","ERR",""))&amp; IF(ISERROR(FIND($F$2,Lines!AJ42))=TRUE,"",IF(AND('500DC'!AJ42="",'800DC'!AJ42=""),"ERR","")) &amp; IF(ISERROR(FIND($G$2,Lines!AJ42))=TRUE,"",IF('1000'!AJ42="","ERR","")) &amp; IF(ISERROR(FIND($H$2,Lines!AJ42))=TRUE,"",IF('500DC'!AJ42="","ERR","")) &amp; IF(ISERROR(FIND($I$2,Lines!AJ42))=TRUE,"",IF('800DC'!AJ42="","ERR","")) &amp; IF(ISERROR(FIND($J$2,Lines!AJ42))=TRUE,"",IF('1000'!AJ42="","ERR",""))</f>
        <v/>
      </c>
      <c r="AK42" s="137" t="str">
        <f>IF(ISERROR(FIND($B$2,Lines!AK42))=TRUE,"",IF('750'!AK42="","ERR","")) &amp; IF(ISERROR(FIND($C$2,Lines!AK42))=TRUE,"",IF('500'!AK42="","ERR","")) &amp; IF(ISERROR(FIND($D$2,Lines!AK42))=TRUE,"",IF('330'!AK42="","ERR","")) &amp; IF(ISERROR(FIND($E$2,Lines!AK42))=TRUE,"",IF('220'!AK42="","ERR",""))&amp; IF(ISERROR(FIND($F$2,Lines!AK42))=TRUE,"",IF(AND('500DC'!AK42="",'800DC'!AK42=""),"ERR","")) &amp; IF(ISERROR(FIND($G$2,Lines!AK42))=TRUE,"",IF('1000'!AK42="","ERR","")) &amp; IF(ISERROR(FIND($H$2,Lines!AK42))=TRUE,"",IF('500DC'!AK42="","ERR","")) &amp; IF(ISERROR(FIND($I$2,Lines!AK42))=TRUE,"",IF('800DC'!AK42="","ERR","")) &amp; IF(ISERROR(FIND($J$2,Lines!AK42))=TRUE,"",IF('1000'!AK42="","ERR",""))</f>
        <v/>
      </c>
      <c r="AL42" s="138" t="str">
        <f>IF(ISERROR(FIND($B$2,Lines!AL42))=TRUE,"",IF('750'!AL42="","ERR","")) &amp; IF(ISERROR(FIND($C$2,Lines!AL42))=TRUE,"",IF('500'!AL42="","ERR","")) &amp; IF(ISERROR(FIND($D$2,Lines!AL42))=TRUE,"",IF('330'!AL42="","ERR","")) &amp; IF(ISERROR(FIND($E$2,Lines!AL42))=TRUE,"",IF('220'!AL42="","ERR",""))&amp; IF(ISERROR(FIND($F$2,Lines!AL42))=TRUE,"",IF(AND('500DC'!AL42="",'800DC'!AL42=""),"ERR","")) &amp; IF(ISERROR(FIND($G$2,Lines!AL42))=TRUE,"",IF('1000'!AL42="","ERR","")) &amp; IF(ISERROR(FIND($H$2,Lines!AL42))=TRUE,"",IF('500DC'!AL42="","ERR","")) &amp; IF(ISERROR(FIND($I$2,Lines!AL42))=TRUE,"",IF('800DC'!AL42="","ERR","")) &amp; IF(ISERROR(FIND($J$2,Lines!AL42))=TRUE,"",IF('1000'!AL42="","ERR",""))</f>
        <v/>
      </c>
      <c r="AM42" s="138" t="str">
        <f>IF(ISERROR(FIND($B$2,Lines!AM42))=TRUE,"",IF('750'!AM42="","ERR","")) &amp; IF(ISERROR(FIND($C$2,Lines!AM42))=TRUE,"",IF('500'!AM42="","ERR","")) &amp; IF(ISERROR(FIND($D$2,Lines!AM42))=TRUE,"",IF('330'!AM42="","ERR","")) &amp; IF(ISERROR(FIND($E$2,Lines!AM42))=TRUE,"",IF('220'!AM42="","ERR",""))&amp; IF(ISERROR(FIND($F$2,Lines!AM42))=TRUE,"",IF(AND('500DC'!AM42="",'800DC'!AM42=""),"ERR","")) &amp; IF(ISERROR(FIND($G$2,Lines!AM42))=TRUE,"",IF('1000'!AM42="","ERR","")) &amp; IF(ISERROR(FIND($H$2,Lines!AM42))=TRUE,"",IF('500DC'!AM42="","ERR","")) &amp; IF(ISERROR(FIND($I$2,Lines!AM42))=TRUE,"",IF('800DC'!AM42="","ERR","")) &amp; IF(ISERROR(FIND($J$2,Lines!AM42))=TRUE,"",IF('1000'!AM42="","ERR",""))</f>
        <v/>
      </c>
      <c r="AN42" s="116" t="str">
        <f>IF(ISERROR(FIND($B$2,Lines!AN42))=TRUE,"",IF('750'!AN42="","ERR","")) &amp; IF(ISERROR(FIND($C$2,Lines!AN42))=TRUE,"",IF('500'!AN42="","ERR","")) &amp; IF(ISERROR(FIND($D$2,Lines!AN42))=TRUE,"",IF('330'!AN42="","ERR","")) &amp; IF(ISERROR(FIND($E$2,Lines!AN42))=TRUE,"",IF('220'!AN42="","ERR",""))&amp; IF(ISERROR(FIND($F$2,Lines!AN42))=TRUE,"",IF(AND('500DC'!AN42="",'800DC'!AN42=""),"ERR","")) &amp; IF(ISERROR(FIND($G$2,Lines!AN42))=TRUE,"",IF('1000'!AN42="","ERR","")) &amp; IF(ISERROR(FIND($H$2,Lines!AN42))=TRUE,"",IF('500DC'!AN42="","ERR","")) &amp; IF(ISERROR(FIND($I$2,Lines!AN42))=TRUE,"",IF('800DC'!AN42="","ERR","")) &amp; IF(ISERROR(FIND($J$2,Lines!AN42))=TRUE,"",IF('1000'!AN42="","ERR",""))</f>
        <v/>
      </c>
      <c r="AO42" s="139" t="str">
        <f>IF(ISERROR(FIND($B$2,Lines!AO42))=TRUE,"",IF('750'!AO42="","ERR","")) &amp; IF(ISERROR(FIND($C$2,Lines!AO42))=TRUE,"",IF('500'!AO42="","ERR","")) &amp; IF(ISERROR(FIND($D$2,Lines!AO42))=TRUE,"",IF('330'!AO42="","ERR","")) &amp; IF(ISERROR(FIND($E$2,Lines!AO42))=TRUE,"",IF('220'!AO42="","ERR",""))&amp; IF(ISERROR(FIND($F$2,Lines!AO42))=TRUE,"",IF(AND('500DC'!AO42="",'800DC'!AO42=""),"ERR","")) &amp; IF(ISERROR(FIND($G$2,Lines!AO42))=TRUE,"",IF('1000'!AO42="","ERR","")) &amp; IF(ISERROR(FIND($H$2,Lines!AO42))=TRUE,"",IF('500DC'!AO42="","ERR","")) &amp; IF(ISERROR(FIND($I$2,Lines!AO42))=TRUE,"",IF('800DC'!AO42="","ERR","")) &amp; IF(ISERROR(FIND($J$2,Lines!AO42))=TRUE,"",IF('1000'!AO42="","ERR",""))</f>
        <v/>
      </c>
      <c r="AP42" s="108" t="str">
        <f>IF(ISERROR(FIND($B$2,Lines!AP42))=TRUE,"",IF('750'!AP42="","ERR","")) &amp; IF(ISERROR(FIND($C$2,Lines!AP42))=TRUE,"",IF('500'!AP42="","ERR","")) &amp; IF(ISERROR(FIND($D$2,Lines!AP42))=TRUE,"",IF('330'!AP42="","ERR","")) &amp; IF(ISERROR(FIND($E$2,Lines!AP42))=TRUE,"",IF('220'!AP42="","ERR",""))&amp; IF(ISERROR(FIND($F$2,Lines!AP42))=TRUE,"",IF(AND('500DC'!AP42="",'800DC'!AP42=""),"ERR","")) &amp; IF(ISERROR(FIND($G$2,Lines!AP42))=TRUE,"",IF('1000'!AP42="","ERR","")) &amp; IF(ISERROR(FIND($H$2,Lines!AP42))=TRUE,"",IF('500DC'!AP42="","ERR","")) &amp; IF(ISERROR(FIND($I$2,Lines!AP42))=TRUE,"",IF('800DC'!AP42="","ERR","")) &amp; IF(ISERROR(FIND($J$2,Lines!AP42))=TRUE,"",IF('1000'!AP42="","ERR",""))</f>
        <v/>
      </c>
      <c r="AQ42" s="108" t="str">
        <f>IF(ISERROR(FIND($B$2,Lines!AQ42))=TRUE,"",IF('750'!AQ42="","ERR","")) &amp; IF(ISERROR(FIND($C$2,Lines!AQ42))=TRUE,"",IF('500'!AQ42="","ERR","")) &amp; IF(ISERROR(FIND($D$2,Lines!AQ42))=TRUE,"",IF('330'!AQ42="","ERR","")) &amp; IF(ISERROR(FIND($E$2,Lines!AQ42))=TRUE,"",IF('220'!AQ42="","ERR",""))&amp; IF(ISERROR(FIND($F$2,Lines!AQ42))=TRUE,"",IF(AND('500DC'!AQ42="",'800DC'!AQ42=""),"ERR","")) &amp; IF(ISERROR(FIND($G$2,Lines!AQ42))=TRUE,"",IF('1000'!AQ42="","ERR","")) &amp; IF(ISERROR(FIND($H$2,Lines!AQ42))=TRUE,"",IF('500DC'!AQ42="","ERR","")) &amp; IF(ISERROR(FIND($I$2,Lines!AQ42))=TRUE,"",IF('800DC'!AQ42="","ERR","")) &amp; IF(ISERROR(FIND($J$2,Lines!AQ42))=TRUE,"",IF('1000'!AQ42="","ERR",""))</f>
        <v/>
      </c>
      <c r="AR42" s="108" t="str">
        <f>IF(ISERROR(FIND($B$2,Lines!AR42))=TRUE,"",IF('750'!AR42="","ERR","")) &amp; IF(ISERROR(FIND($C$2,Lines!AR42))=TRUE,"",IF('500'!AR42="","ERR","")) &amp; IF(ISERROR(FIND($D$2,Lines!AR42))=TRUE,"",IF('330'!AR42="","ERR","")) &amp; IF(ISERROR(FIND($E$2,Lines!AR42))=TRUE,"",IF('220'!AR42="","ERR",""))&amp; IF(ISERROR(FIND($F$2,Lines!AR42))=TRUE,"",IF(AND('500DC'!AR42="",'800DC'!AR42=""),"ERR","")) &amp; IF(ISERROR(FIND($G$2,Lines!AR42))=TRUE,"",IF('1000'!AR42="","ERR","")) &amp; IF(ISERROR(FIND($H$2,Lines!AR42))=TRUE,"",IF('500DC'!AR42="","ERR","")) &amp; IF(ISERROR(FIND($I$2,Lines!AR42))=TRUE,"",IF('800DC'!AR42="","ERR","")) &amp; IF(ISERROR(FIND($J$2,Lines!AR42))=TRUE,"",IF('1000'!AR42="","ERR",""))</f>
        <v/>
      </c>
      <c r="AS42" s="108" t="str">
        <f>IF(ISERROR(FIND($B$2,Lines!AS42))=TRUE,"",IF('750'!AS42="","ERR","")) &amp; IF(ISERROR(FIND($C$2,Lines!AS42))=TRUE,"",IF('500'!AS42="","ERR","")) &amp; IF(ISERROR(FIND($D$2,Lines!AS42))=TRUE,"",IF('330'!AS42="","ERR","")) &amp; IF(ISERROR(FIND($E$2,Lines!AS42))=TRUE,"",IF('220'!AS42="","ERR",""))&amp; IF(ISERROR(FIND($F$2,Lines!AS42))=TRUE,"",IF(AND('500DC'!AS42="",'800DC'!AS42=""),"ERR","")) &amp; IF(ISERROR(FIND($G$2,Lines!AS42))=TRUE,"",IF('1000'!AS42="","ERR","")) &amp; IF(ISERROR(FIND($H$2,Lines!AS42))=TRUE,"",IF('500DC'!AS42="","ERR","")) &amp; IF(ISERROR(FIND($I$2,Lines!AS42))=TRUE,"",IF('800DC'!AS42="","ERR","")) &amp; IF(ISERROR(FIND($J$2,Lines!AS42))=TRUE,"",IF('1000'!AS42="","ERR",""))</f>
        <v/>
      </c>
      <c r="AT42" s="108" t="str">
        <f>IF(ISERROR(FIND($B$2,Lines!AT42))=TRUE,"",IF('750'!AT42="","ERR","")) &amp; IF(ISERROR(FIND($C$2,Lines!AT42))=TRUE,"",IF('500'!AT42="","ERR","")) &amp; IF(ISERROR(FIND($D$2,Lines!AT42))=TRUE,"",IF('330'!AT42="","ERR","")) &amp; IF(ISERROR(FIND($E$2,Lines!AT42))=TRUE,"",IF('220'!AT42="","ERR",""))&amp; IF(ISERROR(FIND($F$2,Lines!AT42))=TRUE,"",IF(AND('500DC'!AT42="",'800DC'!AT42=""),"ERR","")) &amp; IF(ISERROR(FIND($G$2,Lines!AT42))=TRUE,"",IF('1000'!AT42="","ERR","")) &amp; IF(ISERROR(FIND($H$2,Lines!AT42))=TRUE,"",IF('500DC'!AT42="","ERR","")) &amp; IF(ISERROR(FIND($I$2,Lines!AT42))=TRUE,"",IF('800DC'!AT42="","ERR","")) &amp; IF(ISERROR(FIND($J$2,Lines!AT42))=TRUE,"",IF('1000'!AT42="","ERR",""))</f>
        <v/>
      </c>
    </row>
    <row r="43" spans="1:46" ht="20.25" customHeight="1">
      <c r="A43" s="2" t="s">
        <v>91</v>
      </c>
      <c r="B43" s="108" t="str">
        <f>IF(ISERROR(FIND($B$2,Lines!B43))=TRUE,"",IF('750'!B43="","ERR","")) &amp; IF(ISERROR(FIND($C$2,Lines!B43))=TRUE,"",IF('500'!B43="","ERR","")) &amp; IF(ISERROR(FIND($D$2,Lines!B43))=TRUE,"",IF('330'!B43="","ERR","")) &amp; IF(ISERROR(FIND($E$2,Lines!B43))=TRUE,"",IF('220'!B43="","ERR",""))&amp; IF(ISERROR(FIND($F$2,Lines!B43))=TRUE,"",IF(AND('500DC'!B43="",'800DC'!B43=""),"ERR","")) &amp; IF(ISERROR(FIND($G$2,Lines!B43))=TRUE,"",IF('1000'!B43="","ERR","")) &amp; IF(ISERROR(FIND($H$2,Lines!B43))=TRUE,"",IF('500DC'!B43="","ERR","")) &amp; IF(ISERROR(FIND($I$2,Lines!B43))=TRUE,"",IF('800DC'!B43="","ERR","")) &amp; IF(ISERROR(FIND($J$2,Lines!B43))=TRUE,"",IF('1000'!B43="","ERR",""))</f>
        <v/>
      </c>
      <c r="C43" s="108" t="str">
        <f>IF(ISERROR(FIND($B$2,Lines!C43))=TRUE,"",IF('750'!C43="","ERR","")) &amp; IF(ISERROR(FIND($C$2,Lines!C43))=TRUE,"",IF('500'!C43="","ERR","")) &amp; IF(ISERROR(FIND($D$2,Lines!C43))=TRUE,"",IF('330'!C43="","ERR","")) &amp; IF(ISERROR(FIND($E$2,Lines!C43))=TRUE,"",IF('220'!C43="","ERR",""))&amp; IF(ISERROR(FIND($F$2,Lines!C43))=TRUE,"",IF(AND('500DC'!C43="",'800DC'!C43=""),"ERR","")) &amp; IF(ISERROR(FIND($G$2,Lines!C43))=TRUE,"",IF('1000'!C43="","ERR","")) &amp; IF(ISERROR(FIND($H$2,Lines!C43))=TRUE,"",IF('500DC'!C43="","ERR","")) &amp; IF(ISERROR(FIND($I$2,Lines!C43))=TRUE,"",IF('800DC'!C43="","ERR","")) &amp; IF(ISERROR(FIND($J$2,Lines!C43))=TRUE,"",IF('1000'!C43="","ERR",""))</f>
        <v/>
      </c>
      <c r="D43" s="108" t="str">
        <f>IF(ISERROR(FIND($B$2,Lines!D43))=TRUE,"",IF('750'!D43="","ERR","")) &amp; IF(ISERROR(FIND($C$2,Lines!D43))=TRUE,"",IF('500'!D43="","ERR","")) &amp; IF(ISERROR(FIND($D$2,Lines!D43))=TRUE,"",IF('330'!D43="","ERR","")) &amp; IF(ISERROR(FIND($E$2,Lines!D43))=TRUE,"",IF('220'!D43="","ERR",""))&amp; IF(ISERROR(FIND($F$2,Lines!D43))=TRUE,"",IF(AND('500DC'!D43="",'800DC'!D43=""),"ERR","")) &amp; IF(ISERROR(FIND($G$2,Lines!D43))=TRUE,"",IF('1000'!D43="","ERR","")) &amp; IF(ISERROR(FIND($H$2,Lines!D43))=TRUE,"",IF('500DC'!D43="","ERR","")) &amp; IF(ISERROR(FIND($I$2,Lines!D43))=TRUE,"",IF('800DC'!D43="","ERR","")) &amp; IF(ISERROR(FIND($J$2,Lines!D43))=TRUE,"",IF('1000'!D43="","ERR",""))</f>
        <v/>
      </c>
      <c r="E43" s="108" t="str">
        <f>IF(ISERROR(FIND($B$2,Lines!E43))=TRUE,"",IF('750'!E43="","ERR","")) &amp; IF(ISERROR(FIND($C$2,Lines!E43))=TRUE,"",IF('500'!E43="","ERR","")) &amp; IF(ISERROR(FIND($D$2,Lines!E43))=TRUE,"",IF('330'!E43="","ERR","")) &amp; IF(ISERROR(FIND($E$2,Lines!E43))=TRUE,"",IF('220'!E43="","ERR",""))&amp; IF(ISERROR(FIND($F$2,Lines!E43))=TRUE,"",IF(AND('500DC'!E43="",'800DC'!E43=""),"ERR","")) &amp; IF(ISERROR(FIND($G$2,Lines!E43))=TRUE,"",IF('1000'!E43="","ERR","")) &amp; IF(ISERROR(FIND($H$2,Lines!E43))=TRUE,"",IF('500DC'!E43="","ERR","")) &amp; IF(ISERROR(FIND($I$2,Lines!E43))=TRUE,"",IF('800DC'!E43="","ERR","")) &amp; IF(ISERROR(FIND($J$2,Lines!E43))=TRUE,"",IF('1000'!E43="","ERR",""))</f>
        <v/>
      </c>
      <c r="F43" s="108" t="str">
        <f>IF(ISERROR(FIND($B$2,Lines!F43))=TRUE,"",IF('750'!F43="","ERR","")) &amp; IF(ISERROR(FIND($C$2,Lines!F43))=TRUE,"",IF('500'!F43="","ERR","")) &amp; IF(ISERROR(FIND($D$2,Lines!F43))=TRUE,"",IF('330'!F43="","ERR","")) &amp; IF(ISERROR(FIND($E$2,Lines!F43))=TRUE,"",IF('220'!F43="","ERR",""))&amp; IF(ISERROR(FIND($F$2,Lines!F43))=TRUE,"",IF(AND('500DC'!F43="",'800DC'!F43=""),"ERR","")) &amp; IF(ISERROR(FIND($G$2,Lines!F43))=TRUE,"",IF('1000'!F43="","ERR","")) &amp; IF(ISERROR(FIND($H$2,Lines!F43))=TRUE,"",IF('500DC'!F43="","ERR","")) &amp; IF(ISERROR(FIND($I$2,Lines!F43))=TRUE,"",IF('800DC'!F43="","ERR","")) &amp; IF(ISERROR(FIND($J$2,Lines!F43))=TRUE,"",IF('1000'!F43="","ERR",""))</f>
        <v/>
      </c>
      <c r="G43" s="108" t="str">
        <f>IF(ISERROR(FIND($B$2,Lines!G43))=TRUE,"",IF('750'!G43="","ERR","")) &amp; IF(ISERROR(FIND($C$2,Lines!G43))=TRUE,"",IF('500'!G43="","ERR","")) &amp; IF(ISERROR(FIND($D$2,Lines!G43))=TRUE,"",IF('330'!G43="","ERR","")) &amp; IF(ISERROR(FIND($E$2,Lines!G43))=TRUE,"",IF('220'!G43="","ERR",""))&amp; IF(ISERROR(FIND($F$2,Lines!G43))=TRUE,"",IF(AND('500DC'!G43="",'800DC'!G43=""),"ERR","")) &amp; IF(ISERROR(FIND($G$2,Lines!G43))=TRUE,"",IF('1000'!G43="","ERR","")) &amp; IF(ISERROR(FIND($H$2,Lines!G43))=TRUE,"",IF('500DC'!G43="","ERR","")) &amp; IF(ISERROR(FIND($I$2,Lines!G43))=TRUE,"",IF('800DC'!G43="","ERR","")) &amp; IF(ISERROR(FIND($J$2,Lines!G43))=TRUE,"",IF('1000'!G43="","ERR",""))</f>
        <v/>
      </c>
      <c r="H43" s="108" t="str">
        <f>IF(ISERROR(FIND($B$2,Lines!H43))=TRUE,"",IF('750'!H43="","ERR","")) &amp; IF(ISERROR(FIND($C$2,Lines!H43))=TRUE,"",IF('500'!H43="","ERR","")) &amp; IF(ISERROR(FIND($D$2,Lines!H43))=TRUE,"",IF('330'!H43="","ERR","")) &amp; IF(ISERROR(FIND($E$2,Lines!H43))=TRUE,"",IF('220'!H43="","ERR",""))&amp; IF(ISERROR(FIND($F$2,Lines!H43))=TRUE,"",IF(AND('500DC'!H43="",'800DC'!H43=""),"ERR","")) &amp; IF(ISERROR(FIND($G$2,Lines!H43))=TRUE,"",IF('1000'!H43="","ERR","")) &amp; IF(ISERROR(FIND($H$2,Lines!H43))=TRUE,"",IF('500DC'!H43="","ERR","")) &amp; IF(ISERROR(FIND($I$2,Lines!H43))=TRUE,"",IF('800DC'!H43="","ERR","")) &amp; IF(ISERROR(FIND($J$2,Lines!H43))=TRUE,"",IF('1000'!H43="","ERR",""))</f>
        <v/>
      </c>
      <c r="I43" s="108" t="str">
        <f>IF(ISERROR(FIND($B$2,Lines!I43))=TRUE,"",IF('750'!I43="","ERR","")) &amp; IF(ISERROR(FIND($C$2,Lines!I43))=TRUE,"",IF('500'!I43="","ERR","")) &amp; IF(ISERROR(FIND($D$2,Lines!I43))=TRUE,"",IF('330'!I43="","ERR","")) &amp; IF(ISERROR(FIND($E$2,Lines!I43))=TRUE,"",IF('220'!I43="","ERR",""))&amp; IF(ISERROR(FIND($F$2,Lines!I43))=TRUE,"",IF(AND('500DC'!I43="",'800DC'!I43=""),"ERR","")) &amp; IF(ISERROR(FIND($G$2,Lines!I43))=TRUE,"",IF('1000'!I43="","ERR","")) &amp; IF(ISERROR(FIND($H$2,Lines!I43))=TRUE,"",IF('500DC'!I43="","ERR","")) &amp; IF(ISERROR(FIND($I$2,Lines!I43))=TRUE,"",IF('800DC'!I43="","ERR","")) &amp; IF(ISERROR(FIND($J$2,Lines!I43))=TRUE,"",IF('1000'!I43="","ERR",""))</f>
        <v/>
      </c>
      <c r="J43" s="108" t="str">
        <f>IF(ISERROR(FIND($B$2,Lines!J43))=TRUE,"",IF('750'!J43="","ERR","")) &amp; IF(ISERROR(FIND($C$2,Lines!J43))=TRUE,"",IF('500'!J43="","ERR","")) &amp; IF(ISERROR(FIND($D$2,Lines!J43))=TRUE,"",IF('330'!J43="","ERR","")) &amp; IF(ISERROR(FIND($E$2,Lines!J43))=TRUE,"",IF('220'!J43="","ERR",""))&amp; IF(ISERROR(FIND($F$2,Lines!J43))=TRUE,"",IF(AND('500DC'!J43="",'800DC'!J43=""),"ERR","")) &amp; IF(ISERROR(FIND($G$2,Lines!J43))=TRUE,"",IF('1000'!J43="","ERR","")) &amp; IF(ISERROR(FIND($H$2,Lines!J43))=TRUE,"",IF('500DC'!J43="","ERR","")) &amp; IF(ISERROR(FIND($I$2,Lines!J43))=TRUE,"",IF('800DC'!J43="","ERR","")) &amp; IF(ISERROR(FIND($J$2,Lines!J43))=TRUE,"",IF('1000'!J43="","ERR",""))</f>
        <v/>
      </c>
      <c r="K43" s="108" t="str">
        <f>IF(ISERROR(FIND($B$2,Lines!K43))=TRUE,"",IF('750'!K43="","ERR","")) &amp; IF(ISERROR(FIND($C$2,Lines!K43))=TRUE,"",IF('500'!K43="","ERR","")) &amp; IF(ISERROR(FIND($D$2,Lines!K43))=TRUE,"",IF('330'!K43="","ERR","")) &amp; IF(ISERROR(FIND($E$2,Lines!K43))=TRUE,"",IF('220'!K43="","ERR",""))&amp; IF(ISERROR(FIND($F$2,Lines!K43))=TRUE,"",IF(AND('500DC'!K43="",'800DC'!K43=""),"ERR","")) &amp; IF(ISERROR(FIND($G$2,Lines!K43))=TRUE,"",IF('1000'!K43="","ERR","")) &amp; IF(ISERROR(FIND($H$2,Lines!K43))=TRUE,"",IF('500DC'!K43="","ERR","")) &amp; IF(ISERROR(FIND($I$2,Lines!K43))=TRUE,"",IF('800DC'!K43="","ERR","")) &amp; IF(ISERROR(FIND($J$2,Lines!K43))=TRUE,"",IF('1000'!K43="","ERR",""))</f>
        <v/>
      </c>
      <c r="L43" s="108" t="str">
        <f>IF(ISERROR(FIND($B$2,Lines!L43))=TRUE,"",IF('750'!L43="","ERR","")) &amp; IF(ISERROR(FIND($C$2,Lines!L43))=TRUE,"",IF('500'!L43="","ERR","")) &amp; IF(ISERROR(FIND($D$2,Lines!L43))=TRUE,"",IF('330'!L43="","ERR","")) &amp; IF(ISERROR(FIND($E$2,Lines!L43))=TRUE,"",IF('220'!L43="","ERR",""))&amp; IF(ISERROR(FIND($F$2,Lines!L43))=TRUE,"",IF(AND('500DC'!L43="",'800DC'!L43=""),"ERR","")) &amp; IF(ISERROR(FIND($G$2,Lines!L43))=TRUE,"",IF('1000'!L43="","ERR","")) &amp; IF(ISERROR(FIND($H$2,Lines!L43))=TRUE,"",IF('500DC'!L43="","ERR","")) &amp; IF(ISERROR(FIND($I$2,Lines!L43))=TRUE,"",IF('800DC'!L43="","ERR","")) &amp; IF(ISERROR(FIND($J$2,Lines!L43))=TRUE,"",IF('1000'!L43="","ERR",""))</f>
        <v/>
      </c>
      <c r="M43" s="108" t="str">
        <f>IF(ISERROR(FIND($B$2,Lines!M43))=TRUE,"",IF('750'!M43="","ERR","")) &amp; IF(ISERROR(FIND($C$2,Lines!M43))=TRUE,"",IF('500'!M43="","ERR","")) &amp; IF(ISERROR(FIND($D$2,Lines!M43))=TRUE,"",IF('330'!M43="","ERR","")) &amp; IF(ISERROR(FIND($E$2,Lines!M43))=TRUE,"",IF('220'!M43="","ERR",""))&amp; IF(ISERROR(FIND($F$2,Lines!M43))=TRUE,"",IF(AND('500DC'!M43="",'800DC'!M43=""),"ERR","")) &amp; IF(ISERROR(FIND($G$2,Lines!M43))=TRUE,"",IF('1000'!M43="","ERR","")) &amp; IF(ISERROR(FIND($H$2,Lines!M43))=TRUE,"",IF('500DC'!M43="","ERR","")) &amp; IF(ISERROR(FIND($I$2,Lines!M43))=TRUE,"",IF('800DC'!M43="","ERR","")) &amp; IF(ISERROR(FIND($J$2,Lines!M43))=TRUE,"",IF('1000'!M43="","ERR",""))</f>
        <v/>
      </c>
      <c r="N43" s="108" t="str">
        <f>IF(ISERROR(FIND($B$2,Lines!N43))=TRUE,"",IF('750'!N43="","ERR","")) &amp; IF(ISERROR(FIND($C$2,Lines!N43))=TRUE,"",IF('500'!N43="","ERR","")) &amp; IF(ISERROR(FIND($D$2,Lines!N43))=TRUE,"",IF('330'!N43="","ERR","")) &amp; IF(ISERROR(FIND($E$2,Lines!N43))=TRUE,"",IF('220'!N43="","ERR",""))&amp; IF(ISERROR(FIND($F$2,Lines!N43))=TRUE,"",IF(AND('500DC'!N43="",'800DC'!N43=""),"ERR","")) &amp; IF(ISERROR(FIND($G$2,Lines!N43))=TRUE,"",IF('1000'!N43="","ERR","")) &amp; IF(ISERROR(FIND($H$2,Lines!N43))=TRUE,"",IF('500DC'!N43="","ERR","")) &amp; IF(ISERROR(FIND($I$2,Lines!N43))=TRUE,"",IF('800DC'!N43="","ERR","")) &amp; IF(ISERROR(FIND($J$2,Lines!N43))=TRUE,"",IF('1000'!N43="","ERR",""))</f>
        <v/>
      </c>
      <c r="O43" s="108" t="str">
        <f>IF(ISERROR(FIND($B$2,Lines!O43))=TRUE,"",IF('750'!O43="","ERR","")) &amp; IF(ISERROR(FIND($C$2,Lines!O43))=TRUE,"",IF('500'!O43="","ERR","")) &amp; IF(ISERROR(FIND($D$2,Lines!O43))=TRUE,"",IF('330'!O43="","ERR","")) &amp; IF(ISERROR(FIND($E$2,Lines!O43))=TRUE,"",IF('220'!O43="","ERR",""))&amp; IF(ISERROR(FIND($F$2,Lines!O43))=TRUE,"",IF(AND('500DC'!O43="",'800DC'!O43=""),"ERR","")) &amp; IF(ISERROR(FIND($G$2,Lines!O43))=TRUE,"",IF('1000'!O43="","ERR","")) &amp; IF(ISERROR(FIND($H$2,Lines!O43))=TRUE,"",IF('500DC'!O43="","ERR","")) &amp; IF(ISERROR(FIND($I$2,Lines!O43))=TRUE,"",IF('800DC'!O43="","ERR","")) &amp; IF(ISERROR(FIND($J$2,Lines!O43))=TRUE,"",IF('1000'!O43="","ERR",""))</f>
        <v/>
      </c>
      <c r="P43" s="108" t="str">
        <f>IF(ISERROR(FIND($B$2,Lines!P43))=TRUE,"",IF('750'!P43="","ERR","")) &amp; IF(ISERROR(FIND($C$2,Lines!P43))=TRUE,"",IF('500'!P43="","ERR","")) &amp; IF(ISERROR(FIND($D$2,Lines!P43))=TRUE,"",IF('330'!P43="","ERR","")) &amp; IF(ISERROR(FIND($E$2,Lines!P43))=TRUE,"",IF('220'!P43="","ERR",""))&amp; IF(ISERROR(FIND($F$2,Lines!P43))=TRUE,"",IF(AND('500DC'!P43="",'800DC'!P43=""),"ERR","")) &amp; IF(ISERROR(FIND($G$2,Lines!P43))=TRUE,"",IF('1000'!P43="","ERR","")) &amp; IF(ISERROR(FIND($H$2,Lines!P43))=TRUE,"",IF('500DC'!P43="","ERR","")) &amp; IF(ISERROR(FIND($I$2,Lines!P43))=TRUE,"",IF('800DC'!P43="","ERR","")) &amp; IF(ISERROR(FIND($J$2,Lines!P43))=TRUE,"",IF('1000'!P43="","ERR",""))</f>
        <v/>
      </c>
      <c r="Q43" s="108" t="str">
        <f>IF(ISERROR(FIND($B$2,Lines!Q43))=TRUE,"",IF('750'!Q43="","ERR","")) &amp; IF(ISERROR(FIND($C$2,Lines!Q43))=TRUE,"",IF('500'!Q43="","ERR","")) &amp; IF(ISERROR(FIND($D$2,Lines!Q43))=TRUE,"",IF('330'!Q43="","ERR","")) &amp; IF(ISERROR(FIND($E$2,Lines!Q43))=TRUE,"",IF('220'!Q43="","ERR",""))&amp; IF(ISERROR(FIND($F$2,Lines!Q43))=TRUE,"",IF(AND('500DC'!Q43="",'800DC'!Q43=""),"ERR","")) &amp; IF(ISERROR(FIND($G$2,Lines!Q43))=TRUE,"",IF('1000'!Q43="","ERR","")) &amp; IF(ISERROR(FIND($H$2,Lines!Q43))=TRUE,"",IF('500DC'!Q43="","ERR","")) &amp; IF(ISERROR(FIND($I$2,Lines!Q43))=TRUE,"",IF('800DC'!Q43="","ERR","")) &amp; IF(ISERROR(FIND($J$2,Lines!Q43))=TRUE,"",IF('1000'!Q43="","ERR",""))</f>
        <v/>
      </c>
      <c r="R43" s="108" t="str">
        <f>IF(ISERROR(FIND($B$2,Lines!R43))=TRUE,"",IF('750'!R43="","ERR","")) &amp; IF(ISERROR(FIND($C$2,Lines!R43))=TRUE,"",IF('500'!R43="","ERR","")) &amp; IF(ISERROR(FIND($D$2,Lines!R43))=TRUE,"",IF('330'!R43="","ERR","")) &amp; IF(ISERROR(FIND($E$2,Lines!R43))=TRUE,"",IF('220'!R43="","ERR",""))&amp; IF(ISERROR(FIND($F$2,Lines!R43))=TRUE,"",IF(AND('500DC'!R43="",'800DC'!R43=""),"ERR","")) &amp; IF(ISERROR(FIND($G$2,Lines!R43))=TRUE,"",IF('1000'!R43="","ERR","")) &amp; IF(ISERROR(FIND($H$2,Lines!R43))=TRUE,"",IF('500DC'!R43="","ERR","")) &amp; IF(ISERROR(FIND($I$2,Lines!R43))=TRUE,"",IF('800DC'!R43="","ERR","")) &amp; IF(ISERROR(FIND($J$2,Lines!R43))=TRUE,"",IF('1000'!R43="","ERR",""))</f>
        <v/>
      </c>
      <c r="S43" s="108" t="str">
        <f>IF(ISERROR(FIND($B$2,Lines!S43))=TRUE,"",IF('750'!S43="","ERR","")) &amp; IF(ISERROR(FIND($C$2,Lines!S43))=TRUE,"",IF('500'!S43="","ERR","")) &amp; IF(ISERROR(FIND($D$2,Lines!S43))=TRUE,"",IF('330'!S43="","ERR","")) &amp; IF(ISERROR(FIND($E$2,Lines!S43))=TRUE,"",IF('220'!S43="","ERR",""))&amp; IF(ISERROR(FIND($F$2,Lines!S43))=TRUE,"",IF(AND('500DC'!S43="",'800DC'!S43=""),"ERR","")) &amp; IF(ISERROR(FIND($G$2,Lines!S43))=TRUE,"",IF('1000'!S43="","ERR","")) &amp; IF(ISERROR(FIND($H$2,Lines!S43))=TRUE,"",IF('500DC'!S43="","ERR","")) &amp; IF(ISERROR(FIND($I$2,Lines!S43))=TRUE,"",IF('800DC'!S43="","ERR","")) &amp; IF(ISERROR(FIND($J$2,Lines!S43))=TRUE,"",IF('1000'!S43="","ERR",""))</f>
        <v/>
      </c>
      <c r="T43" s="108" t="str">
        <f>IF(ISERROR(FIND($B$2,Lines!T43))=TRUE,"",IF('750'!T43="","ERR","")) &amp; IF(ISERROR(FIND($C$2,Lines!T43))=TRUE,"",IF('500'!T43="","ERR","")) &amp; IF(ISERROR(FIND($D$2,Lines!T43))=TRUE,"",IF('330'!T43="","ERR","")) &amp; IF(ISERROR(FIND($E$2,Lines!T43))=TRUE,"",IF('220'!T43="","ERR",""))&amp; IF(ISERROR(FIND($F$2,Lines!T43))=TRUE,"",IF(AND('500DC'!T43="",'800DC'!T43=""),"ERR","")) &amp; IF(ISERROR(FIND($G$2,Lines!T43))=TRUE,"",IF('1000'!T43="","ERR","")) &amp; IF(ISERROR(FIND($H$2,Lines!T43))=TRUE,"",IF('500DC'!T43="","ERR","")) &amp; IF(ISERROR(FIND($I$2,Lines!T43))=TRUE,"",IF('800DC'!T43="","ERR","")) &amp; IF(ISERROR(FIND($J$2,Lines!T43))=TRUE,"",IF('1000'!T43="","ERR",""))</f>
        <v/>
      </c>
      <c r="U43" s="108" t="str">
        <f>IF(ISERROR(FIND($B$2,Lines!U43))=TRUE,"",IF('750'!U43="","ERR","")) &amp; IF(ISERROR(FIND($C$2,Lines!U43))=TRUE,"",IF('500'!U43="","ERR","")) &amp; IF(ISERROR(FIND($D$2,Lines!U43))=TRUE,"",IF('330'!U43="","ERR","")) &amp; IF(ISERROR(FIND($E$2,Lines!U43))=TRUE,"",IF('220'!U43="","ERR",""))&amp; IF(ISERROR(FIND($F$2,Lines!U43))=TRUE,"",IF(AND('500DC'!U43="",'800DC'!U43=""),"ERR","")) &amp; IF(ISERROR(FIND($G$2,Lines!U43))=TRUE,"",IF('1000'!U43="","ERR","")) &amp; IF(ISERROR(FIND($H$2,Lines!U43))=TRUE,"",IF('500DC'!U43="","ERR","")) &amp; IF(ISERROR(FIND($I$2,Lines!U43))=TRUE,"",IF('800DC'!U43="","ERR","")) &amp; IF(ISERROR(FIND($J$2,Lines!U43))=TRUE,"",IF('1000'!U43="","ERR",""))</f>
        <v/>
      </c>
      <c r="V43" s="108" t="str">
        <f>IF(ISERROR(FIND($B$2,Lines!V43))=TRUE,"",IF('750'!V43="","ERR","")) &amp; IF(ISERROR(FIND($C$2,Lines!V43))=TRUE,"",IF('500'!V43="","ERR","")) &amp; IF(ISERROR(FIND($D$2,Lines!V43))=TRUE,"",IF('330'!V43="","ERR","")) &amp; IF(ISERROR(FIND($E$2,Lines!V43))=TRUE,"",IF('220'!V43="","ERR",""))&amp; IF(ISERROR(FIND($F$2,Lines!V43))=TRUE,"",IF(AND('500DC'!V43="",'800DC'!V43=""),"ERR","")) &amp; IF(ISERROR(FIND($G$2,Lines!V43))=TRUE,"",IF('1000'!V43="","ERR","")) &amp; IF(ISERROR(FIND($H$2,Lines!V43))=TRUE,"",IF('500DC'!V43="","ERR","")) &amp; IF(ISERROR(FIND($I$2,Lines!V43))=TRUE,"",IF('800DC'!V43="","ERR","")) &amp; IF(ISERROR(FIND($J$2,Lines!V43))=TRUE,"",IF('1000'!V43="","ERR",""))</f>
        <v/>
      </c>
      <c r="W43" s="109" t="str">
        <f>IF(ISERROR(FIND($B$2,Lines!W43))=TRUE,"",IF('750'!W43="","ERR","")) &amp; IF(ISERROR(FIND($C$2,Lines!W43))=TRUE,"",IF('500'!W43="","ERR","")) &amp; IF(ISERROR(FIND($D$2,Lines!W43))=TRUE,"",IF('330'!W43="","ERR","")) &amp; IF(ISERROR(FIND($E$2,Lines!W43))=TRUE,"",IF('220'!W43="","ERR",""))&amp; IF(ISERROR(FIND($F$2,Lines!W43))=TRUE,"",IF(AND('500DC'!W43="",'800DC'!W43=""),"ERR","")) &amp; IF(ISERROR(FIND($G$2,Lines!W43))=TRUE,"",IF('1000'!W43="","ERR","")) &amp; IF(ISERROR(FIND($H$2,Lines!W43))=TRUE,"",IF('500DC'!W43="","ERR","")) &amp; IF(ISERROR(FIND($I$2,Lines!W43))=TRUE,"",IF('800DC'!W43="","ERR","")) &amp; IF(ISERROR(FIND($J$2,Lines!W43))=TRUE,"",IF('1000'!W43="","ERR",""))</f>
        <v/>
      </c>
      <c r="X43" s="108" t="str">
        <f>IF(ISERROR(FIND($B$2,Lines!X43))=TRUE,"",IF('750'!X43="","ERR","")) &amp; IF(ISERROR(FIND($C$2,Lines!X43))=TRUE,"",IF('500'!X43="","ERR","")) &amp; IF(ISERROR(FIND($D$2,Lines!X43))=TRUE,"",IF('330'!X43="","ERR","")) &amp; IF(ISERROR(FIND($E$2,Lines!X43))=TRUE,"",IF('220'!X43="","ERR",""))&amp; IF(ISERROR(FIND($F$2,Lines!X43))=TRUE,"",IF(AND('500DC'!X43="",'800DC'!X43=""),"ERR","")) &amp; IF(ISERROR(FIND($G$2,Lines!X43))=TRUE,"",IF('1000'!X43="","ERR","")) &amp; IF(ISERROR(FIND($H$2,Lines!X43))=TRUE,"",IF('500DC'!X43="","ERR","")) &amp; IF(ISERROR(FIND($I$2,Lines!X43))=TRUE,"",IF('800DC'!X43="","ERR","")) &amp; IF(ISERROR(FIND($J$2,Lines!X43))=TRUE,"",IF('1000'!X43="","ERR",""))</f>
        <v/>
      </c>
      <c r="Y43" s="108" t="str">
        <f>IF(ISERROR(FIND($B$2,Lines!Y43))=TRUE,"",IF('750'!Y43="","ERR","")) &amp; IF(ISERROR(FIND($C$2,Lines!Y43))=TRUE,"",IF('500'!Y43="","ERR","")) &amp; IF(ISERROR(FIND($D$2,Lines!Y43))=TRUE,"",IF('330'!Y43="","ERR","")) &amp; IF(ISERROR(FIND($E$2,Lines!Y43))=TRUE,"",IF('220'!Y43="","ERR",""))&amp; IF(ISERROR(FIND($F$2,Lines!Y43))=TRUE,"",IF(AND('500DC'!Y43="",'800DC'!Y43=""),"ERR","")) &amp; IF(ISERROR(FIND($G$2,Lines!Y43))=TRUE,"",IF('1000'!Y43="","ERR","")) &amp; IF(ISERROR(FIND($H$2,Lines!Y43))=TRUE,"",IF('500DC'!Y43="","ERR","")) &amp; IF(ISERROR(FIND($I$2,Lines!Y43))=TRUE,"",IF('800DC'!Y43="","ERR","")) &amp; IF(ISERROR(FIND($J$2,Lines!Y43))=TRUE,"",IF('1000'!Y43="","ERR",""))</f>
        <v/>
      </c>
      <c r="Z43" s="108" t="str">
        <f>IF(ISERROR(FIND($B$2,Lines!Z43))=TRUE,"",IF('750'!Z43="","ERR","")) &amp; IF(ISERROR(FIND($C$2,Lines!Z43))=TRUE,"",IF('500'!Z43="","ERR","")) &amp; IF(ISERROR(FIND($D$2,Lines!Z43))=TRUE,"",IF('330'!Z43="","ERR","")) &amp; IF(ISERROR(FIND($E$2,Lines!Z43))=TRUE,"",IF('220'!Z43="","ERR",""))&amp; IF(ISERROR(FIND($F$2,Lines!Z43))=TRUE,"",IF(AND('500DC'!Z43="",'800DC'!Z43=""),"ERR","")) &amp; IF(ISERROR(FIND($G$2,Lines!Z43))=TRUE,"",IF('1000'!Z43="","ERR","")) &amp; IF(ISERROR(FIND($H$2,Lines!Z43))=TRUE,"",IF('500DC'!Z43="","ERR","")) &amp; IF(ISERROR(FIND($I$2,Lines!Z43))=TRUE,"",IF('800DC'!Z43="","ERR","")) &amp; IF(ISERROR(FIND($J$2,Lines!Z43))=TRUE,"",IF('1000'!Z43="","ERR",""))</f>
        <v/>
      </c>
      <c r="AA43" s="108" t="str">
        <f>IF(ISERROR(FIND($B$2,Lines!AA43))=TRUE,"",IF('750'!AA43="","ERR","")) &amp; IF(ISERROR(FIND($C$2,Lines!AA43))=TRUE,"",IF('500'!AA43="","ERR","")) &amp; IF(ISERROR(FIND($D$2,Lines!AA43))=TRUE,"",IF('330'!AA43="","ERR","")) &amp; IF(ISERROR(FIND($E$2,Lines!AA43))=TRUE,"",IF('220'!AA43="","ERR",""))&amp; IF(ISERROR(FIND($F$2,Lines!AA43))=TRUE,"",IF(AND('500DC'!AA43="",'800DC'!AA43=""),"ERR","")) &amp; IF(ISERROR(FIND($G$2,Lines!AA43))=TRUE,"",IF('1000'!AA43="","ERR","")) &amp; IF(ISERROR(FIND($H$2,Lines!AA43))=TRUE,"",IF('500DC'!AA43="","ERR","")) &amp; IF(ISERROR(FIND($I$2,Lines!AA43))=TRUE,"",IF('800DC'!AA43="","ERR","")) &amp; IF(ISERROR(FIND($J$2,Lines!AA43))=TRUE,"",IF('1000'!AA43="","ERR",""))</f>
        <v/>
      </c>
      <c r="AB43" s="108" t="str">
        <f>IF(ISERROR(FIND($B$2,Lines!AB43))=TRUE,"",IF('750'!AB43="","ERR","")) &amp; IF(ISERROR(FIND($C$2,Lines!AB43))=TRUE,"",IF('500'!AB43="","ERR","")) &amp; IF(ISERROR(FIND($D$2,Lines!AB43))=TRUE,"",IF('330'!AB43="","ERR","")) &amp; IF(ISERROR(FIND($E$2,Lines!AB43))=TRUE,"",IF('220'!AB43="","ERR",""))&amp; IF(ISERROR(FIND($F$2,Lines!AB43))=TRUE,"",IF(AND('500DC'!AB43="",'800DC'!AB43=""),"ERR","")) &amp; IF(ISERROR(FIND($G$2,Lines!AB43))=TRUE,"",IF('1000'!AB43="","ERR","")) &amp; IF(ISERROR(FIND($H$2,Lines!AB43))=TRUE,"",IF('500DC'!AB43="","ERR","")) &amp; IF(ISERROR(FIND($I$2,Lines!AB43))=TRUE,"",IF('800DC'!AB43="","ERR","")) &amp; IF(ISERROR(FIND($J$2,Lines!AB43))=TRUE,"",IF('1000'!AB43="","ERR",""))</f>
        <v/>
      </c>
      <c r="AC43" s="108" t="str">
        <f>IF(ISERROR(FIND($B$2,Lines!AC43))=TRUE,"",IF('750'!AC43="","ERR","")) &amp; IF(ISERROR(FIND($C$2,Lines!AC43))=TRUE,"",IF('500'!AC43="","ERR","")) &amp; IF(ISERROR(FIND($D$2,Lines!AC43))=TRUE,"",IF('330'!AC43="","ERR","")) &amp; IF(ISERROR(FIND($E$2,Lines!AC43))=TRUE,"",IF('220'!AC43="","ERR",""))&amp; IF(ISERROR(FIND($F$2,Lines!AC43))=TRUE,"",IF(AND('500DC'!AC43="",'800DC'!AC43=""),"ERR","")) &amp; IF(ISERROR(FIND($G$2,Lines!AC43))=TRUE,"",IF('1000'!AC43="","ERR","")) &amp; IF(ISERROR(FIND($H$2,Lines!AC43))=TRUE,"",IF('500DC'!AC43="","ERR","")) &amp; IF(ISERROR(FIND($I$2,Lines!AC43))=TRUE,"",IF('800DC'!AC43="","ERR","")) &amp; IF(ISERROR(FIND($J$2,Lines!AC43))=TRUE,"",IF('1000'!AC43="","ERR",""))</f>
        <v/>
      </c>
      <c r="AD43" s="108" t="str">
        <f>IF(ISERROR(FIND($B$2,Lines!AD43))=TRUE,"",IF('750'!AD43="","ERR","")) &amp; IF(ISERROR(FIND($C$2,Lines!AD43))=TRUE,"",IF('500'!AD43="","ERR","")) &amp; IF(ISERROR(FIND($D$2,Lines!AD43))=TRUE,"",IF('330'!AD43="","ERR","")) &amp; IF(ISERROR(FIND($E$2,Lines!AD43))=TRUE,"",IF('220'!AD43="","ERR",""))&amp; IF(ISERROR(FIND($F$2,Lines!AD43))=TRUE,"",IF(AND('500DC'!AD43="",'800DC'!AD43=""),"ERR","")) &amp; IF(ISERROR(FIND($G$2,Lines!AD43))=TRUE,"",IF('1000'!AD43="","ERR","")) &amp; IF(ISERROR(FIND($H$2,Lines!AD43))=TRUE,"",IF('500DC'!AD43="","ERR","")) &amp; IF(ISERROR(FIND($I$2,Lines!AD43))=TRUE,"",IF('800DC'!AD43="","ERR","")) &amp; IF(ISERROR(FIND($J$2,Lines!AD43))=TRUE,"",IF('1000'!AD43="","ERR",""))</f>
        <v/>
      </c>
      <c r="AE43" s="108" t="str">
        <f>IF(ISERROR(FIND($B$2,Lines!AE43))=TRUE,"",IF('750'!AE43="","ERR","")) &amp; IF(ISERROR(FIND($C$2,Lines!AE43))=TRUE,"",IF('500'!AE43="","ERR","")) &amp; IF(ISERROR(FIND($D$2,Lines!AE43))=TRUE,"",IF('330'!AE43="","ERR","")) &amp; IF(ISERROR(FIND($E$2,Lines!AE43))=TRUE,"",IF('220'!AE43="","ERR",""))&amp; IF(ISERROR(FIND($F$2,Lines!AE43))=TRUE,"",IF(AND('500DC'!AE43="",'800DC'!AE43=""),"ERR","")) &amp; IF(ISERROR(FIND($G$2,Lines!AE43))=TRUE,"",IF('1000'!AE43="","ERR","")) &amp; IF(ISERROR(FIND($H$2,Lines!AE43))=TRUE,"",IF('500DC'!AE43="","ERR","")) &amp; IF(ISERROR(FIND($I$2,Lines!AE43))=TRUE,"",IF('800DC'!AE43="","ERR","")) &amp; IF(ISERROR(FIND($J$2,Lines!AE43))=TRUE,"",IF('1000'!AE43="","ERR",""))</f>
        <v/>
      </c>
      <c r="AF43" s="108" t="str">
        <f>IF(ISERROR(FIND($B$2,Lines!AF43))=TRUE,"",IF('750'!AF43="","ERR","")) &amp; IF(ISERROR(FIND($C$2,Lines!AF43))=TRUE,"",IF('500'!AF43="","ERR","")) &amp; IF(ISERROR(FIND($D$2,Lines!AF43))=TRUE,"",IF('330'!AF43="","ERR","")) &amp; IF(ISERROR(FIND($E$2,Lines!AF43))=TRUE,"",IF('220'!AF43="","ERR",""))&amp; IF(ISERROR(FIND($F$2,Lines!AF43))=TRUE,"",IF(AND('500DC'!AF43="",'800DC'!AF43=""),"ERR","")) &amp; IF(ISERROR(FIND($G$2,Lines!AF43))=TRUE,"",IF('1000'!AF43="","ERR","")) &amp; IF(ISERROR(FIND($H$2,Lines!AF43))=TRUE,"",IF('500DC'!AF43="","ERR","")) &amp; IF(ISERROR(FIND($I$2,Lines!AF43))=TRUE,"",IF('800DC'!AF43="","ERR","")) &amp; IF(ISERROR(FIND($J$2,Lines!AF43))=TRUE,"",IF('1000'!AF43="","ERR",""))</f>
        <v/>
      </c>
      <c r="AG43" s="108" t="str">
        <f>IF(ISERROR(FIND($B$2,Lines!AG43))=TRUE,"",IF('750'!AG43="","ERR","")) &amp; IF(ISERROR(FIND($C$2,Lines!AG43))=TRUE,"",IF('500'!AG43="","ERR","")) &amp; IF(ISERROR(FIND($D$2,Lines!AG43))=TRUE,"",IF('330'!AG43="","ERR","")) &amp; IF(ISERROR(FIND($E$2,Lines!AG43))=TRUE,"",IF('220'!AG43="","ERR",""))&amp; IF(ISERROR(FIND($F$2,Lines!AG43))=TRUE,"",IF(AND('500DC'!AG43="",'800DC'!AG43=""),"ERR","")) &amp; IF(ISERROR(FIND($G$2,Lines!AG43))=TRUE,"",IF('1000'!AG43="","ERR","")) &amp; IF(ISERROR(FIND($H$2,Lines!AG43))=TRUE,"",IF('500DC'!AG43="","ERR","")) &amp; IF(ISERROR(FIND($I$2,Lines!AG43))=TRUE,"",IF('800DC'!AG43="","ERR","")) &amp; IF(ISERROR(FIND($J$2,Lines!AG43))=TRUE,"",IF('1000'!AG43="","ERR",""))</f>
        <v/>
      </c>
      <c r="AH43" s="108" t="str">
        <f>IF(ISERROR(FIND($B$2,Lines!AH43))=TRUE,"",IF('750'!AH43="","ERR","")) &amp; IF(ISERROR(FIND($C$2,Lines!AH43))=TRUE,"",IF('500'!AH43="","ERR","")) &amp; IF(ISERROR(FIND($D$2,Lines!AH43))=TRUE,"",IF('330'!AH43="","ERR","")) &amp; IF(ISERROR(FIND($E$2,Lines!AH43))=TRUE,"",IF('220'!AH43="","ERR",""))&amp; IF(ISERROR(FIND($F$2,Lines!AH43))=TRUE,"",IF(AND('500DC'!AH43="",'800DC'!AH43=""),"ERR","")) &amp; IF(ISERROR(FIND($G$2,Lines!AH43))=TRUE,"",IF('1000'!AH43="","ERR","")) &amp; IF(ISERROR(FIND($H$2,Lines!AH43))=TRUE,"",IF('500DC'!AH43="","ERR","")) &amp; IF(ISERROR(FIND($I$2,Lines!AH43))=TRUE,"",IF('800DC'!AH43="","ERR","")) &amp; IF(ISERROR(FIND($J$2,Lines!AH43))=TRUE,"",IF('1000'!AH43="","ERR",""))</f>
        <v/>
      </c>
      <c r="AI43" s="108" t="str">
        <f>IF(ISERROR(FIND($B$2,Lines!AI43))=TRUE,"",IF('750'!AI43="","ERR","")) &amp; IF(ISERROR(FIND($C$2,Lines!AI43))=TRUE,"",IF('500'!AI43="","ERR","")) &amp; IF(ISERROR(FIND($D$2,Lines!AI43))=TRUE,"",IF('330'!AI43="","ERR","")) &amp; IF(ISERROR(FIND($E$2,Lines!AI43))=TRUE,"",IF('220'!AI43="","ERR",""))&amp; IF(ISERROR(FIND($F$2,Lines!AI43))=TRUE,"",IF(AND('500DC'!AI43="",'800DC'!AI43=""),"ERR","")) &amp; IF(ISERROR(FIND($G$2,Lines!AI43))=TRUE,"",IF('1000'!AI43="","ERR","")) &amp; IF(ISERROR(FIND($H$2,Lines!AI43))=TRUE,"",IF('500DC'!AI43="","ERR","")) &amp; IF(ISERROR(FIND($I$2,Lines!AI43))=TRUE,"",IF('800DC'!AI43="","ERR","")) &amp; IF(ISERROR(FIND($J$2,Lines!AI43))=TRUE,"",IF('1000'!AI43="","ERR",""))</f>
        <v/>
      </c>
      <c r="AJ43" s="108" t="str">
        <f>IF(ISERROR(FIND($B$2,Lines!AJ43))=TRUE,"",IF('750'!AJ43="","ERR","")) &amp; IF(ISERROR(FIND($C$2,Lines!AJ43))=TRUE,"",IF('500'!AJ43="","ERR","")) &amp; IF(ISERROR(FIND($D$2,Lines!AJ43))=TRUE,"",IF('330'!AJ43="","ERR","")) &amp; IF(ISERROR(FIND($E$2,Lines!AJ43))=TRUE,"",IF('220'!AJ43="","ERR",""))&amp; IF(ISERROR(FIND($F$2,Lines!AJ43))=TRUE,"",IF(AND('500DC'!AJ43="",'800DC'!AJ43=""),"ERR","")) &amp; IF(ISERROR(FIND($G$2,Lines!AJ43))=TRUE,"",IF('1000'!AJ43="","ERR","")) &amp; IF(ISERROR(FIND($H$2,Lines!AJ43))=TRUE,"",IF('500DC'!AJ43="","ERR","")) &amp; IF(ISERROR(FIND($I$2,Lines!AJ43))=TRUE,"",IF('800DC'!AJ43="","ERR","")) &amp; IF(ISERROR(FIND($J$2,Lines!AJ43))=TRUE,"",IF('1000'!AJ43="","ERR",""))</f>
        <v/>
      </c>
      <c r="AK43" s="140" t="str">
        <f>IF(ISERROR(FIND($B$2,Lines!AK43))=TRUE,"",IF('750'!AK43="","ERR","")) &amp; IF(ISERROR(FIND($C$2,Lines!AK43))=TRUE,"",IF('500'!AK43="","ERR","")) &amp; IF(ISERROR(FIND($D$2,Lines!AK43))=TRUE,"",IF('330'!AK43="","ERR","")) &amp; IF(ISERROR(FIND($E$2,Lines!AK43))=TRUE,"",IF('220'!AK43="","ERR",""))&amp; IF(ISERROR(FIND($F$2,Lines!AK43))=TRUE,"",IF(AND('500DC'!AK43="",'800DC'!AK43=""),"ERR","")) &amp; IF(ISERROR(FIND($G$2,Lines!AK43))=TRUE,"",IF('1000'!AK43="","ERR","")) &amp; IF(ISERROR(FIND($H$2,Lines!AK43))=TRUE,"",IF('500DC'!AK43="","ERR","")) &amp; IF(ISERROR(FIND($I$2,Lines!AK43))=TRUE,"",IF('800DC'!AK43="","ERR","")) &amp; IF(ISERROR(FIND($J$2,Lines!AK43))=TRUE,"",IF('1000'!AK43="","ERR",""))</f>
        <v/>
      </c>
      <c r="AL43" s="141" t="str">
        <f>IF(ISERROR(FIND($B$2,Lines!AL43))=TRUE,"",IF('750'!AL43="","ERR","")) &amp; IF(ISERROR(FIND($C$2,Lines!AL43))=TRUE,"",IF('500'!AL43="","ERR","")) &amp; IF(ISERROR(FIND($D$2,Lines!AL43))=TRUE,"",IF('330'!AL43="","ERR","")) &amp; IF(ISERROR(FIND($E$2,Lines!AL43))=TRUE,"",IF('220'!AL43="","ERR",""))&amp; IF(ISERROR(FIND($F$2,Lines!AL43))=TRUE,"",IF(AND('500DC'!AL43="",'800DC'!AL43=""),"ERR","")) &amp; IF(ISERROR(FIND($G$2,Lines!AL43))=TRUE,"",IF('1000'!AL43="","ERR","")) &amp; IF(ISERROR(FIND($H$2,Lines!AL43))=TRUE,"",IF('500DC'!AL43="","ERR","")) &amp; IF(ISERROR(FIND($I$2,Lines!AL43))=TRUE,"",IF('800DC'!AL43="","ERR","")) &amp; IF(ISERROR(FIND($J$2,Lines!AL43))=TRUE,"",IF('1000'!AL43="","ERR",""))</f>
        <v/>
      </c>
      <c r="AM43" s="141" t="str">
        <f>IF(ISERROR(FIND($B$2,Lines!AM43))=TRUE,"",IF('750'!AM43="","ERR","")) &amp; IF(ISERROR(FIND($C$2,Lines!AM43))=TRUE,"",IF('500'!AM43="","ERR","")) &amp; IF(ISERROR(FIND($D$2,Lines!AM43))=TRUE,"",IF('330'!AM43="","ERR","")) &amp; IF(ISERROR(FIND($E$2,Lines!AM43))=TRUE,"",IF('220'!AM43="","ERR",""))&amp; IF(ISERROR(FIND($F$2,Lines!AM43))=TRUE,"",IF(AND('500DC'!AM43="",'800DC'!AM43=""),"ERR","")) &amp; IF(ISERROR(FIND($G$2,Lines!AM43))=TRUE,"",IF('1000'!AM43="","ERR","")) &amp; IF(ISERROR(FIND($H$2,Lines!AM43))=TRUE,"",IF('500DC'!AM43="","ERR","")) &amp; IF(ISERROR(FIND($I$2,Lines!AM43))=TRUE,"",IF('800DC'!AM43="","ERR","")) &amp; IF(ISERROR(FIND($J$2,Lines!AM43))=TRUE,"",IF('1000'!AM43="","ERR",""))</f>
        <v/>
      </c>
      <c r="AN43" s="141" t="str">
        <f>IF(ISERROR(FIND($B$2,Lines!AN43))=TRUE,"",IF('750'!AN43="","ERR","")) &amp; IF(ISERROR(FIND($C$2,Lines!AN43))=TRUE,"",IF('500'!AN43="","ERR","")) &amp; IF(ISERROR(FIND($D$2,Lines!AN43))=TRUE,"",IF('330'!AN43="","ERR","")) &amp; IF(ISERROR(FIND($E$2,Lines!AN43))=TRUE,"",IF('220'!AN43="","ERR",""))&amp; IF(ISERROR(FIND($F$2,Lines!AN43))=TRUE,"",IF(AND('500DC'!AN43="",'800DC'!AN43=""),"ERR","")) &amp; IF(ISERROR(FIND($G$2,Lines!AN43))=TRUE,"",IF('1000'!AN43="","ERR","")) &amp; IF(ISERROR(FIND($H$2,Lines!AN43))=TRUE,"",IF('500DC'!AN43="","ERR","")) &amp; IF(ISERROR(FIND($I$2,Lines!AN43))=TRUE,"",IF('800DC'!AN43="","ERR","")) &amp; IF(ISERROR(FIND($J$2,Lines!AN43))=TRUE,"",IF('1000'!AN43="","ERR",""))</f>
        <v/>
      </c>
      <c r="AO43" s="121" t="str">
        <f>IF(ISERROR(FIND($B$2,Lines!AO43))=TRUE,"",IF('750'!AO43="","ERR","")) &amp; IF(ISERROR(FIND($C$2,Lines!AO43))=TRUE,"",IF('500'!AO43="","ERR","")) &amp; IF(ISERROR(FIND($D$2,Lines!AO43))=TRUE,"",IF('330'!AO43="","ERR","")) &amp; IF(ISERROR(FIND($E$2,Lines!AO43))=TRUE,"",IF('220'!AO43="","ERR",""))&amp; IF(ISERROR(FIND($F$2,Lines!AO43))=TRUE,"",IF(AND('500DC'!AO43="",'800DC'!AO43=""),"ERR","")) &amp; IF(ISERROR(FIND($G$2,Lines!AO43))=TRUE,"",IF('1000'!AO43="","ERR","")) &amp; IF(ISERROR(FIND($H$2,Lines!AO43))=TRUE,"",IF('500DC'!AO43="","ERR","")) &amp; IF(ISERROR(FIND($I$2,Lines!AO43))=TRUE,"",IF('800DC'!AO43="","ERR","")) &amp; IF(ISERROR(FIND($J$2,Lines!AO43))=TRUE,"",IF('1000'!AO43="","ERR",""))</f>
        <v/>
      </c>
      <c r="AP43" s="108" t="str">
        <f>IF(ISERROR(FIND($B$2,Lines!AP43))=TRUE,"",IF('750'!AP43="","ERR","")) &amp; IF(ISERROR(FIND($C$2,Lines!AP43))=TRUE,"",IF('500'!AP43="","ERR","")) &amp; IF(ISERROR(FIND($D$2,Lines!AP43))=TRUE,"",IF('330'!AP43="","ERR","")) &amp; IF(ISERROR(FIND($E$2,Lines!AP43))=TRUE,"",IF('220'!AP43="","ERR",""))&amp; IF(ISERROR(FIND($F$2,Lines!AP43))=TRUE,"",IF(AND('500DC'!AP43="",'800DC'!AP43=""),"ERR","")) &amp; IF(ISERROR(FIND($G$2,Lines!AP43))=TRUE,"",IF('1000'!AP43="","ERR","")) &amp; IF(ISERROR(FIND($H$2,Lines!AP43))=TRUE,"",IF('500DC'!AP43="","ERR","")) &amp; IF(ISERROR(FIND($I$2,Lines!AP43))=TRUE,"",IF('800DC'!AP43="","ERR","")) &amp; IF(ISERROR(FIND($J$2,Lines!AP43))=TRUE,"",IF('1000'!AP43="","ERR",""))</f>
        <v/>
      </c>
      <c r="AQ43" s="108" t="str">
        <f>IF(ISERROR(FIND($B$2,Lines!AQ43))=TRUE,"",IF('750'!AQ43="","ERR","")) &amp; IF(ISERROR(FIND($C$2,Lines!AQ43))=TRUE,"",IF('500'!AQ43="","ERR","")) &amp; IF(ISERROR(FIND($D$2,Lines!AQ43))=TRUE,"",IF('330'!AQ43="","ERR","")) &amp; IF(ISERROR(FIND($E$2,Lines!AQ43))=TRUE,"",IF('220'!AQ43="","ERR",""))&amp; IF(ISERROR(FIND($F$2,Lines!AQ43))=TRUE,"",IF(AND('500DC'!AQ43="",'800DC'!AQ43=""),"ERR","")) &amp; IF(ISERROR(FIND($G$2,Lines!AQ43))=TRUE,"",IF('1000'!AQ43="","ERR","")) &amp; IF(ISERROR(FIND($H$2,Lines!AQ43))=TRUE,"",IF('500DC'!AQ43="","ERR","")) &amp; IF(ISERROR(FIND($I$2,Lines!AQ43))=TRUE,"",IF('800DC'!AQ43="","ERR","")) &amp; IF(ISERROR(FIND($J$2,Lines!AQ43))=TRUE,"",IF('1000'!AQ43="","ERR",""))</f>
        <v/>
      </c>
      <c r="AR43" s="108" t="str">
        <f>IF(ISERROR(FIND($B$2,Lines!AR43))=TRUE,"",IF('750'!AR43="","ERR","")) &amp; IF(ISERROR(FIND($C$2,Lines!AR43))=TRUE,"",IF('500'!AR43="","ERR","")) &amp; IF(ISERROR(FIND($D$2,Lines!AR43))=TRUE,"",IF('330'!AR43="","ERR","")) &amp; IF(ISERROR(FIND($E$2,Lines!AR43))=TRUE,"",IF('220'!AR43="","ERR",""))&amp; IF(ISERROR(FIND($F$2,Lines!AR43))=TRUE,"",IF(AND('500DC'!AR43="",'800DC'!AR43=""),"ERR","")) &amp; IF(ISERROR(FIND($G$2,Lines!AR43))=TRUE,"",IF('1000'!AR43="","ERR","")) &amp; IF(ISERROR(FIND($H$2,Lines!AR43))=TRUE,"",IF('500DC'!AR43="","ERR","")) &amp; IF(ISERROR(FIND($I$2,Lines!AR43))=TRUE,"",IF('800DC'!AR43="","ERR","")) &amp; IF(ISERROR(FIND($J$2,Lines!AR43))=TRUE,"",IF('1000'!AR43="","ERR",""))</f>
        <v/>
      </c>
      <c r="AS43" s="108" t="str">
        <f>IF(ISERROR(FIND($B$2,Lines!AS43))=TRUE,"",IF('750'!AS43="","ERR","")) &amp; IF(ISERROR(FIND($C$2,Lines!AS43))=TRUE,"",IF('500'!AS43="","ERR","")) &amp; IF(ISERROR(FIND($D$2,Lines!AS43))=TRUE,"",IF('330'!AS43="","ERR","")) &amp; IF(ISERROR(FIND($E$2,Lines!AS43))=TRUE,"",IF('220'!AS43="","ERR",""))&amp; IF(ISERROR(FIND($F$2,Lines!AS43))=TRUE,"",IF(AND('500DC'!AS43="",'800DC'!AS43=""),"ERR","")) &amp; IF(ISERROR(FIND($G$2,Lines!AS43))=TRUE,"",IF('1000'!AS43="","ERR","")) &amp; IF(ISERROR(FIND($H$2,Lines!AS43))=TRUE,"",IF('500DC'!AS43="","ERR","")) &amp; IF(ISERROR(FIND($I$2,Lines!AS43))=TRUE,"",IF('800DC'!AS43="","ERR","")) &amp; IF(ISERROR(FIND($J$2,Lines!AS43))=TRUE,"",IF('1000'!AS43="","ERR",""))</f>
        <v/>
      </c>
      <c r="AT43" s="108" t="str">
        <f>IF(ISERROR(FIND($B$2,Lines!AT43))=TRUE,"",IF('750'!AT43="","ERR","")) &amp; IF(ISERROR(FIND($C$2,Lines!AT43))=TRUE,"",IF('500'!AT43="","ERR","")) &amp; IF(ISERROR(FIND($D$2,Lines!AT43))=TRUE,"",IF('330'!AT43="","ERR","")) &amp; IF(ISERROR(FIND($E$2,Lines!AT43))=TRUE,"",IF('220'!AT43="","ERR",""))&amp; IF(ISERROR(FIND($F$2,Lines!AT43))=TRUE,"",IF(AND('500DC'!AT43="",'800DC'!AT43=""),"ERR","")) &amp; IF(ISERROR(FIND($G$2,Lines!AT43))=TRUE,"",IF('1000'!AT43="","ERR","")) &amp; IF(ISERROR(FIND($H$2,Lines!AT43))=TRUE,"",IF('500DC'!AT43="","ERR","")) &amp; IF(ISERROR(FIND($I$2,Lines!AT43))=TRUE,"",IF('800DC'!AT43="","ERR","")) &amp; IF(ISERROR(FIND($J$2,Lines!AT43))=TRUE,"",IF('1000'!AT43="","ERR",""))</f>
        <v/>
      </c>
    </row>
    <row r="44" spans="1:46" ht="20.25" customHeight="1">
      <c r="A44" s="2" t="s">
        <v>92</v>
      </c>
      <c r="B44" s="108" t="str">
        <f>IF(ISERROR(FIND($B$2,Lines!B44))=TRUE,"",IF('750'!B44="","ERR","")) &amp; IF(ISERROR(FIND($C$2,Lines!B44))=TRUE,"",IF('500'!B44="","ERR","")) &amp; IF(ISERROR(FIND($D$2,Lines!B44))=TRUE,"",IF('330'!B44="","ERR","")) &amp; IF(ISERROR(FIND($E$2,Lines!B44))=TRUE,"",IF('220'!B44="","ERR",""))&amp; IF(ISERROR(FIND($F$2,Lines!B44))=TRUE,"",IF(AND('500DC'!B44="",'800DC'!B44=""),"ERR","")) &amp; IF(ISERROR(FIND($G$2,Lines!B44))=TRUE,"",IF('1000'!B44="","ERR","")) &amp; IF(ISERROR(FIND($H$2,Lines!B44))=TRUE,"",IF('500DC'!B44="","ERR","")) &amp; IF(ISERROR(FIND($I$2,Lines!B44))=TRUE,"",IF('800DC'!B44="","ERR","")) &amp; IF(ISERROR(FIND($J$2,Lines!B44))=TRUE,"",IF('1000'!B44="","ERR",""))</f>
        <v/>
      </c>
      <c r="C44" s="108" t="str">
        <f>IF(ISERROR(FIND($B$2,Lines!C44))=TRUE,"",IF('750'!C44="","ERR","")) &amp; IF(ISERROR(FIND($C$2,Lines!C44))=TRUE,"",IF('500'!C44="","ERR","")) &amp; IF(ISERROR(FIND($D$2,Lines!C44))=TRUE,"",IF('330'!C44="","ERR","")) &amp; IF(ISERROR(FIND($E$2,Lines!C44))=TRUE,"",IF('220'!C44="","ERR",""))&amp; IF(ISERROR(FIND($F$2,Lines!C44))=TRUE,"",IF(AND('500DC'!C44="",'800DC'!C44=""),"ERR","")) &amp; IF(ISERROR(FIND($G$2,Lines!C44))=TRUE,"",IF('1000'!C44="","ERR","")) &amp; IF(ISERROR(FIND($H$2,Lines!C44))=TRUE,"",IF('500DC'!C44="","ERR","")) &amp; IF(ISERROR(FIND($I$2,Lines!C44))=TRUE,"",IF('800DC'!C44="","ERR","")) &amp; IF(ISERROR(FIND($J$2,Lines!C44))=TRUE,"",IF('1000'!C44="","ERR",""))</f>
        <v/>
      </c>
      <c r="D44" s="108" t="str">
        <f>IF(ISERROR(FIND($B$2,Lines!D44))=TRUE,"",IF('750'!D44="","ERR","")) &amp; IF(ISERROR(FIND($C$2,Lines!D44))=TRUE,"",IF('500'!D44="","ERR","")) &amp; IF(ISERROR(FIND($D$2,Lines!D44))=TRUE,"",IF('330'!D44="","ERR","")) &amp; IF(ISERROR(FIND($E$2,Lines!D44))=TRUE,"",IF('220'!D44="","ERR",""))&amp; IF(ISERROR(FIND($F$2,Lines!D44))=TRUE,"",IF(AND('500DC'!D44="",'800DC'!D44=""),"ERR","")) &amp; IF(ISERROR(FIND($G$2,Lines!D44))=TRUE,"",IF('1000'!D44="","ERR","")) &amp; IF(ISERROR(FIND($H$2,Lines!D44))=TRUE,"",IF('500DC'!D44="","ERR","")) &amp; IF(ISERROR(FIND($I$2,Lines!D44))=TRUE,"",IF('800DC'!D44="","ERR","")) &amp; IF(ISERROR(FIND($J$2,Lines!D44))=TRUE,"",IF('1000'!D44="","ERR",""))</f>
        <v/>
      </c>
      <c r="E44" s="108" t="str">
        <f>IF(ISERROR(FIND($B$2,Lines!E44))=TRUE,"",IF('750'!E44="","ERR","")) &amp; IF(ISERROR(FIND($C$2,Lines!E44))=TRUE,"",IF('500'!E44="","ERR","")) &amp; IF(ISERROR(FIND($D$2,Lines!E44))=TRUE,"",IF('330'!E44="","ERR","")) &amp; IF(ISERROR(FIND($E$2,Lines!E44))=TRUE,"",IF('220'!E44="","ERR",""))&amp; IF(ISERROR(FIND($F$2,Lines!E44))=TRUE,"",IF(AND('500DC'!E44="",'800DC'!E44=""),"ERR","")) &amp; IF(ISERROR(FIND($G$2,Lines!E44))=TRUE,"",IF('1000'!E44="","ERR","")) &amp; IF(ISERROR(FIND($H$2,Lines!E44))=TRUE,"",IF('500DC'!E44="","ERR","")) &amp; IF(ISERROR(FIND($I$2,Lines!E44))=TRUE,"",IF('800DC'!E44="","ERR","")) &amp; IF(ISERROR(FIND($J$2,Lines!E44))=TRUE,"",IF('1000'!E44="","ERR",""))</f>
        <v/>
      </c>
      <c r="F44" s="108" t="str">
        <f>IF(ISERROR(FIND($B$2,Lines!F44))=TRUE,"",IF('750'!F44="","ERR","")) &amp; IF(ISERROR(FIND($C$2,Lines!F44))=TRUE,"",IF('500'!F44="","ERR","")) &amp; IF(ISERROR(FIND($D$2,Lines!F44))=TRUE,"",IF('330'!F44="","ERR","")) &amp; IF(ISERROR(FIND($E$2,Lines!F44))=TRUE,"",IF('220'!F44="","ERR",""))&amp; IF(ISERROR(FIND($F$2,Lines!F44))=TRUE,"",IF(AND('500DC'!F44="",'800DC'!F44=""),"ERR","")) &amp; IF(ISERROR(FIND($G$2,Lines!F44))=TRUE,"",IF('1000'!F44="","ERR","")) &amp; IF(ISERROR(FIND($H$2,Lines!F44))=TRUE,"",IF('500DC'!F44="","ERR","")) &amp; IF(ISERROR(FIND($I$2,Lines!F44))=TRUE,"",IF('800DC'!F44="","ERR","")) &amp; IF(ISERROR(FIND($J$2,Lines!F44))=TRUE,"",IF('1000'!F44="","ERR",""))</f>
        <v/>
      </c>
      <c r="G44" s="108" t="str">
        <f>IF(ISERROR(FIND($B$2,Lines!G44))=TRUE,"",IF('750'!G44="","ERR","")) &amp; IF(ISERROR(FIND($C$2,Lines!G44))=TRUE,"",IF('500'!G44="","ERR","")) &amp; IF(ISERROR(FIND($D$2,Lines!G44))=TRUE,"",IF('330'!G44="","ERR","")) &amp; IF(ISERROR(FIND($E$2,Lines!G44))=TRUE,"",IF('220'!G44="","ERR",""))&amp; IF(ISERROR(FIND($F$2,Lines!G44))=TRUE,"",IF(AND('500DC'!G44="",'800DC'!G44=""),"ERR","")) &amp; IF(ISERROR(FIND($G$2,Lines!G44))=TRUE,"",IF('1000'!G44="","ERR","")) &amp; IF(ISERROR(FIND($H$2,Lines!G44))=TRUE,"",IF('500DC'!G44="","ERR","")) &amp; IF(ISERROR(FIND($I$2,Lines!G44))=TRUE,"",IF('800DC'!G44="","ERR","")) &amp; IF(ISERROR(FIND($J$2,Lines!G44))=TRUE,"",IF('1000'!G44="","ERR",""))</f>
        <v/>
      </c>
      <c r="H44" s="108" t="str">
        <f>IF(ISERROR(FIND($B$2,Lines!H44))=TRUE,"",IF('750'!H44="","ERR","")) &amp; IF(ISERROR(FIND($C$2,Lines!H44))=TRUE,"",IF('500'!H44="","ERR","")) &amp; IF(ISERROR(FIND($D$2,Lines!H44))=TRUE,"",IF('330'!H44="","ERR","")) &amp; IF(ISERROR(FIND($E$2,Lines!H44))=TRUE,"",IF('220'!H44="","ERR",""))&amp; IF(ISERROR(FIND($F$2,Lines!H44))=TRUE,"",IF(AND('500DC'!H44="",'800DC'!H44=""),"ERR","")) &amp; IF(ISERROR(FIND($G$2,Lines!H44))=TRUE,"",IF('1000'!H44="","ERR","")) &amp; IF(ISERROR(FIND($H$2,Lines!H44))=TRUE,"",IF('500DC'!H44="","ERR","")) &amp; IF(ISERROR(FIND($I$2,Lines!H44))=TRUE,"",IF('800DC'!H44="","ERR","")) &amp; IF(ISERROR(FIND($J$2,Lines!H44))=TRUE,"",IF('1000'!H44="","ERR",""))</f>
        <v/>
      </c>
      <c r="I44" s="108" t="str">
        <f>IF(ISERROR(FIND($B$2,Lines!I44))=TRUE,"",IF('750'!I44="","ERR","")) &amp; IF(ISERROR(FIND($C$2,Lines!I44))=TRUE,"",IF('500'!I44="","ERR","")) &amp; IF(ISERROR(FIND($D$2,Lines!I44))=TRUE,"",IF('330'!I44="","ERR","")) &amp; IF(ISERROR(FIND($E$2,Lines!I44))=TRUE,"",IF('220'!I44="","ERR",""))&amp; IF(ISERROR(FIND($F$2,Lines!I44))=TRUE,"",IF(AND('500DC'!I44="",'800DC'!I44=""),"ERR","")) &amp; IF(ISERROR(FIND($G$2,Lines!I44))=TRUE,"",IF('1000'!I44="","ERR","")) &amp; IF(ISERROR(FIND($H$2,Lines!I44))=TRUE,"",IF('500DC'!I44="","ERR","")) &amp; IF(ISERROR(FIND($I$2,Lines!I44))=TRUE,"",IF('800DC'!I44="","ERR","")) &amp; IF(ISERROR(FIND($J$2,Lines!I44))=TRUE,"",IF('1000'!I44="","ERR",""))</f>
        <v/>
      </c>
      <c r="J44" s="108" t="str">
        <f>IF(ISERROR(FIND($B$2,Lines!J44))=TRUE,"",IF('750'!J44="","ERR","")) &amp; IF(ISERROR(FIND($C$2,Lines!J44))=TRUE,"",IF('500'!J44="","ERR","")) &amp; IF(ISERROR(FIND($D$2,Lines!J44))=TRUE,"",IF('330'!J44="","ERR","")) &amp; IF(ISERROR(FIND($E$2,Lines!J44))=TRUE,"",IF('220'!J44="","ERR",""))&amp; IF(ISERROR(FIND($F$2,Lines!J44))=TRUE,"",IF(AND('500DC'!J44="",'800DC'!J44=""),"ERR","")) &amp; IF(ISERROR(FIND($G$2,Lines!J44))=TRUE,"",IF('1000'!J44="","ERR","")) &amp; IF(ISERROR(FIND($H$2,Lines!J44))=TRUE,"",IF('500DC'!J44="","ERR","")) &amp; IF(ISERROR(FIND($I$2,Lines!J44))=TRUE,"",IF('800DC'!J44="","ERR","")) &amp; IF(ISERROR(FIND($J$2,Lines!J44))=TRUE,"",IF('1000'!J44="","ERR",""))</f>
        <v/>
      </c>
      <c r="K44" s="108" t="str">
        <f>IF(ISERROR(FIND($B$2,Lines!K44))=TRUE,"",IF('750'!K44="","ERR","")) &amp; IF(ISERROR(FIND($C$2,Lines!K44))=TRUE,"",IF('500'!K44="","ERR","")) &amp; IF(ISERROR(FIND($D$2,Lines!K44))=TRUE,"",IF('330'!K44="","ERR","")) &amp; IF(ISERROR(FIND($E$2,Lines!K44))=TRUE,"",IF('220'!K44="","ERR",""))&amp; IF(ISERROR(FIND($F$2,Lines!K44))=TRUE,"",IF(AND('500DC'!K44="",'800DC'!K44=""),"ERR","")) &amp; IF(ISERROR(FIND($G$2,Lines!K44))=TRUE,"",IF('1000'!K44="","ERR","")) &amp; IF(ISERROR(FIND($H$2,Lines!K44))=TRUE,"",IF('500DC'!K44="","ERR","")) &amp; IF(ISERROR(FIND($I$2,Lines!K44))=TRUE,"",IF('800DC'!K44="","ERR","")) &amp; IF(ISERROR(FIND($J$2,Lines!K44))=TRUE,"",IF('1000'!K44="","ERR",""))</f>
        <v/>
      </c>
      <c r="L44" s="108" t="str">
        <f>IF(ISERROR(FIND($B$2,Lines!L44))=TRUE,"",IF('750'!L44="","ERR","")) &amp; IF(ISERROR(FIND($C$2,Lines!L44))=TRUE,"",IF('500'!L44="","ERR","")) &amp; IF(ISERROR(FIND($D$2,Lines!L44))=TRUE,"",IF('330'!L44="","ERR","")) &amp; IF(ISERROR(FIND($E$2,Lines!L44))=TRUE,"",IF('220'!L44="","ERR",""))&amp; IF(ISERROR(FIND($F$2,Lines!L44))=TRUE,"",IF(AND('500DC'!L44="",'800DC'!L44=""),"ERR","")) &amp; IF(ISERROR(FIND($G$2,Lines!L44))=TRUE,"",IF('1000'!L44="","ERR","")) &amp; IF(ISERROR(FIND($H$2,Lines!L44))=TRUE,"",IF('500DC'!L44="","ERR","")) &amp; IF(ISERROR(FIND($I$2,Lines!L44))=TRUE,"",IF('800DC'!L44="","ERR","")) &amp; IF(ISERROR(FIND($J$2,Lines!L44))=TRUE,"",IF('1000'!L44="","ERR",""))</f>
        <v/>
      </c>
      <c r="M44" s="108" t="str">
        <f>IF(ISERROR(FIND($B$2,Lines!M44))=TRUE,"",IF('750'!M44="","ERR","")) &amp; IF(ISERROR(FIND($C$2,Lines!M44))=TRUE,"",IF('500'!M44="","ERR","")) &amp; IF(ISERROR(FIND($D$2,Lines!M44))=TRUE,"",IF('330'!M44="","ERR","")) &amp; IF(ISERROR(FIND($E$2,Lines!M44))=TRUE,"",IF('220'!M44="","ERR",""))&amp; IF(ISERROR(FIND($F$2,Lines!M44))=TRUE,"",IF(AND('500DC'!M44="",'800DC'!M44=""),"ERR","")) &amp; IF(ISERROR(FIND($G$2,Lines!M44))=TRUE,"",IF('1000'!M44="","ERR","")) &amp; IF(ISERROR(FIND($H$2,Lines!M44))=TRUE,"",IF('500DC'!M44="","ERR","")) &amp; IF(ISERROR(FIND($I$2,Lines!M44))=TRUE,"",IF('800DC'!M44="","ERR","")) &amp; IF(ISERROR(FIND($J$2,Lines!M44))=TRUE,"",IF('1000'!M44="","ERR",""))</f>
        <v/>
      </c>
      <c r="N44" s="108" t="str">
        <f>IF(ISERROR(FIND($B$2,Lines!N44))=TRUE,"",IF('750'!N44="","ERR","")) &amp; IF(ISERROR(FIND($C$2,Lines!N44))=TRUE,"",IF('500'!N44="","ERR","")) &amp; IF(ISERROR(FIND($D$2,Lines!N44))=TRUE,"",IF('330'!N44="","ERR","")) &amp; IF(ISERROR(FIND($E$2,Lines!N44))=TRUE,"",IF('220'!N44="","ERR",""))&amp; IF(ISERROR(FIND($F$2,Lines!N44))=TRUE,"",IF(AND('500DC'!N44="",'800DC'!N44=""),"ERR","")) &amp; IF(ISERROR(FIND($G$2,Lines!N44))=TRUE,"",IF('1000'!N44="","ERR","")) &amp; IF(ISERROR(FIND($H$2,Lines!N44))=TRUE,"",IF('500DC'!N44="","ERR","")) &amp; IF(ISERROR(FIND($I$2,Lines!N44))=TRUE,"",IF('800DC'!N44="","ERR","")) &amp; IF(ISERROR(FIND($J$2,Lines!N44))=TRUE,"",IF('1000'!N44="","ERR",""))</f>
        <v/>
      </c>
      <c r="O44" s="108" t="str">
        <f>IF(ISERROR(FIND($B$2,Lines!O44))=TRUE,"",IF('750'!O44="","ERR","")) &amp; IF(ISERROR(FIND($C$2,Lines!O44))=TRUE,"",IF('500'!O44="","ERR","")) &amp; IF(ISERROR(FIND($D$2,Lines!O44))=TRUE,"",IF('330'!O44="","ERR","")) &amp; IF(ISERROR(FIND($E$2,Lines!O44))=TRUE,"",IF('220'!O44="","ERR",""))&amp; IF(ISERROR(FIND($F$2,Lines!O44))=TRUE,"",IF(AND('500DC'!O44="",'800DC'!O44=""),"ERR","")) &amp; IF(ISERROR(FIND($G$2,Lines!O44))=TRUE,"",IF('1000'!O44="","ERR","")) &amp; IF(ISERROR(FIND($H$2,Lines!O44))=TRUE,"",IF('500DC'!O44="","ERR","")) &amp; IF(ISERROR(FIND($I$2,Lines!O44))=TRUE,"",IF('800DC'!O44="","ERR","")) &amp; IF(ISERROR(FIND($J$2,Lines!O44))=TRUE,"",IF('1000'!O44="","ERR",""))</f>
        <v/>
      </c>
      <c r="P44" s="108" t="str">
        <f>IF(ISERROR(FIND($B$2,Lines!P44))=TRUE,"",IF('750'!P44="","ERR","")) &amp; IF(ISERROR(FIND($C$2,Lines!P44))=TRUE,"",IF('500'!P44="","ERR","")) &amp; IF(ISERROR(FIND($D$2,Lines!P44))=TRUE,"",IF('330'!P44="","ERR","")) &amp; IF(ISERROR(FIND($E$2,Lines!P44))=TRUE,"",IF('220'!P44="","ERR",""))&amp; IF(ISERROR(FIND($F$2,Lines!P44))=TRUE,"",IF(AND('500DC'!P44="",'800DC'!P44=""),"ERR","")) &amp; IF(ISERROR(FIND($G$2,Lines!P44))=TRUE,"",IF('1000'!P44="","ERR","")) &amp; IF(ISERROR(FIND($H$2,Lines!P44))=TRUE,"",IF('500DC'!P44="","ERR","")) &amp; IF(ISERROR(FIND($I$2,Lines!P44))=TRUE,"",IF('800DC'!P44="","ERR","")) &amp; IF(ISERROR(FIND($J$2,Lines!P44))=TRUE,"",IF('1000'!P44="","ERR",""))</f>
        <v/>
      </c>
      <c r="Q44" s="108" t="str">
        <f>IF(ISERROR(FIND($B$2,Lines!Q44))=TRUE,"",IF('750'!Q44="","ERR","")) &amp; IF(ISERROR(FIND($C$2,Lines!Q44))=TRUE,"",IF('500'!Q44="","ERR","")) &amp; IF(ISERROR(FIND($D$2,Lines!Q44))=TRUE,"",IF('330'!Q44="","ERR","")) &amp; IF(ISERROR(FIND($E$2,Lines!Q44))=TRUE,"",IF('220'!Q44="","ERR",""))&amp; IF(ISERROR(FIND($F$2,Lines!Q44))=TRUE,"",IF(AND('500DC'!Q44="",'800DC'!Q44=""),"ERR","")) &amp; IF(ISERROR(FIND($G$2,Lines!Q44))=TRUE,"",IF('1000'!Q44="","ERR","")) &amp; IF(ISERROR(FIND($H$2,Lines!Q44))=TRUE,"",IF('500DC'!Q44="","ERR","")) &amp; IF(ISERROR(FIND($I$2,Lines!Q44))=TRUE,"",IF('800DC'!Q44="","ERR","")) &amp; IF(ISERROR(FIND($J$2,Lines!Q44))=TRUE,"",IF('1000'!Q44="","ERR",""))</f>
        <v/>
      </c>
      <c r="R44" s="108" t="str">
        <f>IF(ISERROR(FIND($B$2,Lines!R44))=TRUE,"",IF('750'!R44="","ERR","")) &amp; IF(ISERROR(FIND($C$2,Lines!R44))=TRUE,"",IF('500'!R44="","ERR","")) &amp; IF(ISERROR(FIND($D$2,Lines!R44))=TRUE,"",IF('330'!R44="","ERR","")) &amp; IF(ISERROR(FIND($E$2,Lines!R44))=TRUE,"",IF('220'!R44="","ERR",""))&amp; IF(ISERROR(FIND($F$2,Lines!R44))=TRUE,"",IF(AND('500DC'!R44="",'800DC'!R44=""),"ERR","")) &amp; IF(ISERROR(FIND($G$2,Lines!R44))=TRUE,"",IF('1000'!R44="","ERR","")) &amp; IF(ISERROR(FIND($H$2,Lines!R44))=TRUE,"",IF('500DC'!R44="","ERR","")) &amp; IF(ISERROR(FIND($I$2,Lines!R44))=TRUE,"",IF('800DC'!R44="","ERR","")) &amp; IF(ISERROR(FIND($J$2,Lines!R44))=TRUE,"",IF('1000'!R44="","ERR",""))</f>
        <v/>
      </c>
      <c r="S44" s="108" t="str">
        <f>IF(ISERROR(FIND($B$2,Lines!S44))=TRUE,"",IF('750'!S44="","ERR","")) &amp; IF(ISERROR(FIND($C$2,Lines!S44))=TRUE,"",IF('500'!S44="","ERR","")) &amp; IF(ISERROR(FIND($D$2,Lines!S44))=TRUE,"",IF('330'!S44="","ERR","")) &amp; IF(ISERROR(FIND($E$2,Lines!S44))=TRUE,"",IF('220'!S44="","ERR",""))&amp; IF(ISERROR(FIND($F$2,Lines!S44))=TRUE,"",IF(AND('500DC'!S44="",'800DC'!S44=""),"ERR","")) &amp; IF(ISERROR(FIND($G$2,Lines!S44))=TRUE,"",IF('1000'!S44="","ERR","")) &amp; IF(ISERROR(FIND($H$2,Lines!S44))=TRUE,"",IF('500DC'!S44="","ERR","")) &amp; IF(ISERROR(FIND($I$2,Lines!S44))=TRUE,"",IF('800DC'!S44="","ERR","")) &amp; IF(ISERROR(FIND($J$2,Lines!S44))=TRUE,"",IF('1000'!S44="","ERR",""))</f>
        <v/>
      </c>
      <c r="T44" s="108" t="str">
        <f>IF(ISERROR(FIND($B$2,Lines!T44))=TRUE,"",IF('750'!T44="","ERR","")) &amp; IF(ISERROR(FIND($C$2,Lines!T44))=TRUE,"",IF('500'!T44="","ERR","")) &amp; IF(ISERROR(FIND($D$2,Lines!T44))=TRUE,"",IF('330'!T44="","ERR","")) &amp; IF(ISERROR(FIND($E$2,Lines!T44))=TRUE,"",IF('220'!T44="","ERR",""))&amp; IF(ISERROR(FIND($F$2,Lines!T44))=TRUE,"",IF(AND('500DC'!T44="",'800DC'!T44=""),"ERR","")) &amp; IF(ISERROR(FIND($G$2,Lines!T44))=TRUE,"",IF('1000'!T44="","ERR","")) &amp; IF(ISERROR(FIND($H$2,Lines!T44))=TRUE,"",IF('500DC'!T44="","ERR","")) &amp; IF(ISERROR(FIND($I$2,Lines!T44))=TRUE,"",IF('800DC'!T44="","ERR","")) &amp; IF(ISERROR(FIND($J$2,Lines!T44))=TRUE,"",IF('1000'!T44="","ERR",""))</f>
        <v/>
      </c>
      <c r="U44" s="108" t="str">
        <f>IF(ISERROR(FIND($B$2,Lines!U44))=TRUE,"",IF('750'!U44="","ERR","")) &amp; IF(ISERROR(FIND($C$2,Lines!U44))=TRUE,"",IF('500'!U44="","ERR","")) &amp; IF(ISERROR(FIND($D$2,Lines!U44))=TRUE,"",IF('330'!U44="","ERR","")) &amp; IF(ISERROR(FIND($E$2,Lines!U44))=TRUE,"",IF('220'!U44="","ERR",""))&amp; IF(ISERROR(FIND($F$2,Lines!U44))=TRUE,"",IF(AND('500DC'!U44="",'800DC'!U44=""),"ERR","")) &amp; IF(ISERROR(FIND($G$2,Lines!U44))=TRUE,"",IF('1000'!U44="","ERR","")) &amp; IF(ISERROR(FIND($H$2,Lines!U44))=TRUE,"",IF('500DC'!U44="","ERR","")) &amp; IF(ISERROR(FIND($I$2,Lines!U44))=TRUE,"",IF('800DC'!U44="","ERR","")) &amp; IF(ISERROR(FIND($J$2,Lines!U44))=TRUE,"",IF('1000'!U44="","ERR",""))</f>
        <v/>
      </c>
      <c r="V44" s="108" t="str">
        <f>IF(ISERROR(FIND($B$2,Lines!V44))=TRUE,"",IF('750'!V44="","ERR","")) &amp; IF(ISERROR(FIND($C$2,Lines!V44))=TRUE,"",IF('500'!V44="","ERR","")) &amp; IF(ISERROR(FIND($D$2,Lines!V44))=TRUE,"",IF('330'!V44="","ERR","")) &amp; IF(ISERROR(FIND($E$2,Lines!V44))=TRUE,"",IF('220'!V44="","ERR",""))&amp; IF(ISERROR(FIND($F$2,Lines!V44))=TRUE,"",IF(AND('500DC'!V44="",'800DC'!V44=""),"ERR","")) &amp; IF(ISERROR(FIND($G$2,Lines!V44))=TRUE,"",IF('1000'!V44="","ERR","")) &amp; IF(ISERROR(FIND($H$2,Lines!V44))=TRUE,"",IF('500DC'!V44="","ERR","")) &amp; IF(ISERROR(FIND($I$2,Lines!V44))=TRUE,"",IF('800DC'!V44="","ERR","")) &amp; IF(ISERROR(FIND($J$2,Lines!V44))=TRUE,"",IF('1000'!V44="","ERR",""))</f>
        <v/>
      </c>
      <c r="W44" s="109" t="str">
        <f>IF(ISERROR(FIND($B$2,Lines!W44))=TRUE,"",IF('750'!W44="","ERR","")) &amp; IF(ISERROR(FIND($C$2,Lines!W44))=TRUE,"",IF('500'!W44="","ERR","")) &amp; IF(ISERROR(FIND($D$2,Lines!W44))=TRUE,"",IF('330'!W44="","ERR","")) &amp; IF(ISERROR(FIND($E$2,Lines!W44))=TRUE,"",IF('220'!W44="","ERR",""))&amp; IF(ISERROR(FIND($F$2,Lines!W44))=TRUE,"",IF(AND('500DC'!W44="",'800DC'!W44=""),"ERR","")) &amp; IF(ISERROR(FIND($G$2,Lines!W44))=TRUE,"",IF('1000'!W44="","ERR","")) &amp; IF(ISERROR(FIND($H$2,Lines!W44))=TRUE,"",IF('500DC'!W44="","ERR","")) &amp; IF(ISERROR(FIND($I$2,Lines!W44))=TRUE,"",IF('800DC'!W44="","ERR","")) &amp; IF(ISERROR(FIND($J$2,Lines!W44))=TRUE,"",IF('1000'!W44="","ERR",""))</f>
        <v/>
      </c>
      <c r="X44" s="108" t="str">
        <f>IF(ISERROR(FIND($B$2,Lines!X44))=TRUE,"",IF('750'!X44="","ERR","")) &amp; IF(ISERROR(FIND($C$2,Lines!X44))=TRUE,"",IF('500'!X44="","ERR","")) &amp; IF(ISERROR(FIND($D$2,Lines!X44))=TRUE,"",IF('330'!X44="","ERR","")) &amp; IF(ISERROR(FIND($E$2,Lines!X44))=TRUE,"",IF('220'!X44="","ERR",""))&amp; IF(ISERROR(FIND($F$2,Lines!X44))=TRUE,"",IF(AND('500DC'!X44="",'800DC'!X44=""),"ERR","")) &amp; IF(ISERROR(FIND($G$2,Lines!X44))=TRUE,"",IF('1000'!X44="","ERR","")) &amp; IF(ISERROR(FIND($H$2,Lines!X44))=TRUE,"",IF('500DC'!X44="","ERR","")) &amp; IF(ISERROR(FIND($I$2,Lines!X44))=TRUE,"",IF('800DC'!X44="","ERR","")) &amp; IF(ISERROR(FIND($J$2,Lines!X44))=TRUE,"",IF('1000'!X44="","ERR",""))</f>
        <v/>
      </c>
      <c r="Y44" s="108" t="str">
        <f>IF(ISERROR(FIND($B$2,Lines!Y44))=TRUE,"",IF('750'!Y44="","ERR","")) &amp; IF(ISERROR(FIND($C$2,Lines!Y44))=TRUE,"",IF('500'!Y44="","ERR","")) &amp; IF(ISERROR(FIND($D$2,Lines!Y44))=TRUE,"",IF('330'!Y44="","ERR","")) &amp; IF(ISERROR(FIND($E$2,Lines!Y44))=TRUE,"",IF('220'!Y44="","ERR",""))&amp; IF(ISERROR(FIND($F$2,Lines!Y44))=TRUE,"",IF(AND('500DC'!Y44="",'800DC'!Y44=""),"ERR","")) &amp; IF(ISERROR(FIND($G$2,Lines!Y44))=TRUE,"",IF('1000'!Y44="","ERR","")) &amp; IF(ISERROR(FIND($H$2,Lines!Y44))=TRUE,"",IF('500DC'!Y44="","ERR","")) &amp; IF(ISERROR(FIND($I$2,Lines!Y44))=TRUE,"",IF('800DC'!Y44="","ERR","")) &amp; IF(ISERROR(FIND($J$2,Lines!Y44))=TRUE,"",IF('1000'!Y44="","ERR",""))</f>
        <v/>
      </c>
      <c r="Z44" s="108" t="str">
        <f>IF(ISERROR(FIND($B$2,Lines!Z44))=TRUE,"",IF('750'!Z44="","ERR","")) &amp; IF(ISERROR(FIND($C$2,Lines!Z44))=TRUE,"",IF('500'!Z44="","ERR","")) &amp; IF(ISERROR(FIND($D$2,Lines!Z44))=TRUE,"",IF('330'!Z44="","ERR","")) &amp; IF(ISERROR(FIND($E$2,Lines!Z44))=TRUE,"",IF('220'!Z44="","ERR",""))&amp; IF(ISERROR(FIND($F$2,Lines!Z44))=TRUE,"",IF(AND('500DC'!Z44="",'800DC'!Z44=""),"ERR","")) &amp; IF(ISERROR(FIND($G$2,Lines!Z44))=TRUE,"",IF('1000'!Z44="","ERR","")) &amp; IF(ISERROR(FIND($H$2,Lines!Z44))=TRUE,"",IF('500DC'!Z44="","ERR","")) &amp; IF(ISERROR(FIND($I$2,Lines!Z44))=TRUE,"",IF('800DC'!Z44="","ERR","")) &amp; IF(ISERROR(FIND($J$2,Lines!Z44))=TRUE,"",IF('1000'!Z44="","ERR",""))</f>
        <v/>
      </c>
      <c r="AA44" s="108" t="str">
        <f>IF(ISERROR(FIND($B$2,Lines!AA44))=TRUE,"",IF('750'!AA44="","ERR","")) &amp; IF(ISERROR(FIND($C$2,Lines!AA44))=TRUE,"",IF('500'!AA44="","ERR","")) &amp; IF(ISERROR(FIND($D$2,Lines!AA44))=TRUE,"",IF('330'!AA44="","ERR","")) &amp; IF(ISERROR(FIND($E$2,Lines!AA44))=TRUE,"",IF('220'!AA44="","ERR",""))&amp; IF(ISERROR(FIND($F$2,Lines!AA44))=TRUE,"",IF(AND('500DC'!AA44="",'800DC'!AA44=""),"ERR","")) &amp; IF(ISERROR(FIND($G$2,Lines!AA44))=TRUE,"",IF('1000'!AA44="","ERR","")) &amp; IF(ISERROR(FIND($H$2,Lines!AA44))=TRUE,"",IF('500DC'!AA44="","ERR","")) &amp; IF(ISERROR(FIND($I$2,Lines!AA44))=TRUE,"",IF('800DC'!AA44="","ERR","")) &amp; IF(ISERROR(FIND($J$2,Lines!AA44))=TRUE,"",IF('1000'!AA44="","ERR",""))</f>
        <v/>
      </c>
      <c r="AB44" s="108" t="str">
        <f>IF(ISERROR(FIND($B$2,Lines!AB44))=TRUE,"",IF('750'!AB44="","ERR","")) &amp; IF(ISERROR(FIND($C$2,Lines!AB44))=TRUE,"",IF('500'!AB44="","ERR","")) &amp; IF(ISERROR(FIND($D$2,Lines!AB44))=TRUE,"",IF('330'!AB44="","ERR","")) &amp; IF(ISERROR(FIND($E$2,Lines!AB44))=TRUE,"",IF('220'!AB44="","ERR",""))&amp; IF(ISERROR(FIND($F$2,Lines!AB44))=TRUE,"",IF(AND('500DC'!AB44="",'800DC'!AB44=""),"ERR","")) &amp; IF(ISERROR(FIND($G$2,Lines!AB44))=TRUE,"",IF('1000'!AB44="","ERR","")) &amp; IF(ISERROR(FIND($H$2,Lines!AB44))=TRUE,"",IF('500DC'!AB44="","ERR","")) &amp; IF(ISERROR(FIND($I$2,Lines!AB44))=TRUE,"",IF('800DC'!AB44="","ERR","")) &amp; IF(ISERROR(FIND($J$2,Lines!AB44))=TRUE,"",IF('1000'!AB44="","ERR",""))</f>
        <v/>
      </c>
      <c r="AC44" s="108" t="str">
        <f>IF(ISERROR(FIND($B$2,Lines!AC44))=TRUE,"",IF('750'!AC44="","ERR","")) &amp; IF(ISERROR(FIND($C$2,Lines!AC44))=TRUE,"",IF('500'!AC44="","ERR","")) &amp; IF(ISERROR(FIND($D$2,Lines!AC44))=TRUE,"",IF('330'!AC44="","ERR","")) &amp; IF(ISERROR(FIND($E$2,Lines!AC44))=TRUE,"",IF('220'!AC44="","ERR",""))&amp; IF(ISERROR(FIND($F$2,Lines!AC44))=TRUE,"",IF(AND('500DC'!AC44="",'800DC'!AC44=""),"ERR","")) &amp; IF(ISERROR(FIND($G$2,Lines!AC44))=TRUE,"",IF('1000'!AC44="","ERR","")) &amp; IF(ISERROR(FIND($H$2,Lines!AC44))=TRUE,"",IF('500DC'!AC44="","ERR","")) &amp; IF(ISERROR(FIND($I$2,Lines!AC44))=TRUE,"",IF('800DC'!AC44="","ERR","")) &amp; IF(ISERROR(FIND($J$2,Lines!AC44))=TRUE,"",IF('1000'!AC44="","ERR",""))</f>
        <v/>
      </c>
      <c r="AD44" s="108" t="str">
        <f>IF(ISERROR(FIND($B$2,Lines!AD44))=TRUE,"",IF('750'!AD44="","ERR","")) &amp; IF(ISERROR(FIND($C$2,Lines!AD44))=TRUE,"",IF('500'!AD44="","ERR","")) &amp; IF(ISERROR(FIND($D$2,Lines!AD44))=TRUE,"",IF('330'!AD44="","ERR","")) &amp; IF(ISERROR(FIND($E$2,Lines!AD44))=TRUE,"",IF('220'!AD44="","ERR",""))&amp; IF(ISERROR(FIND($F$2,Lines!AD44))=TRUE,"",IF(AND('500DC'!AD44="",'800DC'!AD44=""),"ERR","")) &amp; IF(ISERROR(FIND($G$2,Lines!AD44))=TRUE,"",IF('1000'!AD44="","ERR","")) &amp; IF(ISERROR(FIND($H$2,Lines!AD44))=TRUE,"",IF('500DC'!AD44="","ERR","")) &amp; IF(ISERROR(FIND($I$2,Lines!AD44))=TRUE,"",IF('800DC'!AD44="","ERR","")) &amp; IF(ISERROR(FIND($J$2,Lines!AD44))=TRUE,"",IF('1000'!AD44="","ERR",""))</f>
        <v/>
      </c>
      <c r="AE44" s="108" t="str">
        <f>IF(ISERROR(FIND($B$2,Lines!AE44))=TRUE,"",IF('750'!AE44="","ERR","")) &amp; IF(ISERROR(FIND($C$2,Lines!AE44))=TRUE,"",IF('500'!AE44="","ERR","")) &amp; IF(ISERROR(FIND($D$2,Lines!AE44))=TRUE,"",IF('330'!AE44="","ERR","")) &amp; IF(ISERROR(FIND($E$2,Lines!AE44))=TRUE,"",IF('220'!AE44="","ERR",""))&amp; IF(ISERROR(FIND($F$2,Lines!AE44))=TRUE,"",IF(AND('500DC'!AE44="",'800DC'!AE44=""),"ERR","")) &amp; IF(ISERROR(FIND($G$2,Lines!AE44))=TRUE,"",IF('1000'!AE44="","ERR","")) &amp; IF(ISERROR(FIND($H$2,Lines!AE44))=TRUE,"",IF('500DC'!AE44="","ERR","")) &amp; IF(ISERROR(FIND($I$2,Lines!AE44))=TRUE,"",IF('800DC'!AE44="","ERR","")) &amp; IF(ISERROR(FIND($J$2,Lines!AE44))=TRUE,"",IF('1000'!AE44="","ERR",""))</f>
        <v/>
      </c>
      <c r="AF44" s="108" t="str">
        <f>IF(ISERROR(FIND($B$2,Lines!AF44))=TRUE,"",IF('750'!AF44="","ERR","")) &amp; IF(ISERROR(FIND($C$2,Lines!AF44))=TRUE,"",IF('500'!AF44="","ERR","")) &amp; IF(ISERROR(FIND($D$2,Lines!AF44))=TRUE,"",IF('330'!AF44="","ERR","")) &amp; IF(ISERROR(FIND($E$2,Lines!AF44))=TRUE,"",IF('220'!AF44="","ERR",""))&amp; IF(ISERROR(FIND($F$2,Lines!AF44))=TRUE,"",IF(AND('500DC'!AF44="",'800DC'!AF44=""),"ERR","")) &amp; IF(ISERROR(FIND($G$2,Lines!AF44))=TRUE,"",IF('1000'!AF44="","ERR","")) &amp; IF(ISERROR(FIND($H$2,Lines!AF44))=TRUE,"",IF('500DC'!AF44="","ERR","")) &amp; IF(ISERROR(FIND($I$2,Lines!AF44))=TRUE,"",IF('800DC'!AF44="","ERR","")) &amp; IF(ISERROR(FIND($J$2,Lines!AF44))=TRUE,"",IF('1000'!AF44="","ERR",""))</f>
        <v/>
      </c>
      <c r="AG44" s="108" t="str">
        <f>IF(ISERROR(FIND($B$2,Lines!AG44))=TRUE,"",IF('750'!AG44="","ERR","")) &amp; IF(ISERROR(FIND($C$2,Lines!AG44))=TRUE,"",IF('500'!AG44="","ERR","")) &amp; IF(ISERROR(FIND($D$2,Lines!AG44))=TRUE,"",IF('330'!AG44="","ERR","")) &amp; IF(ISERROR(FIND($E$2,Lines!AG44))=TRUE,"",IF('220'!AG44="","ERR",""))&amp; IF(ISERROR(FIND($F$2,Lines!AG44))=TRUE,"",IF(AND('500DC'!AG44="",'800DC'!AG44=""),"ERR","")) &amp; IF(ISERROR(FIND($G$2,Lines!AG44))=TRUE,"",IF('1000'!AG44="","ERR","")) &amp; IF(ISERROR(FIND($H$2,Lines!AG44))=TRUE,"",IF('500DC'!AG44="","ERR","")) &amp; IF(ISERROR(FIND($I$2,Lines!AG44))=TRUE,"",IF('800DC'!AG44="","ERR","")) &amp; IF(ISERROR(FIND($J$2,Lines!AG44))=TRUE,"",IF('1000'!AG44="","ERR",""))</f>
        <v/>
      </c>
      <c r="AH44" s="108" t="str">
        <f>IF(ISERROR(FIND($B$2,Lines!AH44))=TRUE,"",IF('750'!AH44="","ERR","")) &amp; IF(ISERROR(FIND($C$2,Lines!AH44))=TRUE,"",IF('500'!AH44="","ERR","")) &amp; IF(ISERROR(FIND($D$2,Lines!AH44))=TRUE,"",IF('330'!AH44="","ERR","")) &amp; IF(ISERROR(FIND($E$2,Lines!AH44))=TRUE,"",IF('220'!AH44="","ERR",""))&amp; IF(ISERROR(FIND($F$2,Lines!AH44))=TRUE,"",IF(AND('500DC'!AH44="",'800DC'!AH44=""),"ERR","")) &amp; IF(ISERROR(FIND($G$2,Lines!AH44))=TRUE,"",IF('1000'!AH44="","ERR","")) &amp; IF(ISERROR(FIND($H$2,Lines!AH44))=TRUE,"",IF('500DC'!AH44="","ERR","")) &amp; IF(ISERROR(FIND($I$2,Lines!AH44))=TRUE,"",IF('800DC'!AH44="","ERR","")) &amp; IF(ISERROR(FIND($J$2,Lines!AH44))=TRUE,"",IF('1000'!AH44="","ERR",""))</f>
        <v/>
      </c>
      <c r="AI44" s="108" t="str">
        <f>IF(ISERROR(FIND($B$2,Lines!AI44))=TRUE,"",IF('750'!AI44="","ERR","")) &amp; IF(ISERROR(FIND($C$2,Lines!AI44))=TRUE,"",IF('500'!AI44="","ERR","")) &amp; IF(ISERROR(FIND($D$2,Lines!AI44))=TRUE,"",IF('330'!AI44="","ERR","")) &amp; IF(ISERROR(FIND($E$2,Lines!AI44))=TRUE,"",IF('220'!AI44="","ERR",""))&amp; IF(ISERROR(FIND($F$2,Lines!AI44))=TRUE,"",IF(AND('500DC'!AI44="",'800DC'!AI44=""),"ERR","")) &amp; IF(ISERROR(FIND($G$2,Lines!AI44))=TRUE,"",IF('1000'!AI44="","ERR","")) &amp; IF(ISERROR(FIND($H$2,Lines!AI44))=TRUE,"",IF('500DC'!AI44="","ERR","")) &amp; IF(ISERROR(FIND($I$2,Lines!AI44))=TRUE,"",IF('800DC'!AI44="","ERR","")) &amp; IF(ISERROR(FIND($J$2,Lines!AI44))=TRUE,"",IF('1000'!AI44="","ERR",""))</f>
        <v/>
      </c>
      <c r="AJ44" s="108" t="str">
        <f>IF(ISERROR(FIND($B$2,Lines!AJ44))=TRUE,"",IF('750'!AJ44="","ERR","")) &amp; IF(ISERROR(FIND($C$2,Lines!AJ44))=TRUE,"",IF('500'!AJ44="","ERR","")) &amp; IF(ISERROR(FIND($D$2,Lines!AJ44))=TRUE,"",IF('330'!AJ44="","ERR","")) &amp; IF(ISERROR(FIND($E$2,Lines!AJ44))=TRUE,"",IF('220'!AJ44="","ERR",""))&amp; IF(ISERROR(FIND($F$2,Lines!AJ44))=TRUE,"",IF(AND('500DC'!AJ44="",'800DC'!AJ44=""),"ERR","")) &amp; IF(ISERROR(FIND($G$2,Lines!AJ44))=TRUE,"",IF('1000'!AJ44="","ERR","")) &amp; IF(ISERROR(FIND($H$2,Lines!AJ44))=TRUE,"",IF('500DC'!AJ44="","ERR","")) &amp; IF(ISERROR(FIND($I$2,Lines!AJ44))=TRUE,"",IF('800DC'!AJ44="","ERR","")) &amp; IF(ISERROR(FIND($J$2,Lines!AJ44))=TRUE,"",IF('1000'!AJ44="","ERR",""))</f>
        <v/>
      </c>
      <c r="AK44" s="108" t="str">
        <f>IF(ISERROR(FIND($B$2,Lines!AK44))=TRUE,"",IF('750'!AK44="","ERR","")) &amp; IF(ISERROR(FIND($C$2,Lines!AK44))=TRUE,"",IF('500'!AK44="","ERR","")) &amp; IF(ISERROR(FIND($D$2,Lines!AK44))=TRUE,"",IF('330'!AK44="","ERR","")) &amp; IF(ISERROR(FIND($E$2,Lines!AK44))=TRUE,"",IF('220'!AK44="","ERR",""))&amp; IF(ISERROR(FIND($F$2,Lines!AK44))=TRUE,"",IF(AND('500DC'!AK44="",'800DC'!AK44=""),"ERR","")) &amp; IF(ISERROR(FIND($G$2,Lines!AK44))=TRUE,"",IF('1000'!AK44="","ERR","")) &amp; IF(ISERROR(FIND($H$2,Lines!AK44))=TRUE,"",IF('500DC'!AK44="","ERR","")) &amp; IF(ISERROR(FIND($I$2,Lines!AK44))=TRUE,"",IF('800DC'!AK44="","ERR","")) &amp; IF(ISERROR(FIND($J$2,Lines!AK44))=TRUE,"",IF('1000'!AK44="","ERR",""))</f>
        <v/>
      </c>
      <c r="AL44" s="108" t="str">
        <f>IF(ISERROR(FIND($B$2,Lines!AL44))=TRUE,"",IF('750'!AL44="","ERR","")) &amp; IF(ISERROR(FIND($C$2,Lines!AL44))=TRUE,"",IF('500'!AL44="","ERR","")) &amp; IF(ISERROR(FIND($D$2,Lines!AL44))=TRUE,"",IF('330'!AL44="","ERR","")) &amp; IF(ISERROR(FIND($E$2,Lines!AL44))=TRUE,"",IF('220'!AL44="","ERR",""))&amp; IF(ISERROR(FIND($F$2,Lines!AL44))=TRUE,"",IF(AND('500DC'!AL44="",'800DC'!AL44=""),"ERR","")) &amp; IF(ISERROR(FIND($G$2,Lines!AL44))=TRUE,"",IF('1000'!AL44="","ERR","")) &amp; IF(ISERROR(FIND($H$2,Lines!AL44))=TRUE,"",IF('500DC'!AL44="","ERR","")) &amp; IF(ISERROR(FIND($I$2,Lines!AL44))=TRUE,"",IF('800DC'!AL44="","ERR","")) &amp; IF(ISERROR(FIND($J$2,Lines!AL44))=TRUE,"",IF('1000'!AL44="","ERR",""))</f>
        <v/>
      </c>
      <c r="AM44" s="108" t="str">
        <f>IF(ISERROR(FIND($B$2,Lines!AM44))=TRUE,"",IF('750'!AM44="","ERR","")) &amp; IF(ISERROR(FIND($C$2,Lines!AM44))=TRUE,"",IF('500'!AM44="","ERR","")) &amp; IF(ISERROR(FIND($D$2,Lines!AM44))=TRUE,"",IF('330'!AM44="","ERR","")) &amp; IF(ISERROR(FIND($E$2,Lines!AM44))=TRUE,"",IF('220'!AM44="","ERR",""))&amp; IF(ISERROR(FIND($F$2,Lines!AM44))=TRUE,"",IF(AND('500DC'!AM44="",'800DC'!AM44=""),"ERR","")) &amp; IF(ISERROR(FIND($G$2,Lines!AM44))=TRUE,"",IF('1000'!AM44="","ERR","")) &amp; IF(ISERROR(FIND($H$2,Lines!AM44))=TRUE,"",IF('500DC'!AM44="","ERR","")) &amp; IF(ISERROR(FIND($I$2,Lines!AM44))=TRUE,"",IF('800DC'!AM44="","ERR","")) &amp; IF(ISERROR(FIND($J$2,Lines!AM44))=TRUE,"",IF('1000'!AM44="","ERR",""))</f>
        <v/>
      </c>
      <c r="AN44" s="108" t="str">
        <f>IF(ISERROR(FIND($B$2,Lines!AN44))=TRUE,"",IF('750'!AN44="","ERR","")) &amp; IF(ISERROR(FIND($C$2,Lines!AN44))=TRUE,"",IF('500'!AN44="","ERR","")) &amp; IF(ISERROR(FIND($D$2,Lines!AN44))=TRUE,"",IF('330'!AN44="","ERR","")) &amp; IF(ISERROR(FIND($E$2,Lines!AN44))=TRUE,"",IF('220'!AN44="","ERR",""))&amp; IF(ISERROR(FIND($F$2,Lines!AN44))=TRUE,"",IF(AND('500DC'!AN44="",'800DC'!AN44=""),"ERR","")) &amp; IF(ISERROR(FIND($G$2,Lines!AN44))=TRUE,"",IF('1000'!AN44="","ERR","")) &amp; IF(ISERROR(FIND($H$2,Lines!AN44))=TRUE,"",IF('500DC'!AN44="","ERR","")) &amp; IF(ISERROR(FIND($I$2,Lines!AN44))=TRUE,"",IF('800DC'!AN44="","ERR","")) &amp; IF(ISERROR(FIND($J$2,Lines!AN44))=TRUE,"",IF('1000'!AN44="","ERR",""))</f>
        <v/>
      </c>
      <c r="AO44" s="108" t="str">
        <f>IF(ISERROR(FIND($B$2,Lines!AO44))=TRUE,"",IF('750'!AO44="","ERR","")) &amp; IF(ISERROR(FIND($C$2,Lines!AO44))=TRUE,"",IF('500'!AO44="","ERR","")) &amp; IF(ISERROR(FIND($D$2,Lines!AO44))=TRUE,"",IF('330'!AO44="","ERR","")) &amp; IF(ISERROR(FIND($E$2,Lines!AO44))=TRUE,"",IF('220'!AO44="","ERR",""))&amp; IF(ISERROR(FIND($F$2,Lines!AO44))=TRUE,"",IF(AND('500DC'!AO44="",'800DC'!AO44=""),"ERR","")) &amp; IF(ISERROR(FIND($G$2,Lines!AO44))=TRUE,"",IF('1000'!AO44="","ERR","")) &amp; IF(ISERROR(FIND($H$2,Lines!AO44))=TRUE,"",IF('500DC'!AO44="","ERR","")) &amp; IF(ISERROR(FIND($I$2,Lines!AO44))=TRUE,"",IF('800DC'!AO44="","ERR","")) &amp; IF(ISERROR(FIND($J$2,Lines!AO44))=TRUE,"",IF('1000'!AO44="","ERR",""))</f>
        <v/>
      </c>
      <c r="AP44" s="112" t="str">
        <f>IF(ISERROR(FIND($B$2,Lines!AP44))=TRUE,"",IF('750'!AP44="","ERR","")) &amp; IF(ISERROR(FIND($C$2,Lines!AP44))=TRUE,"",IF('500'!AP44="","ERR","")) &amp; IF(ISERROR(FIND($D$2,Lines!AP44))=TRUE,"",IF('330'!AP44="","ERR","")) &amp; IF(ISERROR(FIND($E$2,Lines!AP44))=TRUE,"",IF('220'!AP44="","ERR",""))&amp; IF(ISERROR(FIND($F$2,Lines!AP44))=TRUE,"",IF(AND('500DC'!AP44="",'800DC'!AP44=""),"ERR","")) &amp; IF(ISERROR(FIND($G$2,Lines!AP44))=TRUE,"",IF('1000'!AP44="","ERR","")) &amp; IF(ISERROR(FIND($H$2,Lines!AP44))=TRUE,"",IF('500DC'!AP44="","ERR","")) &amp; IF(ISERROR(FIND($I$2,Lines!AP44))=TRUE,"",IF('800DC'!AP44="","ERR","")) &amp; IF(ISERROR(FIND($J$2,Lines!AP44))=TRUE,"",IF('1000'!AP44="","ERR",""))</f>
        <v/>
      </c>
      <c r="AQ44" s="142" t="str">
        <f>IF(ISERROR(FIND($B$2,Lines!AQ44))=TRUE,"",IF('750'!AQ44="","ERR","")) &amp; IF(ISERROR(FIND($C$2,Lines!AQ44))=TRUE,"",IF('500'!AQ44="","ERR","")) &amp; IF(ISERROR(FIND($D$2,Lines!AQ44))=TRUE,"",IF('330'!AQ44="","ERR","")) &amp; IF(ISERROR(FIND($E$2,Lines!AQ44))=TRUE,"",IF('220'!AQ44="","ERR",""))&amp; IF(ISERROR(FIND($F$2,Lines!AQ44))=TRUE,"",IF(AND('500DC'!AQ44="",'800DC'!AQ44=""),"ERR","")) &amp; IF(ISERROR(FIND($G$2,Lines!AQ44))=TRUE,"",IF('1000'!AQ44="","ERR","")) &amp; IF(ISERROR(FIND($H$2,Lines!AQ44))=TRUE,"",IF('500DC'!AQ44="","ERR","")) &amp; IF(ISERROR(FIND($I$2,Lines!AQ44))=TRUE,"",IF('800DC'!AQ44="","ERR","")) &amp; IF(ISERROR(FIND($J$2,Lines!AQ44))=TRUE,"",IF('1000'!AQ44="","ERR",""))</f>
        <v/>
      </c>
      <c r="AR44" s="142" t="str">
        <f>IF(ISERROR(FIND($B$2,Lines!AR44))=TRUE,"",IF('750'!AR44="","ERR","")) &amp; IF(ISERROR(FIND($C$2,Lines!AR44))=TRUE,"",IF('500'!AR44="","ERR","")) &amp; IF(ISERROR(FIND($D$2,Lines!AR44))=TRUE,"",IF('330'!AR44="","ERR","")) &amp; IF(ISERROR(FIND($E$2,Lines!AR44))=TRUE,"",IF('220'!AR44="","ERR",""))&amp; IF(ISERROR(FIND($F$2,Lines!AR44))=TRUE,"",IF(AND('500DC'!AR44="",'800DC'!AR44=""),"ERR","")) &amp; IF(ISERROR(FIND($G$2,Lines!AR44))=TRUE,"",IF('1000'!AR44="","ERR","")) &amp; IF(ISERROR(FIND($H$2,Lines!AR44))=TRUE,"",IF('500DC'!AR44="","ERR","")) &amp; IF(ISERROR(FIND($I$2,Lines!AR44))=TRUE,"",IF('800DC'!AR44="","ERR","")) &amp; IF(ISERROR(FIND($J$2,Lines!AR44))=TRUE,"",IF('1000'!AR44="","ERR",""))</f>
        <v/>
      </c>
      <c r="AS44" s="142" t="str">
        <f>IF(ISERROR(FIND($B$2,Lines!AS44))=TRUE,"",IF('750'!AS44="","ERR","")) &amp; IF(ISERROR(FIND($C$2,Lines!AS44))=TRUE,"",IF('500'!AS44="","ERR","")) &amp; IF(ISERROR(FIND($D$2,Lines!AS44))=TRUE,"",IF('330'!AS44="","ERR","")) &amp; IF(ISERROR(FIND($E$2,Lines!AS44))=TRUE,"",IF('220'!AS44="","ERR",""))&amp; IF(ISERROR(FIND($F$2,Lines!AS44))=TRUE,"",IF(AND('500DC'!AS44="",'800DC'!AS44=""),"ERR","")) &amp; IF(ISERROR(FIND($G$2,Lines!AS44))=TRUE,"",IF('1000'!AS44="","ERR","")) &amp; IF(ISERROR(FIND($H$2,Lines!AS44))=TRUE,"",IF('500DC'!AS44="","ERR","")) &amp; IF(ISERROR(FIND($I$2,Lines!AS44))=TRUE,"",IF('800DC'!AS44="","ERR","")) &amp; IF(ISERROR(FIND($J$2,Lines!AS44))=TRUE,"",IF('1000'!AS44="","ERR",""))</f>
        <v/>
      </c>
      <c r="AT44" s="142" t="str">
        <f>IF(ISERROR(FIND($B$2,Lines!AT44))=TRUE,"",IF('750'!AT44="","ERR","")) &amp; IF(ISERROR(FIND($C$2,Lines!AT44))=TRUE,"",IF('500'!AT44="","ERR","")) &amp; IF(ISERROR(FIND($D$2,Lines!AT44))=TRUE,"",IF('330'!AT44="","ERR","")) &amp; IF(ISERROR(FIND($E$2,Lines!AT44))=TRUE,"",IF('220'!AT44="","ERR",""))&amp; IF(ISERROR(FIND($F$2,Lines!AT44))=TRUE,"",IF(AND('500DC'!AT44="",'800DC'!AT44=""),"ERR","")) &amp; IF(ISERROR(FIND($G$2,Lines!AT44))=TRUE,"",IF('1000'!AT44="","ERR","")) &amp; IF(ISERROR(FIND($H$2,Lines!AT44))=TRUE,"",IF('500DC'!AT44="","ERR","")) &amp; IF(ISERROR(FIND($I$2,Lines!AT44))=TRUE,"",IF('800DC'!AT44="","ERR","")) &amp; IF(ISERROR(FIND($J$2,Lines!AT44))=TRUE,"",IF('1000'!AT44="","ERR",""))</f>
        <v/>
      </c>
    </row>
    <row r="45" spans="1:46" ht="20.25" customHeight="1">
      <c r="A45" s="2" t="s">
        <v>93</v>
      </c>
      <c r="B45" s="108" t="str">
        <f>IF(ISERROR(FIND($B$2,Lines!B45))=TRUE,"",IF('750'!B45="","ERR","")) &amp; IF(ISERROR(FIND($C$2,Lines!B45))=TRUE,"",IF('500'!B45="","ERR","")) &amp; IF(ISERROR(FIND($D$2,Lines!B45))=TRUE,"",IF('330'!B45="","ERR","")) &amp; IF(ISERROR(FIND($E$2,Lines!B45))=TRUE,"",IF('220'!B45="","ERR",""))&amp; IF(ISERROR(FIND($F$2,Lines!B45))=TRUE,"",IF(AND('500DC'!B45="",'800DC'!B45=""),"ERR","")) &amp; IF(ISERROR(FIND($G$2,Lines!B45))=TRUE,"",IF('1000'!B45="","ERR","")) &amp; IF(ISERROR(FIND($H$2,Lines!B45))=TRUE,"",IF('500DC'!B45="","ERR","")) &amp; IF(ISERROR(FIND($I$2,Lines!B45))=TRUE,"",IF('800DC'!B45="","ERR","")) &amp; IF(ISERROR(FIND($J$2,Lines!B45))=TRUE,"",IF('1000'!B45="","ERR",""))</f>
        <v/>
      </c>
      <c r="C45" s="108" t="str">
        <f>IF(ISERROR(FIND($B$2,Lines!C45))=TRUE,"",IF('750'!C45="","ERR","")) &amp; IF(ISERROR(FIND($C$2,Lines!C45))=TRUE,"",IF('500'!C45="","ERR","")) &amp; IF(ISERROR(FIND($D$2,Lines!C45))=TRUE,"",IF('330'!C45="","ERR","")) &amp; IF(ISERROR(FIND($E$2,Lines!C45))=TRUE,"",IF('220'!C45="","ERR",""))&amp; IF(ISERROR(FIND($F$2,Lines!C45))=TRUE,"",IF(AND('500DC'!C45="",'800DC'!C45=""),"ERR","")) &amp; IF(ISERROR(FIND($G$2,Lines!C45))=TRUE,"",IF('1000'!C45="","ERR","")) &amp; IF(ISERROR(FIND($H$2,Lines!C45))=TRUE,"",IF('500DC'!C45="","ERR","")) &amp; IF(ISERROR(FIND($I$2,Lines!C45))=TRUE,"",IF('800DC'!C45="","ERR","")) &amp; IF(ISERROR(FIND($J$2,Lines!C45))=TRUE,"",IF('1000'!C45="","ERR",""))</f>
        <v/>
      </c>
      <c r="D45" s="108" t="str">
        <f>IF(ISERROR(FIND($B$2,Lines!D45))=TRUE,"",IF('750'!D45="","ERR","")) &amp; IF(ISERROR(FIND($C$2,Lines!D45))=TRUE,"",IF('500'!D45="","ERR","")) &amp; IF(ISERROR(FIND($D$2,Lines!D45))=TRUE,"",IF('330'!D45="","ERR","")) &amp; IF(ISERROR(FIND($E$2,Lines!D45))=TRUE,"",IF('220'!D45="","ERR",""))&amp; IF(ISERROR(FIND($F$2,Lines!D45))=TRUE,"",IF(AND('500DC'!D45="",'800DC'!D45=""),"ERR","")) &amp; IF(ISERROR(FIND($G$2,Lines!D45))=TRUE,"",IF('1000'!D45="","ERR","")) &amp; IF(ISERROR(FIND($H$2,Lines!D45))=TRUE,"",IF('500DC'!D45="","ERR","")) &amp; IF(ISERROR(FIND($I$2,Lines!D45))=TRUE,"",IF('800DC'!D45="","ERR","")) &amp; IF(ISERROR(FIND($J$2,Lines!D45))=TRUE,"",IF('1000'!D45="","ERR",""))</f>
        <v/>
      </c>
      <c r="E45" s="108" t="str">
        <f>IF(ISERROR(FIND($B$2,Lines!E45))=TRUE,"",IF('750'!E45="","ERR","")) &amp; IF(ISERROR(FIND($C$2,Lines!E45))=TRUE,"",IF('500'!E45="","ERR","")) &amp; IF(ISERROR(FIND($D$2,Lines!E45))=TRUE,"",IF('330'!E45="","ERR","")) &amp; IF(ISERROR(FIND($E$2,Lines!E45))=TRUE,"",IF('220'!E45="","ERR",""))&amp; IF(ISERROR(FIND($F$2,Lines!E45))=TRUE,"",IF(AND('500DC'!E45="",'800DC'!E45=""),"ERR","")) &amp; IF(ISERROR(FIND($G$2,Lines!E45))=TRUE,"",IF('1000'!E45="","ERR","")) &amp; IF(ISERROR(FIND($H$2,Lines!E45))=TRUE,"",IF('500DC'!E45="","ERR","")) &amp; IF(ISERROR(FIND($I$2,Lines!E45))=TRUE,"",IF('800DC'!E45="","ERR","")) &amp; IF(ISERROR(FIND($J$2,Lines!E45))=TRUE,"",IF('1000'!E45="","ERR",""))</f>
        <v/>
      </c>
      <c r="F45" s="108" t="str">
        <f>IF(ISERROR(FIND($B$2,Lines!F45))=TRUE,"",IF('750'!F45="","ERR","")) &amp; IF(ISERROR(FIND($C$2,Lines!F45))=TRUE,"",IF('500'!F45="","ERR","")) &amp; IF(ISERROR(FIND($D$2,Lines!F45))=TRUE,"",IF('330'!F45="","ERR","")) &amp; IF(ISERROR(FIND($E$2,Lines!F45))=TRUE,"",IF('220'!F45="","ERR",""))&amp; IF(ISERROR(FIND($F$2,Lines!F45))=TRUE,"",IF(AND('500DC'!F45="",'800DC'!F45=""),"ERR","")) &amp; IF(ISERROR(FIND($G$2,Lines!F45))=TRUE,"",IF('1000'!F45="","ERR","")) &amp; IF(ISERROR(FIND($H$2,Lines!F45))=TRUE,"",IF('500DC'!F45="","ERR","")) &amp; IF(ISERROR(FIND($I$2,Lines!F45))=TRUE,"",IF('800DC'!F45="","ERR","")) &amp; IF(ISERROR(FIND($J$2,Lines!F45))=TRUE,"",IF('1000'!F45="","ERR",""))</f>
        <v/>
      </c>
      <c r="G45" s="108" t="str">
        <f>IF(ISERROR(FIND($B$2,Lines!G45))=TRUE,"",IF('750'!G45="","ERR","")) &amp; IF(ISERROR(FIND($C$2,Lines!G45))=TRUE,"",IF('500'!G45="","ERR","")) &amp; IF(ISERROR(FIND($D$2,Lines!G45))=TRUE,"",IF('330'!G45="","ERR","")) &amp; IF(ISERROR(FIND($E$2,Lines!G45))=TRUE,"",IF('220'!G45="","ERR",""))&amp; IF(ISERROR(FIND($F$2,Lines!G45))=TRUE,"",IF(AND('500DC'!G45="",'800DC'!G45=""),"ERR","")) &amp; IF(ISERROR(FIND($G$2,Lines!G45))=TRUE,"",IF('1000'!G45="","ERR","")) &amp; IF(ISERROR(FIND($H$2,Lines!G45))=TRUE,"",IF('500DC'!G45="","ERR","")) &amp; IF(ISERROR(FIND($I$2,Lines!G45))=TRUE,"",IF('800DC'!G45="","ERR","")) &amp; IF(ISERROR(FIND($J$2,Lines!G45))=TRUE,"",IF('1000'!G45="","ERR",""))</f>
        <v/>
      </c>
      <c r="H45" s="108" t="str">
        <f>IF(ISERROR(FIND($B$2,Lines!H45))=TRUE,"",IF('750'!H45="","ERR","")) &amp; IF(ISERROR(FIND($C$2,Lines!H45))=TRUE,"",IF('500'!H45="","ERR","")) &amp; IF(ISERROR(FIND($D$2,Lines!H45))=TRUE,"",IF('330'!H45="","ERR","")) &amp; IF(ISERROR(FIND($E$2,Lines!H45))=TRUE,"",IF('220'!H45="","ERR",""))&amp; IF(ISERROR(FIND($F$2,Lines!H45))=TRUE,"",IF(AND('500DC'!H45="",'800DC'!H45=""),"ERR","")) &amp; IF(ISERROR(FIND($G$2,Lines!H45))=TRUE,"",IF('1000'!H45="","ERR","")) &amp; IF(ISERROR(FIND($H$2,Lines!H45))=TRUE,"",IF('500DC'!H45="","ERR","")) &amp; IF(ISERROR(FIND($I$2,Lines!H45))=TRUE,"",IF('800DC'!H45="","ERR","")) &amp; IF(ISERROR(FIND($J$2,Lines!H45))=TRUE,"",IF('1000'!H45="","ERR",""))</f>
        <v/>
      </c>
      <c r="I45" s="108" t="str">
        <f>IF(ISERROR(FIND($B$2,Lines!I45))=TRUE,"",IF('750'!I45="","ERR","")) &amp; IF(ISERROR(FIND($C$2,Lines!I45))=TRUE,"",IF('500'!I45="","ERR","")) &amp; IF(ISERROR(FIND($D$2,Lines!I45))=TRUE,"",IF('330'!I45="","ERR","")) &amp; IF(ISERROR(FIND($E$2,Lines!I45))=TRUE,"",IF('220'!I45="","ERR",""))&amp; IF(ISERROR(FIND($F$2,Lines!I45))=TRUE,"",IF(AND('500DC'!I45="",'800DC'!I45=""),"ERR","")) &amp; IF(ISERROR(FIND($G$2,Lines!I45))=TRUE,"",IF('1000'!I45="","ERR","")) &amp; IF(ISERROR(FIND($H$2,Lines!I45))=TRUE,"",IF('500DC'!I45="","ERR","")) &amp; IF(ISERROR(FIND($I$2,Lines!I45))=TRUE,"",IF('800DC'!I45="","ERR","")) &amp; IF(ISERROR(FIND($J$2,Lines!I45))=TRUE,"",IF('1000'!I45="","ERR",""))</f>
        <v/>
      </c>
      <c r="J45" s="108" t="str">
        <f>IF(ISERROR(FIND($B$2,Lines!J45))=TRUE,"",IF('750'!J45="","ERR","")) &amp; IF(ISERROR(FIND($C$2,Lines!J45))=TRUE,"",IF('500'!J45="","ERR","")) &amp; IF(ISERROR(FIND($D$2,Lines!J45))=TRUE,"",IF('330'!J45="","ERR","")) &amp; IF(ISERROR(FIND($E$2,Lines!J45))=TRUE,"",IF('220'!J45="","ERR",""))&amp; IF(ISERROR(FIND($F$2,Lines!J45))=TRUE,"",IF(AND('500DC'!J45="",'800DC'!J45=""),"ERR","")) &amp; IF(ISERROR(FIND($G$2,Lines!J45))=TRUE,"",IF('1000'!J45="","ERR","")) &amp; IF(ISERROR(FIND($H$2,Lines!J45))=TRUE,"",IF('500DC'!J45="","ERR","")) &amp; IF(ISERROR(FIND($I$2,Lines!J45))=TRUE,"",IF('800DC'!J45="","ERR","")) &amp; IF(ISERROR(FIND($J$2,Lines!J45))=TRUE,"",IF('1000'!J45="","ERR",""))</f>
        <v/>
      </c>
      <c r="K45" s="108" t="str">
        <f>IF(ISERROR(FIND($B$2,Lines!K45))=TRUE,"",IF('750'!K45="","ERR","")) &amp; IF(ISERROR(FIND($C$2,Lines!K45))=TRUE,"",IF('500'!K45="","ERR","")) &amp; IF(ISERROR(FIND($D$2,Lines!K45))=TRUE,"",IF('330'!K45="","ERR","")) &amp; IF(ISERROR(FIND($E$2,Lines!K45))=TRUE,"",IF('220'!K45="","ERR",""))&amp; IF(ISERROR(FIND($F$2,Lines!K45))=TRUE,"",IF(AND('500DC'!K45="",'800DC'!K45=""),"ERR","")) &amp; IF(ISERROR(FIND($G$2,Lines!K45))=TRUE,"",IF('1000'!K45="","ERR","")) &amp; IF(ISERROR(FIND($H$2,Lines!K45))=TRUE,"",IF('500DC'!K45="","ERR","")) &amp; IF(ISERROR(FIND($I$2,Lines!K45))=TRUE,"",IF('800DC'!K45="","ERR","")) &amp; IF(ISERROR(FIND($J$2,Lines!K45))=TRUE,"",IF('1000'!K45="","ERR",""))</f>
        <v/>
      </c>
      <c r="L45" s="108" t="str">
        <f>IF(ISERROR(FIND($B$2,Lines!L45))=TRUE,"",IF('750'!L45="","ERR","")) &amp; IF(ISERROR(FIND($C$2,Lines!L45))=TRUE,"",IF('500'!L45="","ERR","")) &amp; IF(ISERROR(FIND($D$2,Lines!L45))=TRUE,"",IF('330'!L45="","ERR","")) &amp; IF(ISERROR(FIND($E$2,Lines!L45))=TRUE,"",IF('220'!L45="","ERR",""))&amp; IF(ISERROR(FIND($F$2,Lines!L45))=TRUE,"",IF(AND('500DC'!L45="",'800DC'!L45=""),"ERR","")) &amp; IF(ISERROR(FIND($G$2,Lines!L45))=TRUE,"",IF('1000'!L45="","ERR","")) &amp; IF(ISERROR(FIND($H$2,Lines!L45))=TRUE,"",IF('500DC'!L45="","ERR","")) &amp; IF(ISERROR(FIND($I$2,Lines!L45))=TRUE,"",IF('800DC'!L45="","ERR","")) &amp; IF(ISERROR(FIND($J$2,Lines!L45))=TRUE,"",IF('1000'!L45="","ERR",""))</f>
        <v/>
      </c>
      <c r="M45" s="108" t="str">
        <f>IF(ISERROR(FIND($B$2,Lines!M45))=TRUE,"",IF('750'!M45="","ERR","")) &amp; IF(ISERROR(FIND($C$2,Lines!M45))=TRUE,"",IF('500'!M45="","ERR","")) &amp; IF(ISERROR(FIND($D$2,Lines!M45))=TRUE,"",IF('330'!M45="","ERR","")) &amp; IF(ISERROR(FIND($E$2,Lines!M45))=TRUE,"",IF('220'!M45="","ERR",""))&amp; IF(ISERROR(FIND($F$2,Lines!M45))=TRUE,"",IF(AND('500DC'!M45="",'800DC'!M45=""),"ERR","")) &amp; IF(ISERROR(FIND($G$2,Lines!M45))=TRUE,"",IF('1000'!M45="","ERR","")) &amp; IF(ISERROR(FIND($H$2,Lines!M45))=TRUE,"",IF('500DC'!M45="","ERR","")) &amp; IF(ISERROR(FIND($I$2,Lines!M45))=TRUE,"",IF('800DC'!M45="","ERR","")) &amp; IF(ISERROR(FIND($J$2,Lines!M45))=TRUE,"",IF('1000'!M45="","ERR",""))</f>
        <v/>
      </c>
      <c r="N45" s="108" t="str">
        <f>IF(ISERROR(FIND($B$2,Lines!N45))=TRUE,"",IF('750'!N45="","ERR","")) &amp; IF(ISERROR(FIND($C$2,Lines!N45))=TRUE,"",IF('500'!N45="","ERR","")) &amp; IF(ISERROR(FIND($D$2,Lines!N45))=TRUE,"",IF('330'!N45="","ERR","")) &amp; IF(ISERROR(FIND($E$2,Lines!N45))=TRUE,"",IF('220'!N45="","ERR",""))&amp; IF(ISERROR(FIND($F$2,Lines!N45))=TRUE,"",IF(AND('500DC'!N45="",'800DC'!N45=""),"ERR","")) &amp; IF(ISERROR(FIND($G$2,Lines!N45))=TRUE,"",IF('1000'!N45="","ERR","")) &amp; IF(ISERROR(FIND($H$2,Lines!N45))=TRUE,"",IF('500DC'!N45="","ERR","")) &amp; IF(ISERROR(FIND($I$2,Lines!N45))=TRUE,"",IF('800DC'!N45="","ERR","")) &amp; IF(ISERROR(FIND($J$2,Lines!N45))=TRUE,"",IF('1000'!N45="","ERR",""))</f>
        <v/>
      </c>
      <c r="O45" s="108" t="str">
        <f>IF(ISERROR(FIND($B$2,Lines!O45))=TRUE,"",IF('750'!O45="","ERR","")) &amp; IF(ISERROR(FIND($C$2,Lines!O45))=TRUE,"",IF('500'!O45="","ERR","")) &amp; IF(ISERROR(FIND($D$2,Lines!O45))=TRUE,"",IF('330'!O45="","ERR","")) &amp; IF(ISERROR(FIND($E$2,Lines!O45))=TRUE,"",IF('220'!O45="","ERR",""))&amp; IF(ISERROR(FIND($F$2,Lines!O45))=TRUE,"",IF(AND('500DC'!O45="",'800DC'!O45=""),"ERR","")) &amp; IF(ISERROR(FIND($G$2,Lines!O45))=TRUE,"",IF('1000'!O45="","ERR","")) &amp; IF(ISERROR(FIND($H$2,Lines!O45))=TRUE,"",IF('500DC'!O45="","ERR","")) &amp; IF(ISERROR(FIND($I$2,Lines!O45))=TRUE,"",IF('800DC'!O45="","ERR","")) &amp; IF(ISERROR(FIND($J$2,Lines!O45))=TRUE,"",IF('1000'!O45="","ERR",""))</f>
        <v/>
      </c>
      <c r="P45" s="108" t="str">
        <f>IF(ISERROR(FIND($B$2,Lines!P45))=TRUE,"",IF('750'!P45="","ERR","")) &amp; IF(ISERROR(FIND($C$2,Lines!P45))=TRUE,"",IF('500'!P45="","ERR","")) &amp; IF(ISERROR(FIND($D$2,Lines!P45))=TRUE,"",IF('330'!P45="","ERR","")) &amp; IF(ISERROR(FIND($E$2,Lines!P45))=TRUE,"",IF('220'!P45="","ERR",""))&amp; IF(ISERROR(FIND($F$2,Lines!P45))=TRUE,"",IF(AND('500DC'!P45="",'800DC'!P45=""),"ERR","")) &amp; IF(ISERROR(FIND($G$2,Lines!P45))=TRUE,"",IF('1000'!P45="","ERR","")) &amp; IF(ISERROR(FIND($H$2,Lines!P45))=TRUE,"",IF('500DC'!P45="","ERR","")) &amp; IF(ISERROR(FIND($I$2,Lines!P45))=TRUE,"",IF('800DC'!P45="","ERR","")) &amp; IF(ISERROR(FIND($J$2,Lines!P45))=TRUE,"",IF('1000'!P45="","ERR",""))</f>
        <v/>
      </c>
      <c r="Q45" s="108" t="str">
        <f>IF(ISERROR(FIND($B$2,Lines!Q45))=TRUE,"",IF('750'!Q45="","ERR","")) &amp; IF(ISERROR(FIND($C$2,Lines!Q45))=TRUE,"",IF('500'!Q45="","ERR","")) &amp; IF(ISERROR(FIND($D$2,Lines!Q45))=TRUE,"",IF('330'!Q45="","ERR","")) &amp; IF(ISERROR(FIND($E$2,Lines!Q45))=TRUE,"",IF('220'!Q45="","ERR",""))&amp; IF(ISERROR(FIND($F$2,Lines!Q45))=TRUE,"",IF(AND('500DC'!Q45="",'800DC'!Q45=""),"ERR","")) &amp; IF(ISERROR(FIND($G$2,Lines!Q45))=TRUE,"",IF('1000'!Q45="","ERR","")) &amp; IF(ISERROR(FIND($H$2,Lines!Q45))=TRUE,"",IF('500DC'!Q45="","ERR","")) &amp; IF(ISERROR(FIND($I$2,Lines!Q45))=TRUE,"",IF('800DC'!Q45="","ERR","")) &amp; IF(ISERROR(FIND($J$2,Lines!Q45))=TRUE,"",IF('1000'!Q45="","ERR",""))</f>
        <v/>
      </c>
      <c r="R45" s="108" t="str">
        <f>IF(ISERROR(FIND($B$2,Lines!R45))=TRUE,"",IF('750'!R45="","ERR","")) &amp; IF(ISERROR(FIND($C$2,Lines!R45))=TRUE,"",IF('500'!R45="","ERR","")) &amp; IF(ISERROR(FIND($D$2,Lines!R45))=TRUE,"",IF('330'!R45="","ERR","")) &amp; IF(ISERROR(FIND($E$2,Lines!R45))=TRUE,"",IF('220'!R45="","ERR",""))&amp; IF(ISERROR(FIND($F$2,Lines!R45))=TRUE,"",IF(AND('500DC'!R45="",'800DC'!R45=""),"ERR","")) &amp; IF(ISERROR(FIND($G$2,Lines!R45))=TRUE,"",IF('1000'!R45="","ERR","")) &amp; IF(ISERROR(FIND($H$2,Lines!R45))=TRUE,"",IF('500DC'!R45="","ERR","")) &amp; IF(ISERROR(FIND($I$2,Lines!R45))=TRUE,"",IF('800DC'!R45="","ERR","")) &amp; IF(ISERROR(FIND($J$2,Lines!R45))=TRUE,"",IF('1000'!R45="","ERR",""))</f>
        <v/>
      </c>
      <c r="S45" s="108" t="str">
        <f>IF(ISERROR(FIND($B$2,Lines!S45))=TRUE,"",IF('750'!S45="","ERR","")) &amp; IF(ISERROR(FIND($C$2,Lines!S45))=TRUE,"",IF('500'!S45="","ERR","")) &amp; IF(ISERROR(FIND($D$2,Lines!S45))=TRUE,"",IF('330'!S45="","ERR","")) &amp; IF(ISERROR(FIND($E$2,Lines!S45))=TRUE,"",IF('220'!S45="","ERR",""))&amp; IF(ISERROR(FIND($F$2,Lines!S45))=TRUE,"",IF(AND('500DC'!S45="",'800DC'!S45=""),"ERR","")) &amp; IF(ISERROR(FIND($G$2,Lines!S45))=TRUE,"",IF('1000'!S45="","ERR","")) &amp; IF(ISERROR(FIND($H$2,Lines!S45))=TRUE,"",IF('500DC'!S45="","ERR","")) &amp; IF(ISERROR(FIND($I$2,Lines!S45))=TRUE,"",IF('800DC'!S45="","ERR","")) &amp; IF(ISERROR(FIND($J$2,Lines!S45))=TRUE,"",IF('1000'!S45="","ERR",""))</f>
        <v/>
      </c>
      <c r="T45" s="108" t="str">
        <f>IF(ISERROR(FIND($B$2,Lines!T45))=TRUE,"",IF('750'!T45="","ERR","")) &amp; IF(ISERROR(FIND($C$2,Lines!T45))=TRUE,"",IF('500'!T45="","ERR","")) &amp; IF(ISERROR(FIND($D$2,Lines!T45))=TRUE,"",IF('330'!T45="","ERR","")) &amp; IF(ISERROR(FIND($E$2,Lines!T45))=TRUE,"",IF('220'!T45="","ERR",""))&amp; IF(ISERROR(FIND($F$2,Lines!T45))=TRUE,"",IF(AND('500DC'!T45="",'800DC'!T45=""),"ERR","")) &amp; IF(ISERROR(FIND($G$2,Lines!T45))=TRUE,"",IF('1000'!T45="","ERR","")) &amp; IF(ISERROR(FIND($H$2,Lines!T45))=TRUE,"",IF('500DC'!T45="","ERR","")) &amp; IF(ISERROR(FIND($I$2,Lines!T45))=TRUE,"",IF('800DC'!T45="","ERR","")) &amp; IF(ISERROR(FIND($J$2,Lines!T45))=TRUE,"",IF('1000'!T45="","ERR",""))</f>
        <v/>
      </c>
      <c r="U45" s="108" t="str">
        <f>IF(ISERROR(FIND($B$2,Lines!U45))=TRUE,"",IF('750'!U45="","ERR","")) &amp; IF(ISERROR(FIND($C$2,Lines!U45))=TRUE,"",IF('500'!U45="","ERR","")) &amp; IF(ISERROR(FIND($D$2,Lines!U45))=TRUE,"",IF('330'!U45="","ERR","")) &amp; IF(ISERROR(FIND($E$2,Lines!U45))=TRUE,"",IF('220'!U45="","ERR",""))&amp; IF(ISERROR(FIND($F$2,Lines!U45))=TRUE,"",IF(AND('500DC'!U45="",'800DC'!U45=""),"ERR","")) &amp; IF(ISERROR(FIND($G$2,Lines!U45))=TRUE,"",IF('1000'!U45="","ERR","")) &amp; IF(ISERROR(FIND($H$2,Lines!U45))=TRUE,"",IF('500DC'!U45="","ERR","")) &amp; IF(ISERROR(FIND($I$2,Lines!U45))=TRUE,"",IF('800DC'!U45="","ERR","")) &amp; IF(ISERROR(FIND($J$2,Lines!U45))=TRUE,"",IF('1000'!U45="","ERR",""))</f>
        <v/>
      </c>
      <c r="V45" s="108" t="str">
        <f>IF(ISERROR(FIND($B$2,Lines!V45))=TRUE,"",IF('750'!V45="","ERR","")) &amp; IF(ISERROR(FIND($C$2,Lines!V45))=TRUE,"",IF('500'!V45="","ERR","")) &amp; IF(ISERROR(FIND($D$2,Lines!V45))=TRUE,"",IF('330'!V45="","ERR","")) &amp; IF(ISERROR(FIND($E$2,Lines!V45))=TRUE,"",IF('220'!V45="","ERR",""))&amp; IF(ISERROR(FIND($F$2,Lines!V45))=TRUE,"",IF(AND('500DC'!V45="",'800DC'!V45=""),"ERR","")) &amp; IF(ISERROR(FIND($G$2,Lines!V45))=TRUE,"",IF('1000'!V45="","ERR","")) &amp; IF(ISERROR(FIND($H$2,Lines!V45))=TRUE,"",IF('500DC'!V45="","ERR","")) &amp; IF(ISERROR(FIND($I$2,Lines!V45))=TRUE,"",IF('800DC'!V45="","ERR","")) &amp; IF(ISERROR(FIND($J$2,Lines!V45))=TRUE,"",IF('1000'!V45="","ERR",""))</f>
        <v/>
      </c>
      <c r="W45" s="109" t="str">
        <f>IF(ISERROR(FIND($B$2,Lines!W45))=TRUE,"",IF('750'!W45="","ERR","")) &amp; IF(ISERROR(FIND($C$2,Lines!W45))=TRUE,"",IF('500'!W45="","ERR","")) &amp; IF(ISERROR(FIND($D$2,Lines!W45))=TRUE,"",IF('330'!W45="","ERR","")) &amp; IF(ISERROR(FIND($E$2,Lines!W45))=TRUE,"",IF('220'!W45="","ERR",""))&amp; IF(ISERROR(FIND($F$2,Lines!W45))=TRUE,"",IF(AND('500DC'!W45="",'800DC'!W45=""),"ERR","")) &amp; IF(ISERROR(FIND($G$2,Lines!W45))=TRUE,"",IF('1000'!W45="","ERR","")) &amp; IF(ISERROR(FIND($H$2,Lines!W45))=TRUE,"",IF('500DC'!W45="","ERR","")) &amp; IF(ISERROR(FIND($I$2,Lines!W45))=TRUE,"",IF('800DC'!W45="","ERR","")) &amp; IF(ISERROR(FIND($J$2,Lines!W45))=TRUE,"",IF('1000'!W45="","ERR",""))</f>
        <v/>
      </c>
      <c r="X45" s="108" t="str">
        <f>IF(ISERROR(FIND($B$2,Lines!X45))=TRUE,"",IF('750'!X45="","ERR","")) &amp; IF(ISERROR(FIND($C$2,Lines!X45))=TRUE,"",IF('500'!X45="","ERR","")) &amp; IF(ISERROR(FIND($D$2,Lines!X45))=TRUE,"",IF('330'!X45="","ERR","")) &amp; IF(ISERROR(FIND($E$2,Lines!X45))=TRUE,"",IF('220'!X45="","ERR",""))&amp; IF(ISERROR(FIND($F$2,Lines!X45))=TRUE,"",IF(AND('500DC'!X45="",'800DC'!X45=""),"ERR","")) &amp; IF(ISERROR(FIND($G$2,Lines!X45))=TRUE,"",IF('1000'!X45="","ERR","")) &amp; IF(ISERROR(FIND($H$2,Lines!X45))=TRUE,"",IF('500DC'!X45="","ERR","")) &amp; IF(ISERROR(FIND($I$2,Lines!X45))=TRUE,"",IF('800DC'!X45="","ERR","")) &amp; IF(ISERROR(FIND($J$2,Lines!X45))=TRUE,"",IF('1000'!X45="","ERR",""))</f>
        <v/>
      </c>
      <c r="Y45" s="108" t="str">
        <f>IF(ISERROR(FIND($B$2,Lines!Y45))=TRUE,"",IF('750'!Y45="","ERR","")) &amp; IF(ISERROR(FIND($C$2,Lines!Y45))=TRUE,"",IF('500'!Y45="","ERR","")) &amp; IF(ISERROR(FIND($D$2,Lines!Y45))=TRUE,"",IF('330'!Y45="","ERR","")) &amp; IF(ISERROR(FIND($E$2,Lines!Y45))=TRUE,"",IF('220'!Y45="","ERR",""))&amp; IF(ISERROR(FIND($F$2,Lines!Y45))=TRUE,"",IF(AND('500DC'!Y45="",'800DC'!Y45=""),"ERR","")) &amp; IF(ISERROR(FIND($G$2,Lines!Y45))=TRUE,"",IF('1000'!Y45="","ERR","")) &amp; IF(ISERROR(FIND($H$2,Lines!Y45))=TRUE,"",IF('500DC'!Y45="","ERR","")) &amp; IF(ISERROR(FIND($I$2,Lines!Y45))=TRUE,"",IF('800DC'!Y45="","ERR","")) &amp; IF(ISERROR(FIND($J$2,Lines!Y45))=TRUE,"",IF('1000'!Y45="","ERR",""))</f>
        <v/>
      </c>
      <c r="Z45" s="108" t="str">
        <f>IF(ISERROR(FIND($B$2,Lines!Z45))=TRUE,"",IF('750'!Z45="","ERR","")) &amp; IF(ISERROR(FIND($C$2,Lines!Z45))=TRUE,"",IF('500'!Z45="","ERR","")) &amp; IF(ISERROR(FIND($D$2,Lines!Z45))=TRUE,"",IF('330'!Z45="","ERR","")) &amp; IF(ISERROR(FIND($E$2,Lines!Z45))=TRUE,"",IF('220'!Z45="","ERR",""))&amp; IF(ISERROR(FIND($F$2,Lines!Z45))=TRUE,"",IF(AND('500DC'!Z45="",'800DC'!Z45=""),"ERR","")) &amp; IF(ISERROR(FIND($G$2,Lines!Z45))=TRUE,"",IF('1000'!Z45="","ERR","")) &amp; IF(ISERROR(FIND($H$2,Lines!Z45))=TRUE,"",IF('500DC'!Z45="","ERR","")) &amp; IF(ISERROR(FIND($I$2,Lines!Z45))=TRUE,"",IF('800DC'!Z45="","ERR","")) &amp; IF(ISERROR(FIND($J$2,Lines!Z45))=TRUE,"",IF('1000'!Z45="","ERR",""))</f>
        <v/>
      </c>
      <c r="AA45" s="108" t="str">
        <f>IF(ISERROR(FIND($B$2,Lines!AA45))=TRUE,"",IF('750'!AA45="","ERR","")) &amp; IF(ISERROR(FIND($C$2,Lines!AA45))=TRUE,"",IF('500'!AA45="","ERR","")) &amp; IF(ISERROR(FIND($D$2,Lines!AA45))=TRUE,"",IF('330'!AA45="","ERR","")) &amp; IF(ISERROR(FIND($E$2,Lines!AA45))=TRUE,"",IF('220'!AA45="","ERR",""))&amp; IF(ISERROR(FIND($F$2,Lines!AA45))=TRUE,"",IF(AND('500DC'!AA45="",'800DC'!AA45=""),"ERR","")) &amp; IF(ISERROR(FIND($G$2,Lines!AA45))=TRUE,"",IF('1000'!AA45="","ERR","")) &amp; IF(ISERROR(FIND($H$2,Lines!AA45))=TRUE,"",IF('500DC'!AA45="","ERR","")) &amp; IF(ISERROR(FIND($I$2,Lines!AA45))=TRUE,"",IF('800DC'!AA45="","ERR","")) &amp; IF(ISERROR(FIND($J$2,Lines!AA45))=TRUE,"",IF('1000'!AA45="","ERR",""))</f>
        <v/>
      </c>
      <c r="AB45" s="108" t="str">
        <f>IF(ISERROR(FIND($B$2,Lines!AB45))=TRUE,"",IF('750'!AB45="","ERR","")) &amp; IF(ISERROR(FIND($C$2,Lines!AB45))=TRUE,"",IF('500'!AB45="","ERR","")) &amp; IF(ISERROR(FIND($D$2,Lines!AB45))=TRUE,"",IF('330'!AB45="","ERR","")) &amp; IF(ISERROR(FIND($E$2,Lines!AB45))=TRUE,"",IF('220'!AB45="","ERR",""))&amp; IF(ISERROR(FIND($F$2,Lines!AB45))=TRUE,"",IF(AND('500DC'!AB45="",'800DC'!AB45=""),"ERR","")) &amp; IF(ISERROR(FIND($G$2,Lines!AB45))=TRUE,"",IF('1000'!AB45="","ERR","")) &amp; IF(ISERROR(FIND($H$2,Lines!AB45))=TRUE,"",IF('500DC'!AB45="","ERR","")) &amp; IF(ISERROR(FIND($I$2,Lines!AB45))=TRUE,"",IF('800DC'!AB45="","ERR","")) &amp; IF(ISERROR(FIND($J$2,Lines!AB45))=TRUE,"",IF('1000'!AB45="","ERR",""))</f>
        <v/>
      </c>
      <c r="AC45" s="108" t="str">
        <f>IF(ISERROR(FIND($B$2,Lines!AC45))=TRUE,"",IF('750'!AC45="","ERR","")) &amp; IF(ISERROR(FIND($C$2,Lines!AC45))=TRUE,"",IF('500'!AC45="","ERR","")) &amp; IF(ISERROR(FIND($D$2,Lines!AC45))=TRUE,"",IF('330'!AC45="","ERR","")) &amp; IF(ISERROR(FIND($E$2,Lines!AC45))=TRUE,"",IF('220'!AC45="","ERR",""))&amp; IF(ISERROR(FIND($F$2,Lines!AC45))=TRUE,"",IF(AND('500DC'!AC45="",'800DC'!AC45=""),"ERR","")) &amp; IF(ISERROR(FIND($G$2,Lines!AC45))=TRUE,"",IF('1000'!AC45="","ERR","")) &amp; IF(ISERROR(FIND($H$2,Lines!AC45))=TRUE,"",IF('500DC'!AC45="","ERR","")) &amp; IF(ISERROR(FIND($I$2,Lines!AC45))=TRUE,"",IF('800DC'!AC45="","ERR","")) &amp; IF(ISERROR(FIND($J$2,Lines!AC45))=TRUE,"",IF('1000'!AC45="","ERR",""))</f>
        <v/>
      </c>
      <c r="AD45" s="108" t="str">
        <f>IF(ISERROR(FIND($B$2,Lines!AD45))=TRUE,"",IF('750'!AD45="","ERR","")) &amp; IF(ISERROR(FIND($C$2,Lines!AD45))=TRUE,"",IF('500'!AD45="","ERR","")) &amp; IF(ISERROR(FIND($D$2,Lines!AD45))=TRUE,"",IF('330'!AD45="","ERR","")) &amp; IF(ISERROR(FIND($E$2,Lines!AD45))=TRUE,"",IF('220'!AD45="","ERR",""))&amp; IF(ISERROR(FIND($F$2,Lines!AD45))=TRUE,"",IF(AND('500DC'!AD45="",'800DC'!AD45=""),"ERR","")) &amp; IF(ISERROR(FIND($G$2,Lines!AD45))=TRUE,"",IF('1000'!AD45="","ERR","")) &amp; IF(ISERROR(FIND($H$2,Lines!AD45))=TRUE,"",IF('500DC'!AD45="","ERR","")) &amp; IF(ISERROR(FIND($I$2,Lines!AD45))=TRUE,"",IF('800DC'!AD45="","ERR","")) &amp; IF(ISERROR(FIND($J$2,Lines!AD45))=TRUE,"",IF('1000'!AD45="","ERR",""))</f>
        <v/>
      </c>
      <c r="AE45" s="108" t="str">
        <f>IF(ISERROR(FIND($B$2,Lines!AE45))=TRUE,"",IF('750'!AE45="","ERR","")) &amp; IF(ISERROR(FIND($C$2,Lines!AE45))=TRUE,"",IF('500'!AE45="","ERR","")) &amp; IF(ISERROR(FIND($D$2,Lines!AE45))=TRUE,"",IF('330'!AE45="","ERR","")) &amp; IF(ISERROR(FIND($E$2,Lines!AE45))=TRUE,"",IF('220'!AE45="","ERR",""))&amp; IF(ISERROR(FIND($F$2,Lines!AE45))=TRUE,"",IF(AND('500DC'!AE45="",'800DC'!AE45=""),"ERR","")) &amp; IF(ISERROR(FIND($G$2,Lines!AE45))=TRUE,"",IF('1000'!AE45="","ERR","")) &amp; IF(ISERROR(FIND($H$2,Lines!AE45))=TRUE,"",IF('500DC'!AE45="","ERR","")) &amp; IF(ISERROR(FIND($I$2,Lines!AE45))=TRUE,"",IF('800DC'!AE45="","ERR","")) &amp; IF(ISERROR(FIND($J$2,Lines!AE45))=TRUE,"",IF('1000'!AE45="","ERR",""))</f>
        <v/>
      </c>
      <c r="AF45" s="108" t="str">
        <f>IF(ISERROR(FIND($B$2,Lines!AF45))=TRUE,"",IF('750'!AF45="","ERR","")) &amp; IF(ISERROR(FIND($C$2,Lines!AF45))=TRUE,"",IF('500'!AF45="","ERR","")) &amp; IF(ISERROR(FIND($D$2,Lines!AF45))=TRUE,"",IF('330'!AF45="","ERR","")) &amp; IF(ISERROR(FIND($E$2,Lines!AF45))=TRUE,"",IF('220'!AF45="","ERR",""))&amp; IF(ISERROR(FIND($F$2,Lines!AF45))=TRUE,"",IF(AND('500DC'!AF45="",'800DC'!AF45=""),"ERR","")) &amp; IF(ISERROR(FIND($G$2,Lines!AF45))=TRUE,"",IF('1000'!AF45="","ERR","")) &amp; IF(ISERROR(FIND($H$2,Lines!AF45))=TRUE,"",IF('500DC'!AF45="","ERR","")) &amp; IF(ISERROR(FIND($I$2,Lines!AF45))=TRUE,"",IF('800DC'!AF45="","ERR","")) &amp; IF(ISERROR(FIND($J$2,Lines!AF45))=TRUE,"",IF('1000'!AF45="","ERR",""))</f>
        <v/>
      </c>
      <c r="AG45" s="108" t="str">
        <f>IF(ISERROR(FIND($B$2,Lines!AG45))=TRUE,"",IF('750'!AG45="","ERR","")) &amp; IF(ISERROR(FIND($C$2,Lines!AG45))=TRUE,"",IF('500'!AG45="","ERR","")) &amp; IF(ISERROR(FIND($D$2,Lines!AG45))=TRUE,"",IF('330'!AG45="","ERR","")) &amp; IF(ISERROR(FIND($E$2,Lines!AG45))=TRUE,"",IF('220'!AG45="","ERR",""))&amp; IF(ISERROR(FIND($F$2,Lines!AG45))=TRUE,"",IF(AND('500DC'!AG45="",'800DC'!AG45=""),"ERR","")) &amp; IF(ISERROR(FIND($G$2,Lines!AG45))=TRUE,"",IF('1000'!AG45="","ERR","")) &amp; IF(ISERROR(FIND($H$2,Lines!AG45))=TRUE,"",IF('500DC'!AG45="","ERR","")) &amp; IF(ISERROR(FIND($I$2,Lines!AG45))=TRUE,"",IF('800DC'!AG45="","ERR","")) &amp; IF(ISERROR(FIND($J$2,Lines!AG45))=TRUE,"",IF('1000'!AG45="","ERR",""))</f>
        <v/>
      </c>
      <c r="AH45" s="108" t="str">
        <f>IF(ISERROR(FIND($B$2,Lines!AH45))=TRUE,"",IF('750'!AH45="","ERR","")) &amp; IF(ISERROR(FIND($C$2,Lines!AH45))=TRUE,"",IF('500'!AH45="","ERR","")) &amp; IF(ISERROR(FIND($D$2,Lines!AH45))=TRUE,"",IF('330'!AH45="","ERR","")) &amp; IF(ISERROR(FIND($E$2,Lines!AH45))=TRUE,"",IF('220'!AH45="","ERR",""))&amp; IF(ISERROR(FIND($F$2,Lines!AH45))=TRUE,"",IF(AND('500DC'!AH45="",'800DC'!AH45=""),"ERR","")) &amp; IF(ISERROR(FIND($G$2,Lines!AH45))=TRUE,"",IF('1000'!AH45="","ERR","")) &amp; IF(ISERROR(FIND($H$2,Lines!AH45))=TRUE,"",IF('500DC'!AH45="","ERR","")) &amp; IF(ISERROR(FIND($I$2,Lines!AH45))=TRUE,"",IF('800DC'!AH45="","ERR","")) &amp; IF(ISERROR(FIND($J$2,Lines!AH45))=TRUE,"",IF('1000'!AH45="","ERR",""))</f>
        <v/>
      </c>
      <c r="AI45" s="108" t="str">
        <f>IF(ISERROR(FIND($B$2,Lines!AI45))=TRUE,"",IF('750'!AI45="","ERR","")) &amp; IF(ISERROR(FIND($C$2,Lines!AI45))=TRUE,"",IF('500'!AI45="","ERR","")) &amp; IF(ISERROR(FIND($D$2,Lines!AI45))=TRUE,"",IF('330'!AI45="","ERR","")) &amp; IF(ISERROR(FIND($E$2,Lines!AI45))=TRUE,"",IF('220'!AI45="","ERR",""))&amp; IF(ISERROR(FIND($F$2,Lines!AI45))=TRUE,"",IF(AND('500DC'!AI45="",'800DC'!AI45=""),"ERR","")) &amp; IF(ISERROR(FIND($G$2,Lines!AI45))=TRUE,"",IF('1000'!AI45="","ERR","")) &amp; IF(ISERROR(FIND($H$2,Lines!AI45))=TRUE,"",IF('500DC'!AI45="","ERR","")) &amp; IF(ISERROR(FIND($I$2,Lines!AI45))=TRUE,"",IF('800DC'!AI45="","ERR","")) &amp; IF(ISERROR(FIND($J$2,Lines!AI45))=TRUE,"",IF('1000'!AI45="","ERR",""))</f>
        <v/>
      </c>
      <c r="AJ45" s="108" t="str">
        <f>IF(ISERROR(FIND($B$2,Lines!AJ45))=TRUE,"",IF('750'!AJ45="","ERR","")) &amp; IF(ISERROR(FIND($C$2,Lines!AJ45))=TRUE,"",IF('500'!AJ45="","ERR","")) &amp; IF(ISERROR(FIND($D$2,Lines!AJ45))=TRUE,"",IF('330'!AJ45="","ERR","")) &amp; IF(ISERROR(FIND($E$2,Lines!AJ45))=TRUE,"",IF('220'!AJ45="","ERR",""))&amp; IF(ISERROR(FIND($F$2,Lines!AJ45))=TRUE,"",IF(AND('500DC'!AJ45="",'800DC'!AJ45=""),"ERR","")) &amp; IF(ISERROR(FIND($G$2,Lines!AJ45))=TRUE,"",IF('1000'!AJ45="","ERR","")) &amp; IF(ISERROR(FIND($H$2,Lines!AJ45))=TRUE,"",IF('500DC'!AJ45="","ERR","")) &amp; IF(ISERROR(FIND($I$2,Lines!AJ45))=TRUE,"",IF('800DC'!AJ45="","ERR","")) &amp; IF(ISERROR(FIND($J$2,Lines!AJ45))=TRUE,"",IF('1000'!AJ45="","ERR",""))</f>
        <v/>
      </c>
      <c r="AK45" s="108" t="str">
        <f>IF(ISERROR(FIND($B$2,Lines!AK45))=TRUE,"",IF('750'!AK45="","ERR","")) &amp; IF(ISERROR(FIND($C$2,Lines!AK45))=TRUE,"",IF('500'!AK45="","ERR","")) &amp; IF(ISERROR(FIND($D$2,Lines!AK45))=TRUE,"",IF('330'!AK45="","ERR","")) &amp; IF(ISERROR(FIND($E$2,Lines!AK45))=TRUE,"",IF('220'!AK45="","ERR",""))&amp; IF(ISERROR(FIND($F$2,Lines!AK45))=TRUE,"",IF(AND('500DC'!AK45="",'800DC'!AK45=""),"ERR","")) &amp; IF(ISERROR(FIND($G$2,Lines!AK45))=TRUE,"",IF('1000'!AK45="","ERR","")) &amp; IF(ISERROR(FIND($H$2,Lines!AK45))=TRUE,"",IF('500DC'!AK45="","ERR","")) &amp; IF(ISERROR(FIND($I$2,Lines!AK45))=TRUE,"",IF('800DC'!AK45="","ERR","")) &amp; IF(ISERROR(FIND($J$2,Lines!AK45))=TRUE,"",IF('1000'!AK45="","ERR",""))</f>
        <v/>
      </c>
      <c r="AL45" s="108" t="str">
        <f>IF(ISERROR(FIND($B$2,Lines!AL45))=TRUE,"",IF('750'!AL45="","ERR","")) &amp; IF(ISERROR(FIND($C$2,Lines!AL45))=TRUE,"",IF('500'!AL45="","ERR","")) &amp; IF(ISERROR(FIND($D$2,Lines!AL45))=TRUE,"",IF('330'!AL45="","ERR","")) &amp; IF(ISERROR(FIND($E$2,Lines!AL45))=TRUE,"",IF('220'!AL45="","ERR",""))&amp; IF(ISERROR(FIND($F$2,Lines!AL45))=TRUE,"",IF(AND('500DC'!AL45="",'800DC'!AL45=""),"ERR","")) &amp; IF(ISERROR(FIND($G$2,Lines!AL45))=TRUE,"",IF('1000'!AL45="","ERR","")) &amp; IF(ISERROR(FIND($H$2,Lines!AL45))=TRUE,"",IF('500DC'!AL45="","ERR","")) &amp; IF(ISERROR(FIND($I$2,Lines!AL45))=TRUE,"",IF('800DC'!AL45="","ERR","")) &amp; IF(ISERROR(FIND($J$2,Lines!AL45))=TRUE,"",IF('1000'!AL45="","ERR",""))</f>
        <v/>
      </c>
      <c r="AM45" s="108" t="str">
        <f>IF(ISERROR(FIND($B$2,Lines!AM45))=TRUE,"",IF('750'!AM45="","ERR","")) &amp; IF(ISERROR(FIND($C$2,Lines!AM45))=TRUE,"",IF('500'!AM45="","ERR","")) &amp; IF(ISERROR(FIND($D$2,Lines!AM45))=TRUE,"",IF('330'!AM45="","ERR","")) &amp; IF(ISERROR(FIND($E$2,Lines!AM45))=TRUE,"",IF('220'!AM45="","ERR",""))&amp; IF(ISERROR(FIND($F$2,Lines!AM45))=TRUE,"",IF(AND('500DC'!AM45="",'800DC'!AM45=""),"ERR","")) &amp; IF(ISERROR(FIND($G$2,Lines!AM45))=TRUE,"",IF('1000'!AM45="","ERR","")) &amp; IF(ISERROR(FIND($H$2,Lines!AM45))=TRUE,"",IF('500DC'!AM45="","ERR","")) &amp; IF(ISERROR(FIND($I$2,Lines!AM45))=TRUE,"",IF('800DC'!AM45="","ERR","")) &amp; IF(ISERROR(FIND($J$2,Lines!AM45))=TRUE,"",IF('1000'!AM45="","ERR",""))</f>
        <v/>
      </c>
      <c r="AN45" s="108" t="str">
        <f>IF(ISERROR(FIND($B$2,Lines!AN45))=TRUE,"",IF('750'!AN45="","ERR","")) &amp; IF(ISERROR(FIND($C$2,Lines!AN45))=TRUE,"",IF('500'!AN45="","ERR","")) &amp; IF(ISERROR(FIND($D$2,Lines!AN45))=TRUE,"",IF('330'!AN45="","ERR","")) &amp; IF(ISERROR(FIND($E$2,Lines!AN45))=TRUE,"",IF('220'!AN45="","ERR",""))&amp; IF(ISERROR(FIND($F$2,Lines!AN45))=TRUE,"",IF(AND('500DC'!AN45="",'800DC'!AN45=""),"ERR","")) &amp; IF(ISERROR(FIND($G$2,Lines!AN45))=TRUE,"",IF('1000'!AN45="","ERR","")) &amp; IF(ISERROR(FIND($H$2,Lines!AN45))=TRUE,"",IF('500DC'!AN45="","ERR","")) &amp; IF(ISERROR(FIND($I$2,Lines!AN45))=TRUE,"",IF('800DC'!AN45="","ERR","")) &amp; IF(ISERROR(FIND($J$2,Lines!AN45))=TRUE,"",IF('1000'!AN45="","ERR",""))</f>
        <v/>
      </c>
      <c r="AO45" s="108" t="str">
        <f>IF(ISERROR(FIND($B$2,Lines!AO45))=TRUE,"",IF('750'!AO45="","ERR","")) &amp; IF(ISERROR(FIND($C$2,Lines!AO45))=TRUE,"",IF('500'!AO45="","ERR","")) &amp; IF(ISERROR(FIND($D$2,Lines!AO45))=TRUE,"",IF('330'!AO45="","ERR","")) &amp; IF(ISERROR(FIND($E$2,Lines!AO45))=TRUE,"",IF('220'!AO45="","ERR",""))&amp; IF(ISERROR(FIND($F$2,Lines!AO45))=TRUE,"",IF(AND('500DC'!AO45="",'800DC'!AO45=""),"ERR","")) &amp; IF(ISERROR(FIND($G$2,Lines!AO45))=TRUE,"",IF('1000'!AO45="","ERR","")) &amp; IF(ISERROR(FIND($H$2,Lines!AO45))=TRUE,"",IF('500DC'!AO45="","ERR","")) &amp; IF(ISERROR(FIND($I$2,Lines!AO45))=TRUE,"",IF('800DC'!AO45="","ERR","")) &amp; IF(ISERROR(FIND($J$2,Lines!AO45))=TRUE,"",IF('1000'!AO45="","ERR",""))</f>
        <v/>
      </c>
      <c r="AP45" s="143" t="str">
        <f>IF(ISERROR(FIND($B$2,Lines!AP45))=TRUE,"",IF('750'!AP45="","ERR","")) &amp; IF(ISERROR(FIND($C$2,Lines!AP45))=TRUE,"",IF('500'!AP45="","ERR","")) &amp; IF(ISERROR(FIND($D$2,Lines!AP45))=TRUE,"",IF('330'!AP45="","ERR","")) &amp; IF(ISERROR(FIND($E$2,Lines!AP45))=TRUE,"",IF('220'!AP45="","ERR",""))&amp; IF(ISERROR(FIND($F$2,Lines!AP45))=TRUE,"",IF(AND('500DC'!AP45="",'800DC'!AP45=""),"ERR","")) &amp; IF(ISERROR(FIND($G$2,Lines!AP45))=TRUE,"",IF('1000'!AP45="","ERR","")) &amp; IF(ISERROR(FIND($H$2,Lines!AP45))=TRUE,"",IF('500DC'!AP45="","ERR","")) &amp; IF(ISERROR(FIND($I$2,Lines!AP45))=TRUE,"",IF('800DC'!AP45="","ERR","")) &amp; IF(ISERROR(FIND($J$2,Lines!AP45))=TRUE,"",IF('1000'!AP45="","ERR",""))</f>
        <v/>
      </c>
      <c r="AQ45" s="116" t="str">
        <f>IF(ISERROR(FIND($B$2,Lines!AQ45))=TRUE,"",IF('750'!AQ45="","ERR","")) &amp; IF(ISERROR(FIND($C$2,Lines!AQ45))=TRUE,"",IF('500'!AQ45="","ERR","")) &amp; IF(ISERROR(FIND($D$2,Lines!AQ45))=TRUE,"",IF('330'!AQ45="","ERR","")) &amp; IF(ISERROR(FIND($E$2,Lines!AQ45))=TRUE,"",IF('220'!AQ45="","ERR",""))&amp; IF(ISERROR(FIND($F$2,Lines!AQ45))=TRUE,"",IF(AND('500DC'!AQ45="",'800DC'!AQ45=""),"ERR","")) &amp; IF(ISERROR(FIND($G$2,Lines!AQ45))=TRUE,"",IF('1000'!AQ45="","ERR","")) &amp; IF(ISERROR(FIND($H$2,Lines!AQ45))=TRUE,"",IF('500DC'!AQ45="","ERR","")) &amp; IF(ISERROR(FIND($I$2,Lines!AQ45))=TRUE,"",IF('800DC'!AQ45="","ERR","")) &amp; IF(ISERROR(FIND($J$2,Lines!AQ45))=TRUE,"",IF('1000'!AQ45="","ERR",""))</f>
        <v/>
      </c>
      <c r="AR45" s="144" t="str">
        <f>IF(ISERROR(FIND($B$2,Lines!AR45))=TRUE,"",IF('750'!AR45="","ERR","")) &amp; IF(ISERROR(FIND($C$2,Lines!AR45))=TRUE,"",IF('500'!AR45="","ERR","")) &amp; IF(ISERROR(FIND($D$2,Lines!AR45))=TRUE,"",IF('330'!AR45="","ERR","")) &amp; IF(ISERROR(FIND($E$2,Lines!AR45))=TRUE,"",IF('220'!AR45="","ERR",""))&amp; IF(ISERROR(FIND($F$2,Lines!AR45))=TRUE,"",IF(AND('500DC'!AR45="",'800DC'!AR45=""),"ERR","")) &amp; IF(ISERROR(FIND($G$2,Lines!AR45))=TRUE,"",IF('1000'!AR45="","ERR","")) &amp; IF(ISERROR(FIND($H$2,Lines!AR45))=TRUE,"",IF('500DC'!AR45="","ERR","")) &amp; IF(ISERROR(FIND($I$2,Lines!AR45))=TRUE,"",IF('800DC'!AR45="","ERR","")) &amp; IF(ISERROR(FIND($J$2,Lines!AR45))=TRUE,"",IF('1000'!AR45="","ERR",""))</f>
        <v/>
      </c>
      <c r="AS45" s="144" t="str">
        <f>IF(ISERROR(FIND($B$2,Lines!AS45))=TRUE,"",IF('750'!AS45="","ERR","")) &amp; IF(ISERROR(FIND($C$2,Lines!AS45))=TRUE,"",IF('500'!AS45="","ERR","")) &amp; IF(ISERROR(FIND($D$2,Lines!AS45))=TRUE,"",IF('330'!AS45="","ERR","")) &amp; IF(ISERROR(FIND($E$2,Lines!AS45))=TRUE,"",IF('220'!AS45="","ERR",""))&amp; IF(ISERROR(FIND($F$2,Lines!AS45))=TRUE,"",IF(AND('500DC'!AS45="",'800DC'!AS45=""),"ERR","")) &amp; IF(ISERROR(FIND($G$2,Lines!AS45))=TRUE,"",IF('1000'!AS45="","ERR","")) &amp; IF(ISERROR(FIND($H$2,Lines!AS45))=TRUE,"",IF('500DC'!AS45="","ERR","")) &amp; IF(ISERROR(FIND($I$2,Lines!AS45))=TRUE,"",IF('800DC'!AS45="","ERR","")) &amp; IF(ISERROR(FIND($J$2,Lines!AS45))=TRUE,"",IF('1000'!AS45="","ERR",""))</f>
        <v/>
      </c>
      <c r="AT45" s="144" t="str">
        <f>IF(ISERROR(FIND($B$2,Lines!AT45))=TRUE,"",IF('750'!AT45="","ERR","")) &amp; IF(ISERROR(FIND($C$2,Lines!AT45))=TRUE,"",IF('500'!AT45="","ERR","")) &amp; IF(ISERROR(FIND($D$2,Lines!AT45))=TRUE,"",IF('330'!AT45="","ERR","")) &amp; IF(ISERROR(FIND($E$2,Lines!AT45))=TRUE,"",IF('220'!AT45="","ERR",""))&amp; IF(ISERROR(FIND($F$2,Lines!AT45))=TRUE,"",IF(AND('500DC'!AT45="",'800DC'!AT45=""),"ERR","")) &amp; IF(ISERROR(FIND($G$2,Lines!AT45))=TRUE,"",IF('1000'!AT45="","ERR","")) &amp; IF(ISERROR(FIND($H$2,Lines!AT45))=TRUE,"",IF('500DC'!AT45="","ERR","")) &amp; IF(ISERROR(FIND($I$2,Lines!AT45))=TRUE,"",IF('800DC'!AT45="","ERR","")) &amp; IF(ISERROR(FIND($J$2,Lines!AT45))=TRUE,"",IF('1000'!AT45="","ERR",""))</f>
        <v/>
      </c>
    </row>
    <row r="46" spans="1:46" ht="20.25" customHeight="1">
      <c r="A46" s="2" t="s">
        <v>94</v>
      </c>
      <c r="B46" s="108" t="str">
        <f>IF(ISERROR(FIND($B$2,Lines!B46))=TRUE,"",IF('750'!B46="","ERR","")) &amp; IF(ISERROR(FIND($C$2,Lines!B46))=TRUE,"",IF('500'!B46="","ERR","")) &amp; IF(ISERROR(FIND($D$2,Lines!B46))=TRUE,"",IF('330'!B46="","ERR","")) &amp; IF(ISERROR(FIND($E$2,Lines!B46))=TRUE,"",IF('220'!B46="","ERR",""))&amp; IF(ISERROR(FIND($F$2,Lines!B46))=TRUE,"",IF(AND('500DC'!B46="",'800DC'!B46=""),"ERR","")) &amp; IF(ISERROR(FIND($G$2,Lines!B46))=TRUE,"",IF('1000'!B46="","ERR","")) &amp; IF(ISERROR(FIND($H$2,Lines!B46))=TRUE,"",IF('500DC'!B46="","ERR","")) &amp; IF(ISERROR(FIND($I$2,Lines!B46))=TRUE,"",IF('800DC'!B46="","ERR","")) &amp; IF(ISERROR(FIND($J$2,Lines!B46))=TRUE,"",IF('1000'!B46="","ERR",""))</f>
        <v/>
      </c>
      <c r="C46" s="108" t="str">
        <f>IF(ISERROR(FIND($B$2,Lines!C46))=TRUE,"",IF('750'!C46="","ERR","")) &amp; IF(ISERROR(FIND($C$2,Lines!C46))=TRUE,"",IF('500'!C46="","ERR","")) &amp; IF(ISERROR(FIND($D$2,Lines!C46))=TRUE,"",IF('330'!C46="","ERR","")) &amp; IF(ISERROR(FIND($E$2,Lines!C46))=TRUE,"",IF('220'!C46="","ERR",""))&amp; IF(ISERROR(FIND($F$2,Lines!C46))=TRUE,"",IF(AND('500DC'!C46="",'800DC'!C46=""),"ERR","")) &amp; IF(ISERROR(FIND($G$2,Lines!C46))=TRUE,"",IF('1000'!C46="","ERR","")) &amp; IF(ISERROR(FIND($H$2,Lines!C46))=TRUE,"",IF('500DC'!C46="","ERR","")) &amp; IF(ISERROR(FIND($I$2,Lines!C46))=TRUE,"",IF('800DC'!C46="","ERR","")) &amp; IF(ISERROR(FIND($J$2,Lines!C46))=TRUE,"",IF('1000'!C46="","ERR",""))</f>
        <v/>
      </c>
      <c r="D46" s="108" t="str">
        <f>IF(ISERROR(FIND($B$2,Lines!D46))=TRUE,"",IF('750'!D46="","ERR","")) &amp; IF(ISERROR(FIND($C$2,Lines!D46))=TRUE,"",IF('500'!D46="","ERR","")) &amp; IF(ISERROR(FIND($D$2,Lines!D46))=TRUE,"",IF('330'!D46="","ERR","")) &amp; IF(ISERROR(FIND($E$2,Lines!D46))=TRUE,"",IF('220'!D46="","ERR",""))&amp; IF(ISERROR(FIND($F$2,Lines!D46))=TRUE,"",IF(AND('500DC'!D46="",'800DC'!D46=""),"ERR","")) &amp; IF(ISERROR(FIND($G$2,Lines!D46))=TRUE,"",IF('1000'!D46="","ERR","")) &amp; IF(ISERROR(FIND($H$2,Lines!D46))=TRUE,"",IF('500DC'!D46="","ERR","")) &amp; IF(ISERROR(FIND($I$2,Lines!D46))=TRUE,"",IF('800DC'!D46="","ERR","")) &amp; IF(ISERROR(FIND($J$2,Lines!D46))=TRUE,"",IF('1000'!D46="","ERR",""))</f>
        <v/>
      </c>
      <c r="E46" s="108" t="str">
        <f>IF(ISERROR(FIND($B$2,Lines!E46))=TRUE,"",IF('750'!E46="","ERR","")) &amp; IF(ISERROR(FIND($C$2,Lines!E46))=TRUE,"",IF('500'!E46="","ERR","")) &amp; IF(ISERROR(FIND($D$2,Lines!E46))=TRUE,"",IF('330'!E46="","ERR","")) &amp; IF(ISERROR(FIND($E$2,Lines!E46))=TRUE,"",IF('220'!E46="","ERR",""))&amp; IF(ISERROR(FIND($F$2,Lines!E46))=TRUE,"",IF(AND('500DC'!E46="",'800DC'!E46=""),"ERR","")) &amp; IF(ISERROR(FIND($G$2,Lines!E46))=TRUE,"",IF('1000'!E46="","ERR","")) &amp; IF(ISERROR(FIND($H$2,Lines!E46))=TRUE,"",IF('500DC'!E46="","ERR","")) &amp; IF(ISERROR(FIND($I$2,Lines!E46))=TRUE,"",IF('800DC'!E46="","ERR","")) &amp; IF(ISERROR(FIND($J$2,Lines!E46))=TRUE,"",IF('1000'!E46="","ERR",""))</f>
        <v/>
      </c>
      <c r="F46" s="108" t="str">
        <f>IF(ISERROR(FIND($B$2,Lines!F46))=TRUE,"",IF('750'!F46="","ERR","")) &amp; IF(ISERROR(FIND($C$2,Lines!F46))=TRUE,"",IF('500'!F46="","ERR","")) &amp; IF(ISERROR(FIND($D$2,Lines!F46))=TRUE,"",IF('330'!F46="","ERR","")) &amp; IF(ISERROR(FIND($E$2,Lines!F46))=TRUE,"",IF('220'!F46="","ERR",""))&amp; IF(ISERROR(FIND($F$2,Lines!F46))=TRUE,"",IF(AND('500DC'!F46="",'800DC'!F46=""),"ERR","")) &amp; IF(ISERROR(FIND($G$2,Lines!F46))=TRUE,"",IF('1000'!F46="","ERR","")) &amp; IF(ISERROR(FIND($H$2,Lines!F46))=TRUE,"",IF('500DC'!F46="","ERR","")) &amp; IF(ISERROR(FIND($I$2,Lines!F46))=TRUE,"",IF('800DC'!F46="","ERR","")) &amp; IF(ISERROR(FIND($J$2,Lines!F46))=TRUE,"",IF('1000'!F46="","ERR",""))</f>
        <v/>
      </c>
      <c r="G46" s="108" t="str">
        <f>IF(ISERROR(FIND($B$2,Lines!G46))=TRUE,"",IF('750'!G46="","ERR","")) &amp; IF(ISERROR(FIND($C$2,Lines!G46))=TRUE,"",IF('500'!G46="","ERR","")) &amp; IF(ISERROR(FIND($D$2,Lines!G46))=TRUE,"",IF('330'!G46="","ERR","")) &amp; IF(ISERROR(FIND($E$2,Lines!G46))=TRUE,"",IF('220'!G46="","ERR",""))&amp; IF(ISERROR(FIND($F$2,Lines!G46))=TRUE,"",IF(AND('500DC'!G46="",'800DC'!G46=""),"ERR","")) &amp; IF(ISERROR(FIND($G$2,Lines!G46))=TRUE,"",IF('1000'!G46="","ERR","")) &amp; IF(ISERROR(FIND($H$2,Lines!G46))=TRUE,"",IF('500DC'!G46="","ERR","")) &amp; IF(ISERROR(FIND($I$2,Lines!G46))=TRUE,"",IF('800DC'!G46="","ERR","")) &amp; IF(ISERROR(FIND($J$2,Lines!G46))=TRUE,"",IF('1000'!G46="","ERR",""))</f>
        <v/>
      </c>
      <c r="H46" s="108" t="str">
        <f>IF(ISERROR(FIND($B$2,Lines!H46))=TRUE,"",IF('750'!H46="","ERR","")) &amp; IF(ISERROR(FIND($C$2,Lines!H46))=TRUE,"",IF('500'!H46="","ERR","")) &amp; IF(ISERROR(FIND($D$2,Lines!H46))=TRUE,"",IF('330'!H46="","ERR","")) &amp; IF(ISERROR(FIND($E$2,Lines!H46))=TRUE,"",IF('220'!H46="","ERR",""))&amp; IF(ISERROR(FIND($F$2,Lines!H46))=TRUE,"",IF(AND('500DC'!H46="",'800DC'!H46=""),"ERR","")) &amp; IF(ISERROR(FIND($G$2,Lines!H46))=TRUE,"",IF('1000'!H46="","ERR","")) &amp; IF(ISERROR(FIND($H$2,Lines!H46))=TRUE,"",IF('500DC'!H46="","ERR","")) &amp; IF(ISERROR(FIND($I$2,Lines!H46))=TRUE,"",IF('800DC'!H46="","ERR","")) &amp; IF(ISERROR(FIND($J$2,Lines!H46))=TRUE,"",IF('1000'!H46="","ERR",""))</f>
        <v/>
      </c>
      <c r="I46" s="108" t="str">
        <f>IF(ISERROR(FIND($B$2,Lines!I46))=TRUE,"",IF('750'!I46="","ERR","")) &amp; IF(ISERROR(FIND($C$2,Lines!I46))=TRUE,"",IF('500'!I46="","ERR","")) &amp; IF(ISERROR(FIND($D$2,Lines!I46))=TRUE,"",IF('330'!I46="","ERR","")) &amp; IF(ISERROR(FIND($E$2,Lines!I46))=TRUE,"",IF('220'!I46="","ERR",""))&amp; IF(ISERROR(FIND($F$2,Lines!I46))=TRUE,"",IF(AND('500DC'!I46="",'800DC'!I46=""),"ERR","")) &amp; IF(ISERROR(FIND($G$2,Lines!I46))=TRUE,"",IF('1000'!I46="","ERR","")) &amp; IF(ISERROR(FIND($H$2,Lines!I46))=TRUE,"",IF('500DC'!I46="","ERR","")) &amp; IF(ISERROR(FIND($I$2,Lines!I46))=TRUE,"",IF('800DC'!I46="","ERR","")) &amp; IF(ISERROR(FIND($J$2,Lines!I46))=TRUE,"",IF('1000'!I46="","ERR",""))</f>
        <v/>
      </c>
      <c r="J46" s="108" t="str">
        <f>IF(ISERROR(FIND($B$2,Lines!J46))=TRUE,"",IF('750'!J46="","ERR","")) &amp; IF(ISERROR(FIND($C$2,Lines!J46))=TRUE,"",IF('500'!J46="","ERR","")) &amp; IF(ISERROR(FIND($D$2,Lines!J46))=TRUE,"",IF('330'!J46="","ERR","")) &amp; IF(ISERROR(FIND($E$2,Lines!J46))=TRUE,"",IF('220'!J46="","ERR",""))&amp; IF(ISERROR(FIND($F$2,Lines!J46))=TRUE,"",IF(AND('500DC'!J46="",'800DC'!J46=""),"ERR","")) &amp; IF(ISERROR(FIND($G$2,Lines!J46))=TRUE,"",IF('1000'!J46="","ERR","")) &amp; IF(ISERROR(FIND($H$2,Lines!J46))=TRUE,"",IF('500DC'!J46="","ERR","")) &amp; IF(ISERROR(FIND($I$2,Lines!J46))=TRUE,"",IF('800DC'!J46="","ERR","")) &amp; IF(ISERROR(FIND($J$2,Lines!J46))=TRUE,"",IF('1000'!J46="","ERR",""))</f>
        <v/>
      </c>
      <c r="K46" s="108" t="str">
        <f>IF(ISERROR(FIND($B$2,Lines!K46))=TRUE,"",IF('750'!K46="","ERR","")) &amp; IF(ISERROR(FIND($C$2,Lines!K46))=TRUE,"",IF('500'!K46="","ERR","")) &amp; IF(ISERROR(FIND($D$2,Lines!K46))=TRUE,"",IF('330'!K46="","ERR","")) &amp; IF(ISERROR(FIND($E$2,Lines!K46))=TRUE,"",IF('220'!K46="","ERR",""))&amp; IF(ISERROR(FIND($F$2,Lines!K46))=TRUE,"",IF(AND('500DC'!K46="",'800DC'!K46=""),"ERR","")) &amp; IF(ISERROR(FIND($G$2,Lines!K46))=TRUE,"",IF('1000'!K46="","ERR","")) &amp; IF(ISERROR(FIND($H$2,Lines!K46))=TRUE,"",IF('500DC'!K46="","ERR","")) &amp; IF(ISERROR(FIND($I$2,Lines!K46))=TRUE,"",IF('800DC'!K46="","ERR","")) &amp; IF(ISERROR(FIND($J$2,Lines!K46))=TRUE,"",IF('1000'!K46="","ERR",""))</f>
        <v/>
      </c>
      <c r="L46" s="108" t="str">
        <f>IF(ISERROR(FIND($B$2,Lines!L46))=TRUE,"",IF('750'!L46="","ERR","")) &amp; IF(ISERROR(FIND($C$2,Lines!L46))=TRUE,"",IF('500'!L46="","ERR","")) &amp; IF(ISERROR(FIND($D$2,Lines!L46))=TRUE,"",IF('330'!L46="","ERR","")) &amp; IF(ISERROR(FIND($E$2,Lines!L46))=TRUE,"",IF('220'!L46="","ERR",""))&amp; IF(ISERROR(FIND($F$2,Lines!L46))=TRUE,"",IF(AND('500DC'!L46="",'800DC'!L46=""),"ERR","")) &amp; IF(ISERROR(FIND($G$2,Lines!L46))=TRUE,"",IF('1000'!L46="","ERR","")) &amp; IF(ISERROR(FIND($H$2,Lines!L46))=TRUE,"",IF('500DC'!L46="","ERR","")) &amp; IF(ISERROR(FIND($I$2,Lines!L46))=TRUE,"",IF('800DC'!L46="","ERR","")) &amp; IF(ISERROR(FIND($J$2,Lines!L46))=TRUE,"",IF('1000'!L46="","ERR",""))</f>
        <v/>
      </c>
      <c r="M46" s="108" t="str">
        <f>IF(ISERROR(FIND($B$2,Lines!M46))=TRUE,"",IF('750'!M46="","ERR","")) &amp; IF(ISERROR(FIND($C$2,Lines!M46))=TRUE,"",IF('500'!M46="","ERR","")) &amp; IF(ISERROR(FIND($D$2,Lines!M46))=TRUE,"",IF('330'!M46="","ERR","")) &amp; IF(ISERROR(FIND($E$2,Lines!M46))=TRUE,"",IF('220'!M46="","ERR",""))&amp; IF(ISERROR(FIND($F$2,Lines!M46))=TRUE,"",IF(AND('500DC'!M46="",'800DC'!M46=""),"ERR","")) &amp; IF(ISERROR(FIND($G$2,Lines!M46))=TRUE,"",IF('1000'!M46="","ERR","")) &amp; IF(ISERROR(FIND($H$2,Lines!M46))=TRUE,"",IF('500DC'!M46="","ERR","")) &amp; IF(ISERROR(FIND($I$2,Lines!M46))=TRUE,"",IF('800DC'!M46="","ERR","")) &amp; IF(ISERROR(FIND($J$2,Lines!M46))=TRUE,"",IF('1000'!M46="","ERR",""))</f>
        <v/>
      </c>
      <c r="N46" s="108" t="str">
        <f>IF(ISERROR(FIND($B$2,Lines!N46))=TRUE,"",IF('750'!N46="","ERR","")) &amp; IF(ISERROR(FIND($C$2,Lines!N46))=TRUE,"",IF('500'!N46="","ERR","")) &amp; IF(ISERROR(FIND($D$2,Lines!N46))=TRUE,"",IF('330'!N46="","ERR","")) &amp; IF(ISERROR(FIND($E$2,Lines!N46))=TRUE,"",IF('220'!N46="","ERR",""))&amp; IF(ISERROR(FIND($F$2,Lines!N46))=TRUE,"",IF(AND('500DC'!N46="",'800DC'!N46=""),"ERR","")) &amp; IF(ISERROR(FIND($G$2,Lines!N46))=TRUE,"",IF('1000'!N46="","ERR","")) &amp; IF(ISERROR(FIND($H$2,Lines!N46))=TRUE,"",IF('500DC'!N46="","ERR","")) &amp; IF(ISERROR(FIND($I$2,Lines!N46))=TRUE,"",IF('800DC'!N46="","ERR","")) &amp; IF(ISERROR(FIND($J$2,Lines!N46))=TRUE,"",IF('1000'!N46="","ERR",""))</f>
        <v/>
      </c>
      <c r="O46" s="108" t="str">
        <f>IF(ISERROR(FIND($B$2,Lines!O46))=TRUE,"",IF('750'!O46="","ERR","")) &amp; IF(ISERROR(FIND($C$2,Lines!O46))=TRUE,"",IF('500'!O46="","ERR","")) &amp; IF(ISERROR(FIND($D$2,Lines!O46))=TRUE,"",IF('330'!O46="","ERR","")) &amp; IF(ISERROR(FIND($E$2,Lines!O46))=TRUE,"",IF('220'!O46="","ERR",""))&amp; IF(ISERROR(FIND($F$2,Lines!O46))=TRUE,"",IF(AND('500DC'!O46="",'800DC'!O46=""),"ERR","")) &amp; IF(ISERROR(FIND($G$2,Lines!O46))=TRUE,"",IF('1000'!O46="","ERR","")) &amp; IF(ISERROR(FIND($H$2,Lines!O46))=TRUE,"",IF('500DC'!O46="","ERR","")) &amp; IF(ISERROR(FIND($I$2,Lines!O46))=TRUE,"",IF('800DC'!O46="","ERR","")) &amp; IF(ISERROR(FIND($J$2,Lines!O46))=TRUE,"",IF('1000'!O46="","ERR",""))</f>
        <v/>
      </c>
      <c r="P46" s="108" t="str">
        <f>IF(ISERROR(FIND($B$2,Lines!P46))=TRUE,"",IF('750'!P46="","ERR","")) &amp; IF(ISERROR(FIND($C$2,Lines!P46))=TRUE,"",IF('500'!P46="","ERR","")) &amp; IF(ISERROR(FIND($D$2,Lines!P46))=TRUE,"",IF('330'!P46="","ERR","")) &amp; IF(ISERROR(FIND($E$2,Lines!P46))=TRUE,"",IF('220'!P46="","ERR",""))&amp; IF(ISERROR(FIND($F$2,Lines!P46))=TRUE,"",IF(AND('500DC'!P46="",'800DC'!P46=""),"ERR","")) &amp; IF(ISERROR(FIND($G$2,Lines!P46))=TRUE,"",IF('1000'!P46="","ERR","")) &amp; IF(ISERROR(FIND($H$2,Lines!P46))=TRUE,"",IF('500DC'!P46="","ERR","")) &amp; IF(ISERROR(FIND($I$2,Lines!P46))=TRUE,"",IF('800DC'!P46="","ERR","")) &amp; IF(ISERROR(FIND($J$2,Lines!P46))=TRUE,"",IF('1000'!P46="","ERR",""))</f>
        <v/>
      </c>
      <c r="Q46" s="108" t="str">
        <f>IF(ISERROR(FIND($B$2,Lines!Q46))=TRUE,"",IF('750'!Q46="","ERR","")) &amp; IF(ISERROR(FIND($C$2,Lines!Q46))=TRUE,"",IF('500'!Q46="","ERR","")) &amp; IF(ISERROR(FIND($D$2,Lines!Q46))=TRUE,"",IF('330'!Q46="","ERR","")) &amp; IF(ISERROR(FIND($E$2,Lines!Q46))=TRUE,"",IF('220'!Q46="","ERR",""))&amp; IF(ISERROR(FIND($F$2,Lines!Q46))=TRUE,"",IF(AND('500DC'!Q46="",'800DC'!Q46=""),"ERR","")) &amp; IF(ISERROR(FIND($G$2,Lines!Q46))=TRUE,"",IF('1000'!Q46="","ERR","")) &amp; IF(ISERROR(FIND($H$2,Lines!Q46))=TRUE,"",IF('500DC'!Q46="","ERR","")) &amp; IF(ISERROR(FIND($I$2,Lines!Q46))=TRUE,"",IF('800DC'!Q46="","ERR","")) &amp; IF(ISERROR(FIND($J$2,Lines!Q46))=TRUE,"",IF('1000'!Q46="","ERR",""))</f>
        <v/>
      </c>
      <c r="R46" s="108" t="str">
        <f>IF(ISERROR(FIND($B$2,Lines!R46))=TRUE,"",IF('750'!R46="","ERR","")) &amp; IF(ISERROR(FIND($C$2,Lines!R46))=TRUE,"",IF('500'!R46="","ERR","")) &amp; IF(ISERROR(FIND($D$2,Lines!R46))=TRUE,"",IF('330'!R46="","ERR","")) &amp; IF(ISERROR(FIND($E$2,Lines!R46))=TRUE,"",IF('220'!R46="","ERR",""))&amp; IF(ISERROR(FIND($F$2,Lines!R46))=TRUE,"",IF(AND('500DC'!R46="",'800DC'!R46=""),"ERR","")) &amp; IF(ISERROR(FIND($G$2,Lines!R46))=TRUE,"",IF('1000'!R46="","ERR","")) &amp; IF(ISERROR(FIND($H$2,Lines!R46))=TRUE,"",IF('500DC'!R46="","ERR","")) &amp; IF(ISERROR(FIND($I$2,Lines!R46))=TRUE,"",IF('800DC'!R46="","ERR","")) &amp; IF(ISERROR(FIND($J$2,Lines!R46))=TRUE,"",IF('1000'!R46="","ERR",""))</f>
        <v/>
      </c>
      <c r="S46" s="108" t="str">
        <f>IF(ISERROR(FIND($B$2,Lines!S46))=TRUE,"",IF('750'!S46="","ERR","")) &amp; IF(ISERROR(FIND($C$2,Lines!S46))=TRUE,"",IF('500'!S46="","ERR","")) &amp; IF(ISERROR(FIND($D$2,Lines!S46))=TRUE,"",IF('330'!S46="","ERR","")) &amp; IF(ISERROR(FIND($E$2,Lines!S46))=TRUE,"",IF('220'!S46="","ERR",""))&amp; IF(ISERROR(FIND($F$2,Lines!S46))=TRUE,"",IF(AND('500DC'!S46="",'800DC'!S46=""),"ERR","")) &amp; IF(ISERROR(FIND($G$2,Lines!S46))=TRUE,"",IF('1000'!S46="","ERR","")) &amp; IF(ISERROR(FIND($H$2,Lines!S46))=TRUE,"",IF('500DC'!S46="","ERR","")) &amp; IF(ISERROR(FIND($I$2,Lines!S46))=TRUE,"",IF('800DC'!S46="","ERR","")) &amp; IF(ISERROR(FIND($J$2,Lines!S46))=TRUE,"",IF('1000'!S46="","ERR",""))</f>
        <v/>
      </c>
      <c r="T46" s="108" t="str">
        <f>IF(ISERROR(FIND($B$2,Lines!T46))=TRUE,"",IF('750'!T46="","ERR","")) &amp; IF(ISERROR(FIND($C$2,Lines!T46))=TRUE,"",IF('500'!T46="","ERR","")) &amp; IF(ISERROR(FIND($D$2,Lines!T46))=TRUE,"",IF('330'!T46="","ERR","")) &amp; IF(ISERROR(FIND($E$2,Lines!T46))=TRUE,"",IF('220'!T46="","ERR",""))&amp; IF(ISERROR(FIND($F$2,Lines!T46))=TRUE,"",IF(AND('500DC'!T46="",'800DC'!T46=""),"ERR","")) &amp; IF(ISERROR(FIND($G$2,Lines!T46))=TRUE,"",IF('1000'!T46="","ERR","")) &amp; IF(ISERROR(FIND($H$2,Lines!T46))=TRUE,"",IF('500DC'!T46="","ERR","")) &amp; IF(ISERROR(FIND($I$2,Lines!T46))=TRUE,"",IF('800DC'!T46="","ERR","")) &amp; IF(ISERROR(FIND($J$2,Lines!T46))=TRUE,"",IF('1000'!T46="","ERR",""))</f>
        <v/>
      </c>
      <c r="U46" s="108" t="str">
        <f>IF(ISERROR(FIND($B$2,Lines!U46))=TRUE,"",IF('750'!U46="","ERR","")) &amp; IF(ISERROR(FIND($C$2,Lines!U46))=TRUE,"",IF('500'!U46="","ERR","")) &amp; IF(ISERROR(FIND($D$2,Lines!U46))=TRUE,"",IF('330'!U46="","ERR","")) &amp; IF(ISERROR(FIND($E$2,Lines!U46))=TRUE,"",IF('220'!U46="","ERR",""))&amp; IF(ISERROR(FIND($F$2,Lines!U46))=TRUE,"",IF(AND('500DC'!U46="",'800DC'!U46=""),"ERR","")) &amp; IF(ISERROR(FIND($G$2,Lines!U46))=TRUE,"",IF('1000'!U46="","ERR","")) &amp; IF(ISERROR(FIND($H$2,Lines!U46))=TRUE,"",IF('500DC'!U46="","ERR","")) &amp; IF(ISERROR(FIND($I$2,Lines!U46))=TRUE,"",IF('800DC'!U46="","ERR","")) &amp; IF(ISERROR(FIND($J$2,Lines!U46))=TRUE,"",IF('1000'!U46="","ERR",""))</f>
        <v/>
      </c>
      <c r="V46" s="108" t="str">
        <f>IF(ISERROR(FIND($B$2,Lines!V46))=TRUE,"",IF('750'!V46="","ERR","")) &amp; IF(ISERROR(FIND($C$2,Lines!V46))=TRUE,"",IF('500'!V46="","ERR","")) &amp; IF(ISERROR(FIND($D$2,Lines!V46))=TRUE,"",IF('330'!V46="","ERR","")) &amp; IF(ISERROR(FIND($E$2,Lines!V46))=TRUE,"",IF('220'!V46="","ERR",""))&amp; IF(ISERROR(FIND($F$2,Lines!V46))=TRUE,"",IF(AND('500DC'!V46="",'800DC'!V46=""),"ERR","")) &amp; IF(ISERROR(FIND($G$2,Lines!V46))=TRUE,"",IF('1000'!V46="","ERR","")) &amp; IF(ISERROR(FIND($H$2,Lines!V46))=TRUE,"",IF('500DC'!V46="","ERR","")) &amp; IF(ISERROR(FIND($I$2,Lines!V46))=TRUE,"",IF('800DC'!V46="","ERR","")) &amp; IF(ISERROR(FIND($J$2,Lines!V46))=TRUE,"",IF('1000'!V46="","ERR",""))</f>
        <v/>
      </c>
      <c r="W46" s="109" t="str">
        <f>IF(ISERROR(FIND($B$2,Lines!W46))=TRUE,"",IF('750'!W46="","ERR","")) &amp; IF(ISERROR(FIND($C$2,Lines!W46))=TRUE,"",IF('500'!W46="","ERR","")) &amp; IF(ISERROR(FIND($D$2,Lines!W46))=TRUE,"",IF('330'!W46="","ERR","")) &amp; IF(ISERROR(FIND($E$2,Lines!W46))=TRUE,"",IF('220'!W46="","ERR",""))&amp; IF(ISERROR(FIND($F$2,Lines!W46))=TRUE,"",IF(AND('500DC'!W46="",'800DC'!W46=""),"ERR","")) &amp; IF(ISERROR(FIND($G$2,Lines!W46))=TRUE,"",IF('1000'!W46="","ERR","")) &amp; IF(ISERROR(FIND($H$2,Lines!W46))=TRUE,"",IF('500DC'!W46="","ERR","")) &amp; IF(ISERROR(FIND($I$2,Lines!W46))=TRUE,"",IF('800DC'!W46="","ERR","")) &amp; IF(ISERROR(FIND($J$2,Lines!W46))=TRUE,"",IF('1000'!W46="","ERR",""))</f>
        <v/>
      </c>
      <c r="X46" s="108" t="str">
        <f>IF(ISERROR(FIND($B$2,Lines!X46))=TRUE,"",IF('750'!X46="","ERR","")) &amp; IF(ISERROR(FIND($C$2,Lines!X46))=TRUE,"",IF('500'!X46="","ERR","")) &amp; IF(ISERROR(FIND($D$2,Lines!X46))=TRUE,"",IF('330'!X46="","ERR","")) &amp; IF(ISERROR(FIND($E$2,Lines!X46))=TRUE,"",IF('220'!X46="","ERR",""))&amp; IF(ISERROR(FIND($F$2,Lines!X46))=TRUE,"",IF(AND('500DC'!X46="",'800DC'!X46=""),"ERR","")) &amp; IF(ISERROR(FIND($G$2,Lines!X46))=TRUE,"",IF('1000'!X46="","ERR","")) &amp; IF(ISERROR(FIND($H$2,Lines!X46))=TRUE,"",IF('500DC'!X46="","ERR","")) &amp; IF(ISERROR(FIND($I$2,Lines!X46))=TRUE,"",IF('800DC'!X46="","ERR","")) &amp; IF(ISERROR(FIND($J$2,Lines!X46))=TRUE,"",IF('1000'!X46="","ERR",""))</f>
        <v/>
      </c>
      <c r="Y46" s="108" t="str">
        <f>IF(ISERROR(FIND($B$2,Lines!Y46))=TRUE,"",IF('750'!Y46="","ERR","")) &amp; IF(ISERROR(FIND($C$2,Lines!Y46))=TRUE,"",IF('500'!Y46="","ERR","")) &amp; IF(ISERROR(FIND($D$2,Lines!Y46))=TRUE,"",IF('330'!Y46="","ERR","")) &amp; IF(ISERROR(FIND($E$2,Lines!Y46))=TRUE,"",IF('220'!Y46="","ERR",""))&amp; IF(ISERROR(FIND($F$2,Lines!Y46))=TRUE,"",IF(AND('500DC'!Y46="",'800DC'!Y46=""),"ERR","")) &amp; IF(ISERROR(FIND($G$2,Lines!Y46))=TRUE,"",IF('1000'!Y46="","ERR","")) &amp; IF(ISERROR(FIND($H$2,Lines!Y46))=TRUE,"",IF('500DC'!Y46="","ERR","")) &amp; IF(ISERROR(FIND($I$2,Lines!Y46))=TRUE,"",IF('800DC'!Y46="","ERR","")) &amp; IF(ISERROR(FIND($J$2,Lines!Y46))=TRUE,"",IF('1000'!Y46="","ERR",""))</f>
        <v/>
      </c>
      <c r="Z46" s="108" t="str">
        <f>IF(ISERROR(FIND($B$2,Lines!Z46))=TRUE,"",IF('750'!Z46="","ERR","")) &amp; IF(ISERROR(FIND($C$2,Lines!Z46))=TRUE,"",IF('500'!Z46="","ERR","")) &amp; IF(ISERROR(FIND($D$2,Lines!Z46))=TRUE,"",IF('330'!Z46="","ERR","")) &amp; IF(ISERROR(FIND($E$2,Lines!Z46))=TRUE,"",IF('220'!Z46="","ERR",""))&amp; IF(ISERROR(FIND($F$2,Lines!Z46))=TRUE,"",IF(AND('500DC'!Z46="",'800DC'!Z46=""),"ERR","")) &amp; IF(ISERROR(FIND($G$2,Lines!Z46))=TRUE,"",IF('1000'!Z46="","ERR","")) &amp; IF(ISERROR(FIND($H$2,Lines!Z46))=TRUE,"",IF('500DC'!Z46="","ERR","")) &amp; IF(ISERROR(FIND($I$2,Lines!Z46))=TRUE,"",IF('800DC'!Z46="","ERR","")) &amp; IF(ISERROR(FIND($J$2,Lines!Z46))=TRUE,"",IF('1000'!Z46="","ERR",""))</f>
        <v/>
      </c>
      <c r="AA46" s="108" t="str">
        <f>IF(ISERROR(FIND($B$2,Lines!AA46))=TRUE,"",IF('750'!AA46="","ERR","")) &amp; IF(ISERROR(FIND($C$2,Lines!AA46))=TRUE,"",IF('500'!AA46="","ERR","")) &amp; IF(ISERROR(FIND($D$2,Lines!AA46))=TRUE,"",IF('330'!AA46="","ERR","")) &amp; IF(ISERROR(FIND($E$2,Lines!AA46))=TRUE,"",IF('220'!AA46="","ERR",""))&amp; IF(ISERROR(FIND($F$2,Lines!AA46))=TRUE,"",IF(AND('500DC'!AA46="",'800DC'!AA46=""),"ERR","")) &amp; IF(ISERROR(FIND($G$2,Lines!AA46))=TRUE,"",IF('1000'!AA46="","ERR","")) &amp; IF(ISERROR(FIND($H$2,Lines!AA46))=TRUE,"",IF('500DC'!AA46="","ERR","")) &amp; IF(ISERROR(FIND($I$2,Lines!AA46))=TRUE,"",IF('800DC'!AA46="","ERR","")) &amp; IF(ISERROR(FIND($J$2,Lines!AA46))=TRUE,"",IF('1000'!AA46="","ERR",""))</f>
        <v/>
      </c>
      <c r="AB46" s="108" t="str">
        <f>IF(ISERROR(FIND($B$2,Lines!AB46))=TRUE,"",IF('750'!AB46="","ERR","")) &amp; IF(ISERROR(FIND($C$2,Lines!AB46))=TRUE,"",IF('500'!AB46="","ERR","")) &amp; IF(ISERROR(FIND($D$2,Lines!AB46))=TRUE,"",IF('330'!AB46="","ERR","")) &amp; IF(ISERROR(FIND($E$2,Lines!AB46))=TRUE,"",IF('220'!AB46="","ERR",""))&amp; IF(ISERROR(FIND($F$2,Lines!AB46))=TRUE,"",IF(AND('500DC'!AB46="",'800DC'!AB46=""),"ERR","")) &amp; IF(ISERROR(FIND($G$2,Lines!AB46))=TRUE,"",IF('1000'!AB46="","ERR","")) &amp; IF(ISERROR(FIND($H$2,Lines!AB46))=TRUE,"",IF('500DC'!AB46="","ERR","")) &amp; IF(ISERROR(FIND($I$2,Lines!AB46))=TRUE,"",IF('800DC'!AB46="","ERR","")) &amp; IF(ISERROR(FIND($J$2,Lines!AB46))=TRUE,"",IF('1000'!AB46="","ERR",""))</f>
        <v/>
      </c>
      <c r="AC46" s="108" t="str">
        <f>IF(ISERROR(FIND($B$2,Lines!AC46))=TRUE,"",IF('750'!AC46="","ERR","")) &amp; IF(ISERROR(FIND($C$2,Lines!AC46))=TRUE,"",IF('500'!AC46="","ERR","")) &amp; IF(ISERROR(FIND($D$2,Lines!AC46))=TRUE,"",IF('330'!AC46="","ERR","")) &amp; IF(ISERROR(FIND($E$2,Lines!AC46))=TRUE,"",IF('220'!AC46="","ERR",""))&amp; IF(ISERROR(FIND($F$2,Lines!AC46))=TRUE,"",IF(AND('500DC'!AC46="",'800DC'!AC46=""),"ERR","")) &amp; IF(ISERROR(FIND($G$2,Lines!AC46))=TRUE,"",IF('1000'!AC46="","ERR","")) &amp; IF(ISERROR(FIND($H$2,Lines!AC46))=TRUE,"",IF('500DC'!AC46="","ERR","")) &amp; IF(ISERROR(FIND($I$2,Lines!AC46))=TRUE,"",IF('800DC'!AC46="","ERR","")) &amp; IF(ISERROR(FIND($J$2,Lines!AC46))=TRUE,"",IF('1000'!AC46="","ERR",""))</f>
        <v/>
      </c>
      <c r="AD46" s="108" t="str">
        <f>IF(ISERROR(FIND($B$2,Lines!AD46))=TRUE,"",IF('750'!AD46="","ERR","")) &amp; IF(ISERROR(FIND($C$2,Lines!AD46))=TRUE,"",IF('500'!AD46="","ERR","")) &amp; IF(ISERROR(FIND($D$2,Lines!AD46))=TRUE,"",IF('330'!AD46="","ERR","")) &amp; IF(ISERROR(FIND($E$2,Lines!AD46))=TRUE,"",IF('220'!AD46="","ERR",""))&amp; IF(ISERROR(FIND($F$2,Lines!AD46))=TRUE,"",IF(AND('500DC'!AD46="",'800DC'!AD46=""),"ERR","")) &amp; IF(ISERROR(FIND($G$2,Lines!AD46))=TRUE,"",IF('1000'!AD46="","ERR","")) &amp; IF(ISERROR(FIND($H$2,Lines!AD46))=TRUE,"",IF('500DC'!AD46="","ERR","")) &amp; IF(ISERROR(FIND($I$2,Lines!AD46))=TRUE,"",IF('800DC'!AD46="","ERR","")) &amp; IF(ISERROR(FIND($J$2,Lines!AD46))=TRUE,"",IF('1000'!AD46="","ERR",""))</f>
        <v/>
      </c>
      <c r="AE46" s="108" t="str">
        <f>IF(ISERROR(FIND($B$2,Lines!AE46))=TRUE,"",IF('750'!AE46="","ERR","")) &amp; IF(ISERROR(FIND($C$2,Lines!AE46))=TRUE,"",IF('500'!AE46="","ERR","")) &amp; IF(ISERROR(FIND($D$2,Lines!AE46))=TRUE,"",IF('330'!AE46="","ERR","")) &amp; IF(ISERROR(FIND($E$2,Lines!AE46))=TRUE,"",IF('220'!AE46="","ERR",""))&amp; IF(ISERROR(FIND($F$2,Lines!AE46))=TRUE,"",IF(AND('500DC'!AE46="",'800DC'!AE46=""),"ERR","")) &amp; IF(ISERROR(FIND($G$2,Lines!AE46))=TRUE,"",IF('1000'!AE46="","ERR","")) &amp; IF(ISERROR(FIND($H$2,Lines!AE46))=TRUE,"",IF('500DC'!AE46="","ERR","")) &amp; IF(ISERROR(FIND($I$2,Lines!AE46))=TRUE,"",IF('800DC'!AE46="","ERR","")) &amp; IF(ISERROR(FIND($J$2,Lines!AE46))=TRUE,"",IF('1000'!AE46="","ERR",""))</f>
        <v/>
      </c>
      <c r="AF46" s="108" t="str">
        <f>IF(ISERROR(FIND($B$2,Lines!AF46))=TRUE,"",IF('750'!AF46="","ERR","")) &amp; IF(ISERROR(FIND($C$2,Lines!AF46))=TRUE,"",IF('500'!AF46="","ERR","")) &amp; IF(ISERROR(FIND($D$2,Lines!AF46))=TRUE,"",IF('330'!AF46="","ERR","")) &amp; IF(ISERROR(FIND($E$2,Lines!AF46))=TRUE,"",IF('220'!AF46="","ERR",""))&amp; IF(ISERROR(FIND($F$2,Lines!AF46))=TRUE,"",IF(AND('500DC'!AF46="",'800DC'!AF46=""),"ERR","")) &amp; IF(ISERROR(FIND($G$2,Lines!AF46))=TRUE,"",IF('1000'!AF46="","ERR","")) &amp; IF(ISERROR(FIND($H$2,Lines!AF46))=TRUE,"",IF('500DC'!AF46="","ERR","")) &amp; IF(ISERROR(FIND($I$2,Lines!AF46))=TRUE,"",IF('800DC'!AF46="","ERR","")) &amp; IF(ISERROR(FIND($J$2,Lines!AF46))=TRUE,"",IF('1000'!AF46="","ERR",""))</f>
        <v/>
      </c>
      <c r="AG46" s="108" t="str">
        <f>IF(ISERROR(FIND($B$2,Lines!AG46))=TRUE,"",IF('750'!AG46="","ERR","")) &amp; IF(ISERROR(FIND($C$2,Lines!AG46))=TRUE,"",IF('500'!AG46="","ERR","")) &amp; IF(ISERROR(FIND($D$2,Lines!AG46))=TRUE,"",IF('330'!AG46="","ERR","")) &amp; IF(ISERROR(FIND($E$2,Lines!AG46))=TRUE,"",IF('220'!AG46="","ERR",""))&amp; IF(ISERROR(FIND($F$2,Lines!AG46))=TRUE,"",IF(AND('500DC'!AG46="",'800DC'!AG46=""),"ERR","")) &amp; IF(ISERROR(FIND($G$2,Lines!AG46))=TRUE,"",IF('1000'!AG46="","ERR","")) &amp; IF(ISERROR(FIND($H$2,Lines!AG46))=TRUE,"",IF('500DC'!AG46="","ERR","")) &amp; IF(ISERROR(FIND($I$2,Lines!AG46))=TRUE,"",IF('800DC'!AG46="","ERR","")) &amp; IF(ISERROR(FIND($J$2,Lines!AG46))=TRUE,"",IF('1000'!AG46="","ERR",""))</f>
        <v/>
      </c>
      <c r="AH46" s="108" t="str">
        <f>IF(ISERROR(FIND($B$2,Lines!AH46))=TRUE,"",IF('750'!AH46="","ERR","")) &amp; IF(ISERROR(FIND($C$2,Lines!AH46))=TRUE,"",IF('500'!AH46="","ERR","")) &amp; IF(ISERROR(FIND($D$2,Lines!AH46))=TRUE,"",IF('330'!AH46="","ERR","")) &amp; IF(ISERROR(FIND($E$2,Lines!AH46))=TRUE,"",IF('220'!AH46="","ERR",""))&amp; IF(ISERROR(FIND($F$2,Lines!AH46))=TRUE,"",IF(AND('500DC'!AH46="",'800DC'!AH46=""),"ERR","")) &amp; IF(ISERROR(FIND($G$2,Lines!AH46))=TRUE,"",IF('1000'!AH46="","ERR","")) &amp; IF(ISERROR(FIND($H$2,Lines!AH46))=TRUE,"",IF('500DC'!AH46="","ERR","")) &amp; IF(ISERROR(FIND($I$2,Lines!AH46))=TRUE,"",IF('800DC'!AH46="","ERR","")) &amp; IF(ISERROR(FIND($J$2,Lines!AH46))=TRUE,"",IF('1000'!AH46="","ERR",""))</f>
        <v/>
      </c>
      <c r="AI46" s="108" t="str">
        <f>IF(ISERROR(FIND($B$2,Lines!AI46))=TRUE,"",IF('750'!AI46="","ERR","")) &amp; IF(ISERROR(FIND($C$2,Lines!AI46))=TRUE,"",IF('500'!AI46="","ERR","")) &amp; IF(ISERROR(FIND($D$2,Lines!AI46))=TRUE,"",IF('330'!AI46="","ERR","")) &amp; IF(ISERROR(FIND($E$2,Lines!AI46))=TRUE,"",IF('220'!AI46="","ERR",""))&amp; IF(ISERROR(FIND($F$2,Lines!AI46))=TRUE,"",IF(AND('500DC'!AI46="",'800DC'!AI46=""),"ERR","")) &amp; IF(ISERROR(FIND($G$2,Lines!AI46))=TRUE,"",IF('1000'!AI46="","ERR","")) &amp; IF(ISERROR(FIND($H$2,Lines!AI46))=TRUE,"",IF('500DC'!AI46="","ERR","")) &amp; IF(ISERROR(FIND($I$2,Lines!AI46))=TRUE,"",IF('800DC'!AI46="","ERR","")) &amp; IF(ISERROR(FIND($J$2,Lines!AI46))=TRUE,"",IF('1000'!AI46="","ERR",""))</f>
        <v/>
      </c>
      <c r="AJ46" s="108" t="str">
        <f>IF(ISERROR(FIND($B$2,Lines!AJ46))=TRUE,"",IF('750'!AJ46="","ERR","")) &amp; IF(ISERROR(FIND($C$2,Lines!AJ46))=TRUE,"",IF('500'!AJ46="","ERR","")) &amp; IF(ISERROR(FIND($D$2,Lines!AJ46))=TRUE,"",IF('330'!AJ46="","ERR","")) &amp; IF(ISERROR(FIND($E$2,Lines!AJ46))=TRUE,"",IF('220'!AJ46="","ERR",""))&amp; IF(ISERROR(FIND($F$2,Lines!AJ46))=TRUE,"",IF(AND('500DC'!AJ46="",'800DC'!AJ46=""),"ERR","")) &amp; IF(ISERROR(FIND($G$2,Lines!AJ46))=TRUE,"",IF('1000'!AJ46="","ERR","")) &amp; IF(ISERROR(FIND($H$2,Lines!AJ46))=TRUE,"",IF('500DC'!AJ46="","ERR","")) &amp; IF(ISERROR(FIND($I$2,Lines!AJ46))=TRUE,"",IF('800DC'!AJ46="","ERR","")) &amp; IF(ISERROR(FIND($J$2,Lines!AJ46))=TRUE,"",IF('1000'!AJ46="","ERR",""))</f>
        <v/>
      </c>
      <c r="AK46" s="108" t="str">
        <f>IF(ISERROR(FIND($B$2,Lines!AK46))=TRUE,"",IF('750'!AK46="","ERR","")) &amp; IF(ISERROR(FIND($C$2,Lines!AK46))=TRUE,"",IF('500'!AK46="","ERR","")) &amp; IF(ISERROR(FIND($D$2,Lines!AK46))=TRUE,"",IF('330'!AK46="","ERR","")) &amp; IF(ISERROR(FIND($E$2,Lines!AK46))=TRUE,"",IF('220'!AK46="","ERR",""))&amp; IF(ISERROR(FIND($F$2,Lines!AK46))=TRUE,"",IF(AND('500DC'!AK46="",'800DC'!AK46=""),"ERR","")) &amp; IF(ISERROR(FIND($G$2,Lines!AK46))=TRUE,"",IF('1000'!AK46="","ERR","")) &amp; IF(ISERROR(FIND($H$2,Lines!AK46))=TRUE,"",IF('500DC'!AK46="","ERR","")) &amp; IF(ISERROR(FIND($I$2,Lines!AK46))=TRUE,"",IF('800DC'!AK46="","ERR","")) &amp; IF(ISERROR(FIND($J$2,Lines!AK46))=TRUE,"",IF('1000'!AK46="","ERR",""))</f>
        <v/>
      </c>
      <c r="AL46" s="108" t="str">
        <f>IF(ISERROR(FIND($B$2,Lines!AL46))=TRUE,"",IF('750'!AL46="","ERR","")) &amp; IF(ISERROR(FIND($C$2,Lines!AL46))=TRUE,"",IF('500'!AL46="","ERR","")) &amp; IF(ISERROR(FIND($D$2,Lines!AL46))=TRUE,"",IF('330'!AL46="","ERR","")) &amp; IF(ISERROR(FIND($E$2,Lines!AL46))=TRUE,"",IF('220'!AL46="","ERR",""))&amp; IF(ISERROR(FIND($F$2,Lines!AL46))=TRUE,"",IF(AND('500DC'!AL46="",'800DC'!AL46=""),"ERR","")) &amp; IF(ISERROR(FIND($G$2,Lines!AL46))=TRUE,"",IF('1000'!AL46="","ERR","")) &amp; IF(ISERROR(FIND($H$2,Lines!AL46))=TRUE,"",IF('500DC'!AL46="","ERR","")) &amp; IF(ISERROR(FIND($I$2,Lines!AL46))=TRUE,"",IF('800DC'!AL46="","ERR","")) &amp; IF(ISERROR(FIND($J$2,Lines!AL46))=TRUE,"",IF('1000'!AL46="","ERR",""))</f>
        <v/>
      </c>
      <c r="AM46" s="108" t="str">
        <f>IF(ISERROR(FIND($B$2,Lines!AM46))=TRUE,"",IF('750'!AM46="","ERR","")) &amp; IF(ISERROR(FIND($C$2,Lines!AM46))=TRUE,"",IF('500'!AM46="","ERR","")) &amp; IF(ISERROR(FIND($D$2,Lines!AM46))=TRUE,"",IF('330'!AM46="","ERR","")) &amp; IF(ISERROR(FIND($E$2,Lines!AM46))=TRUE,"",IF('220'!AM46="","ERR",""))&amp; IF(ISERROR(FIND($F$2,Lines!AM46))=TRUE,"",IF(AND('500DC'!AM46="",'800DC'!AM46=""),"ERR","")) &amp; IF(ISERROR(FIND($G$2,Lines!AM46))=TRUE,"",IF('1000'!AM46="","ERR","")) &amp; IF(ISERROR(FIND($H$2,Lines!AM46))=TRUE,"",IF('500DC'!AM46="","ERR","")) &amp; IF(ISERROR(FIND($I$2,Lines!AM46))=TRUE,"",IF('800DC'!AM46="","ERR","")) &amp; IF(ISERROR(FIND($J$2,Lines!AM46))=TRUE,"",IF('1000'!AM46="","ERR",""))</f>
        <v/>
      </c>
      <c r="AN46" s="108" t="str">
        <f>IF(ISERROR(FIND($B$2,Lines!AN46))=TRUE,"",IF('750'!AN46="","ERR","")) &amp; IF(ISERROR(FIND($C$2,Lines!AN46))=TRUE,"",IF('500'!AN46="","ERR","")) &amp; IF(ISERROR(FIND($D$2,Lines!AN46))=TRUE,"",IF('330'!AN46="","ERR","")) &amp; IF(ISERROR(FIND($E$2,Lines!AN46))=TRUE,"",IF('220'!AN46="","ERR",""))&amp; IF(ISERROR(FIND($F$2,Lines!AN46))=TRUE,"",IF(AND('500DC'!AN46="",'800DC'!AN46=""),"ERR","")) &amp; IF(ISERROR(FIND($G$2,Lines!AN46))=TRUE,"",IF('1000'!AN46="","ERR","")) &amp; IF(ISERROR(FIND($H$2,Lines!AN46))=TRUE,"",IF('500DC'!AN46="","ERR","")) &amp; IF(ISERROR(FIND($I$2,Lines!AN46))=TRUE,"",IF('800DC'!AN46="","ERR","")) &amp; IF(ISERROR(FIND($J$2,Lines!AN46))=TRUE,"",IF('1000'!AN46="","ERR",""))</f>
        <v/>
      </c>
      <c r="AO46" s="108" t="str">
        <f>IF(ISERROR(FIND($B$2,Lines!AO46))=TRUE,"",IF('750'!AO46="","ERR","")) &amp; IF(ISERROR(FIND($C$2,Lines!AO46))=TRUE,"",IF('500'!AO46="","ERR","")) &amp; IF(ISERROR(FIND($D$2,Lines!AO46))=TRUE,"",IF('330'!AO46="","ERR","")) &amp; IF(ISERROR(FIND($E$2,Lines!AO46))=TRUE,"",IF('220'!AO46="","ERR",""))&amp; IF(ISERROR(FIND($F$2,Lines!AO46))=TRUE,"",IF(AND('500DC'!AO46="",'800DC'!AO46=""),"ERR","")) &amp; IF(ISERROR(FIND($G$2,Lines!AO46))=TRUE,"",IF('1000'!AO46="","ERR","")) &amp; IF(ISERROR(FIND($H$2,Lines!AO46))=TRUE,"",IF('500DC'!AO46="","ERR","")) &amp; IF(ISERROR(FIND($I$2,Lines!AO46))=TRUE,"",IF('800DC'!AO46="","ERR","")) &amp; IF(ISERROR(FIND($J$2,Lines!AO46))=TRUE,"",IF('1000'!AO46="","ERR",""))</f>
        <v/>
      </c>
      <c r="AP46" s="143" t="str">
        <f>IF(ISERROR(FIND($B$2,Lines!AP46))=TRUE,"",IF('750'!AP46="","ERR","")) &amp; IF(ISERROR(FIND($C$2,Lines!AP46))=TRUE,"",IF('500'!AP46="","ERR","")) &amp; IF(ISERROR(FIND($D$2,Lines!AP46))=TRUE,"",IF('330'!AP46="","ERR","")) &amp; IF(ISERROR(FIND($E$2,Lines!AP46))=TRUE,"",IF('220'!AP46="","ERR",""))&amp; IF(ISERROR(FIND($F$2,Lines!AP46))=TRUE,"",IF(AND('500DC'!AP46="",'800DC'!AP46=""),"ERR","")) &amp; IF(ISERROR(FIND($G$2,Lines!AP46))=TRUE,"",IF('1000'!AP46="","ERR","")) &amp; IF(ISERROR(FIND($H$2,Lines!AP46))=TRUE,"",IF('500DC'!AP46="","ERR","")) &amp; IF(ISERROR(FIND($I$2,Lines!AP46))=TRUE,"",IF('800DC'!AP46="","ERR","")) &amp; IF(ISERROR(FIND($J$2,Lines!AP46))=TRUE,"",IF('1000'!AP46="","ERR",""))</f>
        <v/>
      </c>
      <c r="AQ46" s="144" t="str">
        <f>IF(ISERROR(FIND($B$2,Lines!AQ46))=TRUE,"",IF('750'!AQ46="","ERR","")) &amp; IF(ISERROR(FIND($C$2,Lines!AQ46))=TRUE,"",IF('500'!AQ46="","ERR","")) &amp; IF(ISERROR(FIND($D$2,Lines!AQ46))=TRUE,"",IF('330'!AQ46="","ERR","")) &amp; IF(ISERROR(FIND($E$2,Lines!AQ46))=TRUE,"",IF('220'!AQ46="","ERR",""))&amp; IF(ISERROR(FIND($F$2,Lines!AQ46))=TRUE,"",IF(AND('500DC'!AQ46="",'800DC'!AQ46=""),"ERR","")) &amp; IF(ISERROR(FIND($G$2,Lines!AQ46))=TRUE,"",IF('1000'!AQ46="","ERR","")) &amp; IF(ISERROR(FIND($H$2,Lines!AQ46))=TRUE,"",IF('500DC'!AQ46="","ERR","")) &amp; IF(ISERROR(FIND($I$2,Lines!AQ46))=TRUE,"",IF('800DC'!AQ46="","ERR","")) &amp; IF(ISERROR(FIND($J$2,Lines!AQ46))=TRUE,"",IF('1000'!AQ46="","ERR",""))</f>
        <v/>
      </c>
      <c r="AR46" s="116" t="str">
        <f>IF(ISERROR(FIND($B$2,Lines!AR46))=TRUE,"",IF('750'!AR46="","ERR","")) &amp; IF(ISERROR(FIND($C$2,Lines!AR46))=TRUE,"",IF('500'!AR46="","ERR","")) &amp; IF(ISERROR(FIND($D$2,Lines!AR46))=TRUE,"",IF('330'!AR46="","ERR","")) &amp; IF(ISERROR(FIND($E$2,Lines!AR46))=TRUE,"",IF('220'!AR46="","ERR",""))&amp; IF(ISERROR(FIND($F$2,Lines!AR46))=TRUE,"",IF(AND('500DC'!AR46="",'800DC'!AR46=""),"ERR","")) &amp; IF(ISERROR(FIND($G$2,Lines!AR46))=TRUE,"",IF('1000'!AR46="","ERR","")) &amp; IF(ISERROR(FIND($H$2,Lines!AR46))=TRUE,"",IF('500DC'!AR46="","ERR","")) &amp; IF(ISERROR(FIND($I$2,Lines!AR46))=TRUE,"",IF('800DC'!AR46="","ERR","")) &amp; IF(ISERROR(FIND($J$2,Lines!AR46))=TRUE,"",IF('1000'!AR46="","ERR",""))</f>
        <v/>
      </c>
      <c r="AS46" s="144" t="str">
        <f>IF(ISERROR(FIND($B$2,Lines!AS46))=TRUE,"",IF('750'!AS46="","ERR","")) &amp; IF(ISERROR(FIND($C$2,Lines!AS46))=TRUE,"",IF('500'!AS46="","ERR","")) &amp; IF(ISERROR(FIND($D$2,Lines!AS46))=TRUE,"",IF('330'!AS46="","ERR","")) &amp; IF(ISERROR(FIND($E$2,Lines!AS46))=TRUE,"",IF('220'!AS46="","ERR",""))&amp; IF(ISERROR(FIND($F$2,Lines!AS46))=TRUE,"",IF(AND('500DC'!AS46="",'800DC'!AS46=""),"ERR","")) &amp; IF(ISERROR(FIND($G$2,Lines!AS46))=TRUE,"",IF('1000'!AS46="","ERR","")) &amp; IF(ISERROR(FIND($H$2,Lines!AS46))=TRUE,"",IF('500DC'!AS46="","ERR","")) &amp; IF(ISERROR(FIND($I$2,Lines!AS46))=TRUE,"",IF('800DC'!AS46="","ERR","")) &amp; IF(ISERROR(FIND($J$2,Lines!AS46))=TRUE,"",IF('1000'!AS46="","ERR",""))</f>
        <v/>
      </c>
      <c r="AT46" s="144" t="str">
        <f>IF(ISERROR(FIND($B$2,Lines!AT46))=TRUE,"",IF('750'!AT46="","ERR","")) &amp; IF(ISERROR(FIND($C$2,Lines!AT46))=TRUE,"",IF('500'!AT46="","ERR","")) &amp; IF(ISERROR(FIND($D$2,Lines!AT46))=TRUE,"",IF('330'!AT46="","ERR","")) &amp; IF(ISERROR(FIND($E$2,Lines!AT46))=TRUE,"",IF('220'!AT46="","ERR",""))&amp; IF(ISERROR(FIND($F$2,Lines!AT46))=TRUE,"",IF(AND('500DC'!AT46="",'800DC'!AT46=""),"ERR","")) &amp; IF(ISERROR(FIND($G$2,Lines!AT46))=TRUE,"",IF('1000'!AT46="","ERR","")) &amp; IF(ISERROR(FIND($H$2,Lines!AT46))=TRUE,"",IF('500DC'!AT46="","ERR","")) &amp; IF(ISERROR(FIND($I$2,Lines!AT46))=TRUE,"",IF('800DC'!AT46="","ERR","")) &amp; IF(ISERROR(FIND($J$2,Lines!AT46))=TRUE,"",IF('1000'!AT46="","ERR",""))</f>
        <v/>
      </c>
    </row>
    <row r="47" spans="1:46" ht="20.25" customHeight="1">
      <c r="A47" s="2" t="s">
        <v>95</v>
      </c>
      <c r="B47" s="108" t="str">
        <f>IF(ISERROR(FIND($B$2,Lines!B47))=TRUE,"",IF('750'!B47="","ERR","")) &amp; IF(ISERROR(FIND($C$2,Lines!B47))=TRUE,"",IF('500'!B47="","ERR","")) &amp; IF(ISERROR(FIND($D$2,Lines!B47))=TRUE,"",IF('330'!B47="","ERR","")) &amp; IF(ISERROR(FIND($E$2,Lines!B47))=TRUE,"",IF('220'!B47="","ERR",""))&amp; IF(ISERROR(FIND($F$2,Lines!B47))=TRUE,"",IF(AND('500DC'!B47="",'800DC'!B47=""),"ERR","")) &amp; IF(ISERROR(FIND($G$2,Lines!B47))=TRUE,"",IF('1000'!B47="","ERR","")) &amp; IF(ISERROR(FIND($H$2,Lines!B47))=TRUE,"",IF('500DC'!B47="","ERR","")) &amp; IF(ISERROR(FIND($I$2,Lines!B47))=TRUE,"",IF('800DC'!B47="","ERR","")) &amp; IF(ISERROR(FIND($J$2,Lines!B47))=TRUE,"",IF('1000'!B47="","ERR",""))</f>
        <v/>
      </c>
      <c r="C47" s="108" t="str">
        <f>IF(ISERROR(FIND($B$2,Lines!C47))=TRUE,"",IF('750'!C47="","ERR","")) &amp; IF(ISERROR(FIND($C$2,Lines!C47))=TRUE,"",IF('500'!C47="","ERR","")) &amp; IF(ISERROR(FIND($D$2,Lines!C47))=TRUE,"",IF('330'!C47="","ERR","")) &amp; IF(ISERROR(FIND($E$2,Lines!C47))=TRUE,"",IF('220'!C47="","ERR",""))&amp; IF(ISERROR(FIND($F$2,Lines!C47))=TRUE,"",IF(AND('500DC'!C47="",'800DC'!C47=""),"ERR","")) &amp; IF(ISERROR(FIND($G$2,Lines!C47))=TRUE,"",IF('1000'!C47="","ERR","")) &amp; IF(ISERROR(FIND($H$2,Lines!C47))=TRUE,"",IF('500DC'!C47="","ERR","")) &amp; IF(ISERROR(FIND($I$2,Lines!C47))=TRUE,"",IF('800DC'!C47="","ERR","")) &amp; IF(ISERROR(FIND($J$2,Lines!C47))=TRUE,"",IF('1000'!C47="","ERR",""))</f>
        <v/>
      </c>
      <c r="D47" s="108" t="str">
        <f>IF(ISERROR(FIND($B$2,Lines!D47))=TRUE,"",IF('750'!D47="","ERR","")) &amp; IF(ISERROR(FIND($C$2,Lines!D47))=TRUE,"",IF('500'!D47="","ERR","")) &amp; IF(ISERROR(FIND($D$2,Lines!D47))=TRUE,"",IF('330'!D47="","ERR","")) &amp; IF(ISERROR(FIND($E$2,Lines!D47))=TRUE,"",IF('220'!D47="","ERR",""))&amp; IF(ISERROR(FIND($F$2,Lines!D47))=TRUE,"",IF(AND('500DC'!D47="",'800DC'!D47=""),"ERR","")) &amp; IF(ISERROR(FIND($G$2,Lines!D47))=TRUE,"",IF('1000'!D47="","ERR","")) &amp; IF(ISERROR(FIND($H$2,Lines!D47))=TRUE,"",IF('500DC'!D47="","ERR","")) &amp; IF(ISERROR(FIND($I$2,Lines!D47))=TRUE,"",IF('800DC'!D47="","ERR","")) &amp; IF(ISERROR(FIND($J$2,Lines!D47))=TRUE,"",IF('1000'!D47="","ERR",""))</f>
        <v/>
      </c>
      <c r="E47" s="108" t="str">
        <f>IF(ISERROR(FIND($B$2,Lines!E47))=TRUE,"",IF('750'!E47="","ERR","")) &amp; IF(ISERROR(FIND($C$2,Lines!E47))=TRUE,"",IF('500'!E47="","ERR","")) &amp; IF(ISERROR(FIND($D$2,Lines!E47))=TRUE,"",IF('330'!E47="","ERR","")) &amp; IF(ISERROR(FIND($E$2,Lines!E47))=TRUE,"",IF('220'!E47="","ERR",""))&amp; IF(ISERROR(FIND($F$2,Lines!E47))=TRUE,"",IF(AND('500DC'!E47="",'800DC'!E47=""),"ERR","")) &amp; IF(ISERROR(FIND($G$2,Lines!E47))=TRUE,"",IF('1000'!E47="","ERR","")) &amp; IF(ISERROR(FIND($H$2,Lines!E47))=TRUE,"",IF('500DC'!E47="","ERR","")) &amp; IF(ISERROR(FIND($I$2,Lines!E47))=TRUE,"",IF('800DC'!E47="","ERR","")) &amp; IF(ISERROR(FIND($J$2,Lines!E47))=TRUE,"",IF('1000'!E47="","ERR",""))</f>
        <v/>
      </c>
      <c r="F47" s="108" t="str">
        <f>IF(ISERROR(FIND($B$2,Lines!F47))=TRUE,"",IF('750'!F47="","ERR","")) &amp; IF(ISERROR(FIND($C$2,Lines!F47))=TRUE,"",IF('500'!F47="","ERR","")) &amp; IF(ISERROR(FIND($D$2,Lines!F47))=TRUE,"",IF('330'!F47="","ERR","")) &amp; IF(ISERROR(FIND($E$2,Lines!F47))=TRUE,"",IF('220'!F47="","ERR",""))&amp; IF(ISERROR(FIND($F$2,Lines!F47))=TRUE,"",IF(AND('500DC'!F47="",'800DC'!F47=""),"ERR","")) &amp; IF(ISERROR(FIND($G$2,Lines!F47))=TRUE,"",IF('1000'!F47="","ERR","")) &amp; IF(ISERROR(FIND($H$2,Lines!F47))=TRUE,"",IF('500DC'!F47="","ERR","")) &amp; IF(ISERROR(FIND($I$2,Lines!F47))=TRUE,"",IF('800DC'!F47="","ERR","")) &amp; IF(ISERROR(FIND($J$2,Lines!F47))=TRUE,"",IF('1000'!F47="","ERR",""))</f>
        <v/>
      </c>
      <c r="G47" s="108" t="str">
        <f>IF(ISERROR(FIND($B$2,Lines!G47))=TRUE,"",IF('750'!G47="","ERR","")) &amp; IF(ISERROR(FIND($C$2,Lines!G47))=TRUE,"",IF('500'!G47="","ERR","")) &amp; IF(ISERROR(FIND($D$2,Lines!G47))=TRUE,"",IF('330'!G47="","ERR","")) &amp; IF(ISERROR(FIND($E$2,Lines!G47))=TRUE,"",IF('220'!G47="","ERR",""))&amp; IF(ISERROR(FIND($F$2,Lines!G47))=TRUE,"",IF(AND('500DC'!G47="",'800DC'!G47=""),"ERR","")) &amp; IF(ISERROR(FIND($G$2,Lines!G47))=TRUE,"",IF('1000'!G47="","ERR","")) &amp; IF(ISERROR(FIND($H$2,Lines!G47))=TRUE,"",IF('500DC'!G47="","ERR","")) &amp; IF(ISERROR(FIND($I$2,Lines!G47))=TRUE,"",IF('800DC'!G47="","ERR","")) &amp; IF(ISERROR(FIND($J$2,Lines!G47))=TRUE,"",IF('1000'!G47="","ERR",""))</f>
        <v/>
      </c>
      <c r="H47" s="108" t="str">
        <f>IF(ISERROR(FIND($B$2,Lines!H47))=TRUE,"",IF('750'!H47="","ERR","")) &amp; IF(ISERROR(FIND($C$2,Lines!H47))=TRUE,"",IF('500'!H47="","ERR","")) &amp; IF(ISERROR(FIND($D$2,Lines!H47))=TRUE,"",IF('330'!H47="","ERR","")) &amp; IF(ISERROR(FIND($E$2,Lines!H47))=TRUE,"",IF('220'!H47="","ERR",""))&amp; IF(ISERROR(FIND($F$2,Lines!H47))=TRUE,"",IF(AND('500DC'!H47="",'800DC'!H47=""),"ERR","")) &amp; IF(ISERROR(FIND($G$2,Lines!H47))=TRUE,"",IF('1000'!H47="","ERR","")) &amp; IF(ISERROR(FIND($H$2,Lines!H47))=TRUE,"",IF('500DC'!H47="","ERR","")) &amp; IF(ISERROR(FIND($I$2,Lines!H47))=TRUE,"",IF('800DC'!H47="","ERR","")) &amp; IF(ISERROR(FIND($J$2,Lines!H47))=TRUE,"",IF('1000'!H47="","ERR",""))</f>
        <v/>
      </c>
      <c r="I47" s="108" t="str">
        <f>IF(ISERROR(FIND($B$2,Lines!I47))=TRUE,"",IF('750'!I47="","ERR","")) &amp; IF(ISERROR(FIND($C$2,Lines!I47))=TRUE,"",IF('500'!I47="","ERR","")) &amp; IF(ISERROR(FIND($D$2,Lines!I47))=TRUE,"",IF('330'!I47="","ERR","")) &amp; IF(ISERROR(FIND($E$2,Lines!I47))=TRUE,"",IF('220'!I47="","ERR",""))&amp; IF(ISERROR(FIND($F$2,Lines!I47))=TRUE,"",IF(AND('500DC'!I47="",'800DC'!I47=""),"ERR","")) &amp; IF(ISERROR(FIND($G$2,Lines!I47))=TRUE,"",IF('1000'!I47="","ERR","")) &amp; IF(ISERROR(FIND($H$2,Lines!I47))=TRUE,"",IF('500DC'!I47="","ERR","")) &amp; IF(ISERROR(FIND($I$2,Lines!I47))=TRUE,"",IF('800DC'!I47="","ERR","")) &amp; IF(ISERROR(FIND($J$2,Lines!I47))=TRUE,"",IF('1000'!I47="","ERR",""))</f>
        <v/>
      </c>
      <c r="J47" s="108" t="str">
        <f>IF(ISERROR(FIND($B$2,Lines!J47))=TRUE,"",IF('750'!J47="","ERR","")) &amp; IF(ISERROR(FIND($C$2,Lines!J47))=TRUE,"",IF('500'!J47="","ERR","")) &amp; IF(ISERROR(FIND($D$2,Lines!J47))=TRUE,"",IF('330'!J47="","ERR","")) &amp; IF(ISERROR(FIND($E$2,Lines!J47))=TRUE,"",IF('220'!J47="","ERR",""))&amp; IF(ISERROR(FIND($F$2,Lines!J47))=TRUE,"",IF(AND('500DC'!J47="",'800DC'!J47=""),"ERR","")) &amp; IF(ISERROR(FIND($G$2,Lines!J47))=TRUE,"",IF('1000'!J47="","ERR","")) &amp; IF(ISERROR(FIND($H$2,Lines!J47))=TRUE,"",IF('500DC'!J47="","ERR","")) &amp; IF(ISERROR(FIND($I$2,Lines!J47))=TRUE,"",IF('800DC'!J47="","ERR","")) &amp; IF(ISERROR(FIND($J$2,Lines!J47))=TRUE,"",IF('1000'!J47="","ERR",""))</f>
        <v/>
      </c>
      <c r="K47" s="108" t="str">
        <f>IF(ISERROR(FIND($B$2,Lines!K47))=TRUE,"",IF('750'!K47="","ERR","")) &amp; IF(ISERROR(FIND($C$2,Lines!K47))=TRUE,"",IF('500'!K47="","ERR","")) &amp; IF(ISERROR(FIND($D$2,Lines!K47))=TRUE,"",IF('330'!K47="","ERR","")) &amp; IF(ISERROR(FIND($E$2,Lines!K47))=TRUE,"",IF('220'!K47="","ERR",""))&amp; IF(ISERROR(FIND($F$2,Lines!K47))=TRUE,"",IF(AND('500DC'!K47="",'800DC'!K47=""),"ERR","")) &amp; IF(ISERROR(FIND($G$2,Lines!K47))=TRUE,"",IF('1000'!K47="","ERR","")) &amp; IF(ISERROR(FIND($H$2,Lines!K47))=TRUE,"",IF('500DC'!K47="","ERR","")) &amp; IF(ISERROR(FIND($I$2,Lines!K47))=TRUE,"",IF('800DC'!K47="","ERR","")) &amp; IF(ISERROR(FIND($J$2,Lines!K47))=TRUE,"",IF('1000'!K47="","ERR",""))</f>
        <v/>
      </c>
      <c r="L47" s="108" t="str">
        <f>IF(ISERROR(FIND($B$2,Lines!L47))=TRUE,"",IF('750'!L47="","ERR","")) &amp; IF(ISERROR(FIND($C$2,Lines!L47))=TRUE,"",IF('500'!L47="","ERR","")) &amp; IF(ISERROR(FIND($D$2,Lines!L47))=TRUE,"",IF('330'!L47="","ERR","")) &amp; IF(ISERROR(FIND($E$2,Lines!L47))=TRUE,"",IF('220'!L47="","ERR",""))&amp; IF(ISERROR(FIND($F$2,Lines!L47))=TRUE,"",IF(AND('500DC'!L47="",'800DC'!L47=""),"ERR","")) &amp; IF(ISERROR(FIND($G$2,Lines!L47))=TRUE,"",IF('1000'!L47="","ERR","")) &amp; IF(ISERROR(FIND($H$2,Lines!L47))=TRUE,"",IF('500DC'!L47="","ERR","")) &amp; IF(ISERROR(FIND($I$2,Lines!L47))=TRUE,"",IF('800DC'!L47="","ERR","")) &amp; IF(ISERROR(FIND($J$2,Lines!L47))=TRUE,"",IF('1000'!L47="","ERR",""))</f>
        <v/>
      </c>
      <c r="M47" s="108" t="str">
        <f>IF(ISERROR(FIND($B$2,Lines!M47))=TRUE,"",IF('750'!M47="","ERR","")) &amp; IF(ISERROR(FIND($C$2,Lines!M47))=TRUE,"",IF('500'!M47="","ERR","")) &amp; IF(ISERROR(FIND($D$2,Lines!M47))=TRUE,"",IF('330'!M47="","ERR","")) &amp; IF(ISERROR(FIND($E$2,Lines!M47))=TRUE,"",IF('220'!M47="","ERR",""))&amp; IF(ISERROR(FIND($F$2,Lines!M47))=TRUE,"",IF(AND('500DC'!M47="",'800DC'!M47=""),"ERR","")) &amp; IF(ISERROR(FIND($G$2,Lines!M47))=TRUE,"",IF('1000'!M47="","ERR","")) &amp; IF(ISERROR(FIND($H$2,Lines!M47))=TRUE,"",IF('500DC'!M47="","ERR","")) &amp; IF(ISERROR(FIND($I$2,Lines!M47))=TRUE,"",IF('800DC'!M47="","ERR","")) &amp; IF(ISERROR(FIND($J$2,Lines!M47))=TRUE,"",IF('1000'!M47="","ERR",""))</f>
        <v/>
      </c>
      <c r="N47" s="108" t="str">
        <f>IF(ISERROR(FIND($B$2,Lines!N47))=TRUE,"",IF('750'!N47="","ERR","")) &amp; IF(ISERROR(FIND($C$2,Lines!N47))=TRUE,"",IF('500'!N47="","ERR","")) &amp; IF(ISERROR(FIND($D$2,Lines!N47))=TRUE,"",IF('330'!N47="","ERR","")) &amp; IF(ISERROR(FIND($E$2,Lines!N47))=TRUE,"",IF('220'!N47="","ERR",""))&amp; IF(ISERROR(FIND($F$2,Lines!N47))=TRUE,"",IF(AND('500DC'!N47="",'800DC'!N47=""),"ERR","")) &amp; IF(ISERROR(FIND($G$2,Lines!N47))=TRUE,"",IF('1000'!N47="","ERR","")) &amp; IF(ISERROR(FIND($H$2,Lines!N47))=TRUE,"",IF('500DC'!N47="","ERR","")) &amp; IF(ISERROR(FIND($I$2,Lines!N47))=TRUE,"",IF('800DC'!N47="","ERR","")) &amp; IF(ISERROR(FIND($J$2,Lines!N47))=TRUE,"",IF('1000'!N47="","ERR",""))</f>
        <v/>
      </c>
      <c r="O47" s="108" t="str">
        <f>IF(ISERROR(FIND($B$2,Lines!O47))=TRUE,"",IF('750'!O47="","ERR","")) &amp; IF(ISERROR(FIND($C$2,Lines!O47))=TRUE,"",IF('500'!O47="","ERR","")) &amp; IF(ISERROR(FIND($D$2,Lines!O47))=TRUE,"",IF('330'!O47="","ERR","")) &amp; IF(ISERROR(FIND($E$2,Lines!O47))=TRUE,"",IF('220'!O47="","ERR",""))&amp; IF(ISERROR(FIND($F$2,Lines!O47))=TRUE,"",IF(AND('500DC'!O47="",'800DC'!O47=""),"ERR","")) &amp; IF(ISERROR(FIND($G$2,Lines!O47))=TRUE,"",IF('1000'!O47="","ERR","")) &amp; IF(ISERROR(FIND($H$2,Lines!O47))=TRUE,"",IF('500DC'!O47="","ERR","")) &amp; IF(ISERROR(FIND($I$2,Lines!O47))=TRUE,"",IF('800DC'!O47="","ERR","")) &amp; IF(ISERROR(FIND($J$2,Lines!O47))=TRUE,"",IF('1000'!O47="","ERR",""))</f>
        <v/>
      </c>
      <c r="P47" s="108" t="str">
        <f>IF(ISERROR(FIND($B$2,Lines!P47))=TRUE,"",IF('750'!P47="","ERR","")) &amp; IF(ISERROR(FIND($C$2,Lines!P47))=TRUE,"",IF('500'!P47="","ERR","")) &amp; IF(ISERROR(FIND($D$2,Lines!P47))=TRUE,"",IF('330'!P47="","ERR","")) &amp; IF(ISERROR(FIND($E$2,Lines!P47))=TRUE,"",IF('220'!P47="","ERR",""))&amp; IF(ISERROR(FIND($F$2,Lines!P47))=TRUE,"",IF(AND('500DC'!P47="",'800DC'!P47=""),"ERR","")) &amp; IF(ISERROR(FIND($G$2,Lines!P47))=TRUE,"",IF('1000'!P47="","ERR","")) &amp; IF(ISERROR(FIND($H$2,Lines!P47))=TRUE,"",IF('500DC'!P47="","ERR","")) &amp; IF(ISERROR(FIND($I$2,Lines!P47))=TRUE,"",IF('800DC'!P47="","ERR","")) &amp; IF(ISERROR(FIND($J$2,Lines!P47))=TRUE,"",IF('1000'!P47="","ERR",""))</f>
        <v/>
      </c>
      <c r="Q47" s="108" t="str">
        <f>IF(ISERROR(FIND($B$2,Lines!Q47))=TRUE,"",IF('750'!Q47="","ERR","")) &amp; IF(ISERROR(FIND($C$2,Lines!Q47))=TRUE,"",IF('500'!Q47="","ERR","")) &amp; IF(ISERROR(FIND($D$2,Lines!Q47))=TRUE,"",IF('330'!Q47="","ERR","")) &amp; IF(ISERROR(FIND($E$2,Lines!Q47))=TRUE,"",IF('220'!Q47="","ERR",""))&amp; IF(ISERROR(FIND($F$2,Lines!Q47))=TRUE,"",IF(AND('500DC'!Q47="",'800DC'!Q47=""),"ERR","")) &amp; IF(ISERROR(FIND($G$2,Lines!Q47))=TRUE,"",IF('1000'!Q47="","ERR","")) &amp; IF(ISERROR(FIND($H$2,Lines!Q47))=TRUE,"",IF('500DC'!Q47="","ERR","")) &amp; IF(ISERROR(FIND($I$2,Lines!Q47))=TRUE,"",IF('800DC'!Q47="","ERR","")) &amp; IF(ISERROR(FIND($J$2,Lines!Q47))=TRUE,"",IF('1000'!Q47="","ERR",""))</f>
        <v/>
      </c>
      <c r="R47" s="108" t="str">
        <f>IF(ISERROR(FIND($B$2,Lines!R47))=TRUE,"",IF('750'!R47="","ERR","")) &amp; IF(ISERROR(FIND($C$2,Lines!R47))=TRUE,"",IF('500'!R47="","ERR","")) &amp; IF(ISERROR(FIND($D$2,Lines!R47))=TRUE,"",IF('330'!R47="","ERR","")) &amp; IF(ISERROR(FIND($E$2,Lines!R47))=TRUE,"",IF('220'!R47="","ERR",""))&amp; IF(ISERROR(FIND($F$2,Lines!R47))=TRUE,"",IF(AND('500DC'!R47="",'800DC'!R47=""),"ERR","")) &amp; IF(ISERROR(FIND($G$2,Lines!R47))=TRUE,"",IF('1000'!R47="","ERR","")) &amp; IF(ISERROR(FIND($H$2,Lines!R47))=TRUE,"",IF('500DC'!R47="","ERR","")) &amp; IF(ISERROR(FIND($I$2,Lines!R47))=TRUE,"",IF('800DC'!R47="","ERR","")) &amp; IF(ISERROR(FIND($J$2,Lines!R47))=TRUE,"",IF('1000'!R47="","ERR",""))</f>
        <v/>
      </c>
      <c r="S47" s="108" t="str">
        <f>IF(ISERROR(FIND($B$2,Lines!S47))=TRUE,"",IF('750'!S47="","ERR","")) &amp; IF(ISERROR(FIND($C$2,Lines!S47))=TRUE,"",IF('500'!S47="","ERR","")) &amp; IF(ISERROR(FIND($D$2,Lines!S47))=TRUE,"",IF('330'!S47="","ERR","")) &amp; IF(ISERROR(FIND($E$2,Lines!S47))=TRUE,"",IF('220'!S47="","ERR",""))&amp; IF(ISERROR(FIND($F$2,Lines!S47))=TRUE,"",IF(AND('500DC'!S47="",'800DC'!S47=""),"ERR","")) &amp; IF(ISERROR(FIND($G$2,Lines!S47))=TRUE,"",IF('1000'!S47="","ERR","")) &amp; IF(ISERROR(FIND($H$2,Lines!S47))=TRUE,"",IF('500DC'!S47="","ERR","")) &amp; IF(ISERROR(FIND($I$2,Lines!S47))=TRUE,"",IF('800DC'!S47="","ERR","")) &amp; IF(ISERROR(FIND($J$2,Lines!S47))=TRUE,"",IF('1000'!S47="","ERR",""))</f>
        <v/>
      </c>
      <c r="T47" s="108" t="str">
        <f>IF(ISERROR(FIND($B$2,Lines!T47))=TRUE,"",IF('750'!T47="","ERR","")) &amp; IF(ISERROR(FIND($C$2,Lines!T47))=TRUE,"",IF('500'!T47="","ERR","")) &amp; IF(ISERROR(FIND($D$2,Lines!T47))=TRUE,"",IF('330'!T47="","ERR","")) &amp; IF(ISERROR(FIND($E$2,Lines!T47))=TRUE,"",IF('220'!T47="","ERR",""))&amp; IF(ISERROR(FIND($F$2,Lines!T47))=TRUE,"",IF(AND('500DC'!T47="",'800DC'!T47=""),"ERR","")) &amp; IF(ISERROR(FIND($G$2,Lines!T47))=TRUE,"",IF('1000'!T47="","ERR","")) &amp; IF(ISERROR(FIND($H$2,Lines!T47))=TRUE,"",IF('500DC'!T47="","ERR","")) &amp; IF(ISERROR(FIND($I$2,Lines!T47))=TRUE,"",IF('800DC'!T47="","ERR","")) &amp; IF(ISERROR(FIND($J$2,Lines!T47))=TRUE,"",IF('1000'!T47="","ERR",""))</f>
        <v/>
      </c>
      <c r="U47" s="108" t="str">
        <f>IF(ISERROR(FIND($B$2,Lines!U47))=TRUE,"",IF('750'!U47="","ERR","")) &amp; IF(ISERROR(FIND($C$2,Lines!U47))=TRUE,"",IF('500'!U47="","ERR","")) &amp; IF(ISERROR(FIND($D$2,Lines!U47))=TRUE,"",IF('330'!U47="","ERR","")) &amp; IF(ISERROR(FIND($E$2,Lines!U47))=TRUE,"",IF('220'!U47="","ERR",""))&amp; IF(ISERROR(FIND($F$2,Lines!U47))=TRUE,"",IF(AND('500DC'!U47="",'800DC'!U47=""),"ERR","")) &amp; IF(ISERROR(FIND($G$2,Lines!U47))=TRUE,"",IF('1000'!U47="","ERR","")) &amp; IF(ISERROR(FIND($H$2,Lines!U47))=TRUE,"",IF('500DC'!U47="","ERR","")) &amp; IF(ISERROR(FIND($I$2,Lines!U47))=TRUE,"",IF('800DC'!U47="","ERR","")) &amp; IF(ISERROR(FIND($J$2,Lines!U47))=TRUE,"",IF('1000'!U47="","ERR",""))</f>
        <v/>
      </c>
      <c r="V47" s="108" t="str">
        <f>IF(ISERROR(FIND($B$2,Lines!V47))=TRUE,"",IF('750'!V47="","ERR","")) &amp; IF(ISERROR(FIND($C$2,Lines!V47))=TRUE,"",IF('500'!V47="","ERR","")) &amp; IF(ISERROR(FIND($D$2,Lines!V47))=TRUE,"",IF('330'!V47="","ERR","")) &amp; IF(ISERROR(FIND($E$2,Lines!V47))=TRUE,"",IF('220'!V47="","ERR",""))&amp; IF(ISERROR(FIND($F$2,Lines!V47))=TRUE,"",IF(AND('500DC'!V47="",'800DC'!V47=""),"ERR","")) &amp; IF(ISERROR(FIND($G$2,Lines!V47))=TRUE,"",IF('1000'!V47="","ERR","")) &amp; IF(ISERROR(FIND($H$2,Lines!V47))=TRUE,"",IF('500DC'!V47="","ERR","")) &amp; IF(ISERROR(FIND($I$2,Lines!V47))=TRUE,"",IF('800DC'!V47="","ERR","")) &amp; IF(ISERROR(FIND($J$2,Lines!V47))=TRUE,"",IF('1000'!V47="","ERR",""))</f>
        <v/>
      </c>
      <c r="W47" s="109" t="str">
        <f>IF(ISERROR(FIND($B$2,Lines!W47))=TRUE,"",IF('750'!W47="","ERR","")) &amp; IF(ISERROR(FIND($C$2,Lines!W47))=TRUE,"",IF('500'!W47="","ERR","")) &amp; IF(ISERROR(FIND($D$2,Lines!W47))=TRUE,"",IF('330'!W47="","ERR","")) &amp; IF(ISERROR(FIND($E$2,Lines!W47))=TRUE,"",IF('220'!W47="","ERR",""))&amp; IF(ISERROR(FIND($F$2,Lines!W47))=TRUE,"",IF(AND('500DC'!W47="",'800DC'!W47=""),"ERR","")) &amp; IF(ISERROR(FIND($G$2,Lines!W47))=TRUE,"",IF('1000'!W47="","ERR","")) &amp; IF(ISERROR(FIND($H$2,Lines!W47))=TRUE,"",IF('500DC'!W47="","ERR","")) &amp; IF(ISERROR(FIND($I$2,Lines!W47))=TRUE,"",IF('800DC'!W47="","ERR","")) &amp; IF(ISERROR(FIND($J$2,Lines!W47))=TRUE,"",IF('1000'!W47="","ERR",""))</f>
        <v/>
      </c>
      <c r="X47" s="108" t="str">
        <f>IF(ISERROR(FIND($B$2,Lines!X47))=TRUE,"",IF('750'!X47="","ERR","")) &amp; IF(ISERROR(FIND($C$2,Lines!X47))=TRUE,"",IF('500'!X47="","ERR","")) &amp; IF(ISERROR(FIND($D$2,Lines!X47))=TRUE,"",IF('330'!X47="","ERR","")) &amp; IF(ISERROR(FIND($E$2,Lines!X47))=TRUE,"",IF('220'!X47="","ERR",""))&amp; IF(ISERROR(FIND($F$2,Lines!X47))=TRUE,"",IF(AND('500DC'!X47="",'800DC'!X47=""),"ERR","")) &amp; IF(ISERROR(FIND($G$2,Lines!X47))=TRUE,"",IF('1000'!X47="","ERR","")) &amp; IF(ISERROR(FIND($H$2,Lines!X47))=TRUE,"",IF('500DC'!X47="","ERR","")) &amp; IF(ISERROR(FIND($I$2,Lines!X47))=TRUE,"",IF('800DC'!X47="","ERR","")) &amp; IF(ISERROR(FIND($J$2,Lines!X47))=TRUE,"",IF('1000'!X47="","ERR",""))</f>
        <v/>
      </c>
      <c r="Y47" s="108" t="str">
        <f>IF(ISERROR(FIND($B$2,Lines!Y47))=TRUE,"",IF('750'!Y47="","ERR","")) &amp; IF(ISERROR(FIND($C$2,Lines!Y47))=TRUE,"",IF('500'!Y47="","ERR","")) &amp; IF(ISERROR(FIND($D$2,Lines!Y47))=TRUE,"",IF('330'!Y47="","ERR","")) &amp; IF(ISERROR(FIND($E$2,Lines!Y47))=TRUE,"",IF('220'!Y47="","ERR",""))&amp; IF(ISERROR(FIND($F$2,Lines!Y47))=TRUE,"",IF(AND('500DC'!Y47="",'800DC'!Y47=""),"ERR","")) &amp; IF(ISERROR(FIND($G$2,Lines!Y47))=TRUE,"",IF('1000'!Y47="","ERR","")) &amp; IF(ISERROR(FIND($H$2,Lines!Y47))=TRUE,"",IF('500DC'!Y47="","ERR","")) &amp; IF(ISERROR(FIND($I$2,Lines!Y47))=TRUE,"",IF('800DC'!Y47="","ERR","")) &amp; IF(ISERROR(FIND($J$2,Lines!Y47))=TRUE,"",IF('1000'!Y47="","ERR",""))</f>
        <v/>
      </c>
      <c r="Z47" s="108" t="str">
        <f>IF(ISERROR(FIND($B$2,Lines!Z47))=TRUE,"",IF('750'!Z47="","ERR","")) &amp; IF(ISERROR(FIND($C$2,Lines!Z47))=TRUE,"",IF('500'!Z47="","ERR","")) &amp; IF(ISERROR(FIND($D$2,Lines!Z47))=TRUE,"",IF('330'!Z47="","ERR","")) &amp; IF(ISERROR(FIND($E$2,Lines!Z47))=TRUE,"",IF('220'!Z47="","ERR",""))&amp; IF(ISERROR(FIND($F$2,Lines!Z47))=TRUE,"",IF(AND('500DC'!Z47="",'800DC'!Z47=""),"ERR","")) &amp; IF(ISERROR(FIND($G$2,Lines!Z47))=TRUE,"",IF('1000'!Z47="","ERR","")) &amp; IF(ISERROR(FIND($H$2,Lines!Z47))=TRUE,"",IF('500DC'!Z47="","ERR","")) &amp; IF(ISERROR(FIND($I$2,Lines!Z47))=TRUE,"",IF('800DC'!Z47="","ERR","")) &amp; IF(ISERROR(FIND($J$2,Lines!Z47))=TRUE,"",IF('1000'!Z47="","ERR",""))</f>
        <v/>
      </c>
      <c r="AA47" s="108" t="str">
        <f>IF(ISERROR(FIND($B$2,Lines!AA47))=TRUE,"",IF('750'!AA47="","ERR","")) &amp; IF(ISERROR(FIND($C$2,Lines!AA47))=TRUE,"",IF('500'!AA47="","ERR","")) &amp; IF(ISERROR(FIND($D$2,Lines!AA47))=TRUE,"",IF('330'!AA47="","ERR","")) &amp; IF(ISERROR(FIND($E$2,Lines!AA47))=TRUE,"",IF('220'!AA47="","ERR",""))&amp; IF(ISERROR(FIND($F$2,Lines!AA47))=TRUE,"",IF(AND('500DC'!AA47="",'800DC'!AA47=""),"ERR","")) &amp; IF(ISERROR(FIND($G$2,Lines!AA47))=TRUE,"",IF('1000'!AA47="","ERR","")) &amp; IF(ISERROR(FIND($H$2,Lines!AA47))=TRUE,"",IF('500DC'!AA47="","ERR","")) &amp; IF(ISERROR(FIND($I$2,Lines!AA47))=TRUE,"",IF('800DC'!AA47="","ERR","")) &amp; IF(ISERROR(FIND($J$2,Lines!AA47))=TRUE,"",IF('1000'!AA47="","ERR",""))</f>
        <v/>
      </c>
      <c r="AB47" s="108" t="str">
        <f>IF(ISERROR(FIND($B$2,Lines!AB47))=TRUE,"",IF('750'!AB47="","ERR","")) &amp; IF(ISERROR(FIND($C$2,Lines!AB47))=TRUE,"",IF('500'!AB47="","ERR","")) &amp; IF(ISERROR(FIND($D$2,Lines!AB47))=TRUE,"",IF('330'!AB47="","ERR","")) &amp; IF(ISERROR(FIND($E$2,Lines!AB47))=TRUE,"",IF('220'!AB47="","ERR",""))&amp; IF(ISERROR(FIND($F$2,Lines!AB47))=TRUE,"",IF(AND('500DC'!AB47="",'800DC'!AB47=""),"ERR","")) &amp; IF(ISERROR(FIND($G$2,Lines!AB47))=TRUE,"",IF('1000'!AB47="","ERR","")) &amp; IF(ISERROR(FIND($H$2,Lines!AB47))=TRUE,"",IF('500DC'!AB47="","ERR","")) &amp; IF(ISERROR(FIND($I$2,Lines!AB47))=TRUE,"",IF('800DC'!AB47="","ERR","")) &amp; IF(ISERROR(FIND($J$2,Lines!AB47))=TRUE,"",IF('1000'!AB47="","ERR",""))</f>
        <v/>
      </c>
      <c r="AC47" s="108" t="str">
        <f>IF(ISERROR(FIND($B$2,Lines!AC47))=TRUE,"",IF('750'!AC47="","ERR","")) &amp; IF(ISERROR(FIND($C$2,Lines!AC47))=TRUE,"",IF('500'!AC47="","ERR","")) &amp; IF(ISERROR(FIND($D$2,Lines!AC47))=TRUE,"",IF('330'!AC47="","ERR","")) &amp; IF(ISERROR(FIND($E$2,Lines!AC47))=TRUE,"",IF('220'!AC47="","ERR",""))&amp; IF(ISERROR(FIND($F$2,Lines!AC47))=TRUE,"",IF(AND('500DC'!AC47="",'800DC'!AC47=""),"ERR","")) &amp; IF(ISERROR(FIND($G$2,Lines!AC47))=TRUE,"",IF('1000'!AC47="","ERR","")) &amp; IF(ISERROR(FIND($H$2,Lines!AC47))=TRUE,"",IF('500DC'!AC47="","ERR","")) &amp; IF(ISERROR(FIND($I$2,Lines!AC47))=TRUE,"",IF('800DC'!AC47="","ERR","")) &amp; IF(ISERROR(FIND($J$2,Lines!AC47))=TRUE,"",IF('1000'!AC47="","ERR",""))</f>
        <v/>
      </c>
      <c r="AD47" s="108" t="str">
        <f>IF(ISERROR(FIND($B$2,Lines!AD47))=TRUE,"",IF('750'!AD47="","ERR","")) &amp; IF(ISERROR(FIND($C$2,Lines!AD47))=TRUE,"",IF('500'!AD47="","ERR","")) &amp; IF(ISERROR(FIND($D$2,Lines!AD47))=TRUE,"",IF('330'!AD47="","ERR","")) &amp; IF(ISERROR(FIND($E$2,Lines!AD47))=TRUE,"",IF('220'!AD47="","ERR",""))&amp; IF(ISERROR(FIND($F$2,Lines!AD47))=TRUE,"",IF(AND('500DC'!AD47="",'800DC'!AD47=""),"ERR","")) &amp; IF(ISERROR(FIND($G$2,Lines!AD47))=TRUE,"",IF('1000'!AD47="","ERR","")) &amp; IF(ISERROR(FIND($H$2,Lines!AD47))=TRUE,"",IF('500DC'!AD47="","ERR","")) &amp; IF(ISERROR(FIND($I$2,Lines!AD47))=TRUE,"",IF('800DC'!AD47="","ERR","")) &amp; IF(ISERROR(FIND($J$2,Lines!AD47))=TRUE,"",IF('1000'!AD47="","ERR",""))</f>
        <v/>
      </c>
      <c r="AE47" s="108" t="str">
        <f>IF(ISERROR(FIND($B$2,Lines!AE47))=TRUE,"",IF('750'!AE47="","ERR","")) &amp; IF(ISERROR(FIND($C$2,Lines!AE47))=TRUE,"",IF('500'!AE47="","ERR","")) &amp; IF(ISERROR(FIND($D$2,Lines!AE47))=TRUE,"",IF('330'!AE47="","ERR","")) &amp; IF(ISERROR(FIND($E$2,Lines!AE47))=TRUE,"",IF('220'!AE47="","ERR",""))&amp; IF(ISERROR(FIND($F$2,Lines!AE47))=TRUE,"",IF(AND('500DC'!AE47="",'800DC'!AE47=""),"ERR","")) &amp; IF(ISERROR(FIND($G$2,Lines!AE47))=TRUE,"",IF('1000'!AE47="","ERR","")) &amp; IF(ISERROR(FIND($H$2,Lines!AE47))=TRUE,"",IF('500DC'!AE47="","ERR","")) &amp; IF(ISERROR(FIND($I$2,Lines!AE47))=TRUE,"",IF('800DC'!AE47="","ERR","")) &amp; IF(ISERROR(FIND($J$2,Lines!AE47))=TRUE,"",IF('1000'!AE47="","ERR",""))</f>
        <v/>
      </c>
      <c r="AF47" s="108" t="str">
        <f>IF(ISERROR(FIND($B$2,Lines!AF47))=TRUE,"",IF('750'!AF47="","ERR","")) &amp; IF(ISERROR(FIND($C$2,Lines!AF47))=TRUE,"",IF('500'!AF47="","ERR","")) &amp; IF(ISERROR(FIND($D$2,Lines!AF47))=TRUE,"",IF('330'!AF47="","ERR","")) &amp; IF(ISERROR(FIND($E$2,Lines!AF47))=TRUE,"",IF('220'!AF47="","ERR",""))&amp; IF(ISERROR(FIND($F$2,Lines!AF47))=TRUE,"",IF(AND('500DC'!AF47="",'800DC'!AF47=""),"ERR","")) &amp; IF(ISERROR(FIND($G$2,Lines!AF47))=TRUE,"",IF('1000'!AF47="","ERR","")) &amp; IF(ISERROR(FIND($H$2,Lines!AF47))=TRUE,"",IF('500DC'!AF47="","ERR","")) &amp; IF(ISERROR(FIND($I$2,Lines!AF47))=TRUE,"",IF('800DC'!AF47="","ERR","")) &amp; IF(ISERROR(FIND($J$2,Lines!AF47))=TRUE,"",IF('1000'!AF47="","ERR",""))</f>
        <v/>
      </c>
      <c r="AG47" s="108" t="str">
        <f>IF(ISERROR(FIND($B$2,Lines!AG47))=TRUE,"",IF('750'!AG47="","ERR","")) &amp; IF(ISERROR(FIND($C$2,Lines!AG47))=TRUE,"",IF('500'!AG47="","ERR","")) &amp; IF(ISERROR(FIND($D$2,Lines!AG47))=TRUE,"",IF('330'!AG47="","ERR","")) &amp; IF(ISERROR(FIND($E$2,Lines!AG47))=TRUE,"",IF('220'!AG47="","ERR",""))&amp; IF(ISERROR(FIND($F$2,Lines!AG47))=TRUE,"",IF(AND('500DC'!AG47="",'800DC'!AG47=""),"ERR","")) &amp; IF(ISERROR(FIND($G$2,Lines!AG47))=TRUE,"",IF('1000'!AG47="","ERR","")) &amp; IF(ISERROR(FIND($H$2,Lines!AG47))=TRUE,"",IF('500DC'!AG47="","ERR","")) &amp; IF(ISERROR(FIND($I$2,Lines!AG47))=TRUE,"",IF('800DC'!AG47="","ERR","")) &amp; IF(ISERROR(FIND($J$2,Lines!AG47))=TRUE,"",IF('1000'!AG47="","ERR",""))</f>
        <v/>
      </c>
      <c r="AH47" s="108" t="str">
        <f>IF(ISERROR(FIND($B$2,Lines!AH47))=TRUE,"",IF('750'!AH47="","ERR","")) &amp; IF(ISERROR(FIND($C$2,Lines!AH47))=TRUE,"",IF('500'!AH47="","ERR","")) &amp; IF(ISERROR(FIND($D$2,Lines!AH47))=TRUE,"",IF('330'!AH47="","ERR","")) &amp; IF(ISERROR(FIND($E$2,Lines!AH47))=TRUE,"",IF('220'!AH47="","ERR",""))&amp; IF(ISERROR(FIND($F$2,Lines!AH47))=TRUE,"",IF(AND('500DC'!AH47="",'800DC'!AH47=""),"ERR","")) &amp; IF(ISERROR(FIND($G$2,Lines!AH47))=TRUE,"",IF('1000'!AH47="","ERR","")) &amp; IF(ISERROR(FIND($H$2,Lines!AH47))=TRUE,"",IF('500DC'!AH47="","ERR","")) &amp; IF(ISERROR(FIND($I$2,Lines!AH47))=TRUE,"",IF('800DC'!AH47="","ERR","")) &amp; IF(ISERROR(FIND($J$2,Lines!AH47))=TRUE,"",IF('1000'!AH47="","ERR",""))</f>
        <v/>
      </c>
      <c r="AI47" s="108" t="str">
        <f>IF(ISERROR(FIND($B$2,Lines!AI47))=TRUE,"",IF('750'!AI47="","ERR","")) &amp; IF(ISERROR(FIND($C$2,Lines!AI47))=TRUE,"",IF('500'!AI47="","ERR","")) &amp; IF(ISERROR(FIND($D$2,Lines!AI47))=TRUE,"",IF('330'!AI47="","ERR","")) &amp; IF(ISERROR(FIND($E$2,Lines!AI47))=TRUE,"",IF('220'!AI47="","ERR",""))&amp; IF(ISERROR(FIND($F$2,Lines!AI47))=TRUE,"",IF(AND('500DC'!AI47="",'800DC'!AI47=""),"ERR","")) &amp; IF(ISERROR(FIND($G$2,Lines!AI47))=TRUE,"",IF('1000'!AI47="","ERR","")) &amp; IF(ISERROR(FIND($H$2,Lines!AI47))=TRUE,"",IF('500DC'!AI47="","ERR","")) &amp; IF(ISERROR(FIND($I$2,Lines!AI47))=TRUE,"",IF('800DC'!AI47="","ERR","")) &amp; IF(ISERROR(FIND($J$2,Lines!AI47))=TRUE,"",IF('1000'!AI47="","ERR",""))</f>
        <v/>
      </c>
      <c r="AJ47" s="108" t="str">
        <f>IF(ISERROR(FIND($B$2,Lines!AJ47))=TRUE,"",IF('750'!AJ47="","ERR","")) &amp; IF(ISERROR(FIND($C$2,Lines!AJ47))=TRUE,"",IF('500'!AJ47="","ERR","")) &amp; IF(ISERROR(FIND($D$2,Lines!AJ47))=TRUE,"",IF('330'!AJ47="","ERR","")) &amp; IF(ISERROR(FIND($E$2,Lines!AJ47))=TRUE,"",IF('220'!AJ47="","ERR",""))&amp; IF(ISERROR(FIND($F$2,Lines!AJ47))=TRUE,"",IF(AND('500DC'!AJ47="",'800DC'!AJ47=""),"ERR","")) &amp; IF(ISERROR(FIND($G$2,Lines!AJ47))=TRUE,"",IF('1000'!AJ47="","ERR","")) &amp; IF(ISERROR(FIND($H$2,Lines!AJ47))=TRUE,"",IF('500DC'!AJ47="","ERR","")) &amp; IF(ISERROR(FIND($I$2,Lines!AJ47))=TRUE,"",IF('800DC'!AJ47="","ERR","")) &amp; IF(ISERROR(FIND($J$2,Lines!AJ47))=TRUE,"",IF('1000'!AJ47="","ERR",""))</f>
        <v/>
      </c>
      <c r="AK47" s="108" t="str">
        <f>IF(ISERROR(FIND($B$2,Lines!AK47))=TRUE,"",IF('750'!AK47="","ERR","")) &amp; IF(ISERROR(FIND($C$2,Lines!AK47))=TRUE,"",IF('500'!AK47="","ERR","")) &amp; IF(ISERROR(FIND($D$2,Lines!AK47))=TRUE,"",IF('330'!AK47="","ERR","")) &amp; IF(ISERROR(FIND($E$2,Lines!AK47))=TRUE,"",IF('220'!AK47="","ERR",""))&amp; IF(ISERROR(FIND($F$2,Lines!AK47))=TRUE,"",IF(AND('500DC'!AK47="",'800DC'!AK47=""),"ERR","")) &amp; IF(ISERROR(FIND($G$2,Lines!AK47))=TRUE,"",IF('1000'!AK47="","ERR","")) &amp; IF(ISERROR(FIND($H$2,Lines!AK47))=TRUE,"",IF('500DC'!AK47="","ERR","")) &amp; IF(ISERROR(FIND($I$2,Lines!AK47))=TRUE,"",IF('800DC'!AK47="","ERR","")) &amp; IF(ISERROR(FIND($J$2,Lines!AK47))=TRUE,"",IF('1000'!AK47="","ERR",""))</f>
        <v/>
      </c>
      <c r="AL47" s="108" t="str">
        <f>IF(ISERROR(FIND($B$2,Lines!AL47))=TRUE,"",IF('750'!AL47="","ERR","")) &amp; IF(ISERROR(FIND($C$2,Lines!AL47))=TRUE,"",IF('500'!AL47="","ERR","")) &amp; IF(ISERROR(FIND($D$2,Lines!AL47))=TRUE,"",IF('330'!AL47="","ERR","")) &amp; IF(ISERROR(FIND($E$2,Lines!AL47))=TRUE,"",IF('220'!AL47="","ERR",""))&amp; IF(ISERROR(FIND($F$2,Lines!AL47))=TRUE,"",IF(AND('500DC'!AL47="",'800DC'!AL47=""),"ERR","")) &amp; IF(ISERROR(FIND($G$2,Lines!AL47))=TRUE,"",IF('1000'!AL47="","ERR","")) &amp; IF(ISERROR(FIND($H$2,Lines!AL47))=TRUE,"",IF('500DC'!AL47="","ERR","")) &amp; IF(ISERROR(FIND($I$2,Lines!AL47))=TRUE,"",IF('800DC'!AL47="","ERR","")) &amp; IF(ISERROR(FIND($J$2,Lines!AL47))=TRUE,"",IF('1000'!AL47="","ERR",""))</f>
        <v/>
      </c>
      <c r="AM47" s="108" t="str">
        <f>IF(ISERROR(FIND($B$2,Lines!AM47))=TRUE,"",IF('750'!AM47="","ERR","")) &amp; IF(ISERROR(FIND($C$2,Lines!AM47))=TRUE,"",IF('500'!AM47="","ERR","")) &amp; IF(ISERROR(FIND($D$2,Lines!AM47))=TRUE,"",IF('330'!AM47="","ERR","")) &amp; IF(ISERROR(FIND($E$2,Lines!AM47))=TRUE,"",IF('220'!AM47="","ERR",""))&amp; IF(ISERROR(FIND($F$2,Lines!AM47))=TRUE,"",IF(AND('500DC'!AM47="",'800DC'!AM47=""),"ERR","")) &amp; IF(ISERROR(FIND($G$2,Lines!AM47))=TRUE,"",IF('1000'!AM47="","ERR","")) &amp; IF(ISERROR(FIND($H$2,Lines!AM47))=TRUE,"",IF('500DC'!AM47="","ERR","")) &amp; IF(ISERROR(FIND($I$2,Lines!AM47))=TRUE,"",IF('800DC'!AM47="","ERR","")) &amp; IF(ISERROR(FIND($J$2,Lines!AM47))=TRUE,"",IF('1000'!AM47="","ERR",""))</f>
        <v/>
      </c>
      <c r="AN47" s="108" t="str">
        <f>IF(ISERROR(FIND($B$2,Lines!AN47))=TRUE,"",IF('750'!AN47="","ERR","")) &amp; IF(ISERROR(FIND($C$2,Lines!AN47))=TRUE,"",IF('500'!AN47="","ERR","")) &amp; IF(ISERROR(FIND($D$2,Lines!AN47))=TRUE,"",IF('330'!AN47="","ERR","")) &amp; IF(ISERROR(FIND($E$2,Lines!AN47))=TRUE,"",IF('220'!AN47="","ERR",""))&amp; IF(ISERROR(FIND($F$2,Lines!AN47))=TRUE,"",IF(AND('500DC'!AN47="",'800DC'!AN47=""),"ERR","")) &amp; IF(ISERROR(FIND($G$2,Lines!AN47))=TRUE,"",IF('1000'!AN47="","ERR","")) &amp; IF(ISERROR(FIND($H$2,Lines!AN47))=TRUE,"",IF('500DC'!AN47="","ERR","")) &amp; IF(ISERROR(FIND($I$2,Lines!AN47))=TRUE,"",IF('800DC'!AN47="","ERR","")) &amp; IF(ISERROR(FIND($J$2,Lines!AN47))=TRUE,"",IF('1000'!AN47="","ERR",""))</f>
        <v/>
      </c>
      <c r="AO47" s="108" t="str">
        <f>IF(ISERROR(FIND($B$2,Lines!AO47))=TRUE,"",IF('750'!AO47="","ERR","")) &amp; IF(ISERROR(FIND($C$2,Lines!AO47))=TRUE,"",IF('500'!AO47="","ERR","")) &amp; IF(ISERROR(FIND($D$2,Lines!AO47))=TRUE,"",IF('330'!AO47="","ERR","")) &amp; IF(ISERROR(FIND($E$2,Lines!AO47))=TRUE,"",IF('220'!AO47="","ERR",""))&amp; IF(ISERROR(FIND($F$2,Lines!AO47))=TRUE,"",IF(AND('500DC'!AO47="",'800DC'!AO47=""),"ERR","")) &amp; IF(ISERROR(FIND($G$2,Lines!AO47))=TRUE,"",IF('1000'!AO47="","ERR","")) &amp; IF(ISERROR(FIND($H$2,Lines!AO47))=TRUE,"",IF('500DC'!AO47="","ERR","")) &amp; IF(ISERROR(FIND($I$2,Lines!AO47))=TRUE,"",IF('800DC'!AO47="","ERR","")) &amp; IF(ISERROR(FIND($J$2,Lines!AO47))=TRUE,"",IF('1000'!AO47="","ERR",""))</f>
        <v/>
      </c>
      <c r="AP47" s="143" t="str">
        <f>IF(ISERROR(FIND($B$2,Lines!AP47))=TRUE,"",IF('750'!AP47="","ERR","")) &amp; IF(ISERROR(FIND($C$2,Lines!AP47))=TRUE,"",IF('500'!AP47="","ERR","")) &amp; IF(ISERROR(FIND($D$2,Lines!AP47))=TRUE,"",IF('330'!AP47="","ERR","")) &amp; IF(ISERROR(FIND($E$2,Lines!AP47))=TRUE,"",IF('220'!AP47="","ERR",""))&amp; IF(ISERROR(FIND($F$2,Lines!AP47))=TRUE,"",IF(AND('500DC'!AP47="",'800DC'!AP47=""),"ERR","")) &amp; IF(ISERROR(FIND($G$2,Lines!AP47))=TRUE,"",IF('1000'!AP47="","ERR","")) &amp; IF(ISERROR(FIND($H$2,Lines!AP47))=TRUE,"",IF('500DC'!AP47="","ERR","")) &amp; IF(ISERROR(FIND($I$2,Lines!AP47))=TRUE,"",IF('800DC'!AP47="","ERR","")) &amp; IF(ISERROR(FIND($J$2,Lines!AP47))=TRUE,"",IF('1000'!AP47="","ERR",""))</f>
        <v/>
      </c>
      <c r="AQ47" s="144" t="str">
        <f>IF(ISERROR(FIND($B$2,Lines!AQ47))=TRUE,"",IF('750'!AQ47="","ERR","")) &amp; IF(ISERROR(FIND($C$2,Lines!AQ47))=TRUE,"",IF('500'!AQ47="","ERR","")) &amp; IF(ISERROR(FIND($D$2,Lines!AQ47))=TRUE,"",IF('330'!AQ47="","ERR","")) &amp; IF(ISERROR(FIND($E$2,Lines!AQ47))=TRUE,"",IF('220'!AQ47="","ERR",""))&amp; IF(ISERROR(FIND($F$2,Lines!AQ47))=TRUE,"",IF(AND('500DC'!AQ47="",'800DC'!AQ47=""),"ERR","")) &amp; IF(ISERROR(FIND($G$2,Lines!AQ47))=TRUE,"",IF('1000'!AQ47="","ERR","")) &amp; IF(ISERROR(FIND($H$2,Lines!AQ47))=TRUE,"",IF('500DC'!AQ47="","ERR","")) &amp; IF(ISERROR(FIND($I$2,Lines!AQ47))=TRUE,"",IF('800DC'!AQ47="","ERR","")) &amp; IF(ISERROR(FIND($J$2,Lines!AQ47))=TRUE,"",IF('1000'!AQ47="","ERR",""))</f>
        <v/>
      </c>
      <c r="AR47" s="144" t="str">
        <f>IF(ISERROR(FIND($B$2,Lines!AR47))=TRUE,"",IF('750'!AR47="","ERR","")) &amp; IF(ISERROR(FIND($C$2,Lines!AR47))=TRUE,"",IF('500'!AR47="","ERR","")) &amp; IF(ISERROR(FIND($D$2,Lines!AR47))=TRUE,"",IF('330'!AR47="","ERR","")) &amp; IF(ISERROR(FIND($E$2,Lines!AR47))=TRUE,"",IF('220'!AR47="","ERR",""))&amp; IF(ISERROR(FIND($F$2,Lines!AR47))=TRUE,"",IF(AND('500DC'!AR47="",'800DC'!AR47=""),"ERR","")) &amp; IF(ISERROR(FIND($G$2,Lines!AR47))=TRUE,"",IF('1000'!AR47="","ERR","")) &amp; IF(ISERROR(FIND($H$2,Lines!AR47))=TRUE,"",IF('500DC'!AR47="","ERR","")) &amp; IF(ISERROR(FIND($I$2,Lines!AR47))=TRUE,"",IF('800DC'!AR47="","ERR","")) &amp; IF(ISERROR(FIND($J$2,Lines!AR47))=TRUE,"",IF('1000'!AR47="","ERR",""))</f>
        <v/>
      </c>
      <c r="AS47" s="116" t="str">
        <f>IF(ISERROR(FIND($B$2,Lines!AS47))=TRUE,"",IF('750'!AS47="","ERR","")) &amp; IF(ISERROR(FIND($C$2,Lines!AS47))=TRUE,"",IF('500'!AS47="","ERR","")) &amp; IF(ISERROR(FIND($D$2,Lines!AS47))=TRUE,"",IF('330'!AS47="","ERR","")) &amp; IF(ISERROR(FIND($E$2,Lines!AS47))=TRUE,"",IF('220'!AS47="","ERR",""))&amp; IF(ISERROR(FIND($F$2,Lines!AS47))=TRUE,"",IF(AND('500DC'!AS47="",'800DC'!AS47=""),"ERR","")) &amp; IF(ISERROR(FIND($G$2,Lines!AS47))=TRUE,"",IF('1000'!AS47="","ERR","")) &amp; IF(ISERROR(FIND($H$2,Lines!AS47))=TRUE,"",IF('500DC'!AS47="","ERR","")) &amp; IF(ISERROR(FIND($I$2,Lines!AS47))=TRUE,"",IF('800DC'!AS47="","ERR","")) &amp; IF(ISERROR(FIND($J$2,Lines!AS47))=TRUE,"",IF('1000'!AS47="","ERR",""))</f>
        <v/>
      </c>
      <c r="AT47" s="144" t="str">
        <f>IF(ISERROR(FIND($B$2,Lines!AT47))=TRUE,"",IF('750'!AT47="","ERR","")) &amp; IF(ISERROR(FIND($C$2,Lines!AT47))=TRUE,"",IF('500'!AT47="","ERR","")) &amp; IF(ISERROR(FIND($D$2,Lines!AT47))=TRUE,"",IF('330'!AT47="","ERR","")) &amp; IF(ISERROR(FIND($E$2,Lines!AT47))=TRUE,"",IF('220'!AT47="","ERR",""))&amp; IF(ISERROR(FIND($F$2,Lines!AT47))=TRUE,"",IF(AND('500DC'!AT47="",'800DC'!AT47=""),"ERR","")) &amp; IF(ISERROR(FIND($G$2,Lines!AT47))=TRUE,"",IF('1000'!AT47="","ERR","")) &amp; IF(ISERROR(FIND($H$2,Lines!AT47))=TRUE,"",IF('500DC'!AT47="","ERR","")) &amp; IF(ISERROR(FIND($I$2,Lines!AT47))=TRUE,"",IF('800DC'!AT47="","ERR","")) &amp; IF(ISERROR(FIND($J$2,Lines!AT47))=TRUE,"",IF('1000'!AT47="","ERR",""))</f>
        <v/>
      </c>
    </row>
    <row r="48" spans="1:46" ht="20.25" customHeight="1">
      <c r="A48" s="2" t="s">
        <v>96</v>
      </c>
      <c r="B48" s="108" t="str">
        <f>IF(ISERROR(FIND($B$2,Lines!B48))=TRUE,"",IF('750'!B48="","ERR","")) &amp; IF(ISERROR(FIND($C$2,Lines!B48))=TRUE,"",IF('500'!B48="","ERR","")) &amp; IF(ISERROR(FIND($D$2,Lines!B48))=TRUE,"",IF('330'!B48="","ERR","")) &amp; IF(ISERROR(FIND($E$2,Lines!B48))=TRUE,"",IF('220'!B48="","ERR",""))&amp; IF(ISERROR(FIND($F$2,Lines!B48))=TRUE,"",IF(AND('500DC'!B48="",'800DC'!B48=""),"ERR","")) &amp; IF(ISERROR(FIND($G$2,Lines!B48))=TRUE,"",IF('1000'!B48="","ERR","")) &amp; IF(ISERROR(FIND($H$2,Lines!B48))=TRUE,"",IF('500DC'!B48="","ERR","")) &amp; IF(ISERROR(FIND($I$2,Lines!B48))=TRUE,"",IF('800DC'!B48="","ERR","")) &amp; IF(ISERROR(FIND($J$2,Lines!B48))=TRUE,"",IF('1000'!B48="","ERR",""))</f>
        <v/>
      </c>
      <c r="C48" s="108" t="str">
        <f>IF(ISERROR(FIND($B$2,Lines!C48))=TRUE,"",IF('750'!C48="","ERR","")) &amp; IF(ISERROR(FIND($C$2,Lines!C48))=TRUE,"",IF('500'!C48="","ERR","")) &amp; IF(ISERROR(FIND($D$2,Lines!C48))=TRUE,"",IF('330'!C48="","ERR","")) &amp; IF(ISERROR(FIND($E$2,Lines!C48))=TRUE,"",IF('220'!C48="","ERR",""))&amp; IF(ISERROR(FIND($F$2,Lines!C48))=TRUE,"",IF(AND('500DC'!C48="",'800DC'!C48=""),"ERR","")) &amp; IF(ISERROR(FIND($G$2,Lines!C48))=TRUE,"",IF('1000'!C48="","ERR","")) &amp; IF(ISERROR(FIND($H$2,Lines!C48))=TRUE,"",IF('500DC'!C48="","ERR","")) &amp; IF(ISERROR(FIND($I$2,Lines!C48))=TRUE,"",IF('800DC'!C48="","ERR","")) &amp; IF(ISERROR(FIND($J$2,Lines!C48))=TRUE,"",IF('1000'!C48="","ERR",""))</f>
        <v/>
      </c>
      <c r="D48" s="108" t="str">
        <f>IF(ISERROR(FIND($B$2,Lines!D48))=TRUE,"",IF('750'!D48="","ERR","")) &amp; IF(ISERROR(FIND($C$2,Lines!D48))=TRUE,"",IF('500'!D48="","ERR","")) &amp; IF(ISERROR(FIND($D$2,Lines!D48))=TRUE,"",IF('330'!D48="","ERR","")) &amp; IF(ISERROR(FIND($E$2,Lines!D48))=TRUE,"",IF('220'!D48="","ERR",""))&amp; IF(ISERROR(FIND($F$2,Lines!D48))=TRUE,"",IF(AND('500DC'!D48="",'800DC'!D48=""),"ERR","")) &amp; IF(ISERROR(FIND($G$2,Lines!D48))=TRUE,"",IF('1000'!D48="","ERR","")) &amp; IF(ISERROR(FIND($H$2,Lines!D48))=TRUE,"",IF('500DC'!D48="","ERR","")) &amp; IF(ISERROR(FIND($I$2,Lines!D48))=TRUE,"",IF('800DC'!D48="","ERR","")) &amp; IF(ISERROR(FIND($J$2,Lines!D48))=TRUE,"",IF('1000'!D48="","ERR",""))</f>
        <v/>
      </c>
      <c r="E48" s="108" t="str">
        <f>IF(ISERROR(FIND($B$2,Lines!E48))=TRUE,"",IF('750'!E48="","ERR","")) &amp; IF(ISERROR(FIND($C$2,Lines!E48))=TRUE,"",IF('500'!E48="","ERR","")) &amp; IF(ISERROR(FIND($D$2,Lines!E48))=TRUE,"",IF('330'!E48="","ERR","")) &amp; IF(ISERROR(FIND($E$2,Lines!E48))=TRUE,"",IF('220'!E48="","ERR",""))&amp; IF(ISERROR(FIND($F$2,Lines!E48))=TRUE,"",IF(AND('500DC'!E48="",'800DC'!E48=""),"ERR","")) &amp; IF(ISERROR(FIND($G$2,Lines!E48))=TRUE,"",IF('1000'!E48="","ERR","")) &amp; IF(ISERROR(FIND($H$2,Lines!E48))=TRUE,"",IF('500DC'!E48="","ERR","")) &amp; IF(ISERROR(FIND($I$2,Lines!E48))=TRUE,"",IF('800DC'!E48="","ERR","")) &amp; IF(ISERROR(FIND($J$2,Lines!E48))=TRUE,"",IF('1000'!E48="","ERR",""))</f>
        <v/>
      </c>
      <c r="F48" s="108" t="str">
        <f>IF(ISERROR(FIND($B$2,Lines!F48))=TRUE,"",IF('750'!F48="","ERR","")) &amp; IF(ISERROR(FIND($C$2,Lines!F48))=TRUE,"",IF('500'!F48="","ERR","")) &amp; IF(ISERROR(FIND($D$2,Lines!F48))=TRUE,"",IF('330'!F48="","ERR","")) &amp; IF(ISERROR(FIND($E$2,Lines!F48))=TRUE,"",IF('220'!F48="","ERR",""))&amp; IF(ISERROR(FIND($F$2,Lines!F48))=TRUE,"",IF(AND('500DC'!F48="",'800DC'!F48=""),"ERR","")) &amp; IF(ISERROR(FIND($G$2,Lines!F48))=TRUE,"",IF('1000'!F48="","ERR","")) &amp; IF(ISERROR(FIND($H$2,Lines!F48))=TRUE,"",IF('500DC'!F48="","ERR","")) &amp; IF(ISERROR(FIND($I$2,Lines!F48))=TRUE,"",IF('800DC'!F48="","ERR","")) &amp; IF(ISERROR(FIND($J$2,Lines!F48))=TRUE,"",IF('1000'!F48="","ERR",""))</f>
        <v/>
      </c>
      <c r="G48" s="108" t="str">
        <f>IF(ISERROR(FIND($B$2,Lines!G48))=TRUE,"",IF('750'!G48="","ERR","")) &amp; IF(ISERROR(FIND($C$2,Lines!G48))=TRUE,"",IF('500'!G48="","ERR","")) &amp; IF(ISERROR(FIND($D$2,Lines!G48))=TRUE,"",IF('330'!G48="","ERR","")) &amp; IF(ISERROR(FIND($E$2,Lines!G48))=TRUE,"",IF('220'!G48="","ERR",""))&amp; IF(ISERROR(FIND($F$2,Lines!G48))=TRUE,"",IF(AND('500DC'!G48="",'800DC'!G48=""),"ERR","")) &amp; IF(ISERROR(FIND($G$2,Lines!G48))=TRUE,"",IF('1000'!G48="","ERR","")) &amp; IF(ISERROR(FIND($H$2,Lines!G48))=TRUE,"",IF('500DC'!G48="","ERR","")) &amp; IF(ISERROR(FIND($I$2,Lines!G48))=TRUE,"",IF('800DC'!G48="","ERR","")) &amp; IF(ISERROR(FIND($J$2,Lines!G48))=TRUE,"",IF('1000'!G48="","ERR",""))</f>
        <v/>
      </c>
      <c r="H48" s="108" t="str">
        <f>IF(ISERROR(FIND($B$2,Lines!H48))=TRUE,"",IF('750'!H48="","ERR","")) &amp; IF(ISERROR(FIND($C$2,Lines!H48))=TRUE,"",IF('500'!H48="","ERR","")) &amp; IF(ISERROR(FIND($D$2,Lines!H48))=TRUE,"",IF('330'!H48="","ERR","")) &amp; IF(ISERROR(FIND($E$2,Lines!H48))=TRUE,"",IF('220'!H48="","ERR",""))&amp; IF(ISERROR(FIND($F$2,Lines!H48))=TRUE,"",IF(AND('500DC'!H48="",'800DC'!H48=""),"ERR","")) &amp; IF(ISERROR(FIND($G$2,Lines!H48))=TRUE,"",IF('1000'!H48="","ERR","")) &amp; IF(ISERROR(FIND($H$2,Lines!H48))=TRUE,"",IF('500DC'!H48="","ERR","")) &amp; IF(ISERROR(FIND($I$2,Lines!H48))=TRUE,"",IF('800DC'!H48="","ERR","")) &amp; IF(ISERROR(FIND($J$2,Lines!H48))=TRUE,"",IF('1000'!H48="","ERR",""))</f>
        <v/>
      </c>
      <c r="I48" s="108" t="str">
        <f>IF(ISERROR(FIND($B$2,Lines!I48))=TRUE,"",IF('750'!I48="","ERR","")) &amp; IF(ISERROR(FIND($C$2,Lines!I48))=TRUE,"",IF('500'!I48="","ERR","")) &amp; IF(ISERROR(FIND($D$2,Lines!I48))=TRUE,"",IF('330'!I48="","ERR","")) &amp; IF(ISERROR(FIND($E$2,Lines!I48))=TRUE,"",IF('220'!I48="","ERR",""))&amp; IF(ISERROR(FIND($F$2,Lines!I48))=TRUE,"",IF(AND('500DC'!I48="",'800DC'!I48=""),"ERR","")) &amp; IF(ISERROR(FIND($G$2,Lines!I48))=TRUE,"",IF('1000'!I48="","ERR","")) &amp; IF(ISERROR(FIND($H$2,Lines!I48))=TRUE,"",IF('500DC'!I48="","ERR","")) &amp; IF(ISERROR(FIND($I$2,Lines!I48))=TRUE,"",IF('800DC'!I48="","ERR","")) &amp; IF(ISERROR(FIND($J$2,Lines!I48))=TRUE,"",IF('1000'!I48="","ERR",""))</f>
        <v/>
      </c>
      <c r="J48" s="108" t="str">
        <f>IF(ISERROR(FIND($B$2,Lines!J48))=TRUE,"",IF('750'!J48="","ERR","")) &amp; IF(ISERROR(FIND($C$2,Lines!J48))=TRUE,"",IF('500'!J48="","ERR","")) &amp; IF(ISERROR(FIND($D$2,Lines!J48))=TRUE,"",IF('330'!J48="","ERR","")) &amp; IF(ISERROR(FIND($E$2,Lines!J48))=TRUE,"",IF('220'!J48="","ERR",""))&amp; IF(ISERROR(FIND($F$2,Lines!J48))=TRUE,"",IF(AND('500DC'!J48="",'800DC'!J48=""),"ERR","")) &amp; IF(ISERROR(FIND($G$2,Lines!J48))=TRUE,"",IF('1000'!J48="","ERR","")) &amp; IF(ISERROR(FIND($H$2,Lines!J48))=TRUE,"",IF('500DC'!J48="","ERR","")) &amp; IF(ISERROR(FIND($I$2,Lines!J48))=TRUE,"",IF('800DC'!J48="","ERR","")) &amp; IF(ISERROR(FIND($J$2,Lines!J48))=TRUE,"",IF('1000'!J48="","ERR",""))</f>
        <v/>
      </c>
      <c r="K48" s="108" t="str">
        <f>IF(ISERROR(FIND($B$2,Lines!K48))=TRUE,"",IF('750'!K48="","ERR","")) &amp; IF(ISERROR(FIND($C$2,Lines!K48))=TRUE,"",IF('500'!K48="","ERR","")) &amp; IF(ISERROR(FIND($D$2,Lines!K48))=TRUE,"",IF('330'!K48="","ERR","")) &amp; IF(ISERROR(FIND($E$2,Lines!K48))=TRUE,"",IF('220'!K48="","ERR",""))&amp; IF(ISERROR(FIND($F$2,Lines!K48))=TRUE,"",IF(AND('500DC'!K48="",'800DC'!K48=""),"ERR","")) &amp; IF(ISERROR(FIND($G$2,Lines!K48))=TRUE,"",IF('1000'!K48="","ERR","")) &amp; IF(ISERROR(FIND($H$2,Lines!K48))=TRUE,"",IF('500DC'!K48="","ERR","")) &amp; IF(ISERROR(FIND($I$2,Lines!K48))=TRUE,"",IF('800DC'!K48="","ERR","")) &amp; IF(ISERROR(FIND($J$2,Lines!K48))=TRUE,"",IF('1000'!K48="","ERR",""))</f>
        <v/>
      </c>
      <c r="L48" s="108" t="str">
        <f>IF(ISERROR(FIND($B$2,Lines!L48))=TRUE,"",IF('750'!L48="","ERR","")) &amp; IF(ISERROR(FIND($C$2,Lines!L48))=TRUE,"",IF('500'!L48="","ERR","")) &amp; IF(ISERROR(FIND($D$2,Lines!L48))=TRUE,"",IF('330'!L48="","ERR","")) &amp; IF(ISERROR(FIND($E$2,Lines!L48))=TRUE,"",IF('220'!L48="","ERR",""))&amp; IF(ISERROR(FIND($F$2,Lines!L48))=TRUE,"",IF(AND('500DC'!L48="",'800DC'!L48=""),"ERR","")) &amp; IF(ISERROR(FIND($G$2,Lines!L48))=TRUE,"",IF('1000'!L48="","ERR","")) &amp; IF(ISERROR(FIND($H$2,Lines!L48))=TRUE,"",IF('500DC'!L48="","ERR","")) &amp; IF(ISERROR(FIND($I$2,Lines!L48))=TRUE,"",IF('800DC'!L48="","ERR","")) &amp; IF(ISERROR(FIND($J$2,Lines!L48))=TRUE,"",IF('1000'!L48="","ERR",""))</f>
        <v/>
      </c>
      <c r="M48" s="108" t="str">
        <f>IF(ISERROR(FIND($B$2,Lines!M48))=TRUE,"",IF('750'!M48="","ERR","")) &amp; IF(ISERROR(FIND($C$2,Lines!M48))=TRUE,"",IF('500'!M48="","ERR","")) &amp; IF(ISERROR(FIND($D$2,Lines!M48))=TRUE,"",IF('330'!M48="","ERR","")) &amp; IF(ISERROR(FIND($E$2,Lines!M48))=TRUE,"",IF('220'!M48="","ERR",""))&amp; IF(ISERROR(FIND($F$2,Lines!M48))=TRUE,"",IF(AND('500DC'!M48="",'800DC'!M48=""),"ERR","")) &amp; IF(ISERROR(FIND($G$2,Lines!M48))=TRUE,"",IF('1000'!M48="","ERR","")) &amp; IF(ISERROR(FIND($H$2,Lines!M48))=TRUE,"",IF('500DC'!M48="","ERR","")) &amp; IF(ISERROR(FIND($I$2,Lines!M48))=TRUE,"",IF('800DC'!M48="","ERR","")) &amp; IF(ISERROR(FIND($J$2,Lines!M48))=TRUE,"",IF('1000'!M48="","ERR",""))</f>
        <v/>
      </c>
      <c r="N48" s="108" t="str">
        <f>IF(ISERROR(FIND($B$2,Lines!N48))=TRUE,"",IF('750'!N48="","ERR","")) &amp; IF(ISERROR(FIND($C$2,Lines!N48))=TRUE,"",IF('500'!N48="","ERR","")) &amp; IF(ISERROR(FIND($D$2,Lines!N48))=TRUE,"",IF('330'!N48="","ERR","")) &amp; IF(ISERROR(FIND($E$2,Lines!N48))=TRUE,"",IF('220'!N48="","ERR",""))&amp; IF(ISERROR(FIND($F$2,Lines!N48))=TRUE,"",IF(AND('500DC'!N48="",'800DC'!N48=""),"ERR","")) &amp; IF(ISERROR(FIND($G$2,Lines!N48))=TRUE,"",IF('1000'!N48="","ERR","")) &amp; IF(ISERROR(FIND($H$2,Lines!N48))=TRUE,"",IF('500DC'!N48="","ERR","")) &amp; IF(ISERROR(FIND($I$2,Lines!N48))=TRUE,"",IF('800DC'!N48="","ERR","")) &amp; IF(ISERROR(FIND($J$2,Lines!N48))=TRUE,"",IF('1000'!N48="","ERR",""))</f>
        <v/>
      </c>
      <c r="O48" s="108" t="str">
        <f>IF(ISERROR(FIND($B$2,Lines!O48))=TRUE,"",IF('750'!O48="","ERR","")) &amp; IF(ISERROR(FIND($C$2,Lines!O48))=TRUE,"",IF('500'!O48="","ERR","")) &amp; IF(ISERROR(FIND($D$2,Lines!O48))=TRUE,"",IF('330'!O48="","ERR","")) &amp; IF(ISERROR(FIND($E$2,Lines!O48))=TRUE,"",IF('220'!O48="","ERR",""))&amp; IF(ISERROR(FIND($F$2,Lines!O48))=TRUE,"",IF(AND('500DC'!O48="",'800DC'!O48=""),"ERR","")) &amp; IF(ISERROR(FIND($G$2,Lines!O48))=TRUE,"",IF('1000'!O48="","ERR","")) &amp; IF(ISERROR(FIND($H$2,Lines!O48))=TRUE,"",IF('500DC'!O48="","ERR","")) &amp; IF(ISERROR(FIND($I$2,Lines!O48))=TRUE,"",IF('800DC'!O48="","ERR","")) &amp; IF(ISERROR(FIND($J$2,Lines!O48))=TRUE,"",IF('1000'!O48="","ERR",""))</f>
        <v/>
      </c>
      <c r="P48" s="108" t="str">
        <f>IF(ISERROR(FIND($B$2,Lines!P48))=TRUE,"",IF('750'!P48="","ERR","")) &amp; IF(ISERROR(FIND($C$2,Lines!P48))=TRUE,"",IF('500'!P48="","ERR","")) &amp; IF(ISERROR(FIND($D$2,Lines!P48))=TRUE,"",IF('330'!P48="","ERR","")) &amp; IF(ISERROR(FIND($E$2,Lines!P48))=TRUE,"",IF('220'!P48="","ERR",""))&amp; IF(ISERROR(FIND($F$2,Lines!P48))=TRUE,"",IF(AND('500DC'!P48="",'800DC'!P48=""),"ERR","")) &amp; IF(ISERROR(FIND($G$2,Lines!P48))=TRUE,"",IF('1000'!P48="","ERR","")) &amp; IF(ISERROR(FIND($H$2,Lines!P48))=TRUE,"",IF('500DC'!P48="","ERR","")) &amp; IF(ISERROR(FIND($I$2,Lines!P48))=TRUE,"",IF('800DC'!P48="","ERR","")) &amp; IF(ISERROR(FIND($J$2,Lines!P48))=TRUE,"",IF('1000'!P48="","ERR",""))</f>
        <v/>
      </c>
      <c r="Q48" s="108" t="str">
        <f>IF(ISERROR(FIND($B$2,Lines!Q48))=TRUE,"",IF('750'!Q48="","ERR","")) &amp; IF(ISERROR(FIND($C$2,Lines!Q48))=TRUE,"",IF('500'!Q48="","ERR","")) &amp; IF(ISERROR(FIND($D$2,Lines!Q48))=TRUE,"",IF('330'!Q48="","ERR","")) &amp; IF(ISERROR(FIND($E$2,Lines!Q48))=TRUE,"",IF('220'!Q48="","ERR",""))&amp; IF(ISERROR(FIND($F$2,Lines!Q48))=TRUE,"",IF(AND('500DC'!Q48="",'800DC'!Q48=""),"ERR","")) &amp; IF(ISERROR(FIND($G$2,Lines!Q48))=TRUE,"",IF('1000'!Q48="","ERR","")) &amp; IF(ISERROR(FIND($H$2,Lines!Q48))=TRUE,"",IF('500DC'!Q48="","ERR","")) &amp; IF(ISERROR(FIND($I$2,Lines!Q48))=TRUE,"",IF('800DC'!Q48="","ERR","")) &amp; IF(ISERROR(FIND($J$2,Lines!Q48))=TRUE,"",IF('1000'!Q48="","ERR",""))</f>
        <v/>
      </c>
      <c r="R48" s="108" t="str">
        <f>IF(ISERROR(FIND($B$2,Lines!R48))=TRUE,"",IF('750'!R48="","ERR","")) &amp; IF(ISERROR(FIND($C$2,Lines!R48))=TRUE,"",IF('500'!R48="","ERR","")) &amp; IF(ISERROR(FIND($D$2,Lines!R48))=TRUE,"",IF('330'!R48="","ERR","")) &amp; IF(ISERROR(FIND($E$2,Lines!R48))=TRUE,"",IF('220'!R48="","ERR",""))&amp; IF(ISERROR(FIND($F$2,Lines!R48))=TRUE,"",IF(AND('500DC'!R48="",'800DC'!R48=""),"ERR","")) &amp; IF(ISERROR(FIND($G$2,Lines!R48))=TRUE,"",IF('1000'!R48="","ERR","")) &amp; IF(ISERROR(FIND($H$2,Lines!R48))=TRUE,"",IF('500DC'!R48="","ERR","")) &amp; IF(ISERROR(FIND($I$2,Lines!R48))=TRUE,"",IF('800DC'!R48="","ERR","")) &amp; IF(ISERROR(FIND($J$2,Lines!R48))=TRUE,"",IF('1000'!R48="","ERR",""))</f>
        <v/>
      </c>
      <c r="S48" s="108" t="str">
        <f>IF(ISERROR(FIND($B$2,Lines!S48))=TRUE,"",IF('750'!S48="","ERR","")) &amp; IF(ISERROR(FIND($C$2,Lines!S48))=TRUE,"",IF('500'!S48="","ERR","")) &amp; IF(ISERROR(FIND($D$2,Lines!S48))=TRUE,"",IF('330'!S48="","ERR","")) &amp; IF(ISERROR(FIND($E$2,Lines!S48))=TRUE,"",IF('220'!S48="","ERR",""))&amp; IF(ISERROR(FIND($F$2,Lines!S48))=TRUE,"",IF(AND('500DC'!S48="",'800DC'!S48=""),"ERR","")) &amp; IF(ISERROR(FIND($G$2,Lines!S48))=TRUE,"",IF('1000'!S48="","ERR","")) &amp; IF(ISERROR(FIND($H$2,Lines!S48))=TRUE,"",IF('500DC'!S48="","ERR","")) &amp; IF(ISERROR(FIND($I$2,Lines!S48))=TRUE,"",IF('800DC'!S48="","ERR","")) &amp; IF(ISERROR(FIND($J$2,Lines!S48))=TRUE,"",IF('1000'!S48="","ERR",""))</f>
        <v/>
      </c>
      <c r="T48" s="108" t="str">
        <f>IF(ISERROR(FIND($B$2,Lines!T48))=TRUE,"",IF('750'!T48="","ERR","")) &amp; IF(ISERROR(FIND($C$2,Lines!T48))=TRUE,"",IF('500'!T48="","ERR","")) &amp; IF(ISERROR(FIND($D$2,Lines!T48))=TRUE,"",IF('330'!T48="","ERR","")) &amp; IF(ISERROR(FIND($E$2,Lines!T48))=TRUE,"",IF('220'!T48="","ERR",""))&amp; IF(ISERROR(FIND($F$2,Lines!T48))=TRUE,"",IF(AND('500DC'!T48="",'800DC'!T48=""),"ERR","")) &amp; IF(ISERROR(FIND($G$2,Lines!T48))=TRUE,"",IF('1000'!T48="","ERR","")) &amp; IF(ISERROR(FIND($H$2,Lines!T48))=TRUE,"",IF('500DC'!T48="","ERR","")) &amp; IF(ISERROR(FIND($I$2,Lines!T48))=TRUE,"",IF('800DC'!T48="","ERR","")) &amp; IF(ISERROR(FIND($J$2,Lines!T48))=TRUE,"",IF('1000'!T48="","ERR",""))</f>
        <v/>
      </c>
      <c r="U48" s="108" t="str">
        <f>IF(ISERROR(FIND($B$2,Lines!U48))=TRUE,"",IF('750'!U48="","ERR","")) &amp; IF(ISERROR(FIND($C$2,Lines!U48))=TRUE,"",IF('500'!U48="","ERR","")) &amp; IF(ISERROR(FIND($D$2,Lines!U48))=TRUE,"",IF('330'!U48="","ERR","")) &amp; IF(ISERROR(FIND($E$2,Lines!U48))=TRUE,"",IF('220'!U48="","ERR",""))&amp; IF(ISERROR(FIND($F$2,Lines!U48))=TRUE,"",IF(AND('500DC'!U48="",'800DC'!U48=""),"ERR","")) &amp; IF(ISERROR(FIND($G$2,Lines!U48))=TRUE,"",IF('1000'!U48="","ERR","")) &amp; IF(ISERROR(FIND($H$2,Lines!U48))=TRUE,"",IF('500DC'!U48="","ERR","")) &amp; IF(ISERROR(FIND($I$2,Lines!U48))=TRUE,"",IF('800DC'!U48="","ERR","")) &amp; IF(ISERROR(FIND($J$2,Lines!U48))=TRUE,"",IF('1000'!U48="","ERR",""))</f>
        <v/>
      </c>
      <c r="V48" s="108" t="str">
        <f>IF(ISERROR(FIND($B$2,Lines!V48))=TRUE,"",IF('750'!V48="","ERR","")) &amp; IF(ISERROR(FIND($C$2,Lines!V48))=TRUE,"",IF('500'!V48="","ERR","")) &amp; IF(ISERROR(FIND($D$2,Lines!V48))=TRUE,"",IF('330'!V48="","ERR","")) &amp; IF(ISERROR(FIND($E$2,Lines!V48))=TRUE,"",IF('220'!V48="","ERR",""))&amp; IF(ISERROR(FIND($F$2,Lines!V48))=TRUE,"",IF(AND('500DC'!V48="",'800DC'!V48=""),"ERR","")) &amp; IF(ISERROR(FIND($G$2,Lines!V48))=TRUE,"",IF('1000'!V48="","ERR","")) &amp; IF(ISERROR(FIND($H$2,Lines!V48))=TRUE,"",IF('500DC'!V48="","ERR","")) &amp; IF(ISERROR(FIND($I$2,Lines!V48))=TRUE,"",IF('800DC'!V48="","ERR","")) &amp; IF(ISERROR(FIND($J$2,Lines!V48))=TRUE,"",IF('1000'!V48="","ERR",""))</f>
        <v/>
      </c>
      <c r="W48" s="109" t="str">
        <f>IF(ISERROR(FIND($B$2,Lines!W48))=TRUE,"",IF('750'!W48="","ERR","")) &amp; IF(ISERROR(FIND($C$2,Lines!W48))=TRUE,"",IF('500'!W48="","ERR","")) &amp; IF(ISERROR(FIND($D$2,Lines!W48))=TRUE,"",IF('330'!W48="","ERR","")) &amp; IF(ISERROR(FIND($E$2,Lines!W48))=TRUE,"",IF('220'!W48="","ERR",""))&amp; IF(ISERROR(FIND($F$2,Lines!W48))=TRUE,"",IF(AND('500DC'!W48="",'800DC'!W48=""),"ERR","")) &amp; IF(ISERROR(FIND($G$2,Lines!W48))=TRUE,"",IF('1000'!W48="","ERR","")) &amp; IF(ISERROR(FIND($H$2,Lines!W48))=TRUE,"",IF('500DC'!W48="","ERR","")) &amp; IF(ISERROR(FIND($I$2,Lines!W48))=TRUE,"",IF('800DC'!W48="","ERR","")) &amp; IF(ISERROR(FIND($J$2,Lines!W48))=TRUE,"",IF('1000'!W48="","ERR",""))</f>
        <v/>
      </c>
      <c r="X48" s="108" t="str">
        <f>IF(ISERROR(FIND($B$2,Lines!X48))=TRUE,"",IF('750'!X48="","ERR","")) &amp; IF(ISERROR(FIND($C$2,Lines!X48))=TRUE,"",IF('500'!X48="","ERR","")) &amp; IF(ISERROR(FIND($D$2,Lines!X48))=TRUE,"",IF('330'!X48="","ERR","")) &amp; IF(ISERROR(FIND($E$2,Lines!X48))=TRUE,"",IF('220'!X48="","ERR",""))&amp; IF(ISERROR(FIND($F$2,Lines!X48))=TRUE,"",IF(AND('500DC'!X48="",'800DC'!X48=""),"ERR","")) &amp; IF(ISERROR(FIND($G$2,Lines!X48))=TRUE,"",IF('1000'!X48="","ERR","")) &amp; IF(ISERROR(FIND($H$2,Lines!X48))=TRUE,"",IF('500DC'!X48="","ERR","")) &amp; IF(ISERROR(FIND($I$2,Lines!X48))=TRUE,"",IF('800DC'!X48="","ERR","")) &amp; IF(ISERROR(FIND($J$2,Lines!X48))=TRUE,"",IF('1000'!X48="","ERR",""))</f>
        <v/>
      </c>
      <c r="Y48" s="108" t="str">
        <f>IF(ISERROR(FIND($B$2,Lines!Y48))=TRUE,"",IF('750'!Y48="","ERR","")) &amp; IF(ISERROR(FIND($C$2,Lines!Y48))=TRUE,"",IF('500'!Y48="","ERR","")) &amp; IF(ISERROR(FIND($D$2,Lines!Y48))=TRUE,"",IF('330'!Y48="","ERR","")) &amp; IF(ISERROR(FIND($E$2,Lines!Y48))=TRUE,"",IF('220'!Y48="","ERR",""))&amp; IF(ISERROR(FIND($F$2,Lines!Y48))=TRUE,"",IF(AND('500DC'!Y48="",'800DC'!Y48=""),"ERR","")) &amp; IF(ISERROR(FIND($G$2,Lines!Y48))=TRUE,"",IF('1000'!Y48="","ERR","")) &amp; IF(ISERROR(FIND($H$2,Lines!Y48))=TRUE,"",IF('500DC'!Y48="","ERR","")) &amp; IF(ISERROR(FIND($I$2,Lines!Y48))=TRUE,"",IF('800DC'!Y48="","ERR","")) &amp; IF(ISERROR(FIND($J$2,Lines!Y48))=TRUE,"",IF('1000'!Y48="","ERR",""))</f>
        <v/>
      </c>
      <c r="Z48" s="108" t="str">
        <f>IF(ISERROR(FIND($B$2,Lines!Z48))=TRUE,"",IF('750'!Z48="","ERR","")) &amp; IF(ISERROR(FIND($C$2,Lines!Z48))=TRUE,"",IF('500'!Z48="","ERR","")) &amp; IF(ISERROR(FIND($D$2,Lines!Z48))=TRUE,"",IF('330'!Z48="","ERR","")) &amp; IF(ISERROR(FIND($E$2,Lines!Z48))=TRUE,"",IF('220'!Z48="","ERR",""))&amp; IF(ISERROR(FIND($F$2,Lines!Z48))=TRUE,"",IF(AND('500DC'!Z48="",'800DC'!Z48=""),"ERR","")) &amp; IF(ISERROR(FIND($G$2,Lines!Z48))=TRUE,"",IF('1000'!Z48="","ERR","")) &amp; IF(ISERROR(FIND($H$2,Lines!Z48))=TRUE,"",IF('500DC'!Z48="","ERR","")) &amp; IF(ISERROR(FIND($I$2,Lines!Z48))=TRUE,"",IF('800DC'!Z48="","ERR","")) &amp; IF(ISERROR(FIND($J$2,Lines!Z48))=TRUE,"",IF('1000'!Z48="","ERR",""))</f>
        <v/>
      </c>
      <c r="AA48" s="108" t="str">
        <f>IF(ISERROR(FIND($B$2,Lines!AA48))=TRUE,"",IF('750'!AA48="","ERR","")) &amp; IF(ISERROR(FIND($C$2,Lines!AA48))=TRUE,"",IF('500'!AA48="","ERR","")) &amp; IF(ISERROR(FIND($D$2,Lines!AA48))=TRUE,"",IF('330'!AA48="","ERR","")) &amp; IF(ISERROR(FIND($E$2,Lines!AA48))=TRUE,"",IF('220'!AA48="","ERR",""))&amp; IF(ISERROR(FIND($F$2,Lines!AA48))=TRUE,"",IF(AND('500DC'!AA48="",'800DC'!AA48=""),"ERR","")) &amp; IF(ISERROR(FIND($G$2,Lines!AA48))=TRUE,"",IF('1000'!AA48="","ERR","")) &amp; IF(ISERROR(FIND($H$2,Lines!AA48))=TRUE,"",IF('500DC'!AA48="","ERR","")) &amp; IF(ISERROR(FIND($I$2,Lines!AA48))=TRUE,"",IF('800DC'!AA48="","ERR","")) &amp; IF(ISERROR(FIND($J$2,Lines!AA48))=TRUE,"",IF('1000'!AA48="","ERR",""))</f>
        <v/>
      </c>
      <c r="AB48" s="108" t="str">
        <f>IF(ISERROR(FIND($B$2,Lines!AB48))=TRUE,"",IF('750'!AB48="","ERR","")) &amp; IF(ISERROR(FIND($C$2,Lines!AB48))=TRUE,"",IF('500'!AB48="","ERR","")) &amp; IF(ISERROR(FIND($D$2,Lines!AB48))=TRUE,"",IF('330'!AB48="","ERR","")) &amp; IF(ISERROR(FIND($E$2,Lines!AB48))=TRUE,"",IF('220'!AB48="","ERR",""))&amp; IF(ISERROR(FIND($F$2,Lines!AB48))=TRUE,"",IF(AND('500DC'!AB48="",'800DC'!AB48=""),"ERR","")) &amp; IF(ISERROR(FIND($G$2,Lines!AB48))=TRUE,"",IF('1000'!AB48="","ERR","")) &amp; IF(ISERROR(FIND($H$2,Lines!AB48))=TRUE,"",IF('500DC'!AB48="","ERR","")) &amp; IF(ISERROR(FIND($I$2,Lines!AB48))=TRUE,"",IF('800DC'!AB48="","ERR","")) &amp; IF(ISERROR(FIND($J$2,Lines!AB48))=TRUE,"",IF('1000'!AB48="","ERR",""))</f>
        <v/>
      </c>
      <c r="AC48" s="108" t="str">
        <f>IF(ISERROR(FIND($B$2,Lines!AC48))=TRUE,"",IF('750'!AC48="","ERR","")) &amp; IF(ISERROR(FIND($C$2,Lines!AC48))=TRUE,"",IF('500'!AC48="","ERR","")) &amp; IF(ISERROR(FIND($D$2,Lines!AC48))=TRUE,"",IF('330'!AC48="","ERR","")) &amp; IF(ISERROR(FIND($E$2,Lines!AC48))=TRUE,"",IF('220'!AC48="","ERR",""))&amp; IF(ISERROR(FIND($F$2,Lines!AC48))=TRUE,"",IF(AND('500DC'!AC48="",'800DC'!AC48=""),"ERR","")) &amp; IF(ISERROR(FIND($G$2,Lines!AC48))=TRUE,"",IF('1000'!AC48="","ERR","")) &amp; IF(ISERROR(FIND($H$2,Lines!AC48))=TRUE,"",IF('500DC'!AC48="","ERR","")) &amp; IF(ISERROR(FIND($I$2,Lines!AC48))=TRUE,"",IF('800DC'!AC48="","ERR","")) &amp; IF(ISERROR(FIND($J$2,Lines!AC48))=TRUE,"",IF('1000'!AC48="","ERR",""))</f>
        <v/>
      </c>
      <c r="AD48" s="108" t="str">
        <f>IF(ISERROR(FIND($B$2,Lines!AD48))=TRUE,"",IF('750'!AD48="","ERR","")) &amp; IF(ISERROR(FIND($C$2,Lines!AD48))=TRUE,"",IF('500'!AD48="","ERR","")) &amp; IF(ISERROR(FIND($D$2,Lines!AD48))=TRUE,"",IF('330'!AD48="","ERR","")) &amp; IF(ISERROR(FIND($E$2,Lines!AD48))=TRUE,"",IF('220'!AD48="","ERR",""))&amp; IF(ISERROR(FIND($F$2,Lines!AD48))=TRUE,"",IF(AND('500DC'!AD48="",'800DC'!AD48=""),"ERR","")) &amp; IF(ISERROR(FIND($G$2,Lines!AD48))=TRUE,"",IF('1000'!AD48="","ERR","")) &amp; IF(ISERROR(FIND($H$2,Lines!AD48))=TRUE,"",IF('500DC'!AD48="","ERR","")) &amp; IF(ISERROR(FIND($I$2,Lines!AD48))=TRUE,"",IF('800DC'!AD48="","ERR","")) &amp; IF(ISERROR(FIND($J$2,Lines!AD48))=TRUE,"",IF('1000'!AD48="","ERR",""))</f>
        <v/>
      </c>
      <c r="AE48" s="108" t="str">
        <f>IF(ISERROR(FIND($B$2,Lines!AE48))=TRUE,"",IF('750'!AE48="","ERR","")) &amp; IF(ISERROR(FIND($C$2,Lines!AE48))=TRUE,"",IF('500'!AE48="","ERR","")) &amp; IF(ISERROR(FIND($D$2,Lines!AE48))=TRUE,"",IF('330'!AE48="","ERR","")) &amp; IF(ISERROR(FIND($E$2,Lines!AE48))=TRUE,"",IF('220'!AE48="","ERR",""))&amp; IF(ISERROR(FIND($F$2,Lines!AE48))=TRUE,"",IF(AND('500DC'!AE48="",'800DC'!AE48=""),"ERR","")) &amp; IF(ISERROR(FIND($G$2,Lines!AE48))=TRUE,"",IF('1000'!AE48="","ERR","")) &amp; IF(ISERROR(FIND($H$2,Lines!AE48))=TRUE,"",IF('500DC'!AE48="","ERR","")) &amp; IF(ISERROR(FIND($I$2,Lines!AE48))=TRUE,"",IF('800DC'!AE48="","ERR","")) &amp; IF(ISERROR(FIND($J$2,Lines!AE48))=TRUE,"",IF('1000'!AE48="","ERR",""))</f>
        <v/>
      </c>
      <c r="AF48" s="108" t="str">
        <f>IF(ISERROR(FIND($B$2,Lines!AF48))=TRUE,"",IF('750'!AF48="","ERR","")) &amp; IF(ISERROR(FIND($C$2,Lines!AF48))=TRUE,"",IF('500'!AF48="","ERR","")) &amp; IF(ISERROR(FIND($D$2,Lines!AF48))=TRUE,"",IF('330'!AF48="","ERR","")) &amp; IF(ISERROR(FIND($E$2,Lines!AF48))=TRUE,"",IF('220'!AF48="","ERR",""))&amp; IF(ISERROR(FIND($F$2,Lines!AF48))=TRUE,"",IF(AND('500DC'!AF48="",'800DC'!AF48=""),"ERR","")) &amp; IF(ISERROR(FIND($G$2,Lines!AF48))=TRUE,"",IF('1000'!AF48="","ERR","")) &amp; IF(ISERROR(FIND($H$2,Lines!AF48))=TRUE,"",IF('500DC'!AF48="","ERR","")) &amp; IF(ISERROR(FIND($I$2,Lines!AF48))=TRUE,"",IF('800DC'!AF48="","ERR","")) &amp; IF(ISERROR(FIND($J$2,Lines!AF48))=TRUE,"",IF('1000'!AF48="","ERR",""))</f>
        <v/>
      </c>
      <c r="AG48" s="108" t="str">
        <f>IF(ISERROR(FIND($B$2,Lines!AG48))=TRUE,"",IF('750'!AG48="","ERR","")) &amp; IF(ISERROR(FIND($C$2,Lines!AG48))=TRUE,"",IF('500'!AG48="","ERR","")) &amp; IF(ISERROR(FIND($D$2,Lines!AG48))=TRUE,"",IF('330'!AG48="","ERR","")) &amp; IF(ISERROR(FIND($E$2,Lines!AG48))=TRUE,"",IF('220'!AG48="","ERR",""))&amp; IF(ISERROR(FIND($F$2,Lines!AG48))=TRUE,"",IF(AND('500DC'!AG48="",'800DC'!AG48=""),"ERR","")) &amp; IF(ISERROR(FIND($G$2,Lines!AG48))=TRUE,"",IF('1000'!AG48="","ERR","")) &amp; IF(ISERROR(FIND($H$2,Lines!AG48))=TRUE,"",IF('500DC'!AG48="","ERR","")) &amp; IF(ISERROR(FIND($I$2,Lines!AG48))=TRUE,"",IF('800DC'!AG48="","ERR","")) &amp; IF(ISERROR(FIND($J$2,Lines!AG48))=TRUE,"",IF('1000'!AG48="","ERR",""))</f>
        <v/>
      </c>
      <c r="AH48" s="108" t="str">
        <f>IF(ISERROR(FIND($B$2,Lines!AH48))=TRUE,"",IF('750'!AH48="","ERR","")) &amp; IF(ISERROR(FIND($C$2,Lines!AH48))=TRUE,"",IF('500'!AH48="","ERR","")) &amp; IF(ISERROR(FIND($D$2,Lines!AH48))=TRUE,"",IF('330'!AH48="","ERR","")) &amp; IF(ISERROR(FIND($E$2,Lines!AH48))=TRUE,"",IF('220'!AH48="","ERR",""))&amp; IF(ISERROR(FIND($F$2,Lines!AH48))=TRUE,"",IF(AND('500DC'!AH48="",'800DC'!AH48=""),"ERR","")) &amp; IF(ISERROR(FIND($G$2,Lines!AH48))=TRUE,"",IF('1000'!AH48="","ERR","")) &amp; IF(ISERROR(FIND($H$2,Lines!AH48))=TRUE,"",IF('500DC'!AH48="","ERR","")) &amp; IF(ISERROR(FIND($I$2,Lines!AH48))=TRUE,"",IF('800DC'!AH48="","ERR","")) &amp; IF(ISERROR(FIND($J$2,Lines!AH48))=TRUE,"",IF('1000'!AH48="","ERR",""))</f>
        <v/>
      </c>
      <c r="AI48" s="108" t="str">
        <f>IF(ISERROR(FIND($B$2,Lines!AI48))=TRUE,"",IF('750'!AI48="","ERR","")) &amp; IF(ISERROR(FIND($C$2,Lines!AI48))=TRUE,"",IF('500'!AI48="","ERR","")) &amp; IF(ISERROR(FIND($D$2,Lines!AI48))=TRUE,"",IF('330'!AI48="","ERR","")) &amp; IF(ISERROR(FIND($E$2,Lines!AI48))=TRUE,"",IF('220'!AI48="","ERR",""))&amp; IF(ISERROR(FIND($F$2,Lines!AI48))=TRUE,"",IF(AND('500DC'!AI48="",'800DC'!AI48=""),"ERR","")) &amp; IF(ISERROR(FIND($G$2,Lines!AI48))=TRUE,"",IF('1000'!AI48="","ERR","")) &amp; IF(ISERROR(FIND($H$2,Lines!AI48))=TRUE,"",IF('500DC'!AI48="","ERR","")) &amp; IF(ISERROR(FIND($I$2,Lines!AI48))=TRUE,"",IF('800DC'!AI48="","ERR","")) &amp; IF(ISERROR(FIND($J$2,Lines!AI48))=TRUE,"",IF('1000'!AI48="","ERR",""))</f>
        <v/>
      </c>
      <c r="AJ48" s="108" t="str">
        <f>IF(ISERROR(FIND($B$2,Lines!AJ48))=TRUE,"",IF('750'!AJ48="","ERR","")) &amp; IF(ISERROR(FIND($C$2,Lines!AJ48))=TRUE,"",IF('500'!AJ48="","ERR","")) &amp; IF(ISERROR(FIND($D$2,Lines!AJ48))=TRUE,"",IF('330'!AJ48="","ERR","")) &amp; IF(ISERROR(FIND($E$2,Lines!AJ48))=TRUE,"",IF('220'!AJ48="","ERR",""))&amp; IF(ISERROR(FIND($F$2,Lines!AJ48))=TRUE,"",IF(AND('500DC'!AJ48="",'800DC'!AJ48=""),"ERR","")) &amp; IF(ISERROR(FIND($G$2,Lines!AJ48))=TRUE,"",IF('1000'!AJ48="","ERR","")) &amp; IF(ISERROR(FIND($H$2,Lines!AJ48))=TRUE,"",IF('500DC'!AJ48="","ERR","")) &amp; IF(ISERROR(FIND($I$2,Lines!AJ48))=TRUE,"",IF('800DC'!AJ48="","ERR","")) &amp; IF(ISERROR(FIND($J$2,Lines!AJ48))=TRUE,"",IF('1000'!AJ48="","ERR",""))</f>
        <v/>
      </c>
      <c r="AK48" s="108" t="str">
        <f>IF(ISERROR(FIND($B$2,Lines!AK48))=TRUE,"",IF('750'!AK48="","ERR","")) &amp; IF(ISERROR(FIND($C$2,Lines!AK48))=TRUE,"",IF('500'!AK48="","ERR","")) &amp; IF(ISERROR(FIND($D$2,Lines!AK48))=TRUE,"",IF('330'!AK48="","ERR","")) &amp; IF(ISERROR(FIND($E$2,Lines!AK48))=TRUE,"",IF('220'!AK48="","ERR",""))&amp; IF(ISERROR(FIND($F$2,Lines!AK48))=TRUE,"",IF(AND('500DC'!AK48="",'800DC'!AK48=""),"ERR","")) &amp; IF(ISERROR(FIND($G$2,Lines!AK48))=TRUE,"",IF('1000'!AK48="","ERR","")) &amp; IF(ISERROR(FIND($H$2,Lines!AK48))=TRUE,"",IF('500DC'!AK48="","ERR","")) &amp; IF(ISERROR(FIND($I$2,Lines!AK48))=TRUE,"",IF('800DC'!AK48="","ERR","")) &amp; IF(ISERROR(FIND($J$2,Lines!AK48))=TRUE,"",IF('1000'!AK48="","ERR",""))</f>
        <v/>
      </c>
      <c r="AL48" s="108" t="str">
        <f>IF(ISERROR(FIND($B$2,Lines!AL48))=TRUE,"",IF('750'!AL48="","ERR","")) &amp; IF(ISERROR(FIND($C$2,Lines!AL48))=TRUE,"",IF('500'!AL48="","ERR","")) &amp; IF(ISERROR(FIND($D$2,Lines!AL48))=TRUE,"",IF('330'!AL48="","ERR","")) &amp; IF(ISERROR(FIND($E$2,Lines!AL48))=TRUE,"",IF('220'!AL48="","ERR",""))&amp; IF(ISERROR(FIND($F$2,Lines!AL48))=TRUE,"",IF(AND('500DC'!AL48="",'800DC'!AL48=""),"ERR","")) &amp; IF(ISERROR(FIND($G$2,Lines!AL48))=TRUE,"",IF('1000'!AL48="","ERR","")) &amp; IF(ISERROR(FIND($H$2,Lines!AL48))=TRUE,"",IF('500DC'!AL48="","ERR","")) &amp; IF(ISERROR(FIND($I$2,Lines!AL48))=TRUE,"",IF('800DC'!AL48="","ERR","")) &amp; IF(ISERROR(FIND($J$2,Lines!AL48))=TRUE,"",IF('1000'!AL48="","ERR",""))</f>
        <v/>
      </c>
      <c r="AM48" s="108" t="str">
        <f>IF(ISERROR(FIND($B$2,Lines!AM48))=TRUE,"",IF('750'!AM48="","ERR","")) &amp; IF(ISERROR(FIND($C$2,Lines!AM48))=TRUE,"",IF('500'!AM48="","ERR","")) &amp; IF(ISERROR(FIND($D$2,Lines!AM48))=TRUE,"",IF('330'!AM48="","ERR","")) &amp; IF(ISERROR(FIND($E$2,Lines!AM48))=TRUE,"",IF('220'!AM48="","ERR",""))&amp; IF(ISERROR(FIND($F$2,Lines!AM48))=TRUE,"",IF(AND('500DC'!AM48="",'800DC'!AM48=""),"ERR","")) &amp; IF(ISERROR(FIND($G$2,Lines!AM48))=TRUE,"",IF('1000'!AM48="","ERR","")) &amp; IF(ISERROR(FIND($H$2,Lines!AM48))=TRUE,"",IF('500DC'!AM48="","ERR","")) &amp; IF(ISERROR(FIND($I$2,Lines!AM48))=TRUE,"",IF('800DC'!AM48="","ERR","")) &amp; IF(ISERROR(FIND($J$2,Lines!AM48))=TRUE,"",IF('1000'!AM48="","ERR",""))</f>
        <v/>
      </c>
      <c r="AN48" s="108" t="str">
        <f>IF(ISERROR(FIND($B$2,Lines!AN48))=TRUE,"",IF('750'!AN48="","ERR","")) &amp; IF(ISERROR(FIND($C$2,Lines!AN48))=TRUE,"",IF('500'!AN48="","ERR","")) &amp; IF(ISERROR(FIND($D$2,Lines!AN48))=TRUE,"",IF('330'!AN48="","ERR","")) &amp; IF(ISERROR(FIND($E$2,Lines!AN48))=TRUE,"",IF('220'!AN48="","ERR",""))&amp; IF(ISERROR(FIND($F$2,Lines!AN48))=TRUE,"",IF(AND('500DC'!AN48="",'800DC'!AN48=""),"ERR","")) &amp; IF(ISERROR(FIND($G$2,Lines!AN48))=TRUE,"",IF('1000'!AN48="","ERR","")) &amp; IF(ISERROR(FIND($H$2,Lines!AN48))=TRUE,"",IF('500DC'!AN48="","ERR","")) &amp; IF(ISERROR(FIND($I$2,Lines!AN48))=TRUE,"",IF('800DC'!AN48="","ERR","")) &amp; IF(ISERROR(FIND($J$2,Lines!AN48))=TRUE,"",IF('1000'!AN48="","ERR",""))</f>
        <v/>
      </c>
      <c r="AO48" s="108" t="str">
        <f>IF(ISERROR(FIND($B$2,Lines!AO48))=TRUE,"",IF('750'!AO48="","ERR","")) &amp; IF(ISERROR(FIND($C$2,Lines!AO48))=TRUE,"",IF('500'!AO48="","ERR","")) &amp; IF(ISERROR(FIND($D$2,Lines!AO48))=TRUE,"",IF('330'!AO48="","ERR","")) &amp; IF(ISERROR(FIND($E$2,Lines!AO48))=TRUE,"",IF('220'!AO48="","ERR",""))&amp; IF(ISERROR(FIND($F$2,Lines!AO48))=TRUE,"",IF(AND('500DC'!AO48="",'800DC'!AO48=""),"ERR","")) &amp; IF(ISERROR(FIND($G$2,Lines!AO48))=TRUE,"",IF('1000'!AO48="","ERR","")) &amp; IF(ISERROR(FIND($H$2,Lines!AO48))=TRUE,"",IF('500DC'!AO48="","ERR","")) &amp; IF(ISERROR(FIND($I$2,Lines!AO48))=TRUE,"",IF('800DC'!AO48="","ERR","")) &amp; IF(ISERROR(FIND($J$2,Lines!AO48))=TRUE,"",IF('1000'!AO48="","ERR",""))</f>
        <v/>
      </c>
      <c r="AP48" s="143" t="str">
        <f>IF(ISERROR(FIND($B$2,Lines!AP48))=TRUE,"",IF('750'!AP48="","ERR","")) &amp; IF(ISERROR(FIND($C$2,Lines!AP48))=TRUE,"",IF('500'!AP48="","ERR","")) &amp; IF(ISERROR(FIND($D$2,Lines!AP48))=TRUE,"",IF('330'!AP48="","ERR","")) &amp; IF(ISERROR(FIND($E$2,Lines!AP48))=TRUE,"",IF('220'!AP48="","ERR",""))&amp; IF(ISERROR(FIND($F$2,Lines!AP48))=TRUE,"",IF(AND('500DC'!AP48="",'800DC'!AP48=""),"ERR","")) &amp; IF(ISERROR(FIND($G$2,Lines!AP48))=TRUE,"",IF('1000'!AP48="","ERR","")) &amp; IF(ISERROR(FIND($H$2,Lines!AP48))=TRUE,"",IF('500DC'!AP48="","ERR","")) &amp; IF(ISERROR(FIND($I$2,Lines!AP48))=TRUE,"",IF('800DC'!AP48="","ERR","")) &amp; IF(ISERROR(FIND($J$2,Lines!AP48))=TRUE,"",IF('1000'!AP48="","ERR",""))</f>
        <v/>
      </c>
      <c r="AQ48" s="144" t="str">
        <f>IF(ISERROR(FIND($B$2,Lines!AQ48))=TRUE,"",IF('750'!AQ48="","ERR","")) &amp; IF(ISERROR(FIND($C$2,Lines!AQ48))=TRUE,"",IF('500'!AQ48="","ERR","")) &amp; IF(ISERROR(FIND($D$2,Lines!AQ48))=TRUE,"",IF('330'!AQ48="","ERR","")) &amp; IF(ISERROR(FIND($E$2,Lines!AQ48))=TRUE,"",IF('220'!AQ48="","ERR",""))&amp; IF(ISERROR(FIND($F$2,Lines!AQ48))=TRUE,"",IF(AND('500DC'!AQ48="",'800DC'!AQ48=""),"ERR","")) &amp; IF(ISERROR(FIND($G$2,Lines!AQ48))=TRUE,"",IF('1000'!AQ48="","ERR","")) &amp; IF(ISERROR(FIND($H$2,Lines!AQ48))=TRUE,"",IF('500DC'!AQ48="","ERR","")) &amp; IF(ISERROR(FIND($I$2,Lines!AQ48))=TRUE,"",IF('800DC'!AQ48="","ERR","")) &amp; IF(ISERROR(FIND($J$2,Lines!AQ48))=TRUE,"",IF('1000'!AQ48="","ERR",""))</f>
        <v/>
      </c>
      <c r="AR48" s="144" t="str">
        <f>IF(ISERROR(FIND($B$2,Lines!AR48))=TRUE,"",IF('750'!AR48="","ERR","")) &amp; IF(ISERROR(FIND($C$2,Lines!AR48))=TRUE,"",IF('500'!AR48="","ERR","")) &amp; IF(ISERROR(FIND($D$2,Lines!AR48))=TRUE,"",IF('330'!AR48="","ERR","")) &amp; IF(ISERROR(FIND($E$2,Lines!AR48))=TRUE,"",IF('220'!AR48="","ERR",""))&amp; IF(ISERROR(FIND($F$2,Lines!AR48))=TRUE,"",IF(AND('500DC'!AR48="",'800DC'!AR48=""),"ERR","")) &amp; IF(ISERROR(FIND($G$2,Lines!AR48))=TRUE,"",IF('1000'!AR48="","ERR","")) &amp; IF(ISERROR(FIND($H$2,Lines!AR48))=TRUE,"",IF('500DC'!AR48="","ERR","")) &amp; IF(ISERROR(FIND($I$2,Lines!AR48))=TRUE,"",IF('800DC'!AR48="","ERR","")) &amp; IF(ISERROR(FIND($J$2,Lines!AR48))=TRUE,"",IF('1000'!AR48="","ERR",""))</f>
        <v/>
      </c>
      <c r="AS48" s="144" t="str">
        <f>IF(ISERROR(FIND($B$2,Lines!AS48))=TRUE,"",IF('750'!AS48="","ERR","")) &amp; IF(ISERROR(FIND($C$2,Lines!AS48))=TRUE,"",IF('500'!AS48="","ERR","")) &amp; IF(ISERROR(FIND($D$2,Lines!AS48))=TRUE,"",IF('330'!AS48="","ERR","")) &amp; IF(ISERROR(FIND($E$2,Lines!AS48))=TRUE,"",IF('220'!AS48="","ERR",""))&amp; IF(ISERROR(FIND($F$2,Lines!AS48))=TRUE,"",IF(AND('500DC'!AS48="",'800DC'!AS48=""),"ERR","")) &amp; IF(ISERROR(FIND($G$2,Lines!AS48))=TRUE,"",IF('1000'!AS48="","ERR","")) &amp; IF(ISERROR(FIND($H$2,Lines!AS48))=TRUE,"",IF('500DC'!AS48="","ERR","")) &amp; IF(ISERROR(FIND($I$2,Lines!AS48))=TRUE,"",IF('800DC'!AS48="","ERR","")) &amp; IF(ISERROR(FIND($J$2,Lines!AS48))=TRUE,"",IF('1000'!AS48="","ERR",""))</f>
        <v/>
      </c>
      <c r="AT48" s="116" t="str">
        <f>IF(ISERROR(FIND($B$2,Lines!AT48))=TRUE,"",IF('750'!AT48="","ERR","")) &amp; IF(ISERROR(FIND($C$2,Lines!AT48))=TRUE,"",IF('500'!AT48="","ERR","")) &amp; IF(ISERROR(FIND($D$2,Lines!AT48))=TRUE,"",IF('330'!AT48="","ERR","")) &amp; IF(ISERROR(FIND($E$2,Lines!AT48))=TRUE,"",IF('220'!AT48="","ERR",""))&amp; IF(ISERROR(FIND($F$2,Lines!AT48))=TRUE,"",IF(AND('500DC'!AT48="",'800DC'!AT48=""),"ERR","")) &amp; IF(ISERROR(FIND($G$2,Lines!AT48))=TRUE,"",IF('1000'!AT48="","ERR","")) &amp; IF(ISERROR(FIND($H$2,Lines!AT48))=TRUE,"",IF('500DC'!AT48="","ERR","")) &amp; IF(ISERROR(FIND($I$2,Lines!AT48))=TRUE,"",IF('800DC'!AT48="","ERR","")) &amp; IF(ISERROR(FIND($J$2,Lines!AT48))=TRUE,"",IF('1000'!AT48="","ERR",""))</f>
        <v/>
      </c>
    </row>
    <row r="51" spans="2:4" ht="20.25" customHeight="1">
      <c r="B51" s="235" t="s">
        <v>97</v>
      </c>
      <c r="C51" s="235"/>
      <c r="D51" s="5"/>
    </row>
    <row r="52" spans="2:4" ht="20.25" customHeight="1">
      <c r="B52" s="6" t="s">
        <v>98</v>
      </c>
      <c r="C52" s="6" t="s">
        <v>99</v>
      </c>
      <c r="D52" s="5"/>
    </row>
    <row r="53" spans="2:4" ht="20.25" customHeight="1">
      <c r="B53" s="7" t="s">
        <v>100</v>
      </c>
      <c r="C53" s="7">
        <v>180</v>
      </c>
      <c r="D53" s="5"/>
    </row>
    <row r="54" spans="2:4" ht="20.25" customHeight="1">
      <c r="B54" s="7" t="s">
        <v>101</v>
      </c>
      <c r="C54" s="7">
        <v>120</v>
      </c>
      <c r="D54" s="5"/>
    </row>
    <row r="55" spans="2:4" ht="20.25" customHeight="1">
      <c r="B55" s="7" t="s">
        <v>102</v>
      </c>
      <c r="C55" s="7">
        <v>40</v>
      </c>
      <c r="D55" s="5"/>
    </row>
    <row r="56" spans="2:4" ht="20.25" customHeight="1">
      <c r="B56" s="7" t="s">
        <v>103</v>
      </c>
      <c r="C56" s="7">
        <v>20</v>
      </c>
      <c r="D56" s="5"/>
    </row>
    <row r="57" spans="2:4" ht="20.25" customHeight="1">
      <c r="B57" s="7" t="s">
        <v>104</v>
      </c>
      <c r="C57" s="7">
        <v>300</v>
      </c>
      <c r="D57" s="5"/>
    </row>
  </sheetData>
  <mergeCells count="1">
    <mergeCell ref="B51:C51"/>
  </mergeCells>
  <phoneticPr fontId="28" type="noConversion"/>
  <pageMargins left="0.7" right="0.7" top="0.75" bottom="0.75" header="0.3" footer="0.3"/>
  <pageSetup paperSize="9" orientation="portrait" horizontalDpi="200" verticalDpi="20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Lines</vt:lpstr>
      <vt:lpstr>1000</vt:lpstr>
      <vt:lpstr>750</vt:lpstr>
      <vt:lpstr>500</vt:lpstr>
      <vt:lpstr>330</vt:lpstr>
      <vt:lpstr>220</vt:lpstr>
      <vt:lpstr>500DC</vt:lpstr>
      <vt:lpstr>800DC</vt:lpstr>
      <vt:lpstr>Other</vt:lpstr>
      <vt:lpstr>NW-GSW,GSS</vt:lpstr>
      <vt:lpstr>NW</vt:lpstr>
      <vt:lpstr>NE</vt:lpstr>
      <vt:lpstr>IMW</vt:lpstr>
      <vt:lpstr>Check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2023-06-07T18:08:50Z</dcterms:modified>
</cp:coreProperties>
</file>